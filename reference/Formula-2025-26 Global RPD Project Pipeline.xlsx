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ml.chartshapes+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frigoglass-my.sharepoint.com/personal/sgahlot_frigoglass_com/Documents/Desktop/"/>
    </mc:Choice>
  </mc:AlternateContent>
  <xr:revisionPtr revIDLastSave="4" documentId="8_{44A58247-26EB-4CD0-AB2E-230669890EB5}" xr6:coauthVersionLast="47" xr6:coauthVersionMax="47" xr10:uidLastSave="{7EAC0ACA-7FAC-4937-9D08-A02442354815}"/>
  <bookViews>
    <workbookView xWindow="-108" yWindow="-108" windowWidth="23256" windowHeight="12456" tabRatio="603" firstSheet="1" activeTab="2" xr2:uid="{4B284888-525C-438E-9E2D-461944020503}"/>
  </bookViews>
  <sheets>
    <sheet name="All by RM Cat_v3_no Donper-&gt;HP" sheetId="2" state="hidden" r:id="rId1"/>
    <sheet name="RPD Capacity" sheetId="67" r:id="rId2"/>
    <sheet name="Final RPD" sheetId="53" r:id="rId3"/>
    <sheet name="Lists &amp; Explanations" sheetId="48" r:id="rId4"/>
    <sheet name="Delete" sheetId="64" state="hidden" r:id="rId5"/>
    <sheet name="2026 Project-Delete" sheetId="55" state="hidden" r:id="rId6"/>
    <sheet name="2026-Charter-Delete" sheetId="56" state="hidden" r:id="rId7"/>
    <sheet name="Data Backup-17-11-25" sheetId="58" state="hidden" r:id="rId8"/>
    <sheet name="Pivot-Charter-obsolete" sheetId="46" state="hidden" r:id="rId9"/>
    <sheet name="LTs_IND" sheetId="31" state="hidden" r:id="rId10"/>
    <sheet name="LTs_SAF" sheetId="32" state="hidden" r:id="rId11"/>
    <sheet name="LTs_INN" sheetId="33" state="hidden" r:id="rId12"/>
    <sheet name="Interchangeable" sheetId="23" state="hidden" r:id="rId13"/>
    <sheet name="IND_MoM" sheetId="24" state="hidden" r:id="rId14"/>
    <sheet name="INN_MoM" sheetId="27" state="hidden" r:id="rId15"/>
    <sheet name="ROM_MoM" sheetId="28" state="hidden" r:id="rId16"/>
    <sheet name="SAF_MoM" sheetId="25" state="hidden" r:id="rId17"/>
    <sheet name="14 Vs. 12b" sheetId="36" state="hidden" r:id="rId18"/>
  </sheets>
  <definedNames>
    <definedName name="_xlnm._FilterDatabase" localSheetId="5" hidden="1">'2026 Project-Delete'!$A$4:$BE$128</definedName>
    <definedName name="_xlnm._FilterDatabase" localSheetId="0" hidden="1">'All by RM Cat_v3_no Donper-&gt;HP'!$A$4:$AG$121</definedName>
    <definedName name="_xlnm._FilterDatabase" localSheetId="2" hidden="1">'Final RPD'!#REF!</definedName>
    <definedName name="_xlnm._FilterDatabase" localSheetId="13" hidden="1">IND_MoM!$A$1:$E$7</definedName>
    <definedName name="_xlnm._FilterDatabase" localSheetId="14" hidden="1">INN_MoM!$A$1:$E$15</definedName>
    <definedName name="_xlnm._FilterDatabase" localSheetId="9" hidden="1">LTs_IND!$A$9:$AA$28</definedName>
    <definedName name="_xlnm._FilterDatabase" localSheetId="15" hidden="1">ROM_MoM!$A$1:$E$6</definedName>
    <definedName name="_xlnm._FilterDatabase" localSheetId="16" hidden="1">SAF_MoM!$A$1:$E$19</definedName>
    <definedName name="_xlchart.v1.0" hidden="1">'Data Backup-17-11-25'!$O$1:$O$5</definedName>
    <definedName name="_xlchart.v1.1" hidden="1">'Data Backup-17-11-25'!$P$1:$P$5</definedName>
    <definedName name="FRG">#REF!</definedName>
    <definedName name="OEM">#REF!</definedName>
    <definedName name="_xlnm.Print_Area" localSheetId="2">'Final RPD'!$A$1:$Q$14</definedName>
    <definedName name="_xlnm.Print_Area" localSheetId="13">IND_MoM!$A$1:$C$7</definedName>
    <definedName name="_xlnm.Print_Area" localSheetId="14">INN_MoM!$A$1:$C$15</definedName>
    <definedName name="_xlnm.Print_Area" localSheetId="11">LTs_INN!$A$1:$X$28</definedName>
    <definedName name="_xlnm.Print_Area" localSheetId="10">LTs_SAF!$A$1:$X$28</definedName>
    <definedName name="_xlnm.Print_Area" localSheetId="15">ROM_MoM!$A$1:$C$6</definedName>
    <definedName name="_xlnm.Print_Area" localSheetId="16">SAF_MoM!$A$1:$C$19</definedName>
  </definedNames>
  <calcPr calcId="191028"/>
  <pivotCaches>
    <pivotCache cacheId="0" r:id="rId19"/>
    <pivotCache cacheId="1" r:id="rId20"/>
    <pivotCache cacheId="2" r:id="rId21"/>
    <pivotCache cacheId="3" r:id="rId22"/>
    <pivotCache cacheId="4" r:id="rId23"/>
    <pivotCache cacheId="5" r:id="rId24"/>
    <pivotCache cacheId="6"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67" l="1"/>
  <c r="E7" i="67"/>
  <c r="E6" i="67"/>
  <c r="J40" i="67" l="1"/>
  <c r="E4" i="67"/>
  <c r="E3" i="67"/>
  <c r="E5" i="67"/>
  <c r="R6" i="53" l="1"/>
  <c r="S5" i="53"/>
  <c r="F25" i="53" l="1"/>
  <c r="S7" i="53"/>
  <c r="S6" i="53"/>
  <c r="S4" i="53"/>
  <c r="R7" i="53"/>
  <c r="F26" i="53" s="1"/>
  <c r="R5" i="53"/>
  <c r="F24" i="53" s="1"/>
  <c r="R4" i="53"/>
  <c r="F23" i="53" s="1"/>
  <c r="C41" i="67" l="1"/>
  <c r="M40" i="67"/>
  <c r="D41" i="67" s="1"/>
  <c r="P40" i="67"/>
  <c r="E41" i="67" s="1"/>
  <c r="S40" i="67"/>
  <c r="F41" i="67" s="1"/>
  <c r="K56" i="67"/>
  <c r="K55" i="67" s="1"/>
  <c r="N56" i="67"/>
  <c r="Q56" i="67"/>
  <c r="Q55" i="67" s="1"/>
  <c r="T56" i="67"/>
  <c r="T55" i="67" s="1"/>
  <c r="J57" i="67"/>
  <c r="M57" i="67"/>
  <c r="P57" i="67"/>
  <c r="S57" i="67"/>
  <c r="J58" i="67"/>
  <c r="M58" i="67"/>
  <c r="S58" i="67"/>
  <c r="J59" i="67"/>
  <c r="M59" i="67"/>
  <c r="J60" i="67"/>
  <c r="M60" i="67"/>
  <c r="P60" i="67"/>
  <c r="S60" i="67"/>
  <c r="I70" i="67"/>
  <c r="C67" i="67"/>
  <c r="K70" i="67"/>
  <c r="D66" i="67" s="1"/>
  <c r="L70" i="67"/>
  <c r="D67" i="67" s="1"/>
  <c r="M70" i="67"/>
  <c r="E66" i="67" s="1"/>
  <c r="N70" i="67"/>
  <c r="E67" i="67" s="1"/>
  <c r="J80" i="67"/>
  <c r="J84" i="67" s="1"/>
  <c r="L89" i="67" s="1"/>
  <c r="M89" i="67" s="1"/>
  <c r="K80" i="67"/>
  <c r="L80" i="67"/>
  <c r="M80" i="67"/>
  <c r="P80" i="67"/>
  <c r="Q80" i="67"/>
  <c r="V80" i="67"/>
  <c r="W80" i="67"/>
  <c r="X80" i="67"/>
  <c r="Y80" i="67"/>
  <c r="K81" i="67"/>
  <c r="L81" i="67"/>
  <c r="M81" i="67"/>
  <c r="P81" i="67"/>
  <c r="Q81" i="67"/>
  <c r="V81" i="67"/>
  <c r="W81" i="67"/>
  <c r="X81" i="67"/>
  <c r="Y81" i="67"/>
  <c r="I93" i="67"/>
  <c r="J93" i="67"/>
  <c r="O93" i="67"/>
  <c r="P93" i="67"/>
  <c r="U93" i="67"/>
  <c r="V93" i="67"/>
  <c r="E9" i="67"/>
  <c r="E8" i="67"/>
  <c r="Q84" i="67" l="1"/>
  <c r="R90" i="67" s="1"/>
  <c r="S90" i="67" s="1"/>
  <c r="P84" i="67"/>
  <c r="R89" i="67" s="1"/>
  <c r="S89" i="67" s="1"/>
  <c r="M84" i="67"/>
  <c r="L92" i="67" s="1"/>
  <c r="M92" i="67" s="1"/>
  <c r="L84" i="67"/>
  <c r="L91" i="67" s="1"/>
  <c r="M91" i="67" s="1"/>
  <c r="K84" i="67"/>
  <c r="L90" i="67" s="1"/>
  <c r="M90" i="67" s="1"/>
  <c r="N59" i="67"/>
  <c r="J61" i="67"/>
  <c r="W84" i="67"/>
  <c r="X90" i="67" s="1"/>
  <c r="Y90" i="67" s="1"/>
  <c r="V84" i="67"/>
  <c r="X89" i="67" s="1"/>
  <c r="Y89" i="67" s="1"/>
  <c r="Q59" i="67"/>
  <c r="Q57" i="67"/>
  <c r="T60" i="67"/>
  <c r="K59" i="67"/>
  <c r="N55" i="67"/>
  <c r="G41" i="67"/>
  <c r="E42" i="67" s="1"/>
  <c r="T57" i="67"/>
  <c r="P61" i="67"/>
  <c r="P54" i="67" s="1"/>
  <c r="E54" i="67" s="1"/>
  <c r="G6" i="67" s="1"/>
  <c r="H6" i="67" s="1"/>
  <c r="M61" i="67"/>
  <c r="M54" i="67" s="1"/>
  <c r="D54" i="67" s="1"/>
  <c r="G4" i="67" s="1"/>
  <c r="I4" i="67" s="1"/>
  <c r="Y84" i="67"/>
  <c r="X92" i="67" s="1"/>
  <c r="Y92" i="67" s="1"/>
  <c r="X84" i="67"/>
  <c r="X91" i="67" s="1"/>
  <c r="Y91" i="67" s="1"/>
  <c r="F67" i="67"/>
  <c r="C68" i="67" s="1"/>
  <c r="F66" i="67"/>
  <c r="N57" i="67"/>
  <c r="S61" i="67"/>
  <c r="S54" i="67" s="1"/>
  <c r="F54" i="67" s="1"/>
  <c r="N58" i="67"/>
  <c r="K60" i="67"/>
  <c r="Q60" i="67"/>
  <c r="K57" i="67"/>
  <c r="K58" i="67"/>
  <c r="Q58" i="67"/>
  <c r="T59" i="67"/>
  <c r="T58" i="67"/>
  <c r="N60" i="67"/>
  <c r="Q14" i="53"/>
  <c r="Q13" i="53"/>
  <c r="Q12" i="53"/>
  <c r="Q7" i="53"/>
  <c r="Q6" i="53"/>
  <c r="Q5" i="53"/>
  <c r="Q4" i="53"/>
  <c r="S93" i="67" l="1"/>
  <c r="S94" i="67" s="1"/>
  <c r="D83" i="67" s="1"/>
  <c r="J54" i="67"/>
  <c r="C54" i="67" s="1"/>
  <c r="G3" i="67" s="1"/>
  <c r="M93" i="67"/>
  <c r="C79" i="67" s="1"/>
  <c r="G5" i="67" s="1"/>
  <c r="E68" i="67"/>
  <c r="D68" i="67"/>
  <c r="Q61" i="67"/>
  <c r="Q54" i="67" s="1"/>
  <c r="E55" i="67" s="1"/>
  <c r="Y93" i="67"/>
  <c r="E79" i="67" s="1"/>
  <c r="I6" i="67"/>
  <c r="C42" i="67"/>
  <c r="T61" i="67"/>
  <c r="T54" i="67" s="1"/>
  <c r="F55" i="67" s="1"/>
  <c r="G42" i="67"/>
  <c r="D42" i="67"/>
  <c r="F42" i="67"/>
  <c r="G8" i="67"/>
  <c r="N61" i="67"/>
  <c r="N54" i="67" s="1"/>
  <c r="D55" i="67" s="1"/>
  <c r="K61" i="67"/>
  <c r="K54" i="67" s="1"/>
  <c r="C55" i="67" s="1"/>
  <c r="D79" i="67" l="1"/>
  <c r="G7" i="67" s="1"/>
  <c r="G54" i="67"/>
  <c r="M94" i="67"/>
  <c r="M95" i="67" s="1"/>
  <c r="H5" i="67"/>
  <c r="G9" i="67"/>
  <c r="I9" i="67" s="1"/>
  <c r="Y94" i="67"/>
  <c r="E83" i="67" s="1"/>
  <c r="G55" i="67"/>
  <c r="H8" i="67"/>
  <c r="I8" i="67"/>
  <c r="K6" i="58"/>
  <c r="J6" i="58"/>
  <c r="I6" i="58"/>
  <c r="L2" i="58"/>
  <c r="L3" i="58"/>
  <c r="L4" i="58"/>
  <c r="L5" i="58"/>
  <c r="D5" i="58"/>
  <c r="C5" i="58"/>
  <c r="F38" i="58"/>
  <c r="E38" i="58"/>
  <c r="D38" i="58"/>
  <c r="Q31" i="58"/>
  <c r="U6" i="58"/>
  <c r="V2" i="58" s="1"/>
  <c r="J29" i="53"/>
  <c r="J28" i="53"/>
  <c r="J27" i="53"/>
  <c r="J26" i="53"/>
  <c r="J25" i="53"/>
  <c r="J24" i="53"/>
  <c r="J23" i="53"/>
  <c r="D24" i="53"/>
  <c r="D25" i="53"/>
  <c r="D26" i="53"/>
  <c r="D27" i="53"/>
  <c r="D28" i="53"/>
  <c r="D29" i="53"/>
  <c r="D23" i="53"/>
  <c r="K29" i="53"/>
  <c r="K28" i="53"/>
  <c r="K27" i="53"/>
  <c r="K26" i="53"/>
  <c r="K25" i="53"/>
  <c r="K24" i="53"/>
  <c r="K23" i="53"/>
  <c r="E29" i="53"/>
  <c r="E28" i="53"/>
  <c r="E27" i="53"/>
  <c r="E26" i="53"/>
  <c r="E25" i="53"/>
  <c r="E24" i="53"/>
  <c r="E23" i="53"/>
  <c r="B44" i="46"/>
  <c r="C43" i="46" s="1"/>
  <c r="F4" i="36"/>
  <c r="K28" i="33"/>
  <c r="J28" i="33"/>
  <c r="I28" i="33"/>
  <c r="H28" i="33"/>
  <c r="G28" i="33"/>
  <c r="F28" i="33"/>
  <c r="E28" i="33"/>
  <c r="D28" i="33"/>
  <c r="C28" i="33"/>
  <c r="B28" i="33"/>
  <c r="Y27" i="33"/>
  <c r="X27" i="33"/>
  <c r="Y26" i="33"/>
  <c r="X26" i="33"/>
  <c r="Y25" i="33"/>
  <c r="X25" i="33"/>
  <c r="Y24" i="33"/>
  <c r="X24" i="33"/>
  <c r="Y23" i="33"/>
  <c r="X23" i="33"/>
  <c r="Y22" i="33"/>
  <c r="X22" i="33"/>
  <c r="Y21" i="33"/>
  <c r="X21" i="33"/>
  <c r="Y20" i="33"/>
  <c r="X20" i="33"/>
  <c r="Y19" i="33"/>
  <c r="X19" i="33"/>
  <c r="Y18" i="33"/>
  <c r="X18" i="33"/>
  <c r="Y17" i="33"/>
  <c r="X17" i="33"/>
  <c r="Y16" i="33"/>
  <c r="X16" i="33"/>
  <c r="Y15" i="33"/>
  <c r="X15" i="33"/>
  <c r="Y14" i="33"/>
  <c r="X14" i="33"/>
  <c r="Y13" i="33"/>
  <c r="X13" i="33"/>
  <c r="Y12" i="33"/>
  <c r="X12" i="33"/>
  <c r="Y11" i="33"/>
  <c r="X11" i="33"/>
  <c r="Y10" i="33"/>
  <c r="X10" i="33"/>
  <c r="K28" i="32"/>
  <c r="J28" i="32"/>
  <c r="I28" i="32"/>
  <c r="H28" i="32"/>
  <c r="G28" i="32"/>
  <c r="F28" i="32"/>
  <c r="E28" i="32"/>
  <c r="D28" i="32"/>
  <c r="C28" i="32"/>
  <c r="B28" i="32"/>
  <c r="Y27" i="32"/>
  <c r="X27" i="32"/>
  <c r="Y26" i="32"/>
  <c r="X26" i="32"/>
  <c r="Y25" i="32"/>
  <c r="X25" i="32"/>
  <c r="Y24" i="32"/>
  <c r="X24" i="32"/>
  <c r="Y23" i="32"/>
  <c r="X23" i="32"/>
  <c r="Y22" i="32"/>
  <c r="X22" i="32"/>
  <c r="Y21" i="32"/>
  <c r="X21" i="32"/>
  <c r="Y20" i="32"/>
  <c r="X20" i="32"/>
  <c r="Y19" i="32"/>
  <c r="X19" i="32"/>
  <c r="Y18" i="32"/>
  <c r="X18" i="32"/>
  <c r="Y17" i="32"/>
  <c r="X17" i="32"/>
  <c r="Y16" i="32"/>
  <c r="X16" i="32"/>
  <c r="Y15" i="32"/>
  <c r="X15" i="32"/>
  <c r="Y14" i="32"/>
  <c r="X14" i="32"/>
  <c r="Y13" i="32"/>
  <c r="X13" i="32"/>
  <c r="Y12" i="32"/>
  <c r="X12" i="32"/>
  <c r="Y11" i="32"/>
  <c r="X11" i="32"/>
  <c r="Y10" i="32"/>
  <c r="X10" i="32"/>
  <c r="K28" i="31"/>
  <c r="J28" i="31"/>
  <c r="I28" i="31"/>
  <c r="H28" i="31"/>
  <c r="G28" i="31"/>
  <c r="F28" i="31"/>
  <c r="E28" i="31"/>
  <c r="D28" i="31"/>
  <c r="C28" i="31"/>
  <c r="B28" i="31"/>
  <c r="Y27" i="31"/>
  <c r="X27" i="31"/>
  <c r="Y26" i="31"/>
  <c r="X26" i="31"/>
  <c r="Y25" i="31"/>
  <c r="X25" i="31"/>
  <c r="Y24" i="31"/>
  <c r="X24" i="31"/>
  <c r="Y23" i="31"/>
  <c r="X23" i="31"/>
  <c r="Y22" i="31"/>
  <c r="X22" i="31"/>
  <c r="Y21" i="31"/>
  <c r="X21" i="31"/>
  <c r="Y20" i="31"/>
  <c r="X20" i="31"/>
  <c r="Y19" i="31"/>
  <c r="X19" i="31"/>
  <c r="Y18" i="31"/>
  <c r="X18" i="31"/>
  <c r="Y17" i="31"/>
  <c r="X17" i="31"/>
  <c r="Y16" i="31"/>
  <c r="X16" i="31"/>
  <c r="Y15" i="31"/>
  <c r="X15" i="31"/>
  <c r="Y14" i="31"/>
  <c r="X14" i="31"/>
  <c r="Y13" i="31"/>
  <c r="X13" i="31"/>
  <c r="Y12" i="31"/>
  <c r="X12" i="31"/>
  <c r="Y11" i="31"/>
  <c r="X11" i="31"/>
  <c r="Y10" i="31"/>
  <c r="X10" i="31"/>
  <c r="P1" i="2"/>
  <c r="O1" i="2"/>
  <c r="D5" i="36"/>
  <c r="C5" i="36"/>
  <c r="E5" i="36"/>
  <c r="H32" i="56"/>
  <c r="H9" i="56"/>
  <c r="H3" i="56"/>
  <c r="J150" i="55"/>
  <c r="J152" i="55"/>
  <c r="H35" i="56"/>
  <c r="H17" i="56"/>
  <c r="H10" i="56"/>
  <c r="H6" i="56"/>
  <c r="H8" i="56"/>
  <c r="J155" i="55"/>
  <c r="H31" i="56"/>
  <c r="H28" i="56"/>
  <c r="H14" i="56"/>
  <c r="H12" i="56"/>
  <c r="H4" i="56"/>
  <c r="J153" i="55"/>
  <c r="H34" i="56"/>
  <c r="H33" i="56"/>
  <c r="F21" i="56"/>
  <c r="H5" i="56"/>
  <c r="H16" i="56"/>
  <c r="H13" i="56"/>
  <c r="E21" i="56"/>
  <c r="H15" i="56"/>
  <c r="H7" i="56"/>
  <c r="J151" i="55"/>
  <c r="H18" i="56"/>
  <c r="J154" i="55"/>
  <c r="H30" i="56"/>
  <c r="H11" i="56"/>
  <c r="C21" i="56"/>
  <c r="B21" i="56"/>
  <c r="J156" i="55"/>
  <c r="D21" i="56"/>
  <c r="H19" i="56"/>
  <c r="H29" i="56"/>
  <c r="C41" i="46" l="1"/>
  <c r="F79" i="67"/>
  <c r="C80" i="67" s="1"/>
  <c r="C42" i="46"/>
  <c r="L6" i="58"/>
  <c r="K7" i="58" s="1"/>
  <c r="E6" i="36"/>
  <c r="F5" i="36"/>
  <c r="F6" i="36" s="1"/>
  <c r="C6" i="36"/>
  <c r="D6" i="36"/>
  <c r="V5" i="58"/>
  <c r="V1" i="58"/>
  <c r="V4" i="58"/>
  <c r="V3" i="58"/>
  <c r="H9" i="67"/>
  <c r="C83" i="67"/>
  <c r="F83" i="67" s="1"/>
  <c r="I5" i="67"/>
  <c r="I7" i="67"/>
  <c r="H7" i="67"/>
  <c r="C44" i="46" l="1"/>
  <c r="E80" i="67"/>
  <c r="D80" i="67"/>
  <c r="M3" i="58"/>
  <c r="I7" i="58"/>
  <c r="M4" i="58"/>
  <c r="J7" i="58"/>
  <c r="M5" i="58"/>
  <c r="M2" i="58"/>
  <c r="X2" i="58"/>
  <c r="I3" i="67"/>
  <c r="H3" i="67"/>
  <c r="H4" i="6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Gahlot Sachin</author>
    <author>tc={DE103BF3-EDBB-4313-92CD-6D699C2DE561}</author>
  </authors>
  <commentList>
    <comment ref="K55" authorId="0" shapeId="0" xr:uid="{091824B3-73AC-4F19-AD62-4FD5E54B77E1}">
      <text>
        <r>
          <rPr>
            <b/>
            <sz val="9"/>
            <color indexed="81"/>
            <rFont val="Tahoma"/>
            <family val="2"/>
          </rPr>
          <t>Gahlot Sachin:</t>
        </r>
        <r>
          <rPr>
            <sz val="9"/>
            <color indexed="81"/>
            <rFont val="Tahoma"/>
            <family val="2"/>
          </rPr>
          <t xml:space="preserve">
Calculation for Remaining Week</t>
        </r>
      </text>
    </comment>
    <comment ref="N55" authorId="0" shapeId="0" xr:uid="{59C0273F-E267-4E0C-9ADB-8DDB106908C7}">
      <text>
        <r>
          <rPr>
            <b/>
            <sz val="9"/>
            <color indexed="81"/>
            <rFont val="Tahoma"/>
            <family val="2"/>
          </rPr>
          <t>Gahlot Sachin:</t>
        </r>
        <r>
          <rPr>
            <sz val="9"/>
            <color indexed="81"/>
            <rFont val="Tahoma"/>
            <family val="2"/>
          </rPr>
          <t xml:space="preserve">
Calculation for Remaining Week</t>
        </r>
      </text>
    </comment>
    <comment ref="J69" authorId="1" shapeId="0" xr:uid="{DE103BF3-EDBB-4313-92CD-6D699C2DE561}">
      <text>
        <t>[Threaded comment]
Your version of Excel allows you to read this threaded comment; however, any edits to it will get removed if the file is opened in a newer version of Excel. Learn more: https://go.microsoft.com/fwlink/?linkid=870924
Comment:
    Only For Industrialization-Non Calibrated Lab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tc={72F2EE6A-15CD-46E0-8709-3B99FD017039}</author>
  </authors>
  <commentList>
    <comment ref="AK3" authorId="0" shapeId="0" xr:uid="{72F2EE6A-15CD-46E0-8709-3B99FD017039}">
      <text>
        <t>[Threaded comment]
Your version of Excel allows you to read this threaded comment; however, any edits to it will get removed if the file is opened in a newer version of Excel. Learn more: https://go.microsoft.com/fwlink/?linkid=870924
Comment:
    Creo &amp; PLM upgradation training</t>
      </text>
    </comment>
  </commentList>
</comments>
</file>

<file path=xl/sharedStrings.xml><?xml version="1.0" encoding="utf-8"?>
<sst xmlns="http://schemas.openxmlformats.org/spreadsheetml/2006/main" count="4743" uniqueCount="1235">
  <si>
    <t>YTD=YEAR-TO-DATE  /  YTG=YEAR-TO-GO</t>
  </si>
  <si>
    <t>with Sep'24 INITIAL 
BASELINE VOLUMES</t>
  </si>
  <si>
    <t>DO NOT COPY/PASTE</t>
  </si>
  <si>
    <t>as per INITIAL 
BASELINE VOLUMES</t>
  </si>
  <si>
    <t>as per LATEST FULL YEAR (YTD ACTUAL + YTG FORECAST) VOLUMES</t>
  </si>
  <si>
    <t>DO NOT COPY/PASTE IN THESE COLUMNS</t>
  </si>
  <si>
    <t>INITIALLY REPORTED</t>
  </si>
  <si>
    <t>LATEST ASSESSMENT</t>
  </si>
  <si>
    <t>% Allocation of Total Benefit</t>
  </si>
  <si>
    <t>Project Code</t>
  </si>
  <si>
    <t>Project Name &amp; Brief Description</t>
  </si>
  <si>
    <t>RM Category</t>
  </si>
  <si>
    <t>Initiating Department</t>
  </si>
  <si>
    <t>Plant / Dept</t>
  </si>
  <si>
    <t>Project Classification</t>
  </si>
  <si>
    <t>Project Type</t>
  </si>
  <si>
    <r>
      <t xml:space="preserve">PDD Approval </t>
    </r>
    <r>
      <rPr>
        <b/>
        <sz val="11"/>
        <color rgb="FFFF0000"/>
        <rFont val="Aptos Narrow"/>
        <family val="2"/>
        <charset val="161"/>
        <scheme val="minor"/>
      </rPr>
      <t>Required</t>
    </r>
  </si>
  <si>
    <r>
      <t xml:space="preserve">PDD Approval </t>
    </r>
    <r>
      <rPr>
        <b/>
        <sz val="11"/>
        <color theme="9" tint="0.39997558519241921"/>
        <rFont val="Aptos Narrow"/>
        <family val="2"/>
        <charset val="161"/>
        <scheme val="minor"/>
      </rPr>
      <t>Acquired</t>
    </r>
  </si>
  <si>
    <r>
      <t xml:space="preserve">Customer Approval </t>
    </r>
    <r>
      <rPr>
        <b/>
        <sz val="11"/>
        <color rgb="FFFF0000"/>
        <rFont val="Aptos Narrow"/>
        <family val="2"/>
        <charset val="161"/>
        <scheme val="minor"/>
      </rPr>
      <t>Required</t>
    </r>
  </si>
  <si>
    <r>
      <t xml:space="preserve">Customer Approval </t>
    </r>
    <r>
      <rPr>
        <b/>
        <sz val="11"/>
        <color theme="9" tint="0.39997558519241921"/>
        <rFont val="Aptos Narrow"/>
        <family val="2"/>
        <charset val="161"/>
        <scheme val="minor"/>
      </rPr>
      <t>Acquired</t>
    </r>
  </si>
  <si>
    <t>Project Booking</t>
  </si>
  <si>
    <t>Initial PLAN - Implementation Date (= in Production)</t>
  </si>
  <si>
    <t>Initial PLAN - Annualized
(kEur) PLAN</t>
  </si>
  <si>
    <t>Initial PLAN - Within 2025
(kEur)</t>
  </si>
  <si>
    <t xml:space="preserve">Latest STATUS - Implementation Date (= in Production) </t>
  </si>
  <si>
    <t xml:space="preserve">Latest STATUS - Annualized
(kEur) </t>
  </si>
  <si>
    <t>Latest  STATUS - Within 2025
(kEur)</t>
  </si>
  <si>
    <t>Procurement Status</t>
  </si>
  <si>
    <t>General Status</t>
  </si>
  <si>
    <t>Detailed Status</t>
  </si>
  <si>
    <t>Remarks</t>
  </si>
  <si>
    <r>
      <rPr>
        <b/>
        <sz val="11"/>
        <color theme="9" tint="0.39997558519241921"/>
        <rFont val="Aptos Narrow"/>
        <family val="2"/>
        <charset val="161"/>
        <scheme val="minor"/>
      </rPr>
      <t>Initiative</t>
    </r>
    <r>
      <rPr>
        <b/>
        <sz val="11"/>
        <color theme="0"/>
        <rFont val="Aptos Narrow"/>
        <family val="2"/>
        <charset val="161"/>
        <scheme val="minor"/>
      </rPr>
      <t xml:space="preserve"> Success Confidence Level</t>
    </r>
  </si>
  <si>
    <r>
      <rPr>
        <b/>
        <sz val="11"/>
        <color rgb="FFFFC000"/>
        <rFont val="Aptos Narrow"/>
        <family val="2"/>
        <charset val="161"/>
        <scheme val="minor"/>
      </rPr>
      <t>Result</t>
    </r>
    <r>
      <rPr>
        <b/>
        <sz val="11"/>
        <color theme="0"/>
        <rFont val="Aptos Narrow"/>
        <family val="2"/>
        <charset val="161"/>
        <scheme val="minor"/>
      </rPr>
      <t xml:space="preserve"> Success Confidence Factor in %</t>
    </r>
  </si>
  <si>
    <t>IND</t>
  </si>
  <si>
    <t>INN</t>
  </si>
  <si>
    <t>ROM</t>
  </si>
  <si>
    <t>SAF</t>
  </si>
  <si>
    <t>Proposed Actions</t>
  </si>
  <si>
    <t>Initiative Success Numeric Confidence Level</t>
  </si>
  <si>
    <t>25IND025</t>
  </si>
  <si>
    <t>WOT :  Zhongshang to BMR (5R/6R/7R)</t>
  </si>
  <si>
    <t>WOT</t>
  </si>
  <si>
    <t>Central Procurement</t>
  </si>
  <si>
    <t>Central</t>
  </si>
  <si>
    <t>III: Alternative Sourcing (Conditions or Security)</t>
  </si>
  <si>
    <t>YES</t>
  </si>
  <si>
    <t>NO</t>
  </si>
  <si>
    <t>n/a</t>
  </si>
  <si>
    <t>in BDG</t>
  </si>
  <si>
    <t>Jan_25</t>
  </si>
  <si>
    <t>HI</t>
  </si>
  <si>
    <t>25SRC048</t>
  </si>
  <si>
    <t>Pallet</t>
  </si>
  <si>
    <t>Wooden Pallets</t>
  </si>
  <si>
    <t>Central Sourcing</t>
  </si>
  <si>
    <t>SRC</t>
  </si>
  <si>
    <t>Apr_25</t>
  </si>
  <si>
    <t>50% share</t>
  </si>
  <si>
    <t>25SAF011</t>
  </si>
  <si>
    <t>Pallet Optimization</t>
  </si>
  <si>
    <t>R&amp;PD and PRC</t>
  </si>
  <si>
    <t>I: Conditions or Specs Negotiation</t>
  </si>
  <si>
    <t>Study in progress with local Eng/India PD</t>
  </si>
  <si>
    <t>New design for Pallet. Shared drawings with supplier for quoation.</t>
  </si>
  <si>
    <t>25ROM005</t>
  </si>
  <si>
    <t>Validate alternative supplier (new Arco Plast Vs. Rual)</t>
  </si>
  <si>
    <t>H1 share business 40/60 and for H2 share business 60/40</t>
  </si>
  <si>
    <t xml:space="preserve">to finalise the validation of Arcoplast; to agree the share of business with SC for implementation </t>
  </si>
  <si>
    <t>25IND024</t>
  </si>
  <si>
    <t>Thermostat : Alternate Supplier Development
Robertshaw -&gt; Under evaluation</t>
  </si>
  <si>
    <t>Thermostats</t>
  </si>
  <si>
    <t>MED</t>
  </si>
  <si>
    <t>25SRC047</t>
  </si>
  <si>
    <t>Tapes</t>
  </si>
  <si>
    <t>Tapes&amp;Other Packaging Material</t>
  </si>
  <si>
    <t>Sep_25</t>
  </si>
  <si>
    <t>50% share - not started</t>
  </si>
  <si>
    <t>25CPG006</t>
  </si>
  <si>
    <t>Introduce alternative vs. Lampre for PPGI /Timisoara needs</t>
  </si>
  <si>
    <t>Steel-PPGI</t>
  </si>
  <si>
    <t>CPG</t>
  </si>
  <si>
    <t>II: Sourcing (Supply Extension or Re-Spec'ing)</t>
  </si>
  <si>
    <t>Feb_25</t>
  </si>
  <si>
    <t>Share business Lampre, Elastron, Voestalpine (€140 avg landed cost saving per MT / 2700 MT different SOBs per quarter gradually reducing Lampre to 20% and the rest to Elastron &amp; Voestalpine)</t>
  </si>
  <si>
    <t>Trials to complete in Sept/Oct. Share of business for 2025. Improve conditions (Nego with focus on Payment terms /Lead time)</t>
  </si>
  <si>
    <t>25SAF010</t>
  </si>
  <si>
    <t>Prepainted steel from 0.45-&gt;0.40mm</t>
  </si>
  <si>
    <t>Local R&amp;PD</t>
  </si>
  <si>
    <t>Local</t>
  </si>
  <si>
    <t>Price negotiations pending</t>
  </si>
  <si>
    <t>If successful, TF update will be required from PD India</t>
  </si>
  <si>
    <t>25SAF009</t>
  </si>
  <si>
    <t>Sourcing with another local supplier for better pricing</t>
  </si>
  <si>
    <t>Steel-GI</t>
  </si>
  <si>
    <t>Awaiting Supplier costing, Requirment and confirmed Lead time, 'Support from Production and PD/ENG for sample &amp; FPAP</t>
  </si>
  <si>
    <t>Provide supplier with respective drawings and annual Vol. Awaiting for supplier response &amp; confirmation that they can deliver our requirement while meeting our quality expectations. Verify supplier drawings with Frigoglass(Evidence).Negotiate Pricing and secure savings. Receive samples and perform FPAP and upon approval receive pilot order</t>
  </si>
  <si>
    <t>25IND023</t>
  </si>
  <si>
    <t>Steel : Introduction of Laxmi Steel</t>
  </si>
  <si>
    <t>25SRC046</t>
  </si>
  <si>
    <t>Silk Print</t>
  </si>
  <si>
    <t>Silk Screened Parts</t>
  </si>
  <si>
    <t>25SRC045</t>
  </si>
  <si>
    <t>Silicone</t>
  </si>
  <si>
    <t>Silicones</t>
  </si>
  <si>
    <t>25IND022</t>
  </si>
  <si>
    <t>Wire Shelf : New Supplier Development
Secom -&gt; Bedi Wire/SR Fabrication</t>
  </si>
  <si>
    <t>Shelves</t>
  </si>
  <si>
    <t>24SRC078</t>
  </si>
  <si>
    <t>Shaded pole motor Saiwei as altearnative to Weigung YZF10-20</t>
  </si>
  <si>
    <t>Shaded Pole Motors &amp; Blades</t>
  </si>
  <si>
    <t>24SRC079</t>
  </si>
  <si>
    <t>Shaded pole motor Saiwei as altearnative to Weigung YZF16-25</t>
  </si>
  <si>
    <t>25IND021</t>
  </si>
  <si>
    <t>Refrigerant Gases : Alternate Supplier Development
Star Special -&gt; Helious</t>
  </si>
  <si>
    <t>Refrigerants</t>
  </si>
  <si>
    <t>24SRC077</t>
  </si>
  <si>
    <t>PSU Done as alternative to Tauras for 12W</t>
  </si>
  <si>
    <t>PSU</t>
  </si>
  <si>
    <t>Mar_25</t>
  </si>
  <si>
    <t>60% share</t>
  </si>
  <si>
    <t>24SRC075</t>
  </si>
  <si>
    <t>PSU Done as alternative to Tauras for 15/16W</t>
  </si>
  <si>
    <t>24SRC076</t>
  </si>
  <si>
    <t>PSU Done as alternative to Tauras for 20W</t>
  </si>
  <si>
    <t>25SRC044</t>
  </si>
  <si>
    <t>PSU Tauras as alternative supplier for Meanwell 12W</t>
  </si>
  <si>
    <t>25SRC043</t>
  </si>
  <si>
    <t>PSU Tauras as alternative supplier for Meanwell 16W</t>
  </si>
  <si>
    <t>25CPG003</t>
  </si>
  <si>
    <t>Blue Line 3 years contract (IND)</t>
  </si>
  <si>
    <t>Protector - Stabilizer</t>
  </si>
  <si>
    <t>Not_Started</t>
  </si>
  <si>
    <t>25IND019</t>
  </si>
  <si>
    <t>Di-cals &amp; Labels : New Supplier Development
Nitin AD -&gt; Retail Junction</t>
  </si>
  <si>
    <t>Printing Materials</t>
  </si>
  <si>
    <t>25IND020</t>
  </si>
  <si>
    <t>Stickers and labels : Multi Suppliers to MD Graphic(7-8 Suppliers)</t>
  </si>
  <si>
    <t>25SRC042</t>
  </si>
  <si>
    <t>Stretch Film Reel</t>
  </si>
  <si>
    <t>Plastic bags &amp; Stretch Film</t>
  </si>
  <si>
    <t>24SRC074</t>
  </si>
  <si>
    <t>ACE (China) Metal Handle</t>
  </si>
  <si>
    <t>Metal Processing &amp; Components</t>
  </si>
  <si>
    <t>24SRC072</t>
  </si>
  <si>
    <t>Ace (China) Shelf Clip</t>
  </si>
  <si>
    <t>24SRC073</t>
  </si>
  <si>
    <t>ACE (China) Top Hinge</t>
  </si>
  <si>
    <t>25SAF007</t>
  </si>
  <si>
    <t>Alternate supplier for Metal Processing &amp; Components in S.A</t>
  </si>
  <si>
    <t>25IND017</t>
  </si>
  <si>
    <t>HINGES : Nego - 4 % with existing supplier Matangi
Or New supplier add</t>
  </si>
  <si>
    <t>25SRC040</t>
  </si>
  <si>
    <t>Lock Metal Parts</t>
  </si>
  <si>
    <t>24SRC071</t>
  </si>
  <si>
    <t>Nisiki (india) Fan Grid</t>
  </si>
  <si>
    <t>100% share</t>
  </si>
  <si>
    <t>25IND016</t>
  </si>
  <si>
    <t>Press Components : New Supplier Development
RK Ent -&gt; Radical Components</t>
  </si>
  <si>
    <t>25SAF008</t>
  </si>
  <si>
    <t>Revisit local shelf clip option</t>
  </si>
  <si>
    <t>Jul_25</t>
  </si>
  <si>
    <t>Investigating local supplier</t>
  </si>
  <si>
    <t xml:space="preserve">supplier currentlry doing sample </t>
  </si>
  <si>
    <t>25SRC039</t>
  </si>
  <si>
    <t>Rollers</t>
  </si>
  <si>
    <t>25SRC038</t>
  </si>
  <si>
    <t>Shelf Pillaster</t>
  </si>
  <si>
    <t>25SRC041</t>
  </si>
  <si>
    <t>Spring</t>
  </si>
  <si>
    <t>25IND018</t>
  </si>
  <si>
    <t>Top Hinge (Single Source) : Alternate Supplier Development
DPK -&gt; Under evaluation</t>
  </si>
  <si>
    <t>25IND015</t>
  </si>
  <si>
    <t>Armaflex Tube : Alternate Supplier Development
Ajay Poly -&gt; Vaishno India</t>
  </si>
  <si>
    <t>Magnetic Gaskets</t>
  </si>
  <si>
    <t>25IND014</t>
  </si>
  <si>
    <t>Gasket &amp; Extrusion : In-House Development
Ajay Poly -&gt; Sudarshan (In-house)</t>
  </si>
  <si>
    <t>25IND013</t>
  </si>
  <si>
    <t>I-Lock(Blue Star) : New Supplier Development
Keyman -&gt; Noble Lock</t>
  </si>
  <si>
    <t>Locks</t>
  </si>
  <si>
    <t>25SRC036</t>
  </si>
  <si>
    <t>LED Conrun as alternative to Refond 1200mm</t>
  </si>
  <si>
    <t>LED</t>
  </si>
  <si>
    <t>25SRC035</t>
  </si>
  <si>
    <t>LED Conrun as alternative to Refond 1400mm</t>
  </si>
  <si>
    <t>25SRC037</t>
  </si>
  <si>
    <t>LED Conrun as alternative to Refond 800mm</t>
  </si>
  <si>
    <t>24SRC069</t>
  </si>
  <si>
    <t>LED Conrun as alternative to Refond for 1600mm low cost</t>
  </si>
  <si>
    <t>24SRC064</t>
  </si>
  <si>
    <t>LED Conrun as alternative to Refond for 1600mm low wattage</t>
  </si>
  <si>
    <t>IV: Sourcing (Technology, Conditions or Security)</t>
  </si>
  <si>
    <t>24SRC066</t>
  </si>
  <si>
    <t>LED Conrun as alternative to Refond for 1600mm standard</t>
  </si>
  <si>
    <t>24SRC067</t>
  </si>
  <si>
    <t>LED Conrun as alternative to Refond for 1800mm low cost</t>
  </si>
  <si>
    <t>24SRC065</t>
  </si>
  <si>
    <t>LED Conrun as alternative to Refond for 1800mm low wattage</t>
  </si>
  <si>
    <t>24SRC068</t>
  </si>
  <si>
    <t>LED Conrun as alternative to Refond for 1800mm standard</t>
  </si>
  <si>
    <t>24SRC070</t>
  </si>
  <si>
    <t>LED Conrun as alternative to Refond for 400mm low cost</t>
  </si>
  <si>
    <t>25SRC033</t>
  </si>
  <si>
    <t>Documents</t>
  </si>
  <si>
    <t>Labels &amp; Manuals</t>
  </si>
  <si>
    <t>25SAF006</t>
  </si>
  <si>
    <t>Non CCBSA Artwork Supplier</t>
  </si>
  <si>
    <t>25SRC034</t>
  </si>
  <si>
    <t>Stickers</t>
  </si>
  <si>
    <t>25SAF004</t>
  </si>
  <si>
    <t>Localization for Drip Tray</t>
  </si>
  <si>
    <t>Injection Plastics</t>
  </si>
  <si>
    <t>25SAF005</t>
  </si>
  <si>
    <t>Plastic Evap Fan Grill Localization</t>
  </si>
  <si>
    <t>Investigating supplier that has the capability to provide this by 23 September 2024</t>
  </si>
  <si>
    <t>Sourcing in progress</t>
  </si>
  <si>
    <t>25IND012</t>
  </si>
  <si>
    <t>Plastic Moulding parts : Alternate Supplier Development
EIC &amp; Geeta/Everfine -&gt; Under evaluation</t>
  </si>
  <si>
    <t>24SRC061</t>
  </si>
  <si>
    <t>Condenser Flygrow as alternative to Konveyor for IC2-300</t>
  </si>
  <si>
    <t>HEX</t>
  </si>
  <si>
    <t>24SRC059</t>
  </si>
  <si>
    <t>Condenser Flygrow as alternative to Konveyor for Max-700C</t>
  </si>
  <si>
    <t>24SRC057</t>
  </si>
  <si>
    <t>Evaporator Flygrow as alternative to Clad Metal for Max-450B</t>
  </si>
  <si>
    <t>24SRC062</t>
  </si>
  <si>
    <t>Evaporator Flygrow as alternative to Konveyor for IC2-300B</t>
  </si>
  <si>
    <t>24SRC063</t>
  </si>
  <si>
    <t>Evaporator Flygrow as alternative to Konveyor for IC2-800B</t>
  </si>
  <si>
    <t>24SRC058</t>
  </si>
  <si>
    <t>Evaporator Flygrow as alternative to Konveyor for Max-450C</t>
  </si>
  <si>
    <t>24SRC060</t>
  </si>
  <si>
    <t>Evaporator Flygrow as alternative to Konveyor for Max-700C</t>
  </si>
  <si>
    <t>24SRC056</t>
  </si>
  <si>
    <t>Evaporator Flygrow as alternative to Konveyor for Plus-900B</t>
  </si>
  <si>
    <t>25IND011</t>
  </si>
  <si>
    <t>HEX : Copper Joint pipe length will reduce (From  345mm to  295mm)</t>
  </si>
  <si>
    <t>25SAF003</t>
  </si>
  <si>
    <t>Localization for Evaporators</t>
  </si>
  <si>
    <t>Jun_25</t>
  </si>
  <si>
    <t>25SRC032</t>
  </si>
  <si>
    <t>Fastenings for S.Africa from China</t>
  </si>
  <si>
    <t>Fastening Materials</t>
  </si>
  <si>
    <t>40% share</t>
  </si>
  <si>
    <t>25IND010</t>
  </si>
  <si>
    <t>Hardware : Alternate Supplier Development
Hydrau &amp; RS tools -&gt; Advance Dynamic</t>
  </si>
  <si>
    <t>25ROM004</t>
  </si>
  <si>
    <t>Validate alternative supplier (new Bossard Vs. Bolhoff)</t>
  </si>
  <si>
    <t>share business Bossard 85% (new supplier) and Bollhoff 15% (actual supplier)</t>
  </si>
  <si>
    <t xml:space="preserve">'to finalise the validation of Bossard; procurement to finalise the the agreement with Bossard,  the share of business with SC for implementation </t>
  </si>
  <si>
    <t>25SRC031</t>
  </si>
  <si>
    <t>Insulation Tube</t>
  </si>
  <si>
    <t>Extrusion pl. Profiles</t>
  </si>
  <si>
    <t>25IND009</t>
  </si>
  <si>
    <t>EPS : Alternate Supplier Development
Excel styropack -&gt; Parmar Ind.</t>
  </si>
  <si>
    <t>EPS</t>
  </si>
  <si>
    <t>24SRC055</t>
  </si>
  <si>
    <t>Electronic motor Saiwei NEC4810 as alternative to Weiguang ECM7112</t>
  </si>
  <si>
    <t>Electronic Motors</t>
  </si>
  <si>
    <t>24SRC054</t>
  </si>
  <si>
    <t>Electronic motor Saiwei NEC6115 as alternative to Weiguang ECM7120</t>
  </si>
  <si>
    <t>25SRC027</t>
  </si>
  <si>
    <t>Controller Keepthink as alternative to CAREL</t>
  </si>
  <si>
    <t>Electronic Controllers &amp; Acces</t>
  </si>
  <si>
    <t>25SRC029</t>
  </si>
  <si>
    <t>Probe Keepthink as alternative to CAREL</t>
  </si>
  <si>
    <t>25SRC028</t>
  </si>
  <si>
    <t>Reed switch Ease as alternative to ACEE for 0.4m cable</t>
  </si>
  <si>
    <t>25SRC030</t>
  </si>
  <si>
    <t>Reed switch Ease as alternative to ACEE for 1m cable</t>
  </si>
  <si>
    <t>24SRC053</t>
  </si>
  <si>
    <t>Kuxan (China) Connectors</t>
  </si>
  <si>
    <t>Electrical Components</t>
  </si>
  <si>
    <t>25IND008</t>
  </si>
  <si>
    <t>On/Off Switch : New Supplier Development
Promark -&gt; Under Evaluation</t>
  </si>
  <si>
    <t>25SRC023</t>
  </si>
  <si>
    <t>Power Cable</t>
  </si>
  <si>
    <t>25SRC026</t>
  </si>
  <si>
    <t>Switch</t>
  </si>
  <si>
    <t>25SRC024</t>
  </si>
  <si>
    <t>Terminal block</t>
  </si>
  <si>
    <t>25SRC025</t>
  </si>
  <si>
    <t>Thermal Circuit Breaker</t>
  </si>
  <si>
    <t>25SAF002</t>
  </si>
  <si>
    <t>1/4" Copper tube thickness reduction from 0.76 to 0.65mm</t>
  </si>
  <si>
    <t>Copper Tubes</t>
  </si>
  <si>
    <t>Awaiting installation of the new machine (BLM)</t>
  </si>
  <si>
    <t>Machine at Port, Awaiting release</t>
  </si>
  <si>
    <t>25CPG004</t>
  </si>
  <si>
    <t>Capillary tubes: Konveyor(TR) as alternative supplier to HME Spain</t>
  </si>
  <si>
    <t>Price formula. Saving of €0.55 is FAB/kg, compared with current supply source and assuming 40% SOB allocation.</t>
  </si>
  <si>
    <t>1.NDA has been signed and stamped
2.Konveyor visited  HO at w37 to discuss terms and conditions for 24.(demand has been shared) 
3.Once T&amp;Cs are agreed, RFQ to be signed and stamped from both sides and FSA as well.
4.In parallel, samples to be requested for testing
5.Once green light is received by technical team for using for main production, pilot order should be placed.
6.SOB to submitted and confirmed
7.Start ordering for pilot order and once final approval if shared, start for main prodcution</t>
  </si>
  <si>
    <t>25SRC022</t>
  </si>
  <si>
    <t>Copper Tube Haike as alternative to Golden Dragon</t>
  </si>
  <si>
    <t>50% share (fabrication cost)</t>
  </si>
  <si>
    <t>25IND004</t>
  </si>
  <si>
    <t>Capillary Tube : Dual sourcing for Capillary
(Pallavi -&gt; Pallavi/ KPM )</t>
  </si>
  <si>
    <t>Copper Components</t>
  </si>
  <si>
    <t>25CPG005</t>
  </si>
  <si>
    <t>Competitive alternative in EU/TR  for accumulators and filter dryers Vs. General Filter</t>
  </si>
  <si>
    <t>Price formula. Saving of 0,06 €/pc (for 15GR filter dryer) and 0,06€/pc (for accumulator D30/110mm), compared with current source and assuming 40% SOB allocation.</t>
  </si>
  <si>
    <t>1.Contact EU/TR supplier
2.Sign NDA
3.In parallel, order samples
4.Agree on T&amp;Cs
5.Sign RFQ and FSA
6.SOB to defined and confirmed
7.Once technical approval is shared, start with pilot order 
8. Final approved is shared, then we can start with main production orders.</t>
  </si>
  <si>
    <t>25IND005</t>
  </si>
  <si>
    <t>Copper Parts : Dual sourcing for Driers and accumulators
(SVS -&gt; SVS &amp; KPM)</t>
  </si>
  <si>
    <t>25SRC008</t>
  </si>
  <si>
    <t>Compressor Donper L76CU1 as alternative to Huayi NUY80RAa</t>
  </si>
  <si>
    <t>Compressors</t>
  </si>
  <si>
    <t>90% share</t>
  </si>
  <si>
    <t>25SRC011</t>
  </si>
  <si>
    <t>Compressor Donper L83CU1 as alternative to Huayi NUY90RAb</t>
  </si>
  <si>
    <t>25SRC004</t>
  </si>
  <si>
    <t>Compressor Donper LZ76CU1 as alternative to Huayi NUS70NA</t>
  </si>
  <si>
    <t>25SRC017</t>
  </si>
  <si>
    <t>Compressor Donper LZ83WU1 as alternative to TCW420-UZ3B</t>
  </si>
  <si>
    <t>25SRC013</t>
  </si>
  <si>
    <t>Compressor Donper SU50DU1 as alternative to Wanbao FTA45L</t>
  </si>
  <si>
    <t>25SRC014</t>
  </si>
  <si>
    <t>Compressor GMCC PZ99HMC as alternative to Wanbao FTB45</t>
  </si>
  <si>
    <t>25SRC015</t>
  </si>
  <si>
    <t>Compressor Tecumseh TCW380U-MR3B to substitute Tecumseh THK9384-YCG</t>
  </si>
  <si>
    <t>25SRC020</t>
  </si>
  <si>
    <t>Compressor Tecumseh TCW380U-MR3B to substitute Tecumseh THK9414</t>
  </si>
  <si>
    <t>25SRC018</t>
  </si>
  <si>
    <t>Compressor Tecumseh TCW410U-CE3A to substitute Tecumseh THK9412-YJE</t>
  </si>
  <si>
    <t>25SRC016</t>
  </si>
  <si>
    <t>Compressor Tecumseh TCW415U-CE3A to substitute Tecumseh THK9417-YJE</t>
  </si>
  <si>
    <t>25SRC021</t>
  </si>
  <si>
    <t>Compressor Tecumseh TCW420U-UZ3B to substitute Tecumseh AE4440Y-GH3C</t>
  </si>
  <si>
    <t>25SRC012</t>
  </si>
  <si>
    <t>Compressor Tecumseh TCW420U-UZ3B to substitute Tecumseh AE4460Y-FZ</t>
  </si>
  <si>
    <t>25CPG001</t>
  </si>
  <si>
    <t>Replace NIDEC variable speed (ROM)</t>
  </si>
  <si>
    <t>May_25</t>
  </si>
  <si>
    <t>RFQ Completed</t>
  </si>
  <si>
    <t>Internal In_Process</t>
  </si>
  <si>
    <t>25SRC003</t>
  </si>
  <si>
    <t>Carton Box &amp; Corner</t>
  </si>
  <si>
    <t>Carton box</t>
  </si>
  <si>
    <t>25ROM003</t>
  </si>
  <si>
    <t>Validate alternative supplier (new Vs. Ambro)</t>
  </si>
  <si>
    <t>estimated saving of 10% with SOB 50 %</t>
  </si>
  <si>
    <t>specs confirmation(TDS,drawings), sourcing , evaluation, validation, implementation</t>
  </si>
  <si>
    <t>24SRC052</t>
  </si>
  <si>
    <t>CABLEX (Slovenia) - Cables</t>
  </si>
  <si>
    <t>Cable Harnesses</t>
  </si>
  <si>
    <t>25% share</t>
  </si>
  <si>
    <t>25SAF001</t>
  </si>
  <si>
    <t>Condernsor fan motor cable optimization</t>
  </si>
  <si>
    <t>Currently depleting cable stocks</t>
  </si>
  <si>
    <t>Cooling system sampling in progress</t>
  </si>
  <si>
    <t>25ROM002</t>
  </si>
  <si>
    <t>Validate alternative supplier (new Image Quality Vs. Monita)</t>
  </si>
  <si>
    <t>oportunity with image quality 10 % for all the harnesses and share of business 50 % / 50%</t>
  </si>
  <si>
    <t xml:space="preserve">To finlaise the validation of Image Quality, to agree the share of business (SC, PD, Qulaity, cooler types implementation); procuremnet to finalise the RFQ </t>
  </si>
  <si>
    <t>25IND003</t>
  </si>
  <si>
    <t>Wire Harness  : Alternate Supplier Develop
EI -&gt; ITP / KPM</t>
  </si>
  <si>
    <t>25SRC002</t>
  </si>
  <si>
    <t>Soldering Wire</t>
  </si>
  <si>
    <t>Brazing materials</t>
  </si>
  <si>
    <t>25ROM001</t>
  </si>
  <si>
    <t>Validate alternative supplier (new Sentes Vs. Voestelpine)</t>
  </si>
  <si>
    <t>calculation based on offer 05.08.2024; share of business 70%</t>
  </si>
  <si>
    <t>to discuss with SC the implementation (set up the supplier data in ERP, confirm share of business); procurment to finalise agreement related to MOQ and payment term)</t>
  </si>
  <si>
    <t>24SRC050</t>
  </si>
  <si>
    <t>EC block motor Rexnord EC-12038 S0WMP 02 as alternative to Nisiki NIS12038HS2W-EC</t>
  </si>
  <si>
    <t>Block Motors</t>
  </si>
  <si>
    <t>24SRC051</t>
  </si>
  <si>
    <t>Jinjiu (China) - AC Block Motors 120X120X38</t>
  </si>
  <si>
    <t>25IND002</t>
  </si>
  <si>
    <t>Motors : Alternate Supplier Development
Hicool/Micro/Rexnord -&gt; Under evaluation</t>
  </si>
  <si>
    <t>LO</t>
  </si>
  <si>
    <t>25SRC001</t>
  </si>
  <si>
    <t>Back Grid</t>
  </si>
  <si>
    <t>Back Grids</t>
  </si>
  <si>
    <t>25CPG007</t>
  </si>
  <si>
    <t>Doors OUTSOURCING (ROMANIA) PLUS/MAX</t>
  </si>
  <si>
    <t>Assembled Door</t>
  </si>
  <si>
    <t>25IND001</t>
  </si>
  <si>
    <t>Aluminium Profiles : New Supplier Development
MM Metacraft -&gt; Jindal Al.</t>
  </si>
  <si>
    <t>Aluminium Profiles</t>
  </si>
  <si>
    <t>RPD Capacity (Spillover Projects and Projects Registered in 2026)</t>
  </si>
  <si>
    <t>Country</t>
  </si>
  <si>
    <t>Subgroup</t>
  </si>
  <si>
    <t>Year</t>
  </si>
  <si>
    <t>Area</t>
  </si>
  <si>
    <t xml:space="preserve">Total Project Load Weeks (Process derived)
</t>
  </si>
  <si>
    <t xml:space="preserve">Total Project Load Weeks (Estimated)
</t>
  </si>
  <si>
    <t>2026-Yearly Capacity</t>
  </si>
  <si>
    <t>Gap</t>
  </si>
  <si>
    <t>%age Completion w.r.t Total Projects</t>
  </si>
  <si>
    <t>R&amp;D and PD separate</t>
  </si>
  <si>
    <t>India</t>
  </si>
  <si>
    <t>PD</t>
  </si>
  <si>
    <t>Design Week</t>
  </si>
  <si>
    <t>R&amp;D</t>
  </si>
  <si>
    <t>Lab  Week</t>
  </si>
  <si>
    <t>Greece</t>
  </si>
  <si>
    <t>Romania</t>
  </si>
  <si>
    <t xml:space="preserve"> Global Design Man Weeks/Lab Weeks Requirement  Vs Available Capacity</t>
  </si>
  <si>
    <t>Project Request (MM/YY)</t>
  </si>
  <si>
    <t>(All)</t>
  </si>
  <si>
    <t>Project to be considered for Capacity Calculation</t>
  </si>
  <si>
    <t>Y</t>
  </si>
  <si>
    <t>No of Projects</t>
  </si>
  <si>
    <t>Design</t>
  </si>
  <si>
    <t>Testing</t>
  </si>
  <si>
    <t>Safety</t>
  </si>
  <si>
    <t>Row Labels</t>
  </si>
  <si>
    <t>Count of Project Category</t>
  </si>
  <si>
    <t>Sum of Process Design Man Week</t>
  </si>
  <si>
    <t>Sum of Actual Design Man Week</t>
  </si>
  <si>
    <t>Count of  Certification Testing  Required</t>
  </si>
  <si>
    <t>Sum of Lab Weeks- Process Derived</t>
  </si>
  <si>
    <t xml:space="preserve">Sum of Actual Testing Time </t>
  </si>
  <si>
    <t>Count of Safety Certification Required</t>
  </si>
  <si>
    <t>R&amp;D-Greece</t>
  </si>
  <si>
    <t>A</t>
  </si>
  <si>
    <t>A+</t>
  </si>
  <si>
    <t>B</t>
  </si>
  <si>
    <t>C</t>
  </si>
  <si>
    <t>R&amp;D-India</t>
  </si>
  <si>
    <t>PD-India</t>
  </si>
  <si>
    <t>PD-Romania</t>
  </si>
  <si>
    <t>OEM-HCK</t>
  </si>
  <si>
    <t>B-OEM</t>
  </si>
  <si>
    <t>OEM-SEITEK</t>
  </si>
  <si>
    <t>A-OEM</t>
  </si>
  <si>
    <t>Design Resource count &amp; Design Capacity Calculation</t>
  </si>
  <si>
    <t>Grand Total</t>
  </si>
  <si>
    <t>Resource Count</t>
  </si>
  <si>
    <t xml:space="preserve"> Global Design Resource Count</t>
  </si>
  <si>
    <t>India (PD)</t>
  </si>
  <si>
    <t>India (R&amp;D)</t>
  </si>
  <si>
    <t>Greece (R&amp;D)</t>
  </si>
  <si>
    <t>Romania (PD)</t>
  </si>
  <si>
    <t>India PD</t>
  </si>
  <si>
    <t>India R&amp;D</t>
  </si>
  <si>
    <t>Greece R&amp;D</t>
  </si>
  <si>
    <t>Romania PD</t>
  </si>
  <si>
    <t>Global</t>
  </si>
  <si>
    <t>Count of Design Engineer</t>
  </si>
  <si>
    <t>No. of  Resources</t>
  </si>
  <si>
    <t>Engineer Name</t>
  </si>
  <si>
    <t>Rishi</t>
  </si>
  <si>
    <t>Ashish</t>
  </si>
  <si>
    <t>Dimopoulou</t>
  </si>
  <si>
    <t>R&amp;D resource</t>
  </si>
  <si>
    <t>Stef Marius</t>
  </si>
  <si>
    <t>New Hiring</t>
  </si>
  <si>
    <t>To be hired</t>
  </si>
  <si>
    <t>Praveer Kumar Singh</t>
  </si>
  <si>
    <t>Lioumis</t>
  </si>
  <si>
    <t>Alin Boboc</t>
  </si>
  <si>
    <t>Lokesh</t>
  </si>
  <si>
    <t>Ayush Kumar</t>
  </si>
  <si>
    <t>3rd Party</t>
  </si>
  <si>
    <t>Kanarios</t>
  </si>
  <si>
    <t xml:space="preserve">Sourcing </t>
  </si>
  <si>
    <t>Adrian Bortoc</t>
  </si>
  <si>
    <t>Zakir</t>
  </si>
  <si>
    <t>Bianca</t>
  </si>
  <si>
    <t>Pawan</t>
  </si>
  <si>
    <t>Nikhil</t>
  </si>
  <si>
    <t>Atul</t>
  </si>
  <si>
    <t>Rahul-Contractual</t>
  </si>
  <si>
    <t>New engineer-Contractual</t>
  </si>
  <si>
    <t>Global Design  Capacity (Man Weeks)</t>
  </si>
  <si>
    <t xml:space="preserve"> Global Design Capacity (Man Weeks)</t>
  </si>
  <si>
    <t>Full Year</t>
  </si>
  <si>
    <t xml:space="preserve"> Yearly Remaining Capacity</t>
  </si>
  <si>
    <t>Total Yearly Capacity (Man Week)</t>
  </si>
  <si>
    <t>Total Design Capacity (Man Weeks)</t>
  </si>
  <si>
    <t>Remaining Capacity (Man Week) for Year 2026</t>
  </si>
  <si>
    <t>Descrption</t>
  </si>
  <si>
    <t>No. of Weeks</t>
  </si>
  <si>
    <t>Total Number Of Weeks</t>
  </si>
  <si>
    <t>National Holidays</t>
  </si>
  <si>
    <t>Medical Leave</t>
  </si>
  <si>
    <t>Casual Leave</t>
  </si>
  <si>
    <t>Annual Leaves</t>
  </si>
  <si>
    <t>Yearly Working Weeks/Per Engineer</t>
  </si>
  <si>
    <t>LAB →Chamber/Platform Count and Lab Week Capacity Calculation</t>
  </si>
  <si>
    <t>Count for Lab Platform and Chamber</t>
  </si>
  <si>
    <t xml:space="preserve"> Global count of Lab Platform and Chamber</t>
  </si>
  <si>
    <t>Total</t>
  </si>
  <si>
    <t>Chamber Name</t>
  </si>
  <si>
    <t>Platform Count</t>
  </si>
  <si>
    <t>No. of  Chamber</t>
  </si>
  <si>
    <t>CH-1</t>
  </si>
  <si>
    <t>No. of  Test Paltform/Station</t>
  </si>
  <si>
    <t>CH-2</t>
  </si>
  <si>
    <t>CH-3</t>
  </si>
  <si>
    <t>CH-4</t>
  </si>
  <si>
    <t>Total Chamber count/Platform Count</t>
  </si>
  <si>
    <t>Glabal Chamber Capacity (Lab weeks)</t>
  </si>
  <si>
    <t xml:space="preserve"> Global Chamber Capacity (Lab Weeks)</t>
  </si>
  <si>
    <t>India Per Chamber -Labweeks</t>
  </si>
  <si>
    <t>Greece Per Chamber -Labweeks</t>
  </si>
  <si>
    <t>Romania Per Chamber -Labweeks</t>
  </si>
  <si>
    <t>Ch-1</t>
  </si>
  <si>
    <t>Ch-2</t>
  </si>
  <si>
    <t>Ch-3</t>
  </si>
  <si>
    <t>Ch-4</t>
  </si>
  <si>
    <t>Total Yearly Capacity (Lab Week)</t>
  </si>
  <si>
    <t>Lab Weeks/Platform</t>
  </si>
  <si>
    <t>Preventive Maintenance @quaterly once</t>
  </si>
  <si>
    <t>Preventive Maintenance</t>
  </si>
  <si>
    <t>Breakdown -Actual 2025 data</t>
  </si>
  <si>
    <t>Breakdown</t>
  </si>
  <si>
    <t>Remaining  Capacity (Lab Week)</t>
  </si>
  <si>
    <t>Calibration</t>
  </si>
  <si>
    <t>Working Weeks/Chamber</t>
  </si>
  <si>
    <t>Weekdays</t>
  </si>
  <si>
    <t>India total Lab Weeks</t>
  </si>
  <si>
    <t>Greece total Lab Weeks</t>
  </si>
  <si>
    <t>Romania total Lab Weeks</t>
  </si>
  <si>
    <t>Effciency</t>
  </si>
  <si>
    <t>Total Lab Weeks/Platform</t>
  </si>
  <si>
    <t>Efficient Lab Weeks</t>
  </si>
  <si>
    <t>Multiple platform so efficiency is low not all platform can be run</t>
  </si>
  <si>
    <t>Old labs/Chamber 4 only use for reliability</t>
  </si>
  <si>
    <t>New Labs</t>
  </si>
  <si>
    <t>Reamining Year Capacity</t>
  </si>
  <si>
    <t xml:space="preserve">Cost Saving </t>
  </si>
  <si>
    <t>Business Continiuty</t>
  </si>
  <si>
    <t>New Model</t>
  </si>
  <si>
    <t>Improvement</t>
  </si>
  <si>
    <t>New Option</t>
  </si>
  <si>
    <t>Service</t>
  </si>
  <si>
    <t>In Progress</t>
  </si>
  <si>
    <t>Not Started</t>
  </si>
  <si>
    <t>Completed</t>
  </si>
  <si>
    <t>Marketing Brief</t>
  </si>
  <si>
    <t>Feasibility Study  (Conceptual Design)</t>
  </si>
  <si>
    <t>Business case Approval</t>
  </si>
  <si>
    <t>Final Technical Brief &amp; Project Kick Off</t>
  </si>
  <si>
    <t>Design Detailing</t>
  </si>
  <si>
    <t>Proof of Concept</t>
  </si>
  <si>
    <t>Online CAPEX approval</t>
  </si>
  <si>
    <t>Certification testings &amp; Complaince</t>
  </si>
  <si>
    <t>TF -1</t>
  </si>
  <si>
    <t>Pr. Pr</t>
  </si>
  <si>
    <t>TF -2</t>
  </si>
  <si>
    <t>Pilot</t>
  </si>
  <si>
    <t>TF-3</t>
  </si>
  <si>
    <t>Commercialization</t>
  </si>
  <si>
    <t>Mar</t>
  </si>
  <si>
    <t>Apr</t>
  </si>
  <si>
    <t>Jun</t>
  </si>
  <si>
    <t>Jul</t>
  </si>
  <si>
    <t>Aug/Creo traianing</t>
  </si>
  <si>
    <t>Aug</t>
  </si>
  <si>
    <t>Sep</t>
  </si>
  <si>
    <t>Oct</t>
  </si>
  <si>
    <t>Nov</t>
  </si>
  <si>
    <t>Dec</t>
  </si>
  <si>
    <t>Priority</t>
  </si>
  <si>
    <t>OEM</t>
  </si>
  <si>
    <t>Project Category</t>
  </si>
  <si>
    <t>Online PD Database Project Code</t>
  </si>
  <si>
    <t>RM Saving  Project Codes</t>
  </si>
  <si>
    <t>Project Name</t>
  </si>
  <si>
    <t>Plant/OEM</t>
  </si>
  <si>
    <t>RPDO hub</t>
  </si>
  <si>
    <t>Product Type</t>
  </si>
  <si>
    <t>Requesting Department</t>
  </si>
  <si>
    <t>Functional Group</t>
  </si>
  <si>
    <t>Safety Certification Required</t>
  </si>
  <si>
    <t>Project Status</t>
  </si>
  <si>
    <t>Project Review Remarks</t>
  </si>
  <si>
    <t xml:space="preserve">Project Leader </t>
  </si>
  <si>
    <t>Customer</t>
  </si>
  <si>
    <t>Project End Date - LATEST</t>
  </si>
  <si>
    <t>Marketing Brief 
Yes/NO</t>
  </si>
  <si>
    <t>Part of "IMPACT"</t>
  </si>
  <si>
    <t>Development Step</t>
  </si>
  <si>
    <t>Status/2025/2026 Spillover</t>
  </si>
  <si>
    <t>wk10</t>
  </si>
  <si>
    <t>wk11</t>
  </si>
  <si>
    <t>wk12</t>
  </si>
  <si>
    <t>wk13</t>
  </si>
  <si>
    <t>wk14</t>
  </si>
  <si>
    <t>wk15</t>
  </si>
  <si>
    <t>wk16</t>
  </si>
  <si>
    <t>wk17</t>
  </si>
  <si>
    <t>wk18</t>
  </si>
  <si>
    <t>wk24</t>
  </si>
  <si>
    <t>wk25</t>
  </si>
  <si>
    <t>wk26</t>
  </si>
  <si>
    <t>wk27</t>
  </si>
  <si>
    <t>wk28</t>
  </si>
  <si>
    <t>wk29</t>
  </si>
  <si>
    <t>wk30</t>
  </si>
  <si>
    <t>wk31</t>
  </si>
  <si>
    <t>wk32</t>
  </si>
  <si>
    <t>wk33</t>
  </si>
  <si>
    <t>wk34</t>
  </si>
  <si>
    <t>wk35</t>
  </si>
  <si>
    <t>wk36</t>
  </si>
  <si>
    <t>wk37</t>
  </si>
  <si>
    <t>wk38</t>
  </si>
  <si>
    <t>wk39</t>
  </si>
  <si>
    <t>wk40</t>
  </si>
  <si>
    <t>wk41</t>
  </si>
  <si>
    <t>wk42</t>
  </si>
  <si>
    <t>wk43</t>
  </si>
  <si>
    <t>wk44</t>
  </si>
  <si>
    <t>wk45</t>
  </si>
  <si>
    <t>wk46</t>
  </si>
  <si>
    <t>wk47</t>
  </si>
  <si>
    <t>wk48</t>
  </si>
  <si>
    <t>wk49</t>
  </si>
  <si>
    <t>wk50</t>
  </si>
  <si>
    <t>wk51</t>
  </si>
  <si>
    <t>wk52</t>
  </si>
  <si>
    <t>CO</t>
  </si>
  <si>
    <t>ICM</t>
  </si>
  <si>
    <t>Central Procurement Group</t>
  </si>
  <si>
    <t>Cooling Mechanism</t>
  </si>
  <si>
    <t>Cooling Components</t>
  </si>
  <si>
    <t>Yes</t>
  </si>
  <si>
    <t>Commercialized</t>
  </si>
  <si>
    <t>All</t>
  </si>
  <si>
    <t>NA</t>
  </si>
  <si>
    <t>On Time</t>
  </si>
  <si>
    <t>PDD-K</t>
  </si>
  <si>
    <t>C-2025</t>
  </si>
  <si>
    <t>DESIGN</t>
  </si>
  <si>
    <t>TF_1</t>
  </si>
  <si>
    <t>CERT</t>
  </si>
  <si>
    <t>PROD_PR</t>
  </si>
  <si>
    <t>TF_2</t>
  </si>
  <si>
    <t>PILOT</t>
  </si>
  <si>
    <t>COMM</t>
  </si>
  <si>
    <t>25-00308</t>
  </si>
  <si>
    <t>PDD-J</t>
  </si>
  <si>
    <t>In Que</t>
  </si>
  <si>
    <t>PDD-F</t>
  </si>
  <si>
    <t>POC</t>
  </si>
  <si>
    <t>PDD-I</t>
  </si>
  <si>
    <t>NM</t>
  </si>
  <si>
    <t>N/A</t>
  </si>
  <si>
    <t>Egypt</t>
  </si>
  <si>
    <t>Marketing/Sales</t>
  </si>
  <si>
    <t>Complete Cooler</t>
  </si>
  <si>
    <t>ALL</t>
  </si>
  <si>
    <t>TF_3</t>
  </si>
  <si>
    <t>Insulated Cabin</t>
  </si>
  <si>
    <t>Plastics</t>
  </si>
  <si>
    <t>No</t>
  </si>
  <si>
    <t>ALl</t>
  </si>
  <si>
    <t>Electrical Parts</t>
  </si>
  <si>
    <t>Steel &amp; Parts</t>
  </si>
  <si>
    <t>Packaging</t>
  </si>
  <si>
    <t>Other</t>
  </si>
  <si>
    <t>Other Materials</t>
  </si>
  <si>
    <t>Rahul</t>
  </si>
  <si>
    <t>Delayed</t>
  </si>
  <si>
    <t>24SAF004</t>
  </si>
  <si>
    <t>Shelving</t>
  </si>
  <si>
    <t>KA</t>
  </si>
  <si>
    <t>Door</t>
  </si>
  <si>
    <t>PDD-N</t>
  </si>
  <si>
    <t>Ashwin</t>
  </si>
  <si>
    <t>Multiplant</t>
  </si>
  <si>
    <t>In progress</t>
  </si>
  <si>
    <t>PDD-H</t>
  </si>
  <si>
    <t>COKE</t>
  </si>
  <si>
    <t>On Hold</t>
  </si>
  <si>
    <t>MKTG_BRF</t>
  </si>
  <si>
    <t>FEAS_STD</t>
  </si>
  <si>
    <t>TECH_BRIEF</t>
  </si>
  <si>
    <t>Industrialization</t>
  </si>
  <si>
    <t>Development</t>
  </si>
  <si>
    <t>Illumination</t>
  </si>
  <si>
    <t>IMP</t>
  </si>
  <si>
    <t>25INN009</t>
  </si>
  <si>
    <t>Change P/S type from I Series to L series</t>
  </si>
  <si>
    <t>TBR</t>
  </si>
  <si>
    <t>Central R&amp;PD</t>
  </si>
  <si>
    <t>Cancelled</t>
  </si>
  <si>
    <t>BC</t>
  </si>
  <si>
    <t>Coke</t>
  </si>
  <si>
    <t>PDD-B</t>
  </si>
  <si>
    <t>Sailesh</t>
  </si>
  <si>
    <t>Super-45 Design data synchronization with production (Product file)</t>
  </si>
  <si>
    <t>Super-60 Design data synchronization with production (Product file)</t>
  </si>
  <si>
    <t>Super-1100 Design data synchronization with production (Product file)</t>
  </si>
  <si>
    <t>24-00226</t>
  </si>
  <si>
    <t>Huawei PSUs</t>
  </si>
  <si>
    <t>25-00249</t>
  </si>
  <si>
    <t>Sedes Heaters for India and South Africa</t>
  </si>
  <si>
    <t>25-00353</t>
  </si>
  <si>
    <t xml:space="preserve">Alternative Shaded Pole 7W Xing Yuang YZF 7-20 ALUMINIUM WIRE for Hicool  83A230SAC-7W </t>
  </si>
  <si>
    <t>25-00354</t>
  </si>
  <si>
    <t xml:space="preserve">Alternative Shaded Pole 5W Xing Yuang YZF 7-20 for Hicool 83A230SAC-7W </t>
  </si>
  <si>
    <t>24-00223</t>
  </si>
  <si>
    <t>Jinbo PSUs</t>
  </si>
  <si>
    <t>25-00347</t>
  </si>
  <si>
    <t xml:space="preserve">Alternative AC Block Motor CCA WIRE Xing Yuang 20W (FM12038A2HS) for Nisiki NIS12038HS2W-ES </t>
  </si>
  <si>
    <t>25-00348</t>
  </si>
  <si>
    <t xml:space="preserve">Alternative AC Block Motor Xing Yuang 20W (FM12038A2HS) for Nisiki NIS12038HS2W-ES </t>
  </si>
  <si>
    <t>25-00351</t>
  </si>
  <si>
    <t xml:space="preserve">Alternative Shaded Pole 5W Xing Yuang  YZF 5-13 ALUMINIUM WIRE for Hicool  83A230SAC-5W </t>
  </si>
  <si>
    <t>25-00352</t>
  </si>
  <si>
    <t xml:space="preserve">Alternative Shaded Pole 5W Xing Yuang YZF 5-13 COPPER WIRE for Hicool  83A230SAC-5W </t>
  </si>
  <si>
    <t>25-00357</t>
  </si>
  <si>
    <t xml:space="preserve">Alternative Shaded Pole 16W Xing Yuang YZF 16-25 ALUMINIUM WIRE for Weiguang YZF16-25 </t>
  </si>
  <si>
    <t>PDD-A</t>
  </si>
  <si>
    <t>PDD-E</t>
  </si>
  <si>
    <t>WM</t>
  </si>
  <si>
    <t>On hold</t>
  </si>
  <si>
    <t>Cabin Electronics</t>
  </si>
  <si>
    <t>Door Components &amp; Acc.</t>
  </si>
  <si>
    <t>Other Fastening</t>
  </si>
  <si>
    <t>Sachin</t>
  </si>
  <si>
    <t>Ritu</t>
  </si>
  <si>
    <t>350L premium slim cooler development, New platform project - Indonesia Pepsi</t>
  </si>
  <si>
    <t>BoB model double HD &amp; SD door - C condition in house production - Key accounts</t>
  </si>
  <si>
    <t>OEM-VEELINE</t>
  </si>
  <si>
    <t>25-00327</t>
  </si>
  <si>
    <t>25-00328</t>
  </si>
  <si>
    <t>25-00329</t>
  </si>
  <si>
    <t>25-00330</t>
  </si>
  <si>
    <t>25-00331</t>
  </si>
  <si>
    <t>S-1100 testing and development  - As per Heineiken protocol</t>
  </si>
  <si>
    <t xml:space="preserve">Frameless look alike aesthetics for India models </t>
  </si>
  <si>
    <t>24-00218</t>
  </si>
  <si>
    <t>VG 200 R290 - 5 star (All models in cabin)</t>
  </si>
  <si>
    <t>24-00220</t>
  </si>
  <si>
    <t>VG 250 R290 - 5 star (All models in cabin)</t>
  </si>
  <si>
    <t>24-00208</t>
  </si>
  <si>
    <t>VG 400 R290 - 5 star (All models in cabin)</t>
  </si>
  <si>
    <t>24-00209</t>
  </si>
  <si>
    <t>VG 300 R290 - 5 star (All models in cabin)</t>
  </si>
  <si>
    <t>24-00210</t>
  </si>
  <si>
    <t>VG 450 R290 - 5 star (All models in cabin)</t>
  </si>
  <si>
    <t>24-00213</t>
  </si>
  <si>
    <t>VG500 R290 - 5 star (All models in cabin)</t>
  </si>
  <si>
    <t>24-00216</t>
  </si>
  <si>
    <t>VG 550 R290 - 5 star (All models in cabin)</t>
  </si>
  <si>
    <t>24-00211</t>
  </si>
  <si>
    <t>VG600 R290 - 5 star (All models in cabin)</t>
  </si>
  <si>
    <t>24-00217</t>
  </si>
  <si>
    <t>VG 650 R290 - 5 star (All models in cabin)</t>
  </si>
  <si>
    <t>24-00215</t>
  </si>
  <si>
    <t>VG700 R290 - 5 star (All models in cabin)</t>
  </si>
  <si>
    <t>24-00214</t>
  </si>
  <si>
    <t>VG950 R290 - 5 star (All models in cabin)</t>
  </si>
  <si>
    <t>24-00219</t>
  </si>
  <si>
    <t>VG 1100 R290 - 5 star (All models in cabin)</t>
  </si>
  <si>
    <t>22-00060</t>
  </si>
  <si>
    <t>ON OFF switch development</t>
  </si>
  <si>
    <t>FV-1000 SZ for Heineken - Feasibility to define cost &amp; CAPEX for EEI&lt;15 &amp; EEI&lt;20</t>
  </si>
  <si>
    <t xml:space="preserve">HV-71 safe cooler development </t>
  </si>
  <si>
    <t>Central Supply Chain</t>
  </si>
  <si>
    <t>Local Supply Chain</t>
  </si>
  <si>
    <t>SER</t>
  </si>
  <si>
    <t>Antonis</t>
  </si>
  <si>
    <t>AC</t>
  </si>
  <si>
    <t>Dipak</t>
  </si>
  <si>
    <t>25-00589</t>
  </si>
  <si>
    <t>Saiwei 5W EC compact motor</t>
  </si>
  <si>
    <t>24-00523</t>
  </si>
  <si>
    <t>Stef</t>
  </si>
  <si>
    <t>Max 750 Sub Zero</t>
  </si>
  <si>
    <t>25-00628</t>
  </si>
  <si>
    <t>Elena Micu</t>
  </si>
  <si>
    <t>CER</t>
  </si>
  <si>
    <t>25-00640</t>
  </si>
  <si>
    <t>Alin</t>
  </si>
  <si>
    <t>Adrian</t>
  </si>
  <si>
    <t>25-00621</t>
  </si>
  <si>
    <t>MAX-1200 HD A Rating for non-Coke</t>
  </si>
  <si>
    <t>24-00551</t>
  </si>
  <si>
    <t>25-00586</t>
  </si>
  <si>
    <t>iPixel LEDs as alternative to Refond</t>
  </si>
  <si>
    <t>25-00591</t>
  </si>
  <si>
    <t>Honker controller</t>
  </si>
  <si>
    <t>24-00557</t>
  </si>
  <si>
    <t>PSU Done 24W</t>
  </si>
  <si>
    <t>24-00556</t>
  </si>
  <si>
    <t>PSU Done 16W</t>
  </si>
  <si>
    <t>24-00555</t>
  </si>
  <si>
    <t>PSU Done 12W</t>
  </si>
  <si>
    <t>Glass</t>
  </si>
  <si>
    <t>25ROM007</t>
  </si>
  <si>
    <t xml:space="preserve">Change inner glass pane from tempered to floating for IC2 doors </t>
  </si>
  <si>
    <t>25ROM009</t>
  </si>
  <si>
    <t>Eliminate RCCB tap and FFXY cover</t>
  </si>
  <si>
    <t>Power Cables</t>
  </si>
  <si>
    <t>Catalin</t>
  </si>
  <si>
    <t>24-00564</t>
  </si>
  <si>
    <t>New Coca-Cola branding for CCEP Europe</t>
  </si>
  <si>
    <t>25-00612</t>
  </si>
  <si>
    <t>Stabilization/Support kit for Plus 900 HD to prevent sagging of cooling mechanism due to customer mis-use</t>
  </si>
  <si>
    <t xml:space="preserve">Max 450 C 
Donper SK43CU1
Su 50 DU1  </t>
  </si>
  <si>
    <t>25-00590</t>
  </si>
  <si>
    <t>Keepthink controller</t>
  </si>
  <si>
    <t>24-00553</t>
  </si>
  <si>
    <t xml:space="preserve">Alternative compressor to Wanbao FTA45L - GMCC PA50EME  </t>
  </si>
  <si>
    <t>Vaggelis</t>
  </si>
  <si>
    <t>Theoni</t>
  </si>
  <si>
    <t>OEM-Seitek</t>
  </si>
  <si>
    <t>HA</t>
  </si>
  <si>
    <t>OEM-N</t>
  </si>
  <si>
    <t>OEM-J</t>
  </si>
  <si>
    <t>Quality</t>
  </si>
  <si>
    <t>OEM-H</t>
  </si>
  <si>
    <t>OEM-G</t>
  </si>
  <si>
    <t>OEM-B</t>
  </si>
  <si>
    <t>Family Fridge</t>
  </si>
  <si>
    <t>OEM-A</t>
  </si>
  <si>
    <t>Huaiy NUM90RAa</t>
  </si>
  <si>
    <t>24-00552</t>
  </si>
  <si>
    <t>Huaiy NFG80Ra</t>
  </si>
  <si>
    <t>FLEX-290 EEI&lt;20 @ K1</t>
  </si>
  <si>
    <t>OEM-C</t>
  </si>
  <si>
    <t>OEM-NEW STAR</t>
  </si>
  <si>
    <t>ERE3.0 B RATING</t>
  </si>
  <si>
    <t>BEATBOX 3D LOGO PREMIUM SLIM 130</t>
  </si>
  <si>
    <t>BEATBOX 3D LOGO FLEX60</t>
  </si>
  <si>
    <t>25-00639</t>
  </si>
  <si>
    <t>Development of Plus 1200 DD with FDE-32 (K4)</t>
  </si>
  <si>
    <t>Marian</t>
  </si>
  <si>
    <t>Charter-OPCO</t>
  </si>
  <si>
    <t>Count of Plant/OEM</t>
  </si>
  <si>
    <t>Column Labels</t>
  </si>
  <si>
    <t>%age</t>
  </si>
  <si>
    <t>Development Process Steps</t>
  </si>
  <si>
    <t>PD RoadMap Steps --&gt;</t>
  </si>
  <si>
    <t>PDD-C</t>
  </si>
  <si>
    <t>PDD-D</t>
  </si>
  <si>
    <t>PDD-G</t>
  </si>
  <si>
    <t>PDD-L</t>
  </si>
  <si>
    <t>PDD-M</t>
  </si>
  <si>
    <t>Lead Times (wks) per Phase</t>
  </si>
  <si>
    <t>Sum</t>
  </si>
  <si>
    <t>Design Time- Project leader concept</t>
  </si>
  <si>
    <t>Lab Time</t>
  </si>
  <si>
    <t>Safety Time</t>
  </si>
  <si>
    <t>OEM Development Steps --&gt;</t>
  </si>
  <si>
    <t>OEM-D</t>
  </si>
  <si>
    <t>OEM-E</t>
  </si>
  <si>
    <t>OEM-F</t>
  </si>
  <si>
    <t>OEM-I</t>
  </si>
  <si>
    <t>OEM-K</t>
  </si>
  <si>
    <t>OEM-L</t>
  </si>
  <si>
    <t>OEM-M</t>
  </si>
  <si>
    <t>Commercial Brief</t>
  </si>
  <si>
    <t>Test results analysis</t>
  </si>
  <si>
    <t>Lead Times (wks) per Phase (only for Frigoglass Resources)</t>
  </si>
  <si>
    <t>C-OEM</t>
  </si>
  <si>
    <t>Steps are done by OEM</t>
  </si>
  <si>
    <t>Global RPD  → Conversion Factor, Resource Count, Capacity Required &amp; Available Capacity for Design and Testing</t>
  </si>
  <si>
    <t>Color Coding</t>
  </si>
  <si>
    <t>Conversion Factor</t>
  </si>
  <si>
    <r>
      <rPr>
        <b/>
        <sz val="20"/>
        <color rgb="FF000000"/>
        <rFont val="Aptos Narrow"/>
        <family val="2"/>
        <scheme val="minor"/>
      </rPr>
      <t xml:space="preserve">Conversion Factor for Process Driven </t>
    </r>
    <r>
      <rPr>
        <b/>
        <sz val="20"/>
        <color rgb="FFFF0000"/>
        <rFont val="Aptos Narrow"/>
        <family val="2"/>
        <scheme val="minor"/>
      </rPr>
      <t>Design</t>
    </r>
    <r>
      <rPr>
        <b/>
        <sz val="20"/>
        <color rgb="FF000000"/>
        <rFont val="Aptos Narrow"/>
        <family val="2"/>
        <scheme val="minor"/>
      </rPr>
      <t>Timeline</t>
    </r>
  </si>
  <si>
    <r>
      <rPr>
        <b/>
        <sz val="20"/>
        <color rgb="FF000000"/>
        <rFont val="Aptos Narrow"/>
        <family val="2"/>
        <scheme val="minor"/>
      </rPr>
      <t xml:space="preserve">Conversion Factor for  Process Driven </t>
    </r>
    <r>
      <rPr>
        <b/>
        <sz val="20"/>
        <color rgb="FFFF0000"/>
        <rFont val="Aptos Narrow"/>
        <family val="2"/>
        <scheme val="minor"/>
      </rPr>
      <t xml:space="preserve"> Testing</t>
    </r>
    <r>
      <rPr>
        <b/>
        <sz val="20"/>
        <color rgb="FF000000"/>
        <rFont val="Aptos Narrow"/>
        <family val="2"/>
        <scheme val="minor"/>
      </rPr>
      <t xml:space="preserve"> Timeline</t>
    </r>
  </si>
  <si>
    <t>Catogory of Projects</t>
  </si>
  <si>
    <t>Design Man Weeks/Project (Made considering only design time)</t>
  </si>
  <si>
    <t>Conversion Factor (B considered as 1)</t>
  </si>
  <si>
    <t>For Project leader concept (Man week required) as per Process Defined above</t>
  </si>
  <si>
    <t>Lab  Weeks/Project</t>
  </si>
  <si>
    <t>'2024-25-26 Projects'!$A$5:$AI$550</t>
  </si>
  <si>
    <t>(Multiple Items)</t>
  </si>
  <si>
    <t>TechOps &amp; Certification</t>
  </si>
  <si>
    <t>Count of Project Type</t>
  </si>
  <si>
    <t>Project Initiation</t>
  </si>
  <si>
    <t>Source</t>
  </si>
  <si>
    <t>Plant</t>
  </si>
  <si>
    <t>Component Group</t>
  </si>
  <si>
    <t>Means</t>
  </si>
  <si>
    <t>Development Step Description</t>
  </si>
  <si>
    <t>RPD HUB</t>
  </si>
  <si>
    <t>Resource Name</t>
  </si>
  <si>
    <t>Safety Certification Status</t>
  </si>
  <si>
    <t>Testing Required</t>
  </si>
  <si>
    <t>HO review status</t>
  </si>
  <si>
    <t>Custiomer</t>
  </si>
  <si>
    <t>FRG</t>
  </si>
  <si>
    <t>Al.  Sheets</t>
  </si>
  <si>
    <t>New Options</t>
  </si>
  <si>
    <t>Performance</t>
  </si>
  <si>
    <t>Cost optimization</t>
  </si>
  <si>
    <t>VF</t>
  </si>
  <si>
    <t>Kamal</t>
  </si>
  <si>
    <t>Energy</t>
  </si>
  <si>
    <t>Asset Tags</t>
  </si>
  <si>
    <t>BUS_CASE</t>
  </si>
  <si>
    <t>CF</t>
  </si>
  <si>
    <t>Comparision</t>
  </si>
  <si>
    <t>Alternative Component</t>
  </si>
  <si>
    <t>Failed</t>
  </si>
  <si>
    <t>Hold</t>
  </si>
  <si>
    <t>Reliability</t>
  </si>
  <si>
    <t>Ballast</t>
  </si>
  <si>
    <t>Customer (re-) Certification</t>
  </si>
  <si>
    <t>Business Continuity</t>
  </si>
  <si>
    <t>CAPEX</t>
  </si>
  <si>
    <t>Central Quality</t>
  </si>
  <si>
    <t>Artwork</t>
  </si>
  <si>
    <t>RPD Support</t>
  </si>
  <si>
    <t>Local Quality</t>
  </si>
  <si>
    <t>Compressor Accessories</t>
  </si>
  <si>
    <t>CR&amp;PD &amp; CPG</t>
  </si>
  <si>
    <t>Cross Flow Motors</t>
  </si>
  <si>
    <t>COMM_BRF</t>
  </si>
  <si>
    <t>Fluorescent Tubes</t>
  </si>
  <si>
    <t>TST_ANAL</t>
  </si>
  <si>
    <t>Night Blinds</t>
  </si>
  <si>
    <t>Certification- In progress</t>
  </si>
  <si>
    <t>POC- In progress</t>
  </si>
  <si>
    <t>Safety - In progress</t>
  </si>
  <si>
    <t>Plastic Sheets</t>
  </si>
  <si>
    <t>Polyurethane Materials</t>
  </si>
  <si>
    <t>Powders</t>
  </si>
  <si>
    <t>Compressors &amp; Accessories</t>
  </si>
  <si>
    <t>Shelves &amp; Back Grids</t>
  </si>
  <si>
    <t>Thermoformed Parts</t>
  </si>
  <si>
    <t>HONEYCOMB</t>
  </si>
  <si>
    <t>Total projects except Marketing</t>
  </si>
  <si>
    <t>CC</t>
  </si>
  <si>
    <t>Procurement</t>
  </si>
  <si>
    <t>White</t>
  </si>
  <si>
    <t>For graph only</t>
  </si>
  <si>
    <r>
      <t>Category wise Project Update- Development</t>
    </r>
    <r>
      <rPr>
        <sz val="11"/>
        <color rgb="FF000000"/>
        <rFont val="Calibri"/>
        <family val="2"/>
      </rPr>
      <t> </t>
    </r>
  </si>
  <si>
    <t>Total Projects</t>
  </si>
  <si>
    <t>Cat 'A'</t>
  </si>
  <si>
    <t>Cat 'B'</t>
  </si>
  <si>
    <t>Cat 'C'</t>
  </si>
  <si>
    <t>Registered</t>
  </si>
  <si>
    <t>Completed by 2025</t>
  </si>
  <si>
    <t>%age completion</t>
  </si>
  <si>
    <t>Count of Project Status</t>
  </si>
  <si>
    <t>2026 RPD Project Pipeline Charter</t>
  </si>
  <si>
    <t>No.</t>
  </si>
  <si>
    <t>Status (Spill over/New)</t>
  </si>
  <si>
    <t>New</t>
  </si>
  <si>
    <t>S-500 development as per EC-26 protocol - COKE</t>
  </si>
  <si>
    <t>50L countertop development form OEM - Key accounts &amp; Coke - in house production</t>
  </si>
  <si>
    <t>SFC-1000→ New Step Cabin design/Phase -2</t>
  </si>
  <si>
    <t>Spill Over</t>
  </si>
  <si>
    <t>SP 200 development as per META - Pepsi certification only</t>
  </si>
  <si>
    <t>Pepsico</t>
  </si>
  <si>
    <t>S-45 testing and development  - As per Heineiken protocol</t>
  </si>
  <si>
    <t>S-60  testing and development  - As per Heineiken protocol</t>
  </si>
  <si>
    <t>S-45 SZ for Heineken for HEINEKEN - Feasibility to define cost &amp; CAPEX for EEI&lt;15 &amp; EEI&lt;20</t>
  </si>
  <si>
    <t>S-60 SZ for Heineken for HEINEKEN - Feasibility to define cost &amp; CAPEX for EEI&lt;15 &amp; EEI&lt;20</t>
  </si>
  <si>
    <t>PSU Done 8W/15-16W/24W/30W as alternative to Tauras</t>
  </si>
  <si>
    <t>SC-300 R290 conversions with cost effective measures - BSL</t>
  </si>
  <si>
    <t>SC-375 R290 conversions with cost effective measures - BSL</t>
  </si>
  <si>
    <t>SC-500 R290 conversions with cost effective measures - BSL</t>
  </si>
  <si>
    <t>SC-650 R290 conversions with cost effective measures - BSL</t>
  </si>
  <si>
    <t>SC-1000 R290 conversions with cost effective measures - BSL</t>
  </si>
  <si>
    <t>Aesthetical upgrade (icool2 doors with Neon LED or Strip) in key account models - 
S. African range (S-45 SZ) - Key accounts</t>
  </si>
  <si>
    <t>Aesthetical upgrade (icool2 doors with Neon LED or Strip) in key account models - 
S. African range ( SL640) - Key accounts</t>
  </si>
  <si>
    <t>Aesthetical upgrade (icool2 doors with Neon LED or Strip) in key account models - 
S. African range (HV-71) - Key accounts</t>
  </si>
  <si>
    <t>Aesthetical upgrade (icool2 doors with Neon LED or Strip) in key account models - 
S. African range (FV-1000) - Key accounts</t>
  </si>
  <si>
    <t>Aesthetical upgrade (icool2 doors with Neon LED or Strip) in key account models - 
S. African range (FV 1000 SZ) - Key accounts</t>
  </si>
  <si>
    <t>S-250 as per EC26 protocol</t>
  </si>
  <si>
    <t xml:space="preserve">9 facing single door HC @  60HZ &amp; D-Condition with back airflow and market required features (HD Shelves, SS based, Temp. display castor. Etc) that is based on existing cabin  – Meet CC EC26 requirement </t>
  </si>
  <si>
    <t xml:space="preserve">FV-1000 D development as per Coke EC 26 </t>
  </si>
  <si>
    <t xml:space="preserve">E-47 development as per EC-26 protocol - CPNG </t>
  </si>
  <si>
    <t>25-00289-1</t>
  </si>
  <si>
    <t>S-60 R290 EG (PepsiCO &amp; Generic customer)</t>
  </si>
  <si>
    <t>25-00292-1</t>
  </si>
  <si>
    <t>S-1100 R290 EG (PepsiCO &amp; Generic customer)</t>
  </si>
  <si>
    <t>SM Updates-6 Nos. of SM</t>
  </si>
  <si>
    <t xml:space="preserve">Plus-450 Vending cooler / Max-750  </t>
  </si>
  <si>
    <t>K2 controller settings for MAX B range &amp; PoC for EEI&lt;15</t>
  </si>
  <si>
    <t xml:space="preserve">25-00629 </t>
  </si>
  <si>
    <t>Sample 3D Branding ''Effect'' in Max 450 B</t>
  </si>
  <si>
    <t>MAX-1200 [R290] Freezer</t>
  </si>
  <si>
    <t>MAX-1200 [R290] Super Market Version</t>
  </si>
  <si>
    <t>MAX-750 [R290] Freezer</t>
  </si>
  <si>
    <t>MAX-750 [R290] Super Market Version</t>
  </si>
  <si>
    <t>MAX-750 Vending-Shekel</t>
  </si>
  <si>
    <t>MAX-750 Vending-NU</t>
  </si>
  <si>
    <t>NGC-450 - Double Bubble</t>
  </si>
  <si>
    <t xml:space="preserve">	8 facing FFD C rarting for EU (S-500 ex India)</t>
  </si>
  <si>
    <t>MAX/Plus 900 door design with French sealing solution (applied to household coolers)</t>
  </si>
  <si>
    <t>NGC-450 new door designs for Key accounts - 2 door designs</t>
  </si>
  <si>
    <t>3D Beat BOX  logo on ICOOL2 door of MAX-450</t>
  </si>
  <si>
    <t>Provision for big 3D  logo on MAX-750</t>
  </si>
  <si>
    <t xml:space="preserve">	ICOOL 2 door with Strip or LED on MAX 750 &amp; MAX 1200</t>
  </si>
  <si>
    <t>Door for Vending kit with integrated screen and POS</t>
  </si>
  <si>
    <t>Maxerience  Max-750  Vending cooler</t>
  </si>
  <si>
    <t>IC2-40 ECO with FDE32</t>
  </si>
  <si>
    <t>Slim CT [R290]</t>
  </si>
  <si>
    <t>Mini Cube CT [R290]</t>
  </si>
  <si>
    <t>FLEX-130 WITH FDE32</t>
  </si>
  <si>
    <t>FLEX-290 HEINEKEN (EEI&lt;15)</t>
  </si>
  <si>
    <t>FLEX-400 HEINEKEN (EEI&lt;15)</t>
  </si>
  <si>
    <t>FLEX-130 HEINEKEN (EEI&lt;15)</t>
  </si>
  <si>
    <t>MAX-150 HEINEKEN (EEI&lt;15)</t>
  </si>
  <si>
    <t>TwinReach Monster</t>
  </si>
  <si>
    <t>BAR-150 EER B</t>
  </si>
  <si>
    <t>BAR-250 EER B Coca Cola</t>
  </si>
  <si>
    <t>IC2-40 ECO CC Certification</t>
  </si>
  <si>
    <t>Flex-60 EEI&lt;25</t>
  </si>
  <si>
    <t>Flex-60 SZ EEI&lt;25</t>
  </si>
  <si>
    <t xml:space="preserve">Replacement of S-16 </t>
  </si>
  <si>
    <t>3D logo for FLEX-130</t>
  </si>
  <si>
    <t>S99 EER Improvement</t>
  </si>
  <si>
    <t>ERE 3.0 HC @ 60HZ  CC Requirements</t>
  </si>
  <si>
    <t>Flex 65 ECO Ambient light Heineken Germany</t>
  </si>
  <si>
    <t>Norcool models Improvements</t>
  </si>
  <si>
    <r>
      <t>35 Lt counter top -</t>
    </r>
    <r>
      <rPr>
        <b/>
        <sz val="11"/>
        <rFont val="Calibri"/>
        <family val="2"/>
      </rPr>
      <t>Internal or OEM</t>
    </r>
  </si>
  <si>
    <r>
      <t xml:space="preserve">55-60 Lt counter top - </t>
    </r>
    <r>
      <rPr>
        <b/>
        <sz val="12"/>
        <rFont val="Aptos Narrow"/>
        <family val="2"/>
      </rPr>
      <t>Internal or OEM</t>
    </r>
  </si>
  <si>
    <t>New Total</t>
  </si>
  <si>
    <t>Spill Over Total</t>
  </si>
  <si>
    <t>Count of Customer</t>
  </si>
  <si>
    <t>Charter</t>
  </si>
  <si>
    <t>Global - Total No. of Projects</t>
  </si>
  <si>
    <t>Requesting department and Current Status</t>
  </si>
  <si>
    <t>2025-26 Pipeline &amp; Project Status- Category of Projects'</t>
  </si>
  <si>
    <t>2025-26 Pipeline &amp; Project Status- RM Saving Projects'</t>
  </si>
  <si>
    <t>2025-26 Pipeline &amp; Project Status- New Model</t>
  </si>
  <si>
    <t>Global Project Category per plant</t>
  </si>
  <si>
    <t>Global RPDO resources per project Type</t>
  </si>
  <si>
    <t>2025-26 Project Pipeline → Project current development stage</t>
  </si>
  <si>
    <t>Count of Requesting Department</t>
  </si>
  <si>
    <t>Count of Component Group- For RM saving Project only</t>
  </si>
  <si>
    <t>Count of RPDO hub</t>
  </si>
  <si>
    <t>NM Total</t>
  </si>
  <si>
    <t>(blank)</t>
  </si>
  <si>
    <t>Draft Project Conversion Factor (A,B &amp; C) project</t>
  </si>
  <si>
    <t>Time</t>
  </si>
  <si>
    <t>Factor</t>
  </si>
  <si>
    <t>Project Type | Phase</t>
  </si>
  <si>
    <t>D</t>
  </si>
  <si>
    <t>E</t>
  </si>
  <si>
    <t>F</t>
  </si>
  <si>
    <t>G</t>
  </si>
  <si>
    <t>H</t>
  </si>
  <si>
    <t>I</t>
  </si>
  <si>
    <t>J</t>
  </si>
  <si>
    <t>K</t>
  </si>
  <si>
    <t>Sourcing</t>
  </si>
  <si>
    <t>PDD</t>
  </si>
  <si>
    <t>Procur.</t>
  </si>
  <si>
    <t>SC</t>
  </si>
  <si>
    <t>ENG</t>
  </si>
  <si>
    <t>RFI</t>
  </si>
  <si>
    <t>SUP_EVAL</t>
  </si>
  <si>
    <t>SAMPLING</t>
  </si>
  <si>
    <t>FPAP</t>
  </si>
  <si>
    <t>SUP_SEL</t>
  </si>
  <si>
    <t>RFQ</t>
  </si>
  <si>
    <t>PRE_ORDER</t>
  </si>
  <si>
    <t>TF</t>
  </si>
  <si>
    <t>INDUSTR</t>
  </si>
  <si>
    <t>FIELD_TEST</t>
  </si>
  <si>
    <t>PO</t>
  </si>
  <si>
    <r>
      <t xml:space="preserve">Type Ib - </t>
    </r>
    <r>
      <rPr>
        <sz val="11"/>
        <color rgb="FF000000"/>
        <rFont val="Calibri"/>
        <family val="2"/>
        <charset val="161"/>
      </rPr>
      <t>Int. Spec. Chg.</t>
    </r>
  </si>
  <si>
    <r>
      <t xml:space="preserve">Type II - </t>
    </r>
    <r>
      <rPr>
        <sz val="11"/>
        <color rgb="FF000000"/>
        <rFont val="Calibri"/>
        <family val="2"/>
        <charset val="161"/>
      </rPr>
      <t>Extension</t>
    </r>
  </si>
  <si>
    <r>
      <t xml:space="preserve">Type III - </t>
    </r>
    <r>
      <rPr>
        <sz val="11"/>
        <color rgb="FF000000"/>
        <rFont val="Calibri"/>
        <family val="2"/>
        <charset val="161"/>
      </rPr>
      <t>Alt. Sourcing</t>
    </r>
  </si>
  <si>
    <r>
      <t xml:space="preserve">Type IV - </t>
    </r>
    <r>
      <rPr>
        <sz val="11"/>
        <color rgb="FF000000"/>
        <rFont val="Calibri"/>
        <family val="2"/>
        <charset val="161"/>
      </rPr>
      <t>New Sourcing</t>
    </r>
  </si>
  <si>
    <t># Prjs</t>
  </si>
  <si>
    <t>Ib</t>
  </si>
  <si>
    <t>II</t>
  </si>
  <si>
    <t>III</t>
  </si>
  <si>
    <t>IV</t>
  </si>
  <si>
    <t>PR</t>
  </si>
  <si>
    <t>SR</t>
  </si>
  <si>
    <t>PL</t>
  </si>
  <si>
    <t>kEur</t>
  </si>
  <si>
    <t>I-Chg</t>
  </si>
  <si>
    <t>Lead Times (wks) per Phase - IND</t>
  </si>
  <si>
    <t>Total LT</t>
  </si>
  <si>
    <t>Max Phase</t>
  </si>
  <si>
    <t>N</t>
  </si>
  <si>
    <t>FPAP and TF timelines are per Compressor per model</t>
  </si>
  <si>
    <t>Met. Proc. &amp; Comp.</t>
  </si>
  <si>
    <t>FPAP and TF timelines are per metal component testing</t>
  </si>
  <si>
    <t>Y/N</t>
  </si>
  <si>
    <t>FPAP and TF timelines per PSU</t>
  </si>
  <si>
    <t>Glass**</t>
  </si>
  <si>
    <t>IPD. EC and Codensation and Glass breakage test (tempered)</t>
  </si>
  <si>
    <t>if imported due to spacer, then 11 weeks</t>
  </si>
  <si>
    <t>Steel-GI*</t>
  </si>
  <si>
    <t>500 hrs SST, SAR by Quality</t>
  </si>
  <si>
    <t>does not include samples production and delivery for industrialization/pilot production / need to include in the respective Industrialization section</t>
  </si>
  <si>
    <t>PD evaluation time, SAR by Quality</t>
  </si>
  <si>
    <t>Alpha testing at plant for 4 weeks</t>
  </si>
  <si>
    <t>Alpha testing at plant for 4 weeks (Check Cut in / Cut Out)</t>
  </si>
  <si>
    <t>Controllers &amp; Access.</t>
  </si>
  <si>
    <t>24IND006 - IPS SOB increase to Sirius Solar</t>
  </si>
  <si>
    <t>SAR by Quality</t>
  </si>
  <si>
    <t>Door Opening Test,  SAR by Quality</t>
  </si>
  <si>
    <t>Extrusion Profiles</t>
  </si>
  <si>
    <t>Supply Chain</t>
  </si>
  <si>
    <t>Production</t>
  </si>
  <si>
    <t>Engineering</t>
  </si>
  <si>
    <t>Lead Times (wks) per Phase - SAF</t>
  </si>
  <si>
    <t>Evaluation by Engineering, SAR by Quality</t>
  </si>
  <si>
    <t>24SAF015 - Sky Steel  SOB Increase</t>
  </si>
  <si>
    <t>Sh. Pole Mot. &amp; Blad.</t>
  </si>
  <si>
    <t>Alpha testing already done by PD</t>
  </si>
  <si>
    <t xml:space="preserve">Project cancelled after CCBSA Oct meeting </t>
  </si>
  <si>
    <t>GWT by PD IND, SAR by Quality</t>
  </si>
  <si>
    <t>Approval by Sales/Marketing</t>
  </si>
  <si>
    <t>SAR by Plant</t>
  </si>
  <si>
    <t>Lead Times (wks) per Phase - INN</t>
  </si>
  <si>
    <t>could be as high as 11 for specific PCDs</t>
  </si>
  <si>
    <t>Testing by PD, SAR by Quality</t>
  </si>
  <si>
    <t>could be as high as 12 for specific PCDs</t>
  </si>
  <si>
    <t>Marketing / Sales approval</t>
  </si>
  <si>
    <t>Steel-PPGI*</t>
  </si>
  <si>
    <t>Plastic bags &amp; Str. Film</t>
  </si>
  <si>
    <t>Extrusion pl. Profiles**</t>
  </si>
  <si>
    <t>8 if imported</t>
  </si>
  <si>
    <t>RM saving project no clear</t>
  </si>
  <si>
    <t>Categories</t>
  </si>
  <si>
    <t>Interchangeable?
Y, N, Y/N</t>
  </si>
  <si>
    <t>*corrected</t>
  </si>
  <si>
    <t>What</t>
  </si>
  <si>
    <t>Who</t>
  </si>
  <si>
    <t>When</t>
  </si>
  <si>
    <t>Sachin &amp; Amit to review each and every project to determine their viability as well as the implementation date. Amit will then realign the "within" volumes accordingly</t>
  </si>
  <si>
    <t>Sachin/Amit</t>
  </si>
  <si>
    <t>The current "within" the year volumes when compared to the annualized volumes in relation to the respective implementation dates, do not seem to be correct. Amit to recalculate the annualized volumes, the within volumes based on the implementation dates and the savings per UoM for each and every project.</t>
  </si>
  <si>
    <t>Amit</t>
  </si>
  <si>
    <t>24IND005</t>
  </si>
  <si>
    <t>FAN casing from metal to plastic</t>
  </si>
  <si>
    <t>Given the required investments in moulds, amortization over 2 years needs to be taken into account in the calculation of each of the savings projects.</t>
  </si>
  <si>
    <t>Plastic Fan casing Inclusion of Plastic Fan Casing in S-40/S-45/S-450</t>
  </si>
  <si>
    <t>Implementation date and SOB need to be confirmed with R&amp;PD. Savings calculation needs to be reviewed and updated</t>
  </si>
  <si>
    <t>24INN001</t>
  </si>
  <si>
    <t>Localization PCM from Import China to Local</t>
  </si>
  <si>
    <t>check implementation and saving refer to update trial pilot production readiness</t>
  </si>
  <si>
    <t>INN Team</t>
  </si>
  <si>
    <t>Nov 20th</t>
  </si>
  <si>
    <t>24INN002</t>
  </si>
  <si>
    <t>Localization Plastic Stretch Hood from Import Malaysia to Local</t>
  </si>
  <si>
    <t>re-check implementation date &amp; respective savings</t>
  </si>
  <si>
    <t>24INN009</t>
  </si>
  <si>
    <t>Change Outer cabin Thickness 0.45 to 0.4 mm E47 &amp; SLP400</t>
  </si>
  <si>
    <t>24INN024</t>
  </si>
  <si>
    <t>in the title, change "i-series" to "i-hybrid series"</t>
  </si>
  <si>
    <t>25INN004</t>
  </si>
  <si>
    <t>Change brand from PSU Meanwell to Tauras 12V,15V,20V,30V</t>
  </si>
  <si>
    <t>project hold: waiting confirmation from PD (PD evaluation)</t>
  </si>
  <si>
    <t>INN Team to provide timing by Nov 22nd on when 2KV safety data will be available</t>
  </si>
  <si>
    <t>25INN006</t>
  </si>
  <si>
    <t>Change spec digital thermo 12V to 24 PVR CONTROL</t>
  </si>
  <si>
    <t>not in "electronic controllers &amp; accessories" - change RM category &amp; Component Group</t>
  </si>
  <si>
    <t>25INN007</t>
  </si>
  <si>
    <t>Change compressor WANBAO FTA55L to FTK55X for E47/FV280/SLP400</t>
  </si>
  <si>
    <t>(a) Revise project name to : Change compressor WANBAO FTA55L to FKK35.
(b) Effective date and saving per unit waiting confirmation PD (Manoj &amp; Sachin).</t>
  </si>
  <si>
    <t>(a) INN Team
(b) Manoj / Sachin</t>
  </si>
  <si>
    <t>(a) Nov 20th
(b) TBC by Nov 22nd</t>
  </si>
  <si>
    <t>25INN008</t>
  </si>
  <si>
    <t>Change compressor Huayi NUY80RAA to doper L76WU1 for FV650/SLP650</t>
  </si>
  <si>
    <t>effective date implementation waiting confirmation from PD</t>
  </si>
  <si>
    <t>Manoj / Sachin</t>
  </si>
  <si>
    <t>TBC by Nov 22nd</t>
  </si>
  <si>
    <t>Revise project name to : Change P/S type from I Series hybrid to L series. Need to recalculate the saving amount to avoid double counting.</t>
  </si>
  <si>
    <t>25INN010</t>
  </si>
  <si>
    <t>Change all cable dia. 1 mm to 0.75 mm (except grounding cable)</t>
  </si>
  <si>
    <t>Saving calculation to exclude FV1200 model. Reinstate the deducted volume once approved.</t>
  </si>
  <si>
    <t>25INN012</t>
  </si>
  <si>
    <t>Change thickness front grid FV1200 from 0.6mm to 0.45mm</t>
  </si>
  <si>
    <t>need to do trial and evaluation by TS and PD</t>
  </si>
  <si>
    <t>TBC - Sachin to provide the time by Nov 20th</t>
  </si>
  <si>
    <t>25INN013</t>
  </si>
  <si>
    <t xml:space="preserve">Change door Glass to Plastic door complete </t>
  </si>
  <si>
    <t>(a) confirm design and door availability
(b) upon receipt of above, confirm next actions and dates</t>
  </si>
  <si>
    <t>25INN017</t>
  </si>
  <si>
    <t>Change Outer cabin Thickness 0.45 to 0.4 mm FV650, FV1000 FV1200</t>
  </si>
  <si>
    <t>25INN018</t>
  </si>
  <si>
    <t>Change shelves model FV1200 from Shelves FV1200 CR to FV650 CR</t>
  </si>
  <si>
    <t>project drop – need to do lab test</t>
  </si>
  <si>
    <t>24ROM005</t>
  </si>
  <si>
    <t>Reduction Thickness Copper Tubes</t>
  </si>
  <si>
    <t>recheck savings calculations</t>
  </si>
  <si>
    <t>Marian / Andreea</t>
  </si>
  <si>
    <t>24ROM008</t>
  </si>
  <si>
    <t>Tauras PSU vs Alder PSU</t>
  </si>
  <si>
    <t>recheck savings calculations
recheck either implementation date or within</t>
  </si>
  <si>
    <t>24ROM012</t>
  </si>
  <si>
    <t>ESTO alternative supplier</t>
  </si>
  <si>
    <t>recheck either implementation date or within</t>
  </si>
  <si>
    <t>Andreea</t>
  </si>
  <si>
    <t>25ROM010</t>
  </si>
  <si>
    <t>Integrate metalic fan grid cover into service lid</t>
  </si>
  <si>
    <t>to be compared against Vangelis cheaper option and account for investment amortization
recheck either implementation date or within</t>
  </si>
  <si>
    <t>24SAF001</t>
  </si>
  <si>
    <t>Compressor NUS70NA--&gt;Donper LZ76WU1</t>
  </si>
  <si>
    <t>(a) expect feedback from sales - keep SAF reported volumes
(b) expect feedback from Manoj re testing/implementation date
(c) delete duplicate (SAF/SRC)</t>
  </si>
  <si>
    <t>(a) Quinton
(b) Manoj
(c) Thanassis</t>
  </si>
  <si>
    <t>Nov 22nd</t>
  </si>
  <si>
    <t>24SAF002</t>
  </si>
  <si>
    <t>Motor ECM7112--&gt; NEC4810 Saiwei</t>
  </si>
  <si>
    <t>(a) delete duplicates (SAF/SRC)
(b) Andreas K. with Andreas D. to redo the component savings calculations</t>
  </si>
  <si>
    <t>(a) Thanassis
(b) Andreas K./ Andreas D.</t>
  </si>
  <si>
    <t>24SAF003</t>
  </si>
  <si>
    <t>Motor ECM7120--&gt; NEC6115 Saiwei</t>
  </si>
  <si>
    <t>Expedite for 1st quarter. By when can we have the rollers? Beware of the order sequence of the existing thickness. Check sub-zero volumes. Duplicate with 25SAF002 which is removed.</t>
  </si>
  <si>
    <t>SAF Team</t>
  </si>
  <si>
    <t>24SAF008</t>
  </si>
  <si>
    <t>Compressor NUY120NA--&gt;Donper KK480WU1</t>
  </si>
  <si>
    <t>(a) Andreas K. with Andreas D. to redo the component savings calculations
(b) expect feedback from Manoj re testing/implementation date</t>
  </si>
  <si>
    <t>(a) Andreas K./ Andreas D.
(b) Manoj</t>
  </si>
  <si>
    <t>(a) Nov 21st
(b) Nov 22nd</t>
  </si>
  <si>
    <t>24SAF016</t>
  </si>
  <si>
    <t>HV71 R290 --&gt;A rating Cost Saving - HV71 R290 / moving to A-rating</t>
  </si>
  <si>
    <t>Proceed with cost breakdown per major RM category</t>
  </si>
  <si>
    <t>24SAF043</t>
  </si>
  <si>
    <t>Adler 20W--&gt; Tauras 20W - FV1000 SZ</t>
  </si>
  <si>
    <t>Redo &amp; confirm saving calculations</t>
  </si>
  <si>
    <t>Decide on project viability due to higher cost received</t>
  </si>
  <si>
    <t>Quinton/ Oscar/ Thanassis</t>
  </si>
  <si>
    <t>Redo saving calculations</t>
  </si>
  <si>
    <t>Redo volumes &amp; saving calculations</t>
  </si>
  <si>
    <t>Share calculations with Thanassis</t>
  </si>
  <si>
    <t>Nov 21st</t>
  </si>
  <si>
    <t>Sourcing with another local supplier for better pricing - Trident</t>
  </si>
  <si>
    <t>(a) Share calculations with Thanassis
(b) Share all contacted suppliers so far</t>
  </si>
  <si>
    <t>(a) SAF Team
(b) Oscar</t>
  </si>
  <si>
    <t>Discuss calculations</t>
  </si>
  <si>
    <t>Vangelis</t>
  </si>
  <si>
    <t>Nov 25th</t>
  </si>
  <si>
    <t>Change Refond to Royalux, redo the calculations and rethink of the implementation dates</t>
  </si>
  <si>
    <t>Andreas D.</t>
  </si>
  <si>
    <t>Review Project Type Classification by utilizing the respective questionnaire in the tab "Lists &amp; Explanation". If any answer to any of the questions is "Yes", then the component is considered as "New".</t>
  </si>
  <si>
    <t>Quentin</t>
  </si>
  <si>
    <t>Breakdown high savings projects to their main RM categories</t>
  </si>
  <si>
    <t>Indicate all cooler models affected by each project</t>
  </si>
  <si>
    <t>2024 Spillover</t>
  </si>
  <si>
    <t>2025 Within</t>
  </si>
  <si>
    <t>2025 Spillover</t>
  </si>
  <si>
    <t>v12B</t>
  </si>
  <si>
    <t>v14</t>
  </si>
  <si>
    <t>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</si>
</sst>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quot;€&quot;#,##0\)"/>
    <numFmt numFmtId="165" formatCode="_(&quot;€&quot;* #,##0.00_);_(&quot;€&quot;* \(#,##0.00\);_(&quot;€&quot;* &quot;-&quot;??_);_(@_)"/>
    <numFmt numFmtId="166" formatCode="&quot;€&quot;#,##0.0"/>
    <numFmt numFmtId="167" formatCode="0.0"/>
    <numFmt numFmtId="168" formatCode="0.0000"/>
  </numFmts>
  <fonts count="150" x14ac:knownFonts="1">
    <font>
      <sz val="11"/>
      <color theme="1"/>
      <name val="Aptos Narrow"/>
      <family val="2"/>
      <charset val="1"/>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sz val="11"/>
      <color theme="1"/>
      <name val="Aptos Narrow"/>
      <family val="2"/>
      <charset val="1"/>
      <scheme val="minor"/>
    </font>
    <font>
      <b/>
      <sz val="14"/>
      <color theme="1"/>
      <name val="Aptos Narrow"/>
      <family val="2"/>
      <scheme val="minor"/>
    </font>
    <font>
      <sz val="11"/>
      <color theme="1"/>
      <name val="Aptos Narrow"/>
      <family val="2"/>
      <charset val="161"/>
      <scheme val="minor"/>
    </font>
    <font>
      <b/>
      <i/>
      <sz val="14"/>
      <color rgb="FF000000"/>
      <name val="Aptos Narrow"/>
      <family val="2"/>
      <scheme val="minor"/>
    </font>
    <font>
      <b/>
      <sz val="14"/>
      <color rgb="FF000000"/>
      <name val="Aptos Narrow"/>
      <family val="2"/>
      <scheme val="minor"/>
    </font>
    <font>
      <b/>
      <sz val="14"/>
      <color theme="1"/>
      <name val="Aptos Narrow"/>
      <family val="2"/>
      <charset val="161"/>
      <scheme val="minor"/>
    </font>
    <font>
      <b/>
      <sz val="14"/>
      <color rgb="FF000000"/>
      <name val="Aptos Narrow"/>
      <family val="2"/>
      <charset val="161"/>
      <scheme val="minor"/>
    </font>
    <font>
      <b/>
      <sz val="14"/>
      <name val="Aptos Narrow"/>
      <family val="2"/>
      <scheme val="minor"/>
    </font>
    <font>
      <b/>
      <i/>
      <sz val="11"/>
      <color rgb="FFC00000"/>
      <name val="Aptos Narrow"/>
      <family val="2"/>
      <charset val="161"/>
      <scheme val="minor"/>
    </font>
    <font>
      <b/>
      <sz val="11"/>
      <color theme="1"/>
      <name val="Aptos Narrow"/>
      <family val="2"/>
      <charset val="161"/>
      <scheme val="minor"/>
    </font>
    <font>
      <b/>
      <sz val="11"/>
      <name val="Aptos Narrow"/>
      <family val="2"/>
      <charset val="161"/>
      <scheme val="minor"/>
    </font>
    <font>
      <b/>
      <sz val="11"/>
      <color rgb="FFC00000"/>
      <name val="Aptos Narrow"/>
      <family val="2"/>
      <scheme val="minor"/>
    </font>
    <font>
      <b/>
      <sz val="11"/>
      <name val="Aptos Narrow"/>
      <family val="2"/>
      <scheme val="minor"/>
    </font>
    <font>
      <sz val="12"/>
      <color theme="1"/>
      <name val="Aptos Narrow"/>
      <family val="2"/>
      <scheme val="minor"/>
    </font>
    <font>
      <b/>
      <sz val="12"/>
      <color theme="1"/>
      <name val="Aptos Narrow"/>
      <family val="2"/>
      <scheme val="minor"/>
    </font>
    <font>
      <b/>
      <sz val="12"/>
      <color theme="0"/>
      <name val="Aptos Narrow"/>
      <family val="2"/>
      <charset val="161"/>
      <scheme val="minor"/>
    </font>
    <font>
      <b/>
      <sz val="12"/>
      <color theme="0"/>
      <name val="Aptos Narrow"/>
      <family val="2"/>
      <scheme val="minor"/>
    </font>
    <font>
      <b/>
      <sz val="11"/>
      <color theme="0"/>
      <name val="Aptos Narrow"/>
      <family val="2"/>
      <charset val="161"/>
      <scheme val="minor"/>
    </font>
    <font>
      <sz val="12"/>
      <color theme="1"/>
      <name val="Aptos Narrow"/>
      <family val="2"/>
      <charset val="161"/>
      <scheme val="minor"/>
    </font>
    <font>
      <sz val="11"/>
      <color theme="0"/>
      <name val="Aptos Narrow"/>
      <family val="2"/>
      <charset val="161"/>
      <scheme val="minor"/>
    </font>
    <font>
      <b/>
      <sz val="11"/>
      <color rgb="FFFF0000"/>
      <name val="Aptos Narrow"/>
      <family val="2"/>
      <charset val="161"/>
      <scheme val="minor"/>
    </font>
    <font>
      <b/>
      <sz val="11"/>
      <color theme="9" tint="0.39997558519241921"/>
      <name val="Aptos Narrow"/>
      <family val="2"/>
      <charset val="161"/>
      <scheme val="minor"/>
    </font>
    <font>
      <sz val="11"/>
      <color rgb="FF000000"/>
      <name val="Aptos Narrow"/>
      <family val="2"/>
      <charset val="161"/>
      <scheme val="minor"/>
    </font>
    <font>
      <b/>
      <sz val="11"/>
      <color rgb="FF000000"/>
      <name val="Aptos Narrow"/>
      <family val="2"/>
      <charset val="161"/>
      <scheme val="minor"/>
    </font>
    <font>
      <b/>
      <sz val="12"/>
      <color rgb="FF000000"/>
      <name val="Aptos Narrow"/>
      <family val="2"/>
      <charset val="161"/>
      <scheme val="minor"/>
    </font>
    <font>
      <b/>
      <sz val="12"/>
      <name val="Aptos Narrow"/>
      <family val="2"/>
      <scheme val="minor"/>
    </font>
    <font>
      <i/>
      <sz val="11"/>
      <color rgb="FF000000"/>
      <name val="Aptos Narrow"/>
      <family val="2"/>
      <charset val="161"/>
      <scheme val="minor"/>
    </font>
    <font>
      <sz val="11"/>
      <name val="Aptos Narrow"/>
      <family val="2"/>
      <scheme val="minor"/>
    </font>
    <font>
      <b/>
      <sz val="11"/>
      <color rgb="FFFFC000"/>
      <name val="Aptos Narrow"/>
      <family val="2"/>
      <charset val="161"/>
      <scheme val="minor"/>
    </font>
    <font>
      <sz val="11"/>
      <color theme="3"/>
      <name val="Calibri"/>
      <family val="2"/>
      <charset val="161"/>
    </font>
    <font>
      <b/>
      <sz val="11"/>
      <color theme="1"/>
      <name val="Aptos Narrow"/>
      <family val="2"/>
      <scheme val="minor"/>
    </font>
    <font>
      <sz val="11"/>
      <color rgb="FF000000"/>
      <name val="Aptos Narrow"/>
      <family val="2"/>
      <scheme val="minor"/>
    </font>
    <font>
      <sz val="11"/>
      <color theme="3"/>
      <name val="Aptos Narrow"/>
      <family val="2"/>
      <charset val="1"/>
      <scheme val="minor"/>
    </font>
    <font>
      <sz val="11"/>
      <color theme="3"/>
      <name val="Aptos Narrow"/>
      <family val="2"/>
      <scheme val="minor"/>
    </font>
    <font>
      <b/>
      <sz val="11"/>
      <color rgb="FFFF0000"/>
      <name val="Aptos Narrow"/>
      <family val="2"/>
      <scheme val="minor"/>
    </font>
    <font>
      <b/>
      <sz val="11"/>
      <color rgb="FF002060"/>
      <name val="Calibri"/>
      <family val="2"/>
      <charset val="161"/>
    </font>
    <font>
      <sz val="11"/>
      <color rgb="FF002060"/>
      <name val="Calibri"/>
      <family val="2"/>
      <charset val="161"/>
    </font>
    <font>
      <sz val="8"/>
      <name val="Aptos Narrow"/>
      <family val="2"/>
      <charset val="1"/>
      <scheme val="minor"/>
    </font>
    <font>
      <sz val="11"/>
      <color theme="0"/>
      <name val="Aptos Narrow"/>
      <family val="2"/>
      <scheme val="minor"/>
    </font>
    <font>
      <sz val="11"/>
      <color theme="0"/>
      <name val="Aptos Narrow"/>
      <family val="2"/>
      <charset val="1"/>
      <scheme val="minor"/>
    </font>
    <font>
      <sz val="11"/>
      <color rgb="FFFF0000"/>
      <name val="Aptos Narrow"/>
      <family val="2"/>
      <charset val="1"/>
      <scheme val="minor"/>
    </font>
    <font>
      <sz val="11"/>
      <color rgb="FFFFFFFF"/>
      <name val="Calibri"/>
      <family val="2"/>
    </font>
    <font>
      <sz val="12"/>
      <color rgb="FFFFFFFF"/>
      <name val="Calibri"/>
      <family val="2"/>
    </font>
    <font>
      <sz val="12"/>
      <color rgb="FFFFFFFF"/>
      <name val="Calibri"/>
      <family val="2"/>
      <charset val="161"/>
    </font>
    <font>
      <sz val="8"/>
      <color rgb="FFFFFFFF"/>
      <name val="Calibri"/>
      <family val="2"/>
      <charset val="161"/>
    </font>
    <font>
      <b/>
      <sz val="11"/>
      <color rgb="FF000000"/>
      <name val="Calibri"/>
      <family val="2"/>
      <charset val="161"/>
    </font>
    <font>
      <sz val="11"/>
      <color rgb="FF000000"/>
      <name val="Calibri"/>
      <family val="2"/>
      <charset val="161"/>
    </font>
    <font>
      <sz val="11"/>
      <name val="Arial"/>
      <family val="2"/>
      <charset val="161"/>
    </font>
    <font>
      <sz val="18"/>
      <name val="Arial"/>
      <family val="2"/>
    </font>
    <font>
      <sz val="11"/>
      <color rgb="FFFFFFFF"/>
      <name val="Aptos Narrow"/>
      <family val="2"/>
      <scheme val="minor"/>
    </font>
    <font>
      <sz val="8"/>
      <color rgb="FFFFFFFF"/>
      <name val="Aptos Narrow"/>
      <family val="2"/>
      <scheme val="minor"/>
    </font>
    <font>
      <sz val="12"/>
      <color rgb="FFFFFFFF"/>
      <name val="Aptos Narrow"/>
      <family val="2"/>
      <scheme val="minor"/>
    </font>
    <font>
      <sz val="8"/>
      <color rgb="FF000000"/>
      <name val="Aptos Narrow"/>
      <family val="2"/>
      <scheme val="minor"/>
    </font>
    <font>
      <sz val="8"/>
      <name val="Aptos Narrow"/>
      <family val="2"/>
      <scheme val="minor"/>
    </font>
    <font>
      <sz val="8"/>
      <color theme="0"/>
      <name val="Aptos Narrow"/>
      <family val="2"/>
      <scheme val="minor"/>
    </font>
    <font>
      <sz val="10"/>
      <name val="Arial"/>
      <family val="2"/>
      <charset val="161"/>
    </font>
    <font>
      <sz val="10"/>
      <color rgb="FF000000"/>
      <name val="Arial"/>
      <family val="2"/>
      <charset val="161"/>
    </font>
    <font>
      <sz val="10"/>
      <color rgb="FFFF0000"/>
      <name val="Arial"/>
      <family val="2"/>
      <charset val="161"/>
    </font>
    <font>
      <b/>
      <sz val="11"/>
      <color theme="8" tint="-0.249977111117893"/>
      <name val="Aptos Narrow"/>
      <family val="2"/>
      <scheme val="minor"/>
    </font>
    <font>
      <sz val="8"/>
      <color theme="0"/>
      <name val="Aptos Narrow"/>
      <family val="2"/>
      <charset val="1"/>
      <scheme val="minor"/>
    </font>
    <font>
      <sz val="10"/>
      <name val="Arial"/>
      <family val="2"/>
    </font>
    <font>
      <sz val="8"/>
      <color theme="1"/>
      <name val="Aptos Narrow"/>
      <family val="2"/>
      <scheme val="minor"/>
    </font>
    <font>
      <sz val="11"/>
      <color rgb="FF9C5700"/>
      <name val="Aptos Narrow"/>
      <family val="2"/>
      <scheme val="minor"/>
    </font>
    <font>
      <b/>
      <sz val="11"/>
      <color rgb="FF000000"/>
      <name val="Aptos Narrow"/>
      <family val="2"/>
      <scheme val="minor"/>
    </font>
    <font>
      <sz val="11"/>
      <color theme="1"/>
      <name val="Calibri"/>
      <family val="2"/>
    </font>
    <font>
      <b/>
      <sz val="12"/>
      <color theme="5" tint="-0.499984740745262"/>
      <name val="Aptos Narrow"/>
      <family val="2"/>
      <charset val="161"/>
      <scheme val="minor"/>
    </font>
    <font>
      <b/>
      <sz val="11"/>
      <color rgb="FF000000"/>
      <name val="Aptos Narrow"/>
      <family val="2"/>
      <charset val="1"/>
      <scheme val="minor"/>
    </font>
    <font>
      <sz val="11"/>
      <color rgb="FF000000"/>
      <name val="Calibri"/>
      <family val="2"/>
    </font>
    <font>
      <sz val="11"/>
      <color theme="3"/>
      <name val="Calibri"/>
      <family val="2"/>
    </font>
    <font>
      <sz val="11"/>
      <name val="Calibri"/>
      <family val="2"/>
    </font>
    <font>
      <sz val="11"/>
      <color rgb="FFFF0000"/>
      <name val="Calibri"/>
      <family val="2"/>
    </font>
    <font>
      <b/>
      <sz val="11"/>
      <color theme="1"/>
      <name val="Aptos Narrow"/>
      <family val="2"/>
      <charset val="1"/>
      <scheme val="minor"/>
    </font>
    <font>
      <b/>
      <sz val="11"/>
      <color theme="2" tint="-0.499984740745262"/>
      <name val="Aptos Narrow"/>
      <family val="2"/>
      <scheme val="minor"/>
    </font>
    <font>
      <sz val="11"/>
      <color theme="0" tint="-4.9989318521683403E-2"/>
      <name val="Calibri"/>
      <family val="2"/>
    </font>
    <font>
      <sz val="10"/>
      <color theme="0"/>
      <name val="Aptos Narrow"/>
      <family val="2"/>
      <charset val="1"/>
      <scheme val="minor"/>
    </font>
    <font>
      <sz val="10"/>
      <color theme="1"/>
      <name val="Aptos Narrow"/>
      <family val="2"/>
      <charset val="1"/>
      <scheme val="minor"/>
    </font>
    <font>
      <b/>
      <sz val="26"/>
      <color theme="1"/>
      <name val="Aptos Narrow"/>
      <family val="2"/>
      <scheme val="minor"/>
    </font>
    <font>
      <sz val="26"/>
      <color theme="1"/>
      <name val="Aptos Narrow"/>
      <family val="2"/>
      <scheme val="minor"/>
    </font>
    <font>
      <b/>
      <sz val="20"/>
      <color theme="1"/>
      <name val="Aptos Narrow"/>
      <family val="2"/>
      <scheme val="minor"/>
    </font>
    <font>
      <b/>
      <sz val="16"/>
      <color theme="1"/>
      <name val="Aptos Narrow"/>
      <family val="2"/>
      <scheme val="minor"/>
    </font>
    <font>
      <b/>
      <sz val="22"/>
      <color theme="1"/>
      <name val="Aptos Narrow"/>
      <family val="2"/>
      <scheme val="minor"/>
    </font>
    <font>
      <b/>
      <sz val="28"/>
      <color theme="1"/>
      <name val="Aptos Narrow"/>
      <family val="2"/>
      <scheme val="minor"/>
    </font>
    <font>
      <b/>
      <sz val="22"/>
      <color theme="1"/>
      <name val="Aptos Narrow"/>
      <family val="2"/>
      <charset val="1"/>
      <scheme val="minor"/>
    </font>
    <font>
      <sz val="12"/>
      <color theme="1"/>
      <name val="Aptos Narrow"/>
      <family val="2"/>
      <charset val="1"/>
      <scheme val="minor"/>
    </font>
    <font>
      <sz val="16"/>
      <color theme="1"/>
      <name val="Aptos Narrow"/>
      <family val="2"/>
      <scheme val="minor"/>
    </font>
    <font>
      <b/>
      <sz val="14"/>
      <color theme="1"/>
      <name val="Aptos Display"/>
      <family val="2"/>
      <scheme val="major"/>
    </font>
    <font>
      <b/>
      <sz val="26"/>
      <color theme="1"/>
      <name val="Aptos Display"/>
      <family val="2"/>
      <scheme val="major"/>
    </font>
    <font>
      <b/>
      <sz val="20"/>
      <color rgb="FFFF0000"/>
      <name val="Aptos Narrow"/>
      <family val="2"/>
      <scheme val="minor"/>
    </font>
    <font>
      <sz val="16"/>
      <color rgb="FFFF0000"/>
      <name val="Aptos Narrow"/>
      <family val="2"/>
      <scheme val="minor"/>
    </font>
    <font>
      <b/>
      <sz val="20"/>
      <color rgb="FF000000"/>
      <name val="Aptos Narrow"/>
      <family val="2"/>
      <scheme val="minor"/>
    </font>
    <font>
      <b/>
      <sz val="20"/>
      <color theme="1"/>
      <name val="Aptos Narrow"/>
      <family val="2"/>
      <charset val="1"/>
      <scheme val="minor"/>
    </font>
    <font>
      <sz val="11"/>
      <color theme="4" tint="-0.249977111117893"/>
      <name val="Aptos Narrow"/>
      <family val="2"/>
      <charset val="1"/>
      <scheme val="minor"/>
    </font>
    <font>
      <sz val="11"/>
      <color theme="5" tint="-0.249977111117893"/>
      <name val="Aptos Narrow"/>
      <family val="2"/>
      <charset val="1"/>
      <scheme val="minor"/>
    </font>
    <font>
      <sz val="11"/>
      <color rgb="FFD2A000"/>
      <name val="Aptos Narrow"/>
      <family val="2"/>
      <charset val="1"/>
      <scheme val="minor"/>
    </font>
    <font>
      <sz val="11"/>
      <color theme="8" tint="-0.249977111117893"/>
      <name val="Aptos Narrow"/>
      <family val="2"/>
      <charset val="1"/>
      <scheme val="minor"/>
    </font>
    <font>
      <sz val="11"/>
      <color rgb="FF7CBF33"/>
      <name val="Aptos Narrow"/>
      <family val="2"/>
      <charset val="1"/>
      <scheme val="minor"/>
    </font>
    <font>
      <sz val="10"/>
      <name val="Calibri"/>
      <family val="2"/>
    </font>
    <font>
      <sz val="10"/>
      <color rgb="FF000000"/>
      <name val="Calibri"/>
      <family val="2"/>
    </font>
    <font>
      <sz val="10"/>
      <color theme="1"/>
      <name val="Calibri"/>
      <family val="2"/>
    </font>
    <font>
      <sz val="11"/>
      <color theme="0"/>
      <name val="Calibri"/>
      <family val="2"/>
    </font>
    <font>
      <sz val="11"/>
      <name val="Aptos Narrow"/>
      <family val="2"/>
      <charset val="1"/>
      <scheme val="minor"/>
    </font>
    <font>
      <b/>
      <sz val="11"/>
      <color theme="0"/>
      <name val="Aptos Narrow"/>
      <family val="2"/>
      <charset val="1"/>
      <scheme val="minor"/>
    </font>
    <font>
      <b/>
      <sz val="24"/>
      <color theme="0"/>
      <name val="Aptos Narrow"/>
      <family val="2"/>
      <charset val="1"/>
      <scheme val="minor"/>
    </font>
    <font>
      <b/>
      <sz val="26"/>
      <color theme="1"/>
      <name val="Aptos Narrow"/>
      <family val="2"/>
      <charset val="1"/>
      <scheme val="minor"/>
    </font>
    <font>
      <sz val="10"/>
      <color theme="0"/>
      <name val="Calibri"/>
      <family val="2"/>
    </font>
    <font>
      <sz val="11"/>
      <color rgb="FFFF0000"/>
      <name val="Aptos Narrow"/>
      <family val="2"/>
      <scheme val="minor"/>
    </font>
    <font>
      <b/>
      <sz val="9"/>
      <color rgb="FFFFFFFF"/>
      <name val="Calibri"/>
      <family val="2"/>
    </font>
    <font>
      <sz val="10.5"/>
      <color rgb="FF000000"/>
      <name val="Calibri"/>
      <family val="2"/>
    </font>
    <font>
      <b/>
      <sz val="9"/>
      <color rgb="FFFF0000"/>
      <name val="Calibri"/>
      <family val="2"/>
    </font>
    <font>
      <sz val="10.5"/>
      <color rgb="FFFF0000"/>
      <name val="Calibri"/>
      <family val="2"/>
    </font>
    <font>
      <b/>
      <sz val="14"/>
      <color rgb="FFFFFFFF"/>
      <name val="Calibri"/>
      <family val="2"/>
    </font>
    <font>
      <b/>
      <sz val="11"/>
      <name val="Calibri"/>
      <family val="2"/>
    </font>
    <font>
      <b/>
      <sz val="12"/>
      <name val="Aptos Narrow"/>
      <family val="2"/>
    </font>
    <font>
      <sz val="26"/>
      <color theme="1"/>
      <name val="Aptos Narrow"/>
      <family val="2"/>
      <charset val="1"/>
      <scheme val="minor"/>
    </font>
    <font>
      <sz val="9"/>
      <color indexed="81"/>
      <name val="Tahoma"/>
      <family val="2"/>
    </font>
    <font>
      <b/>
      <sz val="9"/>
      <color indexed="81"/>
      <name val="Tahoma"/>
      <family val="2"/>
    </font>
    <font>
      <b/>
      <sz val="14"/>
      <color theme="1"/>
      <name val="Aptos Narrow"/>
      <family val="2"/>
      <charset val="1"/>
      <scheme val="minor"/>
    </font>
    <font>
      <b/>
      <sz val="12"/>
      <name val="Aptos Narrow"/>
      <family val="2"/>
      <charset val="1"/>
      <scheme val="minor"/>
    </font>
    <font>
      <sz val="11"/>
      <color rgb="FF00B050"/>
      <name val="Aptos Narrow"/>
      <family val="2"/>
      <charset val="1"/>
      <scheme val="minor"/>
    </font>
    <font>
      <sz val="11"/>
      <color theme="0" tint="-4.9989318521683403E-2"/>
      <name val="Aptos Narrow"/>
      <family val="2"/>
      <charset val="1"/>
      <scheme val="minor"/>
    </font>
    <font>
      <b/>
      <sz val="28"/>
      <color theme="1"/>
      <name val="Aptos Narrow"/>
      <family val="2"/>
      <charset val="1"/>
      <scheme val="minor"/>
    </font>
    <font>
      <b/>
      <sz val="36"/>
      <color theme="1"/>
      <name val="Aptos Narrow"/>
      <family val="2"/>
      <charset val="1"/>
      <scheme val="minor"/>
    </font>
    <font>
      <sz val="36"/>
      <color theme="1"/>
      <name val="Aptos Narrow"/>
      <family val="2"/>
      <charset val="1"/>
      <scheme val="minor"/>
    </font>
    <font>
      <b/>
      <sz val="11"/>
      <color theme="0" tint="-0.14999847407452621"/>
      <name val="Aptos Narrow"/>
      <family val="2"/>
      <charset val="1"/>
      <scheme val="minor"/>
    </font>
    <font>
      <b/>
      <sz val="12"/>
      <color theme="1"/>
      <name val="Aptos Narrow"/>
      <family val="2"/>
      <charset val="1"/>
      <scheme val="minor"/>
    </font>
    <font>
      <b/>
      <sz val="12"/>
      <color theme="0" tint="-0.14999847407452621"/>
      <name val="Aptos Narrow"/>
      <family val="2"/>
      <charset val="1"/>
      <scheme val="minor"/>
    </font>
    <font>
      <b/>
      <sz val="11"/>
      <name val="Aptos Narrow"/>
      <family val="2"/>
      <charset val="1"/>
      <scheme val="minor"/>
    </font>
    <font>
      <b/>
      <sz val="22"/>
      <name val="Aptos Narrow"/>
      <family val="2"/>
      <charset val="1"/>
      <scheme val="minor"/>
    </font>
    <font>
      <b/>
      <sz val="18"/>
      <color theme="1"/>
      <name val="Aptos Narrow"/>
      <family val="2"/>
      <charset val="1"/>
      <scheme val="minor"/>
    </font>
    <font>
      <sz val="12"/>
      <color rgb="FFFF0000"/>
      <name val="Aptos Narrow"/>
      <family val="2"/>
      <charset val="1"/>
      <scheme val="minor"/>
    </font>
    <font>
      <b/>
      <sz val="72"/>
      <color theme="1"/>
      <name val="Aptos Narrow"/>
      <family val="2"/>
      <charset val="1"/>
      <scheme val="minor"/>
    </font>
    <font>
      <sz val="11"/>
      <color theme="0" tint="-0.14999847407452621"/>
      <name val="Aptos Narrow"/>
      <family val="2"/>
      <charset val="1"/>
      <scheme val="minor"/>
    </font>
    <font>
      <sz val="14"/>
      <color theme="1"/>
      <name val="Aptos Narrow"/>
      <family val="2"/>
      <charset val="1"/>
      <scheme val="minor"/>
    </font>
    <font>
      <b/>
      <sz val="20"/>
      <color rgb="FFFF0000"/>
      <name val="Aptos Narrow"/>
      <family val="2"/>
      <charset val="1"/>
      <scheme val="minor"/>
    </font>
    <font>
      <b/>
      <sz val="20"/>
      <color theme="0" tint="-0.14999847407452621"/>
      <name val="Aptos Narrow"/>
      <family val="2"/>
      <charset val="1"/>
      <scheme val="minor"/>
    </font>
    <font>
      <b/>
      <sz val="16"/>
      <color rgb="FFFF0000"/>
      <name val="Aptos Narrow"/>
      <family val="2"/>
      <charset val="1"/>
      <scheme val="minor"/>
    </font>
    <font>
      <b/>
      <sz val="16"/>
      <color theme="0" tint="-0.14999847407452621"/>
      <name val="Aptos Narrow"/>
      <family val="2"/>
      <charset val="1"/>
      <scheme val="minor"/>
    </font>
    <font>
      <b/>
      <sz val="22"/>
      <color theme="0" tint="-4.9989318521683403E-2"/>
      <name val="Aptos Narrow"/>
      <family val="2"/>
      <charset val="1"/>
      <scheme val="minor"/>
    </font>
    <font>
      <sz val="72"/>
      <color theme="1"/>
      <name val="Aptos Narrow"/>
      <family val="2"/>
      <charset val="1"/>
      <scheme val="minor"/>
    </font>
  </fonts>
  <fills count="62">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bgColor indexed="64"/>
      </patternFill>
    </fill>
    <fill>
      <patternFill patternType="solid">
        <fgColor theme="2"/>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FF9797"/>
        <bgColor indexed="64"/>
      </patternFill>
    </fill>
    <fill>
      <patternFill patternType="solid">
        <fgColor rgb="FFDDEBF7"/>
        <bgColor indexed="64"/>
      </patternFill>
    </fill>
    <fill>
      <patternFill patternType="solid">
        <fgColor rgb="FF000000"/>
        <bgColor indexed="64"/>
      </patternFill>
    </fill>
    <fill>
      <patternFill patternType="solid">
        <fgColor theme="5"/>
        <bgColor indexed="64"/>
      </patternFill>
    </fill>
    <fill>
      <patternFill patternType="solid">
        <fgColor rgb="FF335AFF"/>
        <bgColor indexed="64"/>
      </patternFill>
    </fill>
    <fill>
      <patternFill patternType="solid">
        <fgColor rgb="FF9966FF"/>
        <bgColor indexed="64"/>
      </patternFill>
    </fill>
    <fill>
      <patternFill patternType="solid">
        <fgColor rgb="FFFFFF00"/>
        <bgColor indexed="64"/>
      </patternFill>
    </fill>
    <fill>
      <patternFill patternType="solid">
        <fgColor rgb="FF7F7F7F"/>
        <bgColor indexed="64"/>
      </patternFill>
    </fill>
    <fill>
      <patternFill patternType="solid">
        <fgColor rgb="FFC5E0B4"/>
        <bgColor indexed="64"/>
      </patternFill>
    </fill>
    <fill>
      <patternFill patternType="solid">
        <fgColor rgb="FFB4C7E7"/>
        <bgColor indexed="64"/>
      </patternFill>
    </fill>
    <fill>
      <patternFill patternType="solid">
        <fgColor rgb="FFD0CECE"/>
        <bgColor indexed="64"/>
      </patternFill>
    </fill>
    <fill>
      <patternFill patternType="solid">
        <fgColor rgb="FFF8CBAD"/>
        <bgColor indexed="64"/>
      </patternFill>
    </fill>
    <fill>
      <patternFill patternType="solid">
        <fgColor rgb="FFFF8585"/>
        <bgColor indexed="64"/>
      </patternFill>
    </fill>
    <fill>
      <patternFill patternType="solid">
        <fgColor theme="8" tint="0.39997558519241921"/>
        <bgColor indexed="64"/>
      </patternFill>
    </fill>
    <fill>
      <patternFill patternType="solid">
        <fgColor rgb="FFDDDDDD"/>
        <bgColor indexed="64"/>
      </patternFill>
    </fill>
    <fill>
      <patternFill patternType="solid">
        <fgColor theme="0" tint="-0.34998626667073579"/>
        <bgColor indexed="64"/>
      </patternFill>
    </fill>
    <fill>
      <patternFill patternType="solid">
        <fgColor rgb="FFFFEB9C"/>
      </patternFill>
    </fill>
    <fill>
      <patternFill patternType="solid">
        <fgColor theme="5"/>
      </patternFill>
    </fill>
    <fill>
      <patternFill patternType="solid">
        <fgColor theme="5" tint="0.59999389629810485"/>
        <bgColor indexed="65"/>
      </patternFill>
    </fill>
    <fill>
      <patternFill patternType="solid">
        <fgColor rgb="FF00B050"/>
        <bgColor indexed="64"/>
      </patternFill>
    </fill>
    <fill>
      <patternFill patternType="solid">
        <fgColor theme="0"/>
        <bgColor indexed="64"/>
      </patternFill>
    </fill>
    <fill>
      <patternFill patternType="solid">
        <fgColor theme="1" tint="4.9989318521683403E-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4" tint="0.39997558519241921"/>
        <bgColor indexed="64"/>
      </patternFill>
    </fill>
    <fill>
      <patternFill patternType="solid">
        <fgColor rgb="FF0070C0"/>
        <bgColor indexed="64"/>
      </patternFill>
    </fill>
    <fill>
      <patternFill patternType="solid">
        <fgColor rgb="FFFFD5D5"/>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8"/>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C215"/>
        <bgColor indexed="64"/>
      </patternFill>
    </fill>
    <fill>
      <patternFill patternType="solid">
        <fgColor rgb="FFFFDDDD"/>
        <bgColor indexed="64"/>
      </patternFill>
    </fill>
    <fill>
      <patternFill patternType="solid">
        <fgColor rgb="FFFFE1E1"/>
        <bgColor indexed="64"/>
      </patternFill>
    </fill>
    <fill>
      <patternFill patternType="solid">
        <fgColor theme="8" tint="-0.499984740745262"/>
        <bgColor indexed="64"/>
      </patternFill>
    </fill>
    <fill>
      <patternFill patternType="solid">
        <fgColor rgb="FFF2F2F2"/>
        <bgColor indexed="64"/>
      </patternFill>
    </fill>
    <fill>
      <patternFill patternType="solid">
        <fgColor theme="2" tint="-9.9978637043366805E-2"/>
        <bgColor indexed="64"/>
      </patternFill>
    </fill>
    <fill>
      <patternFill patternType="solid">
        <fgColor rgb="FF4472C4"/>
        <bgColor indexed="64"/>
      </patternFill>
    </fill>
    <fill>
      <patternFill patternType="solid">
        <fgColor rgb="FFCFD5EA"/>
        <bgColor indexed="64"/>
      </patternFill>
    </fill>
    <fill>
      <patternFill patternType="solid">
        <fgColor rgb="FF2F75B5"/>
        <bgColor indexed="64"/>
      </patternFill>
    </fill>
    <fill>
      <patternFill patternType="solid">
        <fgColor rgb="FFE9EBF5"/>
        <bgColor indexed="64"/>
      </patternFill>
    </fill>
    <fill>
      <patternFill patternType="solid">
        <fgColor rgb="FFFF0000"/>
        <bgColor indexed="64"/>
      </patternFill>
    </fill>
    <fill>
      <patternFill patternType="solid">
        <fgColor theme="7"/>
        <bgColor indexed="64"/>
      </patternFill>
    </fill>
    <fill>
      <patternFill patternType="solid">
        <fgColor theme="1" tint="0.14999847407452621"/>
        <bgColor indexed="64"/>
      </patternFill>
    </fill>
    <fill>
      <patternFill patternType="solid">
        <fgColor theme="0" tint="-0.499984740745262"/>
        <bgColor indexed="64"/>
      </patternFill>
    </fill>
    <fill>
      <patternFill patternType="solid">
        <fgColor theme="2" tint="-0.249977111117893"/>
        <bgColor indexed="64"/>
      </patternFill>
    </fill>
  </fills>
  <borders count="17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bottom style="thin">
        <color auto="1"/>
      </bottom>
      <diagonal/>
    </border>
    <border>
      <left/>
      <right/>
      <top style="thin">
        <color theme="0" tint="-0.24994659260841701"/>
      </top>
      <bottom style="thin">
        <color auto="1"/>
      </bottom>
      <diagonal/>
    </border>
    <border>
      <left/>
      <right style="thin">
        <color theme="0" tint="-0.24994659260841701"/>
      </right>
      <top style="thin">
        <color theme="0" tint="-0.24994659260841701"/>
      </top>
      <bottom style="thin">
        <color auto="1"/>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theme="0"/>
      </right>
      <top style="thin">
        <color auto="1"/>
      </top>
      <bottom style="thin">
        <color theme="0"/>
      </bottom>
      <diagonal/>
    </border>
    <border>
      <left style="thin">
        <color theme="0"/>
      </left>
      <right/>
      <top style="thin">
        <color auto="1"/>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hair">
        <color rgb="FF203764"/>
      </left>
      <right style="hair">
        <color rgb="FF203764"/>
      </right>
      <top/>
      <bottom style="thick">
        <color rgb="FF203764"/>
      </bottom>
      <diagonal/>
    </border>
    <border>
      <left style="hair">
        <color rgb="FF203764"/>
      </left>
      <right/>
      <top/>
      <bottom style="thick">
        <color rgb="FF203764"/>
      </bottom>
      <diagonal/>
    </border>
    <border>
      <left style="hair">
        <color rgb="FF203764"/>
      </left>
      <right style="hair">
        <color rgb="FF203764"/>
      </right>
      <top style="thick">
        <color rgb="FF203764"/>
      </top>
      <bottom style="medium">
        <color rgb="FF808080"/>
      </bottom>
      <diagonal/>
    </border>
    <border>
      <left style="hair">
        <color rgb="FF203764"/>
      </left>
      <right/>
      <top style="thick">
        <color rgb="FF203764"/>
      </top>
      <bottom style="medium">
        <color rgb="FF808080"/>
      </bottom>
      <diagonal/>
    </border>
    <border>
      <left style="hair">
        <color rgb="FF203764"/>
      </left>
      <right style="hair">
        <color rgb="FF203764"/>
      </right>
      <top/>
      <bottom style="medium">
        <color rgb="FF808080"/>
      </bottom>
      <diagonal/>
    </border>
    <border>
      <left style="hair">
        <color rgb="FF203764"/>
      </left>
      <right/>
      <top/>
      <bottom style="medium">
        <color rgb="FF808080"/>
      </bottom>
      <diagonal/>
    </border>
    <border>
      <left style="hair">
        <color rgb="FF203764"/>
      </left>
      <right style="hair">
        <color rgb="FF203764"/>
      </right>
      <top style="medium">
        <color rgb="FF808080"/>
      </top>
      <bottom/>
      <diagonal/>
    </border>
    <border>
      <left style="hair">
        <color rgb="FF203764"/>
      </left>
      <right style="hair">
        <color rgb="FF203764"/>
      </right>
      <top style="medium">
        <color rgb="FF808080"/>
      </top>
      <bottom style="thin">
        <color indexed="64"/>
      </bottom>
      <diagonal/>
    </border>
    <border>
      <left style="hair">
        <color rgb="FF203764"/>
      </left>
      <right style="hair">
        <color rgb="FF203764"/>
      </right>
      <top/>
      <bottom/>
      <diagonal/>
    </border>
    <border>
      <left style="thin">
        <color indexed="64"/>
      </left>
      <right/>
      <top/>
      <bottom/>
      <diagonal/>
    </border>
    <border>
      <left style="thick">
        <color rgb="FFFFFFFF"/>
      </left>
      <right/>
      <top/>
      <bottom/>
      <diagonal/>
    </border>
    <border>
      <left/>
      <right style="thick">
        <color rgb="FFFFFFFF"/>
      </right>
      <top/>
      <bottom/>
      <diagonal/>
    </border>
    <border>
      <left style="thick">
        <color rgb="FFFFFFFF"/>
      </left>
      <right style="thick">
        <color rgb="FFFFFFFF"/>
      </right>
      <top style="thick">
        <color rgb="FFFFFFFF"/>
      </top>
      <bottom style="thick">
        <color rgb="FFFFFFFF"/>
      </bottom>
      <diagonal/>
    </border>
    <border>
      <left style="thick">
        <color rgb="FFFFFFFF"/>
      </left>
      <right/>
      <top/>
      <bottom style="thick">
        <color rgb="FFFFFFFF"/>
      </bottom>
      <diagonal/>
    </border>
    <border>
      <left/>
      <right/>
      <top/>
      <bottom style="thick">
        <color rgb="FFFFFFFF"/>
      </bottom>
      <diagonal/>
    </border>
    <border>
      <left/>
      <right style="thick">
        <color rgb="FFFFFFFF"/>
      </right>
      <top/>
      <bottom style="thick">
        <color rgb="FFFFFFFF"/>
      </bottom>
      <diagonal/>
    </border>
    <border>
      <left style="thick">
        <color rgb="FFFFFFFF"/>
      </left>
      <right/>
      <top style="thick">
        <color rgb="FFFFFFFF"/>
      </top>
      <bottom style="thick">
        <color rgb="FFFFFFFF"/>
      </bottom>
      <diagonal/>
    </border>
    <border>
      <left style="thin">
        <color indexed="64"/>
      </left>
      <right/>
      <top style="thick">
        <color rgb="FFFFFFFF"/>
      </top>
      <bottom style="thick">
        <color rgb="FFFFFFFF"/>
      </bottom>
      <diagonal/>
    </border>
    <border>
      <left/>
      <right/>
      <top style="thick">
        <color rgb="FFFFFFFF"/>
      </top>
      <bottom style="thick">
        <color rgb="FFFFFFFF"/>
      </bottom>
      <diagonal/>
    </border>
    <border>
      <left style="thin">
        <color indexed="64"/>
      </left>
      <right style="thick">
        <color rgb="FFFFFFFF"/>
      </right>
      <top style="thick">
        <color rgb="FFFFFFFF"/>
      </top>
      <bottom style="thick">
        <color rgb="FFFFFFFF"/>
      </bottom>
      <diagonal/>
    </border>
    <border>
      <left style="thick">
        <color rgb="FFFFFFFF"/>
      </left>
      <right style="thick">
        <color rgb="FFFFFFFF"/>
      </right>
      <top/>
      <bottom style="thick">
        <color rgb="FFFFFFFF"/>
      </bottom>
      <diagonal/>
    </border>
    <border>
      <left/>
      <right/>
      <top style="thick">
        <color rgb="FFFFFFFF"/>
      </top>
      <bottom/>
      <diagonal/>
    </border>
    <border>
      <left/>
      <right/>
      <top style="thin">
        <color auto="1"/>
      </top>
      <bottom style="thin">
        <color auto="1"/>
      </bottom>
      <diagonal/>
    </border>
    <border>
      <left style="thin">
        <color auto="1"/>
      </left>
      <right/>
      <top style="thin">
        <color indexed="64"/>
      </top>
      <bottom/>
      <diagonal/>
    </border>
    <border>
      <left/>
      <right style="thin">
        <color auto="1"/>
      </right>
      <top style="thin">
        <color indexed="64"/>
      </top>
      <bottom/>
      <diagonal/>
    </border>
    <border>
      <left style="thin">
        <color rgb="FF7F7F7F"/>
      </left>
      <right style="thin">
        <color rgb="FF7F7F7F"/>
      </right>
      <top style="thin">
        <color rgb="FF7F7F7F"/>
      </top>
      <bottom style="thin">
        <color rgb="FF7F7F7F"/>
      </bottom>
      <diagonal/>
    </border>
    <border>
      <left/>
      <right style="thick">
        <color rgb="FFFFFFFF"/>
      </right>
      <top style="thick">
        <color rgb="FFFFFFFF"/>
      </top>
      <bottom style="thick">
        <color rgb="FFFFFFFF"/>
      </bottom>
      <diagonal/>
    </border>
    <border>
      <left style="thin">
        <color theme="0"/>
      </left>
      <right/>
      <top style="thin">
        <color theme="0"/>
      </top>
      <bottom/>
      <diagonal/>
    </border>
    <border>
      <left/>
      <right style="thin">
        <color theme="0" tint="-0.24994659260841701"/>
      </right>
      <top style="thin">
        <color theme="0" tint="-0.24994659260841701"/>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000000"/>
      </left>
      <right style="thin">
        <color rgb="FF000000"/>
      </right>
      <top style="thin">
        <color rgb="FF000000"/>
      </top>
      <bottom style="thin">
        <color rgb="FF000000"/>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indexed="64"/>
      </bottom>
      <diagonal/>
    </border>
    <border>
      <left/>
      <right/>
      <top style="medium">
        <color theme="0" tint="-0.499984740745262"/>
      </top>
      <bottom style="medium">
        <color indexed="64"/>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theme="0" tint="-0.499984740745262"/>
      </top>
      <bottom/>
      <diagonal/>
    </border>
    <border>
      <left style="medium">
        <color theme="0" tint="-0.499984740745262"/>
      </left>
      <right style="thin">
        <color theme="0" tint="-0.14999847407452621"/>
      </right>
      <top style="thin">
        <color theme="0" tint="-0.14999847407452621"/>
      </top>
      <bottom style="thin">
        <color theme="0" tint="-0.14999847407452621"/>
      </bottom>
      <diagonal/>
    </border>
    <border>
      <left style="medium">
        <color theme="0" tint="-0.499984740745262"/>
      </left>
      <right/>
      <top style="medium">
        <color theme="0" tint="-0.499984740745262"/>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style="thin">
        <color theme="0" tint="-4.9989318521683403E-2"/>
      </right>
      <top style="medium">
        <color theme="0" tint="-0.499984740745262"/>
      </top>
      <bottom style="medium">
        <color theme="0" tint="-0.499984740745262"/>
      </bottom>
      <diagonal/>
    </border>
    <border>
      <left style="thin">
        <color theme="0" tint="-4.9989318521683403E-2"/>
      </left>
      <right style="thin">
        <color theme="0" tint="-4.9989318521683403E-2"/>
      </right>
      <top style="medium">
        <color theme="0" tint="-0.499984740745262"/>
      </top>
      <bottom style="medium">
        <color theme="0" tint="-0.499984740745262"/>
      </bottom>
      <diagonal/>
    </border>
    <border>
      <left style="thin">
        <color theme="0" tint="-4.9989318521683403E-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thin">
        <color indexed="64"/>
      </left>
      <right style="medium">
        <color theme="1"/>
      </right>
      <top style="thin">
        <color indexed="64"/>
      </top>
      <bottom style="thin">
        <color indexed="64"/>
      </bottom>
      <diagonal/>
    </border>
    <border>
      <left style="medium">
        <color theme="1"/>
      </left>
      <right/>
      <top/>
      <bottom style="medium">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medium">
        <color theme="1"/>
      </bottom>
      <diagonal/>
    </border>
    <border>
      <left/>
      <right style="medium">
        <color theme="1"/>
      </right>
      <top/>
      <bottom style="medium">
        <color theme="1"/>
      </bottom>
      <diagonal/>
    </border>
    <border>
      <left/>
      <right/>
      <top/>
      <bottom style="thin">
        <color theme="1"/>
      </bottom>
      <diagonal/>
    </border>
    <border>
      <left style="medium">
        <color theme="0" tint="-0.499984740745262"/>
      </left>
      <right style="thin">
        <color theme="1"/>
      </right>
      <top style="thin">
        <color theme="1"/>
      </top>
      <bottom style="thin">
        <color theme="1"/>
      </bottom>
      <diagonal/>
    </border>
    <border>
      <left style="thin">
        <color theme="1"/>
      </left>
      <right style="medium">
        <color theme="0" tint="-0.499984740745262"/>
      </right>
      <top style="thin">
        <color theme="1"/>
      </top>
      <bottom style="thin">
        <color theme="1"/>
      </bottom>
      <diagonal/>
    </border>
    <border>
      <left style="medium">
        <color theme="0" tint="-0.499984740745262"/>
      </left>
      <right style="thin">
        <color theme="1"/>
      </right>
      <top style="thin">
        <color theme="1"/>
      </top>
      <bottom style="medium">
        <color theme="0" tint="-0.499984740745262"/>
      </bottom>
      <diagonal/>
    </border>
    <border>
      <left style="thin">
        <color theme="1"/>
      </left>
      <right style="thin">
        <color theme="1"/>
      </right>
      <top style="thin">
        <color theme="1"/>
      </top>
      <bottom style="medium">
        <color theme="0" tint="-0.499984740745262"/>
      </bottom>
      <diagonal/>
    </border>
    <border>
      <left style="thin">
        <color theme="1"/>
      </left>
      <right style="medium">
        <color theme="0" tint="-0.499984740745262"/>
      </right>
      <top style="thin">
        <color theme="1"/>
      </top>
      <bottom style="medium">
        <color theme="0" tint="-0.499984740745262"/>
      </bottom>
      <diagonal/>
    </border>
    <border>
      <left/>
      <right style="thin">
        <color theme="1"/>
      </right>
      <top/>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0" tint="-0.499984740745262"/>
      </left>
      <right/>
      <top style="thin">
        <color theme="0"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499984740745262"/>
      </right>
      <top style="thin">
        <color theme="0" tint="-0.499984740745262"/>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right/>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diagonal/>
    </border>
    <border>
      <left style="thin">
        <color theme="2" tint="-0.499984740745262"/>
      </left>
      <right style="thin">
        <color theme="2" tint="-0.499984740745262"/>
      </right>
      <top style="thin">
        <color theme="2"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1"/>
      </left>
      <right style="thin">
        <color theme="1"/>
      </right>
      <top style="thin">
        <color theme="1"/>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medium">
        <color indexed="64"/>
      </bottom>
      <diagonal/>
    </border>
    <border>
      <left/>
      <right/>
      <top/>
      <bottom style="medium">
        <color indexed="64"/>
      </bottom>
      <diagonal/>
    </border>
    <border>
      <left/>
      <right style="medium">
        <color theme="1"/>
      </right>
      <top style="medium">
        <color indexed="64"/>
      </top>
      <bottom/>
      <diagonal/>
    </border>
    <border>
      <left style="medium">
        <color indexed="64"/>
      </left>
      <right/>
      <top/>
      <bottom style="medium">
        <color indexed="64"/>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medium">
        <color theme="1"/>
      </left>
      <right/>
      <top/>
      <bottom style="medium">
        <color theme="0" tint="-0.499984740745262"/>
      </bottom>
      <diagonal/>
    </border>
    <border>
      <left style="medium">
        <color indexed="64"/>
      </left>
      <right style="thin">
        <color indexed="64"/>
      </right>
      <top style="thin">
        <color indexed="64"/>
      </top>
      <bottom/>
      <diagonal/>
    </border>
    <border>
      <left style="thin">
        <color theme="1"/>
      </left>
      <right style="medium">
        <color theme="0" tint="-0.499984740745262"/>
      </right>
      <top style="thin">
        <color theme="1"/>
      </top>
      <bottom style="medium">
        <color indexed="64"/>
      </bottom>
      <diagonal/>
    </border>
    <border>
      <left style="medium">
        <color theme="0" tint="-0.499984740745262"/>
      </left>
      <right/>
      <top style="medium">
        <color theme="0" tint="-0.499984740745262"/>
      </top>
      <bottom style="thin">
        <color theme="1"/>
      </bottom>
      <diagonal/>
    </border>
    <border>
      <left/>
      <right/>
      <top style="medium">
        <color theme="0" tint="-0.499984740745262"/>
      </top>
      <bottom style="thin">
        <color theme="1"/>
      </bottom>
      <diagonal/>
    </border>
    <border>
      <left/>
      <right style="medium">
        <color theme="0" tint="-0.499984740745262"/>
      </right>
      <top style="medium">
        <color theme="0" tint="-0.499984740745262"/>
      </top>
      <bottom style="thin">
        <color theme="1"/>
      </bottom>
      <diagonal/>
    </border>
    <border>
      <left style="thin">
        <color theme="0" tint="-0.499984740745262"/>
      </left>
      <right style="thin">
        <color theme="0" tint="-0.499984740745262"/>
      </right>
      <top/>
      <bottom style="medium">
        <color theme="0" tint="-0.499984740745262"/>
      </bottom>
      <diagonal/>
    </border>
    <border>
      <left/>
      <right/>
      <top style="thin">
        <color theme="1"/>
      </top>
      <bottom style="thin">
        <color theme="1"/>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2" tint="-0.499984740745262"/>
      </right>
      <top style="thin">
        <color theme="0" tint="-0.499984740745262"/>
      </top>
      <bottom style="thin">
        <color theme="0" tint="-0.499984740745262"/>
      </bottom>
      <diagonal/>
    </border>
    <border>
      <left style="thin">
        <color theme="0" tint="-0.499984740745262"/>
      </left>
      <right style="medium">
        <color theme="2" tint="-0.499984740745262"/>
      </right>
      <top style="thin">
        <color theme="0" tint="-0.499984740745262"/>
      </top>
      <bottom style="medium">
        <color theme="0" tint="-0.499984740745262"/>
      </bottom>
      <diagonal/>
    </border>
    <border>
      <left style="medium">
        <color theme="2" tint="-0.499984740745262"/>
      </left>
      <right style="thin">
        <color theme="0" tint="-0.499984740745262"/>
      </right>
      <top style="thin">
        <color theme="0" tint="-0.499984740745262"/>
      </top>
      <bottom style="medium">
        <color theme="2" tint="-0.499984740745262"/>
      </bottom>
      <diagonal/>
    </border>
    <border>
      <left style="thin">
        <color theme="0" tint="-0.499984740745262"/>
      </left>
      <right style="thin">
        <color theme="0" tint="-0.499984740745262"/>
      </right>
      <top style="thin">
        <color theme="0" tint="-0.499984740745262"/>
      </top>
      <bottom style="medium">
        <color theme="2" tint="-0.499984740745262"/>
      </bottom>
      <diagonal/>
    </border>
    <border>
      <left style="thin">
        <color theme="0" tint="-0.499984740745262"/>
      </left>
      <right style="medium">
        <color theme="2" tint="-0.499984740745262"/>
      </right>
      <top style="thin">
        <color theme="0" tint="-0.499984740745262"/>
      </top>
      <bottom style="medium">
        <color theme="2" tint="-0.499984740745262"/>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style="thin">
        <color theme="1"/>
      </left>
      <right/>
      <top style="medium">
        <color indexed="64"/>
      </top>
      <bottom style="thin">
        <color theme="1"/>
      </bottom>
      <diagonal/>
    </border>
    <border>
      <left/>
      <right/>
      <top style="medium">
        <color indexed="64"/>
      </top>
      <bottom style="thin">
        <color theme="1"/>
      </bottom>
      <diagonal/>
    </border>
    <border>
      <left/>
      <right style="thin">
        <color theme="1"/>
      </right>
      <top style="medium">
        <color indexed="64"/>
      </top>
      <bottom style="thin">
        <color theme="1"/>
      </bottom>
      <diagonal/>
    </border>
    <border>
      <left/>
      <right style="medium">
        <color theme="0" tint="-0.499984740745262"/>
      </right>
      <top style="medium">
        <color indexed="64"/>
      </top>
      <bottom style="thin">
        <color theme="1"/>
      </bottom>
      <diagonal/>
    </border>
    <border>
      <left style="medium">
        <color theme="2" tint="-0.499984740745262"/>
      </left>
      <right style="medium">
        <color theme="1"/>
      </right>
      <top/>
      <bottom/>
      <diagonal/>
    </border>
    <border>
      <left style="medium">
        <color theme="2" tint="-0.499984740745262"/>
      </left>
      <right/>
      <top style="medium">
        <color theme="0" tint="-0.499984740745262"/>
      </top>
      <bottom/>
      <diagonal/>
    </border>
    <border>
      <left style="medium">
        <color theme="2" tint="-0.499984740745262"/>
      </left>
      <right style="medium">
        <color theme="1"/>
      </right>
      <top/>
      <bottom style="medium">
        <color theme="0" tint="-0.499984740745262"/>
      </bottom>
      <diagonal/>
    </border>
    <border>
      <left/>
      <right style="medium">
        <color theme="2" tint="-0.499984740745262"/>
      </right>
      <top style="medium">
        <color theme="0" tint="-0.499984740745262"/>
      </top>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style="medium">
        <color theme="2" tint="-0.499984740745262"/>
      </left>
      <right style="thin">
        <color theme="0" tint="-0.499984740745262"/>
      </right>
      <top style="medium">
        <color theme="2" tint="-0.499984740745262"/>
      </top>
      <bottom style="medium">
        <color theme="2" tint="-0.499984740745262"/>
      </bottom>
      <diagonal/>
    </border>
    <border>
      <left style="thin">
        <color theme="0" tint="-0.499984740745262"/>
      </left>
      <right style="medium">
        <color theme="2" tint="-0.499984740745262"/>
      </right>
      <top style="medium">
        <color theme="2" tint="-0.499984740745262"/>
      </top>
      <bottom style="medium">
        <color theme="2" tint="-0.499984740745262"/>
      </bottom>
      <diagonal/>
    </border>
    <border>
      <left style="medium">
        <color theme="2" tint="-0.499984740745262"/>
      </left>
      <right style="thin">
        <color theme="0" tint="-0.499984740745262"/>
      </right>
      <top style="medium">
        <color theme="2" tint="-0.499984740745262"/>
      </top>
      <bottom style="thin">
        <color theme="0" tint="-0.499984740745262"/>
      </bottom>
      <diagonal/>
    </border>
    <border>
      <left style="thin">
        <color theme="0" tint="-0.499984740745262"/>
      </left>
      <right style="thin">
        <color theme="0" tint="-0.499984740745262"/>
      </right>
      <top style="medium">
        <color theme="2" tint="-0.499984740745262"/>
      </top>
      <bottom style="thin">
        <color theme="0" tint="-0.499984740745262"/>
      </bottom>
      <diagonal/>
    </border>
    <border>
      <left style="thin">
        <color theme="0" tint="-0.499984740745262"/>
      </left>
      <right style="medium">
        <color theme="2" tint="-0.499984740745262"/>
      </right>
      <top style="medium">
        <color theme="2" tint="-0.499984740745262"/>
      </top>
      <bottom style="thin">
        <color theme="0" tint="-0.499984740745262"/>
      </bottom>
      <diagonal/>
    </border>
    <border>
      <left style="medium">
        <color theme="2" tint="-0.499984740745262"/>
      </left>
      <right style="medium">
        <color theme="2" tint="-0.499984740745262"/>
      </right>
      <top style="medium">
        <color theme="2" tint="-0.499984740745262"/>
      </top>
      <bottom style="thin">
        <color theme="0" tint="-0.499984740745262"/>
      </bottom>
      <diagonal/>
    </border>
    <border>
      <left style="medium">
        <color theme="2" tint="-0.499984740745262"/>
      </left>
      <right style="medium">
        <color theme="2" tint="-0.499984740745262"/>
      </right>
      <top style="thin">
        <color theme="0" tint="-0.499984740745262"/>
      </top>
      <bottom style="medium">
        <color theme="2" tint="-0.499984740745262"/>
      </bottom>
      <diagonal/>
    </border>
    <border>
      <left style="thin">
        <color theme="0" tint="-0.499984740745262"/>
      </left>
      <right style="thin">
        <color theme="0" tint="-0.499984740745262"/>
      </right>
      <top style="medium">
        <color theme="2" tint="-0.499984740745262"/>
      </top>
      <bottom style="medium">
        <color theme="2" tint="-0.499984740745262"/>
      </bottom>
      <diagonal/>
    </border>
  </borders>
  <cellStyleXfs count="24">
    <xf numFmtId="0" fontId="0" fillId="0" borderId="0"/>
    <xf numFmtId="9" fontId="11" fillId="0" borderId="0" applyFont="0" applyFill="0" applyBorder="0" applyAlignment="0" applyProtection="0"/>
    <xf numFmtId="0" fontId="13" fillId="0" borderId="0"/>
    <xf numFmtId="0" fontId="9" fillId="0" borderId="0"/>
    <xf numFmtId="0" fontId="9" fillId="0" borderId="0"/>
    <xf numFmtId="0" fontId="8" fillId="0" borderId="0"/>
    <xf numFmtId="0" fontId="8" fillId="0" borderId="0"/>
    <xf numFmtId="0" fontId="7" fillId="0" borderId="0"/>
    <xf numFmtId="165" fontId="11" fillId="0" borderId="0" applyFont="0" applyFill="0" applyBorder="0" applyAlignment="0" applyProtection="0"/>
    <xf numFmtId="0" fontId="73" fillId="29" borderId="0" applyNumberFormat="0" applyBorder="0" applyAlignment="0" applyProtection="0"/>
    <xf numFmtId="0" fontId="49" fillId="30" borderId="0" applyNumberFormat="0" applyBorder="0" applyAlignment="0" applyProtection="0"/>
    <xf numFmtId="0" fontId="11" fillId="0" borderId="0"/>
    <xf numFmtId="0" fontId="6" fillId="0" borderId="0"/>
    <xf numFmtId="0" fontId="5" fillId="3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31" borderId="0" applyNumberFormat="0" applyBorder="0" applyAlignment="0" applyProtection="0"/>
    <xf numFmtId="0" fontId="3" fillId="0" borderId="0"/>
    <xf numFmtId="0" fontId="2" fillId="0" borderId="0"/>
    <xf numFmtId="9" fontId="2" fillId="0" borderId="0" applyFont="0" applyFill="0" applyBorder="0" applyAlignment="0" applyProtection="0"/>
  </cellStyleXfs>
  <cellXfs count="883">
    <xf numFmtId="0" fontId="0" fillId="0" borderId="0" xfId="0"/>
    <xf numFmtId="0" fontId="12" fillId="0" borderId="0" xfId="0" applyFont="1" applyAlignment="1">
      <alignment vertical="center"/>
    </xf>
    <xf numFmtId="0" fontId="14" fillId="0" borderId="0" xfId="2" applyFont="1" applyAlignment="1">
      <alignment horizontal="center" vertical="center" wrapText="1" readingOrder="1"/>
    </xf>
    <xf numFmtId="0" fontId="15" fillId="0" borderId="0" xfId="2" applyFont="1" applyAlignment="1">
      <alignment horizontal="left" vertical="center" wrapText="1" readingOrder="1"/>
    </xf>
    <xf numFmtId="0" fontId="15" fillId="0" borderId="0" xfId="2" applyFont="1" applyAlignment="1">
      <alignment horizontal="center" vertical="center" wrapText="1" readingOrder="1"/>
    </xf>
    <xf numFmtId="0" fontId="16" fillId="0" borderId="0" xfId="0" applyFont="1" applyAlignment="1">
      <alignment vertical="center"/>
    </xf>
    <xf numFmtId="166" fontId="17" fillId="0" borderId="1" xfId="2" applyNumberFormat="1" applyFont="1" applyBorder="1" applyAlignment="1">
      <alignment horizontal="center" vertical="center" wrapText="1" readingOrder="1"/>
    </xf>
    <xf numFmtId="166" fontId="15" fillId="0" borderId="1" xfId="2" applyNumberFormat="1" applyFont="1" applyBorder="1" applyAlignment="1">
      <alignment horizontal="center" vertical="center" wrapText="1" readingOrder="1"/>
    </xf>
    <xf numFmtId="166" fontId="18" fillId="0" borderId="1" xfId="2" applyNumberFormat="1" applyFont="1" applyBorder="1" applyAlignment="1">
      <alignment horizontal="center" vertical="center" wrapText="1" readingOrder="1"/>
    </xf>
    <xf numFmtId="0" fontId="15" fillId="0" borderId="0" xfId="2" quotePrefix="1" applyFont="1" applyAlignment="1">
      <alignment horizontal="left" vertical="center" wrapText="1" readingOrder="1"/>
    </xf>
    <xf numFmtId="0" fontId="12" fillId="0" borderId="0" xfId="0" applyFont="1" applyAlignment="1">
      <alignment horizontal="center" vertical="center"/>
    </xf>
    <xf numFmtId="9" fontId="12" fillId="0" borderId="0" xfId="1" applyFont="1" applyAlignment="1">
      <alignment horizontal="center" vertical="center"/>
    </xf>
    <xf numFmtId="0" fontId="16" fillId="0" borderId="0" xfId="0" applyFont="1" applyAlignment="1">
      <alignment horizontal="center" vertical="center"/>
    </xf>
    <xf numFmtId="0" fontId="20" fillId="0" borderId="0" xfId="0" applyFont="1"/>
    <xf numFmtId="0" fontId="22" fillId="4" borderId="0" xfId="0" applyFont="1" applyFill="1" applyAlignment="1">
      <alignment horizontal="center" vertical="center" wrapText="1"/>
    </xf>
    <xf numFmtId="0" fontId="13"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24" fillId="0" borderId="0" xfId="0" applyFont="1" applyAlignment="1">
      <alignment horizontal="center" vertical="center"/>
    </xf>
    <xf numFmtId="0" fontId="24" fillId="0" borderId="0" xfId="0" applyFont="1"/>
    <xf numFmtId="0" fontId="25" fillId="0" borderId="0" xfId="0" applyFont="1" applyAlignment="1">
      <alignment vertical="center"/>
    </xf>
    <xf numFmtId="0" fontId="24" fillId="0" borderId="0" xfId="0" applyFont="1" applyAlignment="1">
      <alignment horizontal="left" vertical="center"/>
    </xf>
    <xf numFmtId="9" fontId="24" fillId="0" borderId="0" xfId="1" applyFont="1" applyAlignment="1">
      <alignment horizontal="center" vertical="center"/>
    </xf>
    <xf numFmtId="0" fontId="28" fillId="6" borderId="10" xfId="2" applyFont="1" applyFill="1" applyBorder="1" applyAlignment="1">
      <alignment horizontal="center" vertical="center" wrapText="1" readingOrder="1"/>
    </xf>
    <xf numFmtId="0" fontId="29" fillId="0" borderId="0" xfId="0" applyFont="1" applyAlignment="1">
      <alignment horizontal="center" vertical="center"/>
    </xf>
    <xf numFmtId="0" fontId="13" fillId="0" borderId="0" xfId="0" applyFont="1" applyAlignment="1">
      <alignment vertical="center"/>
    </xf>
    <xf numFmtId="0" fontId="28" fillId="6" borderId="12" xfId="2" applyFont="1" applyFill="1" applyBorder="1" applyAlignment="1">
      <alignment horizontal="center" vertical="center" wrapText="1" readingOrder="1"/>
    </xf>
    <xf numFmtId="0" fontId="30" fillId="6" borderId="10" xfId="2" applyFont="1" applyFill="1" applyBorder="1" applyAlignment="1">
      <alignment horizontal="center" vertical="center" wrapText="1" readingOrder="1"/>
    </xf>
    <xf numFmtId="166" fontId="28" fillId="6" borderId="11" xfId="2" applyNumberFormat="1" applyFont="1" applyFill="1" applyBorder="1" applyAlignment="1">
      <alignment horizontal="center" vertical="center" wrapText="1" readingOrder="1"/>
    </xf>
    <xf numFmtId="166" fontId="28" fillId="6" borderId="13" xfId="2" applyNumberFormat="1" applyFont="1" applyFill="1" applyBorder="1" applyAlignment="1">
      <alignment horizontal="center" vertical="center" wrapText="1" readingOrder="1"/>
    </xf>
    <xf numFmtId="0" fontId="28" fillId="5" borderId="12" xfId="2" applyFont="1" applyFill="1" applyBorder="1" applyAlignment="1">
      <alignment horizontal="center" vertical="center" wrapText="1" readingOrder="1"/>
    </xf>
    <xf numFmtId="166" fontId="28" fillId="6" borderId="10" xfId="2" applyNumberFormat="1" applyFont="1" applyFill="1" applyBorder="1" applyAlignment="1">
      <alignment horizontal="center" vertical="center" wrapText="1" readingOrder="1"/>
    </xf>
    <xf numFmtId="166" fontId="10" fillId="6" borderId="10" xfId="2" applyNumberFormat="1" applyFont="1" applyFill="1" applyBorder="1" applyAlignment="1">
      <alignment horizontal="center" vertical="center" wrapText="1" readingOrder="1"/>
    </xf>
    <xf numFmtId="166" fontId="10" fillId="6" borderId="11" xfId="2" applyNumberFormat="1" applyFont="1" applyFill="1" applyBorder="1" applyAlignment="1">
      <alignment horizontal="center" vertical="center" wrapText="1" readingOrder="1"/>
    </xf>
    <xf numFmtId="9" fontId="28" fillId="6" borderId="12" xfId="1" applyFont="1" applyFill="1" applyBorder="1" applyAlignment="1">
      <alignment horizontal="center" vertical="center" wrapText="1" readingOrder="1"/>
    </xf>
    <xf numFmtId="0" fontId="28" fillId="6" borderId="14" xfId="2" applyFont="1" applyFill="1" applyBorder="1" applyAlignment="1">
      <alignment horizontal="center" vertical="center" wrapText="1" readingOrder="1"/>
    </xf>
    <xf numFmtId="0" fontId="33" fillId="0" borderId="15" xfId="2" applyFont="1" applyBorder="1" applyAlignment="1">
      <alignment horizontal="center" vertical="center" wrapText="1" readingOrder="1"/>
    </xf>
    <xf numFmtId="0" fontId="33" fillId="0" borderId="15" xfId="2" applyFont="1" applyBorder="1" applyAlignment="1">
      <alignment horizontal="left" vertical="center" wrapText="1" readingOrder="1"/>
    </xf>
    <xf numFmtId="0" fontId="33" fillId="0" borderId="1" xfId="2" applyFont="1" applyBorder="1" applyAlignment="1">
      <alignment horizontal="center" vertical="center" wrapText="1" readingOrder="1"/>
    </xf>
    <xf numFmtId="0" fontId="34" fillId="0" borderId="1" xfId="2" applyFont="1" applyBorder="1" applyAlignment="1">
      <alignment horizontal="center" vertical="center" wrapText="1" readingOrder="1"/>
    </xf>
    <xf numFmtId="17" fontId="34" fillId="0" borderId="15" xfId="2" applyNumberFormat="1" applyFont="1" applyBorder="1" applyAlignment="1">
      <alignment horizontal="center" vertical="center" wrapText="1" readingOrder="1"/>
    </xf>
    <xf numFmtId="166" fontId="35" fillId="0" borderId="1" xfId="2" applyNumberFormat="1" applyFont="1" applyBorder="1" applyAlignment="1">
      <alignment horizontal="center" vertical="center" wrapText="1" readingOrder="1"/>
    </xf>
    <xf numFmtId="17" fontId="33" fillId="0" borderId="1" xfId="2" applyNumberFormat="1" applyFont="1" applyBorder="1" applyAlignment="1">
      <alignment horizontal="center" vertical="center" wrapText="1" readingOrder="1"/>
    </xf>
    <xf numFmtId="166" fontId="36" fillId="0" borderId="1" xfId="2" applyNumberFormat="1" applyFont="1" applyBorder="1" applyAlignment="1">
      <alignment horizontal="center" vertical="center" wrapText="1" readingOrder="1"/>
    </xf>
    <xf numFmtId="0" fontId="33" fillId="0" borderId="1" xfId="2" quotePrefix="1" applyFont="1" applyBorder="1" applyAlignment="1">
      <alignment horizontal="left" vertical="center" wrapText="1" readingOrder="1"/>
    </xf>
    <xf numFmtId="0" fontId="37" fillId="0" borderId="15" xfId="2" applyFont="1" applyBorder="1" applyAlignment="1">
      <alignment horizontal="center" vertical="center" wrapText="1" readingOrder="1"/>
    </xf>
    <xf numFmtId="9" fontId="37" fillId="0" borderId="15" xfId="1" applyFont="1" applyFill="1" applyBorder="1" applyAlignment="1">
      <alignment horizontal="center" vertical="center" wrapText="1" readingOrder="1"/>
    </xf>
    <xf numFmtId="9" fontId="37" fillId="0" borderId="15" xfId="2" applyNumberFormat="1" applyFont="1" applyBorder="1" applyAlignment="1">
      <alignment horizontal="center" vertical="center" wrapText="1" readingOrder="1"/>
    </xf>
    <xf numFmtId="0" fontId="13" fillId="0" borderId="1" xfId="0" applyFont="1" applyBorder="1" applyAlignment="1">
      <alignment horizontal="center" vertical="center"/>
    </xf>
    <xf numFmtId="17" fontId="33" fillId="0" borderId="15" xfId="2" applyNumberFormat="1" applyFont="1" applyBorder="1" applyAlignment="1">
      <alignment horizontal="center" vertical="center" wrapText="1" readingOrder="1"/>
    </xf>
    <xf numFmtId="166" fontId="35" fillId="0" borderId="15" xfId="2" applyNumberFormat="1" applyFont="1" applyBorder="1" applyAlignment="1">
      <alignment horizontal="center" vertical="center" wrapText="1" readingOrder="1"/>
    </xf>
    <xf numFmtId="166" fontId="36" fillId="0" borderId="15" xfId="2" applyNumberFormat="1" applyFont="1" applyBorder="1" applyAlignment="1">
      <alignment horizontal="center" vertical="center" wrapText="1" readingOrder="1"/>
    </xf>
    <xf numFmtId="0" fontId="34" fillId="0" borderId="15" xfId="2" applyFont="1" applyBorder="1" applyAlignment="1">
      <alignment horizontal="center" vertical="center" wrapText="1" readingOrder="1"/>
    </xf>
    <xf numFmtId="0" fontId="33" fillId="0" borderId="15" xfId="2" quotePrefix="1" applyFont="1" applyBorder="1" applyAlignment="1">
      <alignment horizontal="left" vertical="center" wrapText="1" readingOrder="1"/>
    </xf>
    <xf numFmtId="17" fontId="34" fillId="0" borderId="1" xfId="2" applyNumberFormat="1" applyFont="1" applyBorder="1" applyAlignment="1">
      <alignment horizontal="center" vertical="center" wrapText="1" readingOrder="1"/>
    </xf>
    <xf numFmtId="0" fontId="37" fillId="0" borderId="1" xfId="2" applyFont="1" applyBorder="1" applyAlignment="1">
      <alignment horizontal="center" vertical="center" wrapText="1" readingOrder="1"/>
    </xf>
    <xf numFmtId="0" fontId="33" fillId="0" borderId="1" xfId="2" applyFont="1" applyBorder="1" applyAlignment="1">
      <alignment horizontal="left" vertical="center" wrapText="1" readingOrder="1"/>
    </xf>
    <xf numFmtId="0" fontId="20" fillId="0" borderId="0" xfId="0" applyFont="1" applyAlignment="1">
      <alignment vertical="center"/>
    </xf>
    <xf numFmtId="0" fontId="20" fillId="0" borderId="0" xfId="0" applyFont="1" applyAlignment="1">
      <alignment horizontal="center" vertical="center"/>
    </xf>
    <xf numFmtId="166" fontId="20" fillId="0" borderId="0" xfId="0" applyNumberFormat="1" applyFont="1" applyAlignment="1">
      <alignment vertical="center"/>
    </xf>
    <xf numFmtId="166" fontId="13" fillId="0" borderId="0" xfId="0" applyNumberFormat="1" applyFont="1" applyAlignment="1">
      <alignment vertical="center"/>
    </xf>
    <xf numFmtId="166" fontId="38" fillId="0" borderId="0" xfId="0" applyNumberFormat="1" applyFont="1" applyAlignment="1">
      <alignment vertical="center"/>
    </xf>
    <xf numFmtId="0" fontId="13" fillId="0" borderId="0" xfId="0" applyFont="1" applyAlignment="1">
      <alignment horizontal="left" vertical="center"/>
    </xf>
    <xf numFmtId="9" fontId="13" fillId="0" borderId="0" xfId="1" applyFont="1" applyAlignment="1">
      <alignment horizontal="center" vertical="center"/>
    </xf>
    <xf numFmtId="0" fontId="40" fillId="0" borderId="16" xfId="0" applyFont="1" applyBorder="1" applyAlignment="1">
      <alignment horizontal="center" vertical="center" wrapText="1"/>
    </xf>
    <xf numFmtId="0" fontId="40" fillId="7" borderId="16" xfId="0" applyFont="1" applyFill="1" applyBorder="1" applyAlignment="1">
      <alignment horizontal="center" vertical="center" wrapText="1"/>
    </xf>
    <xf numFmtId="0" fontId="43" fillId="0" borderId="0" xfId="0" applyFont="1" applyAlignment="1">
      <alignment horizontal="center" vertical="center"/>
    </xf>
    <xf numFmtId="0" fontId="43" fillId="0" borderId="16" xfId="0" applyFont="1" applyBorder="1" applyAlignment="1">
      <alignment horizontal="center" vertical="center"/>
    </xf>
    <xf numFmtId="0" fontId="43" fillId="0" borderId="0" xfId="0" applyFont="1"/>
    <xf numFmtId="0" fontId="0" fillId="0" borderId="0" xfId="0" applyAlignment="1">
      <alignment vertical="center"/>
    </xf>
    <xf numFmtId="3" fontId="41" fillId="0" borderId="0" xfId="0" applyNumberFormat="1" applyFont="1" applyAlignment="1">
      <alignment horizontal="center" vertical="center"/>
    </xf>
    <xf numFmtId="0" fontId="40" fillId="9" borderId="16" xfId="0" applyFont="1" applyFill="1" applyBorder="1" applyAlignment="1">
      <alignment horizontal="center" vertical="center" wrapText="1"/>
    </xf>
    <xf numFmtId="0" fontId="45" fillId="0" borderId="0" xfId="0" applyFont="1"/>
    <xf numFmtId="0" fontId="47" fillId="0" borderId="24" xfId="0" applyFont="1" applyBorder="1" applyAlignment="1">
      <alignment vertical="center" wrapText="1"/>
    </xf>
    <xf numFmtId="0" fontId="47" fillId="0" borderId="25" xfId="0" applyFont="1" applyBorder="1" applyAlignment="1">
      <alignment vertical="center" wrapText="1"/>
    </xf>
    <xf numFmtId="0" fontId="46" fillId="14" borderId="26" xfId="0" applyFont="1" applyFill="1" applyBorder="1" applyAlignment="1">
      <alignment horizontal="center" vertical="center"/>
    </xf>
    <xf numFmtId="0" fontId="46" fillId="14" borderId="27" xfId="0" applyFont="1" applyFill="1" applyBorder="1" applyAlignment="1">
      <alignment horizontal="center" vertical="center"/>
    </xf>
    <xf numFmtId="0" fontId="47" fillId="0" borderId="28" xfId="0" applyFont="1" applyBorder="1" applyAlignment="1">
      <alignment vertical="center" wrapText="1"/>
    </xf>
    <xf numFmtId="0" fontId="47" fillId="0" borderId="29" xfId="0" applyFont="1" applyBorder="1" applyAlignment="1">
      <alignment vertical="center" wrapText="1"/>
    </xf>
    <xf numFmtId="0" fontId="0" fillId="0" borderId="0" xfId="0" applyAlignment="1">
      <alignment horizontal="center"/>
    </xf>
    <xf numFmtId="0" fontId="47" fillId="0" borderId="28" xfId="0" applyFont="1" applyBorder="1" applyAlignment="1">
      <alignment horizontal="center" vertical="center"/>
    </xf>
    <xf numFmtId="0" fontId="47" fillId="0" borderId="28" xfId="0" applyFont="1" applyBorder="1" applyAlignment="1">
      <alignment horizontal="center" vertical="center" wrapText="1"/>
    </xf>
    <xf numFmtId="0" fontId="47" fillId="0" borderId="24" xfId="0" applyFont="1" applyBorder="1" applyAlignment="1">
      <alignment horizontal="center" vertical="center"/>
    </xf>
    <xf numFmtId="0" fontId="47" fillId="0" borderId="24" xfId="0" applyFont="1" applyBorder="1" applyAlignment="1">
      <alignment horizontal="center" vertical="center" wrapText="1"/>
    </xf>
    <xf numFmtId="0" fontId="47" fillId="0" borderId="31" xfId="0" applyFont="1" applyBorder="1" applyAlignment="1">
      <alignment horizontal="center" vertical="center"/>
    </xf>
    <xf numFmtId="0" fontId="47" fillId="0" borderId="31" xfId="0" applyFont="1" applyBorder="1" applyAlignment="1">
      <alignment vertical="center" wrapText="1"/>
    </xf>
    <xf numFmtId="0" fontId="47" fillId="0" borderId="29" xfId="0" applyFont="1" applyBorder="1" applyAlignment="1">
      <alignment horizontal="left" vertical="center" wrapText="1"/>
    </xf>
    <xf numFmtId="16" fontId="47" fillId="0" borderId="28" xfId="0" applyNumberFormat="1" applyFont="1" applyBorder="1" applyAlignment="1">
      <alignment horizontal="center" vertical="center" wrapText="1"/>
    </xf>
    <xf numFmtId="0" fontId="47" fillId="13" borderId="28" xfId="0" applyFont="1" applyFill="1" applyBorder="1" applyAlignment="1">
      <alignment vertical="center" wrapText="1"/>
    </xf>
    <xf numFmtId="0" fontId="50" fillId="17" borderId="0" xfId="0" applyFont="1" applyFill="1" applyAlignment="1">
      <alignment horizontal="center" vertical="center"/>
    </xf>
    <xf numFmtId="0" fontId="0" fillId="0" borderId="0" xfId="0" applyAlignment="1">
      <alignment horizontal="center" vertical="center"/>
    </xf>
    <xf numFmtId="0" fontId="50" fillId="18" borderId="0" xfId="0" applyFont="1" applyFill="1" applyAlignment="1">
      <alignment horizontal="center" vertical="center"/>
    </xf>
    <xf numFmtId="0" fontId="50" fillId="16" borderId="0" xfId="0" applyFont="1" applyFill="1" applyAlignment="1">
      <alignment horizontal="center" vertical="center"/>
    </xf>
    <xf numFmtId="0" fontId="53" fillId="15" borderId="36" xfId="0" applyFont="1" applyFill="1" applyBorder="1" applyAlignment="1">
      <alignment horizontal="center" vertical="center" wrapText="1" readingOrder="1"/>
    </xf>
    <xf numFmtId="0" fontId="54" fillId="20" borderId="36" xfId="0" applyFont="1" applyFill="1" applyBorder="1" applyAlignment="1">
      <alignment horizontal="center" vertical="center" wrapText="1" readingOrder="1"/>
    </xf>
    <xf numFmtId="0" fontId="55" fillId="17" borderId="36" xfId="0" applyFont="1" applyFill="1" applyBorder="1" applyAlignment="1">
      <alignment horizontal="center" vertical="center" wrapText="1" readingOrder="1"/>
    </xf>
    <xf numFmtId="0" fontId="55" fillId="18" borderId="36" xfId="0" applyFont="1" applyFill="1" applyBorder="1" applyAlignment="1">
      <alignment horizontal="center" vertical="center" wrapText="1" readingOrder="1"/>
    </xf>
    <xf numFmtId="0" fontId="55" fillId="16" borderId="36" xfId="0" applyFont="1" applyFill="1" applyBorder="1" applyAlignment="1">
      <alignment horizontal="center" vertical="center" wrapText="1" readingOrder="1"/>
    </xf>
    <xf numFmtId="0" fontId="58" fillId="0" borderId="36" xfId="0" applyFont="1" applyBorder="1" applyAlignment="1">
      <alignment horizontal="center" vertical="center" wrapText="1"/>
    </xf>
    <xf numFmtId="0" fontId="58" fillId="21" borderId="36" xfId="0" applyFont="1" applyFill="1" applyBorder="1" applyAlignment="1">
      <alignment horizontal="center" vertical="center" wrapText="1"/>
    </xf>
    <xf numFmtId="0" fontId="58" fillId="22" borderId="36" xfId="0" applyFont="1" applyFill="1" applyBorder="1" applyAlignment="1">
      <alignment horizontal="center" vertical="center" wrapText="1"/>
    </xf>
    <xf numFmtId="0" fontId="58" fillId="23" borderId="36" xfId="0" applyFont="1" applyFill="1" applyBorder="1" applyAlignment="1">
      <alignment horizontal="center" vertical="center" wrapText="1"/>
    </xf>
    <xf numFmtId="0" fontId="58" fillId="24" borderId="36" xfId="0" applyFont="1" applyFill="1" applyBorder="1" applyAlignment="1">
      <alignment horizontal="center" vertical="center" wrapText="1"/>
    </xf>
    <xf numFmtId="0" fontId="58" fillId="25" borderId="36" xfId="0" applyFont="1" applyFill="1" applyBorder="1" applyAlignment="1">
      <alignment horizontal="center" vertical="center" wrapText="1"/>
    </xf>
    <xf numFmtId="0" fontId="59" fillId="0" borderId="36" xfId="0" applyFont="1" applyBorder="1" applyAlignment="1">
      <alignment horizontal="right" vertical="center" wrapText="1" indent="1"/>
    </xf>
    <xf numFmtId="0" fontId="59" fillId="0" borderId="36" xfId="0" applyFont="1" applyBorder="1" applyAlignment="1">
      <alignment horizontal="center" vertical="center" wrapText="1"/>
    </xf>
    <xf numFmtId="0" fontId="60" fillId="15" borderId="36" xfId="0" applyFont="1" applyFill="1" applyBorder="1" applyAlignment="1">
      <alignment horizontal="center" vertical="center" wrapText="1" readingOrder="1"/>
    </xf>
    <xf numFmtId="0" fontId="60" fillId="15" borderId="40" xfId="0" applyFont="1" applyFill="1" applyBorder="1" applyAlignment="1">
      <alignment horizontal="center" vertical="center" wrapText="1" readingOrder="1"/>
    </xf>
    <xf numFmtId="0" fontId="61" fillId="15" borderId="41" xfId="0" applyFont="1" applyFill="1" applyBorder="1" applyAlignment="1">
      <alignment horizontal="center" vertical="center" wrapText="1" readingOrder="1"/>
    </xf>
    <xf numFmtId="0" fontId="61" fillId="15" borderId="40" xfId="0" applyFont="1" applyFill="1" applyBorder="1" applyAlignment="1">
      <alignment horizontal="center" vertical="center" wrapText="1" readingOrder="1"/>
    </xf>
    <xf numFmtId="0" fontId="60" fillId="26" borderId="40" xfId="0" applyFont="1" applyFill="1" applyBorder="1" applyAlignment="1">
      <alignment horizontal="center" vertical="center" wrapText="1" readingOrder="1"/>
    </xf>
    <xf numFmtId="0" fontId="42" fillId="23" borderId="36" xfId="0" applyFont="1" applyFill="1" applyBorder="1" applyAlignment="1">
      <alignment horizontal="center" vertical="center" wrapText="1" readingOrder="1"/>
    </xf>
    <xf numFmtId="0" fontId="63" fillId="0" borderId="36" xfId="0" applyFont="1" applyBorder="1" applyAlignment="1">
      <alignment horizontal="center" vertical="center" wrapText="1" readingOrder="1"/>
    </xf>
    <xf numFmtId="0" fontId="64" fillId="24" borderId="36" xfId="0" applyFont="1" applyFill="1" applyBorder="1" applyAlignment="1">
      <alignment horizontal="center" vertical="center" wrapText="1"/>
    </xf>
    <xf numFmtId="0" fontId="64" fillId="25" borderId="40" xfId="0" applyFont="1" applyFill="1" applyBorder="1" applyAlignment="1">
      <alignment horizontal="center" vertical="center" wrapText="1"/>
    </xf>
    <xf numFmtId="0" fontId="65" fillId="17" borderId="43" xfId="0" applyFont="1" applyFill="1" applyBorder="1" applyAlignment="1">
      <alignment horizontal="center" vertical="center" wrapText="1"/>
    </xf>
    <xf numFmtId="0" fontId="65" fillId="17" borderId="36" xfId="0" applyFont="1" applyFill="1" applyBorder="1" applyAlignment="1">
      <alignment horizontal="center" vertical="center" wrapText="1"/>
    </xf>
    <xf numFmtId="0" fontId="49" fillId="8" borderId="36" xfId="0" applyFont="1" applyFill="1" applyBorder="1" applyAlignment="1">
      <alignment horizontal="center" vertical="center" wrapText="1" readingOrder="1"/>
    </xf>
    <xf numFmtId="0" fontId="66" fillId="27" borderId="36" xfId="0" applyFont="1" applyFill="1" applyBorder="1" applyAlignment="1">
      <alignment horizontal="center" vertical="center" wrapText="1"/>
    </xf>
    <xf numFmtId="0" fontId="66" fillId="0" borderId="36" xfId="0" applyFont="1" applyBorder="1" applyAlignment="1">
      <alignment horizontal="center" vertical="center" wrapText="1"/>
    </xf>
    <xf numFmtId="1" fontId="38" fillId="28" borderId="44" xfId="0" applyNumberFormat="1" applyFont="1" applyFill="1" applyBorder="1" applyAlignment="1">
      <alignment horizontal="center" vertical="center" wrapText="1"/>
    </xf>
    <xf numFmtId="0" fontId="63" fillId="0" borderId="43" xfId="0" applyFont="1" applyBorder="1" applyAlignment="1">
      <alignment horizontal="center" vertical="center" wrapText="1" readingOrder="1"/>
    </xf>
    <xf numFmtId="0" fontId="42" fillId="10" borderId="36" xfId="0" applyFont="1" applyFill="1" applyBorder="1" applyAlignment="1">
      <alignment horizontal="center" vertical="center" wrapText="1" readingOrder="1"/>
    </xf>
    <xf numFmtId="0" fontId="63" fillId="0" borderId="40" xfId="0" applyFont="1" applyBorder="1" applyAlignment="1">
      <alignment horizontal="center" vertical="center" wrapText="1" readingOrder="1"/>
    </xf>
    <xf numFmtId="0" fontId="68" fillId="27" borderId="36" xfId="0" applyFont="1" applyFill="1" applyBorder="1" applyAlignment="1">
      <alignment horizontal="center" vertical="center" wrapText="1"/>
    </xf>
    <xf numFmtId="0" fontId="69" fillId="0" borderId="0" xfId="0" applyFont="1"/>
    <xf numFmtId="0" fontId="64" fillId="22" borderId="36" xfId="0" applyFont="1" applyFill="1" applyBorder="1" applyAlignment="1">
      <alignment horizontal="center" vertical="center" wrapText="1"/>
    </xf>
    <xf numFmtId="0" fontId="65" fillId="18" borderId="36" xfId="0" applyFont="1" applyFill="1" applyBorder="1" applyAlignment="1">
      <alignment horizontal="center" vertical="center" wrapText="1"/>
    </xf>
    <xf numFmtId="0" fontId="70" fillId="16" borderId="0" xfId="0" applyFont="1" applyFill="1" applyAlignment="1">
      <alignment horizontal="center" vertical="center"/>
    </xf>
    <xf numFmtId="1" fontId="67" fillId="23" borderId="36" xfId="0" applyNumberFormat="1" applyFont="1" applyFill="1" applyBorder="1" applyAlignment="1">
      <alignment horizontal="center" vertical="center" wrapText="1" readingOrder="1"/>
    </xf>
    <xf numFmtId="0" fontId="63" fillId="21" borderId="36" xfId="0" applyFont="1" applyFill="1" applyBorder="1" applyAlignment="1">
      <alignment horizontal="center" vertical="center" wrapText="1" readingOrder="1"/>
    </xf>
    <xf numFmtId="1" fontId="67" fillId="23" borderId="36" xfId="0" quotePrefix="1" applyNumberFormat="1" applyFont="1" applyFill="1" applyBorder="1" applyAlignment="1">
      <alignment horizontal="center" vertical="center" wrapText="1" readingOrder="1"/>
    </xf>
    <xf numFmtId="0" fontId="44" fillId="9" borderId="36" xfId="0" applyFont="1" applyFill="1" applyBorder="1" applyAlignment="1">
      <alignment horizontal="center" vertical="center" wrapText="1" readingOrder="1"/>
    </xf>
    <xf numFmtId="1" fontId="42" fillId="23" borderId="36" xfId="0" applyNumberFormat="1" applyFont="1" applyFill="1" applyBorder="1" applyAlignment="1">
      <alignment horizontal="center" vertical="center" wrapText="1" readingOrder="1"/>
    </xf>
    <xf numFmtId="0" fontId="65" fillId="25" borderId="36" xfId="0" applyFont="1" applyFill="1" applyBorder="1" applyAlignment="1">
      <alignment horizontal="center" vertical="center" wrapText="1"/>
    </xf>
    <xf numFmtId="0" fontId="71" fillId="27" borderId="36" xfId="0" applyFont="1" applyFill="1" applyBorder="1" applyAlignment="1">
      <alignment horizontal="center" vertical="center" wrapText="1"/>
    </xf>
    <xf numFmtId="0" fontId="60" fillId="0" borderId="40" xfId="0" applyFont="1" applyBorder="1" applyAlignment="1">
      <alignment horizontal="center" vertical="center" wrapText="1" readingOrder="1"/>
    </xf>
    <xf numFmtId="0" fontId="51" fillId="0" borderId="0" xfId="0" applyFont="1" applyAlignment="1">
      <alignment vertical="center"/>
    </xf>
    <xf numFmtId="0" fontId="69" fillId="0" borderId="0" xfId="0" applyFont="1" applyAlignment="1">
      <alignment vertical="center"/>
    </xf>
    <xf numFmtId="0" fontId="72" fillId="0" borderId="0" xfId="0" applyFont="1" applyAlignment="1">
      <alignment vertical="center"/>
    </xf>
    <xf numFmtId="0" fontId="65" fillId="16" borderId="36" xfId="0" applyFont="1" applyFill="1" applyBorder="1" applyAlignment="1">
      <alignment horizontal="center" vertical="center" wrapText="1"/>
    </xf>
    <xf numFmtId="0" fontId="72" fillId="0" borderId="33" xfId="0" applyFont="1" applyBorder="1" applyAlignment="1">
      <alignment vertical="center"/>
    </xf>
    <xf numFmtId="0" fontId="65" fillId="0" borderId="36" xfId="0" applyFont="1" applyBorder="1" applyAlignment="1">
      <alignment horizontal="center" vertical="center" wrapText="1"/>
    </xf>
    <xf numFmtId="0" fontId="51" fillId="19" borderId="0" xfId="0" applyFont="1" applyFill="1" applyAlignment="1">
      <alignment vertical="center"/>
    </xf>
    <xf numFmtId="0" fontId="0" fillId="19" borderId="0" xfId="0" applyFill="1"/>
    <xf numFmtId="0" fontId="0" fillId="19" borderId="0" xfId="0" applyFill="1" applyAlignment="1">
      <alignment vertical="center"/>
    </xf>
    <xf numFmtId="167" fontId="42" fillId="23" borderId="36" xfId="0" applyNumberFormat="1" applyFont="1" applyFill="1" applyBorder="1" applyAlignment="1">
      <alignment horizontal="center" vertical="center" wrapText="1" readingOrder="1"/>
    </xf>
    <xf numFmtId="17" fontId="43" fillId="0" borderId="16" xfId="0" applyNumberFormat="1" applyFont="1" applyBorder="1" applyAlignment="1">
      <alignment horizontal="center" vertical="center"/>
    </xf>
    <xf numFmtId="0" fontId="0" fillId="0" borderId="20" xfId="0" applyBorder="1" applyAlignment="1">
      <alignment horizontal="center"/>
    </xf>
    <xf numFmtId="0" fontId="0" fillId="0" borderId="17" xfId="0" applyBorder="1" applyAlignment="1">
      <alignment horizontal="center"/>
    </xf>
    <xf numFmtId="164" fontId="0" fillId="0" borderId="47" xfId="8" applyNumberFormat="1" applyFont="1" applyBorder="1" applyAlignment="1">
      <alignment horizontal="center"/>
    </xf>
    <xf numFmtId="164" fontId="0" fillId="0" borderId="23" xfId="8" applyNumberFormat="1" applyFont="1" applyBorder="1" applyAlignment="1">
      <alignment horizontal="center"/>
    </xf>
    <xf numFmtId="164" fontId="0" fillId="0" borderId="48" xfId="8" applyNumberFormat="1" applyFont="1" applyBorder="1" applyAlignment="1">
      <alignment horizontal="center"/>
    </xf>
    <xf numFmtId="164" fontId="0" fillId="0" borderId="19" xfId="8" applyNumberFormat="1" applyFont="1" applyBorder="1" applyAlignment="1">
      <alignment horizontal="center"/>
    </xf>
    <xf numFmtId="164" fontId="0" fillId="0" borderId="3" xfId="8" applyNumberFormat="1" applyFont="1" applyBorder="1" applyAlignment="1">
      <alignment horizontal="center"/>
    </xf>
    <xf numFmtId="164" fontId="0" fillId="0" borderId="21" xfId="8" applyNumberFormat="1" applyFont="1" applyBorder="1" applyAlignment="1">
      <alignment horizontal="center"/>
    </xf>
    <xf numFmtId="164" fontId="0" fillId="0" borderId="20" xfId="8" applyNumberFormat="1" applyFont="1" applyBorder="1" applyAlignment="1">
      <alignment horizontal="center"/>
    </xf>
    <xf numFmtId="164" fontId="0" fillId="0" borderId="17" xfId="8" applyNumberFormat="1" applyFont="1" applyBorder="1" applyAlignment="1">
      <alignment horizontal="center"/>
    </xf>
    <xf numFmtId="164" fontId="0" fillId="0" borderId="16" xfId="0" applyNumberFormat="1" applyBorder="1" applyAlignment="1">
      <alignment horizontal="center"/>
    </xf>
    <xf numFmtId="164" fontId="0" fillId="0" borderId="18" xfId="0" applyNumberFormat="1" applyBorder="1" applyAlignment="1">
      <alignment horizontal="center"/>
    </xf>
    <xf numFmtId="164" fontId="0" fillId="0" borderId="46" xfId="0" applyNumberFormat="1" applyBorder="1" applyAlignment="1">
      <alignment horizontal="center"/>
    </xf>
    <xf numFmtId="164" fontId="0" fillId="0" borderId="22" xfId="0" applyNumberFormat="1" applyBorder="1" applyAlignment="1">
      <alignment horizontal="center"/>
    </xf>
    <xf numFmtId="0" fontId="0" fillId="0" borderId="16" xfId="0" applyBorder="1" applyAlignment="1">
      <alignment horizontal="center"/>
    </xf>
    <xf numFmtId="0" fontId="0" fillId="0" borderId="18" xfId="0" applyBorder="1" applyAlignment="1">
      <alignment horizontal="center" wrapText="1"/>
    </xf>
    <xf numFmtId="0" fontId="0" fillId="0" borderId="46" xfId="0" applyBorder="1" applyAlignment="1">
      <alignment horizontal="center" wrapText="1"/>
    </xf>
    <xf numFmtId="0" fontId="0" fillId="0" borderId="22" xfId="0" applyBorder="1" applyAlignment="1">
      <alignment horizontal="center" wrapText="1"/>
    </xf>
    <xf numFmtId="0" fontId="0" fillId="0" borderId="16" xfId="0" applyBorder="1" applyAlignment="1">
      <alignment horizontal="center" wrapText="1"/>
    </xf>
    <xf numFmtId="0" fontId="43" fillId="0" borderId="16" xfId="0" applyFont="1" applyBorder="1" applyAlignment="1">
      <alignment horizontal="center" vertical="center" wrapText="1"/>
    </xf>
    <xf numFmtId="0" fontId="43" fillId="0" borderId="0" xfId="0" applyFont="1" applyAlignment="1">
      <alignment horizontal="center" vertical="center" wrapText="1"/>
    </xf>
    <xf numFmtId="0" fontId="43" fillId="0" borderId="18" xfId="0" applyFont="1" applyBorder="1" applyAlignment="1">
      <alignment horizontal="center" vertical="center"/>
    </xf>
    <xf numFmtId="0" fontId="26" fillId="12" borderId="16" xfId="0" applyFont="1" applyFill="1" applyBorder="1" applyAlignment="1">
      <alignment horizontal="center" vertical="center" wrapText="1"/>
    </xf>
    <xf numFmtId="0" fontId="40" fillId="0" borderId="0" xfId="0" applyFont="1" applyAlignment="1">
      <alignment horizontal="center" vertical="center" wrapText="1"/>
    </xf>
    <xf numFmtId="0" fontId="40" fillId="11" borderId="16" xfId="0" applyFont="1" applyFill="1" applyBorder="1" applyAlignment="1">
      <alignment horizontal="center" vertical="center" wrapText="1"/>
    </xf>
    <xf numFmtId="0" fontId="43" fillId="0" borderId="46" xfId="0" applyFont="1" applyBorder="1" applyAlignment="1">
      <alignment horizontal="center" vertical="center"/>
    </xf>
    <xf numFmtId="0" fontId="43" fillId="0" borderId="46" xfId="0" applyFont="1" applyBorder="1" applyAlignment="1">
      <alignment horizontal="center" vertical="center" wrapText="1"/>
    </xf>
    <xf numFmtId="0" fontId="53" fillId="15" borderId="36" xfId="11" applyFont="1" applyFill="1" applyBorder="1" applyAlignment="1">
      <alignment horizontal="center" vertical="center" wrapText="1" readingOrder="1"/>
    </xf>
    <xf numFmtId="0" fontId="11" fillId="0" borderId="0" xfId="11"/>
    <xf numFmtId="0" fontId="55" fillId="17" borderId="36" xfId="11" applyFont="1" applyFill="1" applyBorder="1" applyAlignment="1">
      <alignment horizontal="center" vertical="center" wrapText="1" readingOrder="1"/>
    </xf>
    <xf numFmtId="0" fontId="55" fillId="32" borderId="36" xfId="11" applyFont="1" applyFill="1" applyBorder="1" applyAlignment="1">
      <alignment horizontal="center" vertical="center" wrapText="1" readingOrder="1"/>
    </xf>
    <xf numFmtId="0" fontId="55" fillId="16" borderId="36" xfId="11" applyFont="1" applyFill="1" applyBorder="1" applyAlignment="1">
      <alignment horizontal="center" vertical="center" wrapText="1" readingOrder="1"/>
    </xf>
    <xf numFmtId="0" fontId="55" fillId="18" borderId="36" xfId="11" applyFont="1" applyFill="1" applyBorder="1" applyAlignment="1">
      <alignment horizontal="center" vertical="center" wrapText="1" readingOrder="1"/>
    </xf>
    <xf numFmtId="0" fontId="60" fillId="15" borderId="36" xfId="11" applyFont="1" applyFill="1" applyBorder="1" applyAlignment="1">
      <alignment horizontal="center" vertical="center" wrapText="1" readingOrder="1"/>
    </xf>
    <xf numFmtId="0" fontId="42" fillId="23" borderId="36" xfId="11" applyFont="1" applyFill="1" applyBorder="1" applyAlignment="1">
      <alignment horizontal="center" vertical="center" wrapText="1" readingOrder="1"/>
    </xf>
    <xf numFmtId="0" fontId="66" fillId="27" borderId="36" xfId="11" applyFont="1" applyFill="1" applyBorder="1" applyAlignment="1">
      <alignment horizontal="center" vertical="center" wrapText="1"/>
    </xf>
    <xf numFmtId="1" fontId="67" fillId="23" borderId="36" xfId="11" applyNumberFormat="1" applyFont="1" applyFill="1" applyBorder="1" applyAlignment="1">
      <alignment horizontal="center" vertical="center" wrapText="1" readingOrder="1"/>
    </xf>
    <xf numFmtId="0" fontId="11" fillId="0" borderId="0" xfId="11" applyAlignment="1">
      <alignment vertical="center"/>
    </xf>
    <xf numFmtId="0" fontId="55" fillId="8" borderId="36" xfId="11" applyFont="1" applyFill="1" applyBorder="1" applyAlignment="1">
      <alignment horizontal="center" vertical="center" wrapText="1" readingOrder="1"/>
    </xf>
    <xf numFmtId="0" fontId="38" fillId="29" borderId="36" xfId="9" applyFont="1" applyBorder="1" applyAlignment="1">
      <alignment horizontal="center" vertical="center" wrapText="1"/>
    </xf>
    <xf numFmtId="0" fontId="49" fillId="30" borderId="49" xfId="10" applyBorder="1" applyAlignment="1">
      <alignment horizontal="center" vertical="center" wrapText="1"/>
    </xf>
    <xf numFmtId="0" fontId="50" fillId="8" borderId="0" xfId="11" applyFont="1" applyFill="1"/>
    <xf numFmtId="0" fontId="74" fillId="33" borderId="1" xfId="2" applyFont="1" applyFill="1" applyBorder="1" applyAlignment="1">
      <alignment horizontal="center" vertical="center" wrapText="1" readingOrder="1"/>
    </xf>
    <xf numFmtId="0" fontId="0" fillId="0" borderId="0" xfId="0" applyAlignment="1">
      <alignment horizontal="left"/>
    </xf>
    <xf numFmtId="0" fontId="0" fillId="0" borderId="16" xfId="0" applyBorder="1"/>
    <xf numFmtId="9" fontId="0" fillId="0" borderId="16" xfId="1" applyFont="1" applyBorder="1"/>
    <xf numFmtId="9" fontId="0" fillId="0" borderId="17" xfId="1" applyFont="1" applyBorder="1"/>
    <xf numFmtId="0" fontId="41" fillId="10" borderId="0" xfId="0" applyFont="1" applyFill="1" applyAlignment="1">
      <alignment horizontal="center"/>
    </xf>
    <xf numFmtId="0" fontId="41" fillId="10" borderId="0" xfId="0" applyFont="1" applyFill="1"/>
    <xf numFmtId="0" fontId="76" fillId="39" borderId="16" xfId="0" applyFont="1" applyFill="1" applyBorder="1" applyAlignment="1">
      <alignment horizontal="center" vertical="center" wrapText="1"/>
    </xf>
    <xf numFmtId="0" fontId="26" fillId="9" borderId="16" xfId="0" applyFont="1" applyFill="1" applyBorder="1" applyAlignment="1">
      <alignment horizontal="center" vertical="center" wrapText="1"/>
    </xf>
    <xf numFmtId="17" fontId="43" fillId="0" borderId="0" xfId="0" applyNumberFormat="1" applyFont="1" applyAlignment="1">
      <alignment horizontal="center" vertical="center"/>
    </xf>
    <xf numFmtId="0" fontId="0" fillId="3" borderId="16" xfId="0" applyFill="1" applyBorder="1" applyAlignment="1">
      <alignment horizontal="center" vertical="center" wrapText="1"/>
    </xf>
    <xf numFmtId="0" fontId="0" fillId="37" borderId="16" xfId="0" applyFill="1" applyBorder="1" applyAlignment="1">
      <alignment horizontal="center" vertical="center" wrapText="1"/>
    </xf>
    <xf numFmtId="0" fontId="40" fillId="0" borderId="55" xfId="0" applyFont="1" applyBorder="1" applyAlignment="1">
      <alignment horizontal="center" vertical="center" wrapText="1"/>
    </xf>
    <xf numFmtId="0" fontId="43" fillId="0" borderId="22" xfId="0" applyFont="1" applyBorder="1" applyAlignment="1">
      <alignment horizontal="center" vertical="center"/>
    </xf>
    <xf numFmtId="0" fontId="40" fillId="0" borderId="20" xfId="0" applyFont="1" applyBorder="1" applyAlignment="1">
      <alignment horizontal="center" vertical="center" wrapText="1"/>
    </xf>
    <xf numFmtId="0" fontId="42" fillId="33" borderId="34" xfId="11" applyFont="1" applyFill="1" applyBorder="1" applyAlignment="1">
      <alignment vertical="center" wrapText="1" readingOrder="1"/>
    </xf>
    <xf numFmtId="0" fontId="42" fillId="33" borderId="0" xfId="11" applyFont="1" applyFill="1" applyAlignment="1">
      <alignment vertical="center" wrapText="1" readingOrder="1"/>
    </xf>
    <xf numFmtId="0" fontId="5" fillId="31" borderId="36" xfId="13" applyBorder="1" applyAlignment="1">
      <alignment horizontal="center" vertical="center" wrapText="1"/>
    </xf>
    <xf numFmtId="0" fontId="0" fillId="0" borderId="0" xfId="0" pivotButton="1"/>
    <xf numFmtId="0" fontId="77" fillId="33" borderId="1" xfId="2" applyFont="1" applyFill="1" applyBorder="1" applyAlignment="1">
      <alignment horizontal="center" vertical="center" wrapText="1" readingOrder="1"/>
    </xf>
    <xf numFmtId="0" fontId="77" fillId="33" borderId="53" xfId="2" applyFont="1" applyFill="1" applyBorder="1" applyAlignment="1">
      <alignment horizontal="center" vertical="center" wrapText="1" readingOrder="1"/>
    </xf>
    <xf numFmtId="0" fontId="86" fillId="16" borderId="54" xfId="0" applyFont="1" applyFill="1" applyBorder="1" applyAlignment="1">
      <alignment horizontal="center" vertical="center" wrapText="1"/>
    </xf>
    <xf numFmtId="0" fontId="86" fillId="41" borderId="54" xfId="0" applyFont="1" applyFill="1" applyBorder="1" applyAlignment="1">
      <alignment horizontal="center" vertical="center"/>
    </xf>
    <xf numFmtId="0" fontId="86" fillId="9" borderId="54" xfId="0" applyFont="1" applyFill="1" applyBorder="1" applyAlignment="1">
      <alignment horizontal="center" vertical="center" wrapText="1"/>
    </xf>
    <xf numFmtId="0" fontId="86" fillId="42" borderId="54" xfId="0" applyFont="1" applyFill="1" applyBorder="1" applyAlignment="1">
      <alignment horizontal="center" vertical="center"/>
    </xf>
    <xf numFmtId="0" fontId="86" fillId="10" borderId="54" xfId="0" applyFont="1" applyFill="1" applyBorder="1" applyAlignment="1">
      <alignment horizontal="center" vertical="center"/>
    </xf>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83" fillId="0" borderId="0" xfId="0" applyFont="1" applyAlignment="1">
      <alignment horizontal="center" vertical="center"/>
    </xf>
    <xf numFmtId="0" fontId="50" fillId="12" borderId="66" xfId="0" applyFont="1" applyFill="1" applyBorder="1" applyAlignment="1">
      <alignment horizontal="center" vertical="center"/>
    </xf>
    <xf numFmtId="0" fontId="0" fillId="16" borderId="66" xfId="0" applyFill="1" applyBorder="1" applyAlignment="1">
      <alignment horizontal="center" vertical="center" wrapText="1"/>
    </xf>
    <xf numFmtId="0" fontId="0" fillId="41" borderId="66" xfId="0" applyFill="1" applyBorder="1" applyAlignment="1">
      <alignment horizontal="center" vertical="center"/>
    </xf>
    <xf numFmtId="0" fontId="0" fillId="9" borderId="66" xfId="0" applyFill="1" applyBorder="1" applyAlignment="1">
      <alignment horizontal="center" vertical="center"/>
    </xf>
    <xf numFmtId="0" fontId="0" fillId="42" borderId="66" xfId="0" applyFill="1" applyBorder="1" applyAlignment="1">
      <alignment horizontal="center" vertical="center"/>
    </xf>
    <xf numFmtId="0" fontId="0" fillId="10" borderId="66" xfId="0" applyFill="1" applyBorder="1" applyAlignment="1">
      <alignment horizontal="center" vertical="center"/>
    </xf>
    <xf numFmtId="0" fontId="0" fillId="16" borderId="0" xfId="0" applyFill="1" applyAlignment="1">
      <alignment horizontal="center" vertical="center" wrapText="1"/>
    </xf>
    <xf numFmtId="0" fontId="82" fillId="40" borderId="0" xfId="0" applyFont="1" applyFill="1" applyAlignment="1">
      <alignment horizontal="center" vertical="center"/>
    </xf>
    <xf numFmtId="0" fontId="87" fillId="9" borderId="67" xfId="0" applyFont="1" applyFill="1" applyBorder="1"/>
    <xf numFmtId="0" fontId="88" fillId="9" borderId="65" xfId="0" applyFont="1" applyFill="1" applyBorder="1"/>
    <xf numFmtId="0" fontId="88" fillId="0" borderId="0" xfId="0" applyFont="1"/>
    <xf numFmtId="0" fontId="87" fillId="9" borderId="57" xfId="0" applyFont="1" applyFill="1" applyBorder="1"/>
    <xf numFmtId="0" fontId="88" fillId="9" borderId="58" xfId="0" applyFont="1" applyFill="1" applyBorder="1"/>
    <xf numFmtId="0" fontId="88" fillId="9" borderId="59" xfId="0" applyFont="1" applyFill="1" applyBorder="1"/>
    <xf numFmtId="0" fontId="87" fillId="9" borderId="68" xfId="0" applyFont="1" applyFill="1" applyBorder="1"/>
    <xf numFmtId="0" fontId="88" fillId="9" borderId="69" xfId="0" applyFont="1" applyFill="1" applyBorder="1"/>
    <xf numFmtId="0" fontId="88" fillId="9" borderId="70" xfId="0" applyFont="1" applyFill="1" applyBorder="1"/>
    <xf numFmtId="0" fontId="88" fillId="44" borderId="0" xfId="0" applyFont="1" applyFill="1"/>
    <xf numFmtId="0" fontId="0" fillId="44" borderId="0" xfId="0" applyFill="1"/>
    <xf numFmtId="0" fontId="50" fillId="12" borderId="0" xfId="0" applyFont="1" applyFill="1" applyAlignment="1">
      <alignment horizontal="center" vertical="center" wrapText="1"/>
    </xf>
    <xf numFmtId="0" fontId="0" fillId="41" borderId="0" xfId="0" applyFill="1" applyAlignment="1">
      <alignment horizontal="center" vertical="center" wrapText="1"/>
    </xf>
    <xf numFmtId="0" fontId="0" fillId="9" borderId="0" xfId="0" applyFill="1" applyAlignment="1">
      <alignment horizontal="center" vertical="center" wrapText="1"/>
    </xf>
    <xf numFmtId="0" fontId="0" fillId="42" borderId="0" xfId="0" applyFill="1" applyAlignment="1">
      <alignment horizontal="center" vertical="center" wrapText="1"/>
    </xf>
    <xf numFmtId="0" fontId="0" fillId="10" borderId="0" xfId="0" applyFill="1" applyAlignment="1">
      <alignment horizontal="center" vertical="center" wrapText="1"/>
    </xf>
    <xf numFmtId="0" fontId="0" fillId="0" borderId="56" xfId="0" pivotButton="1" applyBorder="1"/>
    <xf numFmtId="0" fontId="0" fillId="0" borderId="68" xfId="0" applyBorder="1"/>
    <xf numFmtId="0" fontId="0" fillId="0" borderId="69" xfId="0" applyBorder="1"/>
    <xf numFmtId="0" fontId="0" fillId="0" borderId="70" xfId="0" applyBorder="1"/>
    <xf numFmtId="0" fontId="0" fillId="0" borderId="71" xfId="0" applyBorder="1" applyAlignment="1">
      <alignment horizontal="left"/>
    </xf>
    <xf numFmtId="0" fontId="0" fillId="0" borderId="72" xfId="0" applyBorder="1" applyAlignment="1">
      <alignment horizontal="left"/>
    </xf>
    <xf numFmtId="0" fontId="0" fillId="0" borderId="73" xfId="0" applyBorder="1" applyAlignment="1">
      <alignment horizontal="left"/>
    </xf>
    <xf numFmtId="0" fontId="0" fillId="0" borderId="56" xfId="0" applyBorder="1" applyAlignment="1">
      <alignment horizontal="left"/>
    </xf>
    <xf numFmtId="0" fontId="0" fillId="0" borderId="56" xfId="0" applyBorder="1"/>
    <xf numFmtId="0" fontId="0" fillId="0" borderId="68" xfId="0" applyBorder="1" applyAlignment="1">
      <alignment horizontal="center"/>
    </xf>
    <xf numFmtId="0" fontId="0" fillId="0" borderId="69" xfId="0" applyBorder="1" applyAlignment="1">
      <alignment horizontal="center"/>
    </xf>
    <xf numFmtId="0" fontId="0" fillId="0" borderId="70" xfId="0" applyBorder="1" applyAlignment="1">
      <alignment horizontal="center"/>
    </xf>
    <xf numFmtId="0" fontId="0" fillId="0" borderId="56" xfId="0" applyBorder="1" applyAlignment="1">
      <alignment horizontal="center"/>
    </xf>
    <xf numFmtId="0" fontId="0" fillId="0" borderId="68" xfId="0" pivotButton="1" applyBorder="1"/>
    <xf numFmtId="0" fontId="0" fillId="0" borderId="71" xfId="0" pivotButton="1" applyBorder="1"/>
    <xf numFmtId="0" fontId="0" fillId="0" borderId="73" xfId="0" applyBorder="1"/>
    <xf numFmtId="0" fontId="0" fillId="0" borderId="71" xfId="0" applyBorder="1" applyAlignment="1">
      <alignment horizontal="center"/>
    </xf>
    <xf numFmtId="0" fontId="0" fillId="0" borderId="73" xfId="0" applyBorder="1" applyAlignment="1">
      <alignment horizontal="center"/>
    </xf>
    <xf numFmtId="0" fontId="0" fillId="0" borderId="60" xfId="0" applyBorder="1" applyAlignment="1">
      <alignment horizontal="left" indent="1"/>
    </xf>
    <xf numFmtId="0" fontId="0" fillId="0" borderId="56" xfId="0" pivotButton="1" applyBorder="1" applyAlignment="1">
      <alignment wrapText="1"/>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56" xfId="0" applyBorder="1" applyAlignment="1">
      <alignment horizontal="center" vertical="center"/>
    </xf>
    <xf numFmtId="0" fontId="0" fillId="0" borderId="56" xfId="0" pivotButton="1"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0" xfId="0" applyAlignment="1">
      <alignment horizontal="left" vertical="center"/>
    </xf>
    <xf numFmtId="0" fontId="0" fillId="0" borderId="0" xfId="0" pivotButton="1" applyAlignment="1">
      <alignment horizontal="center" vertical="center"/>
    </xf>
    <xf numFmtId="0" fontId="78" fillId="0" borderId="77" xfId="2" applyFont="1" applyBorder="1" applyAlignment="1">
      <alignment horizontal="center" vertical="center" wrapText="1" readingOrder="1"/>
    </xf>
    <xf numFmtId="0" fontId="75" fillId="0" borderId="77" xfId="0" applyFont="1" applyBorder="1" applyAlignment="1">
      <alignment horizontal="center" vertical="center" wrapText="1"/>
    </xf>
    <xf numFmtId="0" fontId="84" fillId="38" borderId="77" xfId="0" applyFont="1" applyFill="1" applyBorder="1" applyAlignment="1">
      <alignment horizontal="center" vertical="center" wrapText="1"/>
    </xf>
    <xf numFmtId="0" fontId="84" fillId="38" borderId="77" xfId="2" applyFont="1" applyFill="1" applyBorder="1" applyAlignment="1">
      <alignment horizontal="center" vertical="center" wrapText="1" readingOrder="1"/>
    </xf>
    <xf numFmtId="0" fontId="84" fillId="38" borderId="77" xfId="0" applyFont="1" applyFill="1" applyBorder="1" applyAlignment="1">
      <alignment horizontal="left" vertical="center" wrapText="1"/>
    </xf>
    <xf numFmtId="0" fontId="75" fillId="0" borderId="77" xfId="0" applyFont="1" applyBorder="1" applyAlignment="1">
      <alignment horizontal="left" vertical="center" wrapText="1"/>
    </xf>
    <xf numFmtId="0" fontId="78" fillId="0" borderId="77" xfId="2" applyFont="1" applyBorder="1" applyAlignment="1">
      <alignment horizontal="left" vertical="center" wrapText="1" readingOrder="1"/>
    </xf>
    <xf numFmtId="0" fontId="78" fillId="9" borderId="77" xfId="2" applyFont="1" applyFill="1" applyBorder="1" applyAlignment="1">
      <alignment horizontal="center" vertical="center" wrapText="1" readingOrder="1"/>
    </xf>
    <xf numFmtId="0" fontId="80" fillId="9" borderId="77" xfId="0" applyFont="1" applyFill="1" applyBorder="1" applyAlignment="1">
      <alignment horizontal="center" vertical="center"/>
    </xf>
    <xf numFmtId="0" fontId="75" fillId="9" borderId="77" xfId="0" applyFont="1" applyFill="1" applyBorder="1" applyAlignment="1">
      <alignment horizontal="left" vertical="center" wrapText="1"/>
    </xf>
    <xf numFmtId="17" fontId="84" fillId="38" borderId="77" xfId="0" applyNumberFormat="1" applyFont="1" applyFill="1" applyBorder="1" applyAlignment="1">
      <alignment horizontal="center" vertical="center"/>
    </xf>
    <xf numFmtId="0" fontId="85" fillId="38" borderId="54" xfId="0" applyFont="1" applyFill="1" applyBorder="1" applyAlignment="1">
      <alignment horizontal="center" vertical="center"/>
    </xf>
    <xf numFmtId="0" fontId="10" fillId="12" borderId="20" xfId="2" applyFont="1" applyFill="1" applyBorder="1" applyAlignment="1">
      <alignment horizontal="center" vertical="center" wrapText="1" readingOrder="1"/>
    </xf>
    <xf numFmtId="0" fontId="0" fillId="9" borderId="0" xfId="0" applyFill="1"/>
    <xf numFmtId="0" fontId="89" fillId="9" borderId="0" xfId="0" applyFont="1" applyFill="1"/>
    <xf numFmtId="0" fontId="75" fillId="0" borderId="79" xfId="0" applyFont="1" applyBorder="1" applyAlignment="1">
      <alignment horizontal="center" vertical="center" wrapText="1"/>
    </xf>
    <xf numFmtId="0" fontId="91" fillId="0" borderId="0" xfId="11" applyFont="1" applyAlignment="1">
      <alignment vertical="center"/>
    </xf>
    <xf numFmtId="0" fontId="40" fillId="0" borderId="81" xfId="0" applyFont="1" applyBorder="1" applyAlignment="1">
      <alignment horizontal="center" vertical="center" wrapText="1"/>
    </xf>
    <xf numFmtId="0" fontId="0" fillId="0" borderId="89" xfId="11" applyFont="1" applyBorder="1" applyAlignment="1">
      <alignment horizontal="center" vertical="center"/>
    </xf>
    <xf numFmtId="0" fontId="82" fillId="0" borderId="89" xfId="11" applyFont="1" applyBorder="1" applyAlignment="1">
      <alignment horizontal="center" vertical="center" wrapText="1"/>
    </xf>
    <xf numFmtId="0" fontId="82" fillId="0" borderId="89" xfId="11" applyFont="1" applyBorder="1" applyAlignment="1">
      <alignment horizontal="center" vertical="center"/>
    </xf>
    <xf numFmtId="0" fontId="0" fillId="0" borderId="89" xfId="11" applyFont="1" applyBorder="1" applyAlignment="1">
      <alignment horizontal="left" vertical="center" wrapText="1"/>
    </xf>
    <xf numFmtId="0" fontId="0" fillId="0" borderId="95" xfId="11" applyFont="1" applyBorder="1" applyAlignment="1">
      <alignment horizontal="center" vertical="center"/>
    </xf>
    <xf numFmtId="0" fontId="0" fillId="0" borderId="95" xfId="11" applyFont="1" applyBorder="1" applyAlignment="1">
      <alignment horizontal="left" vertical="center" wrapText="1"/>
    </xf>
    <xf numFmtId="0" fontId="95" fillId="0" borderId="16" xfId="11" applyFont="1" applyBorder="1" applyAlignment="1">
      <alignment horizontal="center" vertical="center"/>
    </xf>
    <xf numFmtId="9" fontId="95" fillId="0" borderId="16" xfId="1" applyFont="1" applyFill="1" applyBorder="1" applyAlignment="1">
      <alignment horizontal="center" vertical="center"/>
    </xf>
    <xf numFmtId="167" fontId="95" fillId="0" borderId="16" xfId="0" applyNumberFormat="1" applyFont="1" applyBorder="1" applyAlignment="1">
      <alignment horizontal="center" vertical="center"/>
    </xf>
    <xf numFmtId="0" fontId="95" fillId="0" borderId="16" xfId="0" applyFont="1" applyBorder="1" applyAlignment="1">
      <alignment horizontal="center" vertical="center"/>
    </xf>
    <xf numFmtId="0" fontId="90" fillId="36" borderId="78" xfId="0" applyFont="1" applyFill="1" applyBorder="1" applyAlignment="1">
      <alignment horizontal="center" vertical="center" wrapText="1"/>
    </xf>
    <xf numFmtId="0" fontId="90" fillId="36" borderId="78" xfId="11" applyFont="1" applyFill="1" applyBorder="1" applyAlignment="1">
      <alignment horizontal="center" vertical="center" wrapText="1"/>
    </xf>
    <xf numFmtId="0" fontId="90" fillId="36" borderId="16" xfId="0" applyFont="1" applyFill="1" applyBorder="1" applyAlignment="1">
      <alignment horizontal="center" vertical="center" wrapText="1"/>
    </xf>
    <xf numFmtId="0" fontId="92" fillId="43" borderId="0" xfId="11" applyFont="1" applyFill="1" applyAlignment="1">
      <alignment vertical="center"/>
    </xf>
    <xf numFmtId="0" fontId="11" fillId="43" borderId="0" xfId="11" applyFill="1"/>
    <xf numFmtId="0" fontId="91" fillId="43" borderId="0" xfId="11" applyFont="1" applyFill="1" applyAlignment="1">
      <alignment vertical="center"/>
    </xf>
    <xf numFmtId="0" fontId="96" fillId="32" borderId="104" xfId="11" applyFont="1" applyFill="1" applyBorder="1" applyAlignment="1">
      <alignment vertical="center"/>
    </xf>
    <xf numFmtId="0" fontId="96" fillId="36" borderId="104" xfId="11" applyFont="1" applyFill="1" applyBorder="1" applyAlignment="1">
      <alignment vertical="center"/>
    </xf>
    <xf numFmtId="0" fontId="96" fillId="19" borderId="104" xfId="11" applyFont="1" applyFill="1" applyBorder="1" applyAlignment="1">
      <alignment vertical="center"/>
    </xf>
    <xf numFmtId="0" fontId="96" fillId="9" borderId="104" xfId="11" applyFont="1" applyFill="1" applyBorder="1" applyAlignment="1">
      <alignment vertical="center"/>
    </xf>
    <xf numFmtId="0" fontId="96" fillId="42" borderId="104" xfId="11" applyFont="1" applyFill="1" applyBorder="1"/>
    <xf numFmtId="0" fontId="96" fillId="39" borderId="104" xfId="11" applyFont="1" applyFill="1" applyBorder="1" applyAlignment="1">
      <alignment vertical="center"/>
    </xf>
    <xf numFmtId="0" fontId="89" fillId="19" borderId="0" xfId="11" applyFont="1" applyFill="1" applyAlignment="1">
      <alignment vertical="center"/>
    </xf>
    <xf numFmtId="0" fontId="90" fillId="0" borderId="89" xfId="11" applyFont="1" applyBorder="1" applyAlignment="1">
      <alignment horizontal="center" vertical="center"/>
    </xf>
    <xf numFmtId="0" fontId="0" fillId="0" borderId="89" xfId="11" applyFont="1" applyBorder="1" applyAlignment="1">
      <alignment horizontal="center" vertical="center" wrapText="1"/>
    </xf>
    <xf numFmtId="0" fontId="94" fillId="33" borderId="89" xfId="11" applyFont="1" applyFill="1" applyBorder="1" applyAlignment="1">
      <alignment horizontal="center" vertical="center" wrapText="1"/>
    </xf>
    <xf numFmtId="0" fontId="94" fillId="0" borderId="89" xfId="11" applyFont="1" applyBorder="1" applyAlignment="1">
      <alignment horizontal="center" vertical="center"/>
    </xf>
    <xf numFmtId="0" fontId="94" fillId="19" borderId="89" xfId="11" applyFont="1" applyFill="1" applyBorder="1" applyAlignment="1">
      <alignment horizontal="center" vertical="center" wrapText="1"/>
    </xf>
    <xf numFmtId="0" fontId="94" fillId="19" borderId="89" xfId="11" applyFont="1" applyFill="1" applyBorder="1" applyAlignment="1">
      <alignment horizontal="center" vertical="center"/>
    </xf>
    <xf numFmtId="0" fontId="99" fillId="0" borderId="16" xfId="11" applyFont="1" applyBorder="1" applyAlignment="1">
      <alignment horizontal="center" vertical="center"/>
    </xf>
    <xf numFmtId="0" fontId="25" fillId="32" borderId="78" xfId="0" applyFont="1" applyFill="1" applyBorder="1" applyAlignment="1">
      <alignment horizontal="center" vertical="center" wrapText="1"/>
    </xf>
    <xf numFmtId="0" fontId="25" fillId="32" borderId="16" xfId="0" applyFont="1" applyFill="1" applyBorder="1" applyAlignment="1">
      <alignment horizontal="center" vertical="center" wrapText="1"/>
    </xf>
    <xf numFmtId="0" fontId="25" fillId="32" borderId="78" xfId="11" applyFont="1" applyFill="1" applyBorder="1" applyAlignment="1">
      <alignment horizontal="center" vertical="center" wrapText="1"/>
    </xf>
    <xf numFmtId="0" fontId="24" fillId="0" borderId="16" xfId="11" applyFont="1" applyBorder="1" applyAlignment="1">
      <alignment horizontal="center" vertical="center"/>
    </xf>
    <xf numFmtId="9" fontId="24" fillId="0" borderId="16" xfId="1" applyFont="1" applyFill="1" applyBorder="1" applyAlignment="1">
      <alignment horizontal="center" vertical="center"/>
    </xf>
    <xf numFmtId="167" fontId="24" fillId="0" borderId="16" xfId="0" applyNumberFormat="1" applyFont="1" applyBorder="1" applyAlignment="1">
      <alignment horizontal="center" vertical="center"/>
    </xf>
    <xf numFmtId="0" fontId="24" fillId="0" borderId="16" xfId="0" applyFont="1" applyBorder="1" applyAlignment="1">
      <alignment horizontal="center" vertical="center"/>
    </xf>
    <xf numFmtId="0" fontId="89" fillId="0" borderId="16" xfId="0" applyFont="1" applyBorder="1" applyAlignment="1">
      <alignment horizontal="center" vertical="center"/>
    </xf>
    <xf numFmtId="0" fontId="81" fillId="0" borderId="77" xfId="0" applyFont="1" applyBorder="1" applyAlignment="1">
      <alignment horizontal="center" vertical="center" wrapText="1"/>
    </xf>
    <xf numFmtId="0" fontId="62" fillId="15" borderId="40" xfId="11" applyFont="1" applyFill="1" applyBorder="1" applyAlignment="1">
      <alignment horizontal="center" vertical="center" wrapText="1" readingOrder="1"/>
    </xf>
    <xf numFmtId="0" fontId="62" fillId="15" borderId="42" xfId="11" applyFont="1" applyFill="1" applyBorder="1" applyAlignment="1">
      <alignment horizontal="center" vertical="center" wrapText="1" readingOrder="1"/>
    </xf>
    <xf numFmtId="0" fontId="66" fillId="27" borderId="40" xfId="11" applyFont="1" applyFill="1" applyBorder="1" applyAlignment="1">
      <alignment horizontal="center" vertical="center" wrapText="1"/>
    </xf>
    <xf numFmtId="0" fontId="66" fillId="27" borderId="50" xfId="11" applyFont="1" applyFill="1" applyBorder="1" applyAlignment="1">
      <alignment horizontal="center" vertical="center" wrapText="1"/>
    </xf>
    <xf numFmtId="0" fontId="101" fillId="19" borderId="0" xfId="11" applyFont="1" applyFill="1" applyAlignment="1">
      <alignment vertical="center"/>
    </xf>
    <xf numFmtId="0" fontId="0" fillId="0" borderId="61" xfId="0" applyBorder="1" applyAlignment="1">
      <alignment horizontal="center"/>
    </xf>
    <xf numFmtId="0" fontId="0" fillId="0" borderId="63" xfId="0" applyBorder="1" applyAlignment="1">
      <alignment horizontal="center"/>
    </xf>
    <xf numFmtId="0" fontId="0" fillId="0" borderId="64" xfId="0" applyBorder="1" applyAlignment="1">
      <alignment horizontal="center"/>
    </xf>
    <xf numFmtId="0" fontId="0" fillId="0" borderId="67" xfId="0" applyBorder="1" applyAlignment="1">
      <alignment horizontal="center"/>
    </xf>
    <xf numFmtId="0" fontId="0" fillId="0" borderId="65" xfId="0"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0" fillId="0" borderId="62" xfId="0" applyBorder="1" applyAlignment="1">
      <alignment horizontal="center"/>
    </xf>
    <xf numFmtId="0" fontId="0" fillId="0" borderId="72" xfId="0" applyBorder="1" applyAlignment="1">
      <alignment horizontal="center"/>
    </xf>
    <xf numFmtId="0" fontId="0" fillId="0" borderId="61"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2" xfId="0" applyBorder="1" applyAlignment="1">
      <alignment horizontal="center" vertical="center"/>
    </xf>
    <xf numFmtId="0" fontId="0" fillId="0" borderId="53" xfId="0" pivotButton="1" applyBorder="1"/>
    <xf numFmtId="0" fontId="0" fillId="0" borderId="53" xfId="0" pivotButton="1" applyBorder="1" applyAlignment="1">
      <alignment horizontal="center" vertical="center" wrapText="1"/>
    </xf>
    <xf numFmtId="0" fontId="0" fillId="0" borderId="53" xfId="0" applyBorder="1"/>
    <xf numFmtId="0" fontId="102" fillId="0" borderId="53" xfId="0" applyFont="1" applyBorder="1" applyAlignment="1">
      <alignment horizontal="center" vertical="center"/>
    </xf>
    <xf numFmtId="0" fontId="103" fillId="0" borderId="53" xfId="0" applyFont="1" applyBorder="1" applyAlignment="1">
      <alignment horizontal="center" vertical="center"/>
    </xf>
    <xf numFmtId="0" fontId="0" fillId="0" borderId="53" xfId="0" applyBorder="1" applyAlignment="1">
      <alignment horizontal="center" vertical="center"/>
    </xf>
    <xf numFmtId="0" fontId="104" fillId="0" borderId="53" xfId="0" applyFont="1" applyBorder="1" applyAlignment="1">
      <alignment horizontal="center" vertical="center"/>
    </xf>
    <xf numFmtId="0" fontId="105" fillId="0" borderId="53" xfId="0" applyFont="1" applyBorder="1" applyAlignment="1">
      <alignment horizontal="center" vertical="center"/>
    </xf>
    <xf numFmtId="0" fontId="106" fillId="0" borderId="53" xfId="0" applyFont="1" applyBorder="1" applyAlignment="1">
      <alignment horizontal="center" vertical="center"/>
    </xf>
    <xf numFmtId="0" fontId="0" fillId="0" borderId="53" xfId="0" applyBorder="1" applyAlignment="1">
      <alignment horizontal="center" wrapText="1"/>
    </xf>
    <xf numFmtId="0" fontId="0" fillId="0" borderId="53" xfId="0" applyBorder="1" applyAlignment="1">
      <alignment horizontal="center" vertical="center" wrapText="1"/>
    </xf>
    <xf numFmtId="0" fontId="0" fillId="11" borderId="53" xfId="0" applyFill="1" applyBorder="1" applyAlignment="1">
      <alignment horizontal="center" vertical="center" wrapText="1"/>
    </xf>
    <xf numFmtId="0" fontId="0" fillId="11" borderId="53" xfId="0" applyFill="1" applyBorder="1" applyAlignment="1">
      <alignment horizontal="center" vertical="center"/>
    </xf>
    <xf numFmtId="0" fontId="0" fillId="0" borderId="53" xfId="0" applyBorder="1" applyAlignment="1">
      <alignment horizontal="left"/>
    </xf>
    <xf numFmtId="0" fontId="85" fillId="50" borderId="0" xfId="0" applyFont="1" applyFill="1" applyAlignment="1">
      <alignment horizontal="center" vertical="center" wrapText="1"/>
    </xf>
    <xf numFmtId="0" fontId="84" fillId="38" borderId="107" xfId="2" applyFont="1" applyFill="1" applyBorder="1" applyAlignment="1">
      <alignment horizontal="center" vertical="center" wrapText="1" readingOrder="1"/>
    </xf>
    <xf numFmtId="0" fontId="84" fillId="38" borderId="107" xfId="0" applyFont="1" applyFill="1" applyBorder="1" applyAlignment="1">
      <alignment horizontal="center" vertical="center" wrapText="1"/>
    </xf>
    <xf numFmtId="0" fontId="84" fillId="38" borderId="107" xfId="0" applyFont="1" applyFill="1" applyBorder="1" applyAlignment="1">
      <alignment horizontal="left" vertical="center" wrapText="1"/>
    </xf>
    <xf numFmtId="17" fontId="84" fillId="38" borderId="107" xfId="0" applyNumberFormat="1" applyFont="1" applyFill="1" applyBorder="1" applyAlignment="1">
      <alignment horizontal="center" vertical="center"/>
    </xf>
    <xf numFmtId="0" fontId="108" fillId="0" borderId="77" xfId="0" applyFont="1" applyBorder="1" applyAlignment="1">
      <alignment horizontal="left" vertical="center" wrapText="1"/>
    </xf>
    <xf numFmtId="17" fontId="80" fillId="42" borderId="77" xfId="0" applyNumberFormat="1" applyFont="1" applyFill="1" applyBorder="1" applyAlignment="1">
      <alignment horizontal="center" vertical="center"/>
    </xf>
    <xf numFmtId="0" fontId="80" fillId="42" borderId="77" xfId="2" applyFont="1" applyFill="1" applyBorder="1" applyAlignment="1">
      <alignment horizontal="center" vertical="center" wrapText="1" readingOrder="1"/>
    </xf>
    <xf numFmtId="0" fontId="80" fillId="42" borderId="77" xfId="0" applyFont="1" applyFill="1" applyBorder="1" applyAlignment="1">
      <alignment horizontal="center" vertical="center" wrapText="1"/>
    </xf>
    <xf numFmtId="0" fontId="80" fillId="42" borderId="77" xfId="0" applyFont="1" applyFill="1" applyBorder="1" applyAlignment="1">
      <alignment horizontal="left" vertical="center" wrapText="1"/>
    </xf>
    <xf numFmtId="0" fontId="16" fillId="35" borderId="20" xfId="0" applyFont="1" applyFill="1" applyBorder="1" applyAlignment="1">
      <alignment horizontal="left" vertical="center"/>
    </xf>
    <xf numFmtId="0" fontId="16" fillId="35" borderId="20" xfId="0" applyFont="1" applyFill="1" applyBorder="1" applyAlignment="1">
      <alignment horizontal="center" vertical="center"/>
    </xf>
    <xf numFmtId="0" fontId="77" fillId="33" borderId="52" xfId="2" applyFont="1" applyFill="1" applyBorder="1" applyAlignment="1">
      <alignment horizontal="center" vertical="center" wrapText="1" readingOrder="1"/>
    </xf>
    <xf numFmtId="0" fontId="110" fillId="38" borderId="77" xfId="2" applyFont="1" applyFill="1" applyBorder="1" applyAlignment="1">
      <alignment horizontal="center" vertical="center" wrapText="1" readingOrder="1"/>
    </xf>
    <xf numFmtId="0" fontId="110" fillId="38" borderId="77" xfId="0" applyFont="1" applyFill="1" applyBorder="1" applyAlignment="1">
      <alignment horizontal="center" vertical="center" wrapText="1"/>
    </xf>
    <xf numFmtId="0" fontId="110" fillId="38" borderId="77" xfId="0" applyFont="1" applyFill="1" applyBorder="1" applyAlignment="1">
      <alignment horizontal="left" vertical="center"/>
    </xf>
    <xf numFmtId="0" fontId="51" fillId="37" borderId="16" xfId="0" applyFont="1" applyFill="1" applyBorder="1" applyAlignment="1">
      <alignment horizontal="center" vertical="center" wrapText="1"/>
    </xf>
    <xf numFmtId="0" fontId="86" fillId="43" borderId="16" xfId="0" applyFont="1" applyFill="1" applyBorder="1" applyAlignment="1">
      <alignment horizontal="center" vertical="center"/>
    </xf>
    <xf numFmtId="0" fontId="86" fillId="43" borderId="16" xfId="0" applyFont="1" applyFill="1" applyBorder="1" applyAlignment="1">
      <alignment horizontal="left" vertical="center"/>
    </xf>
    <xf numFmtId="0" fontId="87" fillId="9" borderId="16" xfId="0" applyFont="1" applyFill="1" applyBorder="1"/>
    <xf numFmtId="0" fontId="0" fillId="9" borderId="16" xfId="0" applyFill="1" applyBorder="1"/>
    <xf numFmtId="17" fontId="78" fillId="0" borderId="109" xfId="2" applyNumberFormat="1" applyFont="1" applyBorder="1" applyAlignment="1">
      <alignment horizontal="center" vertical="center" wrapText="1" readingOrder="1"/>
    </xf>
    <xf numFmtId="17" fontId="78" fillId="0" borderId="110" xfId="2" applyNumberFormat="1" applyFont="1" applyBorder="1" applyAlignment="1">
      <alignment horizontal="center" vertical="center" wrapText="1" readingOrder="1"/>
    </xf>
    <xf numFmtId="17" fontId="108" fillId="0" borderId="106" xfId="2" applyNumberFormat="1" applyFont="1" applyBorder="1" applyAlignment="1">
      <alignment horizontal="center" vertical="center" wrapText="1" readingOrder="1"/>
    </xf>
    <xf numFmtId="0" fontId="112" fillId="12" borderId="0" xfId="2" applyFont="1" applyFill="1" applyAlignment="1">
      <alignment horizontal="center" vertical="center" wrapText="1" readingOrder="1"/>
    </xf>
    <xf numFmtId="0" fontId="112" fillId="12" borderId="14" xfId="2" applyFont="1" applyFill="1" applyBorder="1" applyAlignment="1">
      <alignment horizontal="center" vertical="center" wrapText="1" readingOrder="1"/>
    </xf>
    <xf numFmtId="0" fontId="112" fillId="12" borderId="14" xfId="2" applyFont="1" applyFill="1" applyBorder="1" applyAlignment="1">
      <alignment horizontal="left" vertical="center" wrapText="1" readingOrder="1"/>
    </xf>
    <xf numFmtId="0" fontId="112" fillId="12" borderId="51" xfId="2" applyFont="1" applyFill="1" applyBorder="1" applyAlignment="1">
      <alignment vertical="center" wrapText="1" readingOrder="1"/>
    </xf>
    <xf numFmtId="0" fontId="112" fillId="12" borderId="51" xfId="2" applyFont="1" applyFill="1" applyBorder="1" applyAlignment="1">
      <alignment horizontal="center" vertical="center" wrapText="1" readingOrder="1"/>
    </xf>
    <xf numFmtId="0" fontId="112" fillId="32" borderId="14" xfId="2" applyFont="1" applyFill="1" applyBorder="1" applyAlignment="1">
      <alignment horizontal="center" vertical="center" wrapText="1" readingOrder="1"/>
    </xf>
    <xf numFmtId="0" fontId="112" fillId="34" borderId="0" xfId="0" applyFont="1" applyFill="1" applyAlignment="1">
      <alignment horizontal="left" vertical="center" wrapText="1"/>
    </xf>
    <xf numFmtId="0" fontId="112" fillId="34" borderId="0" xfId="0" applyFont="1" applyFill="1" applyAlignment="1">
      <alignment wrapText="1"/>
    </xf>
    <xf numFmtId="0" fontId="112" fillId="34" borderId="0" xfId="0" applyFont="1" applyFill="1" applyAlignment="1">
      <alignment horizontal="center" vertical="center" wrapText="1"/>
    </xf>
    <xf numFmtId="0" fontId="112" fillId="34" borderId="0" xfId="0" applyFont="1" applyFill="1" applyAlignment="1">
      <alignment horizontal="center" wrapText="1"/>
    </xf>
    <xf numFmtId="0" fontId="113" fillId="34" borderId="0" xfId="0" applyFont="1" applyFill="1" applyAlignment="1">
      <alignment horizontal="left" vertical="center"/>
    </xf>
    <xf numFmtId="0" fontId="108" fillId="0" borderId="79" xfId="0" applyFont="1" applyBorder="1" applyAlignment="1">
      <alignment horizontal="left" vertical="center" wrapText="1"/>
    </xf>
    <xf numFmtId="9" fontId="0" fillId="0" borderId="0" xfId="1" applyFont="1"/>
    <xf numFmtId="0" fontId="16" fillId="35" borderId="16" xfId="0" applyFont="1" applyFill="1" applyBorder="1" applyAlignment="1">
      <alignment horizontal="left" vertical="center"/>
    </xf>
    <xf numFmtId="0" fontId="0" fillId="0" borderId="112" xfId="0" applyBorder="1" applyAlignment="1">
      <alignment horizontal="center" vertical="center"/>
    </xf>
    <xf numFmtId="0" fontId="107" fillId="16" borderId="112" xfId="2" applyFont="1" applyFill="1" applyBorder="1" applyAlignment="1">
      <alignment horizontal="center" vertical="center" wrapText="1" readingOrder="1"/>
    </xf>
    <xf numFmtId="0" fontId="107" fillId="16" borderId="112" xfId="0" applyFont="1" applyFill="1" applyBorder="1" applyAlignment="1">
      <alignment horizontal="center" vertical="center"/>
    </xf>
    <xf numFmtId="0" fontId="107" fillId="16" borderId="112" xfId="0" applyFont="1" applyFill="1" applyBorder="1" applyAlignment="1">
      <alignment horizontal="left" vertical="center" wrapText="1"/>
    </xf>
    <xf numFmtId="0" fontId="0" fillId="0" borderId="112" xfId="0" applyBorder="1" applyAlignment="1">
      <alignment horizontal="center"/>
    </xf>
    <xf numFmtId="0" fontId="85" fillId="38" borderId="112" xfId="0" applyFont="1" applyFill="1" applyBorder="1" applyAlignment="1">
      <alignment horizontal="center" vertical="center"/>
    </xf>
    <xf numFmtId="0" fontId="85" fillId="38" borderId="112" xfId="0" applyFont="1" applyFill="1" applyBorder="1" applyAlignment="1">
      <alignment horizontal="left" vertical="center"/>
    </xf>
    <xf numFmtId="0" fontId="107" fillId="42" borderId="112" xfId="0" applyFont="1" applyFill="1" applyBorder="1" applyAlignment="1">
      <alignment horizontal="left" vertical="center" wrapText="1"/>
    </xf>
    <xf numFmtId="17" fontId="107" fillId="16" borderId="112" xfId="0" applyNumberFormat="1" applyFont="1" applyFill="1" applyBorder="1" applyAlignment="1">
      <alignment horizontal="center" vertical="center" wrapText="1"/>
    </xf>
    <xf numFmtId="0" fontId="111" fillId="16" borderId="112" xfId="0" applyFont="1" applyFill="1" applyBorder="1" applyAlignment="1">
      <alignment horizontal="center" vertical="center"/>
    </xf>
    <xf numFmtId="0" fontId="111" fillId="16" borderId="112" xfId="0" applyFont="1" applyFill="1" applyBorder="1" applyAlignment="1">
      <alignment horizontal="center"/>
    </xf>
    <xf numFmtId="0" fontId="107" fillId="42" borderId="112" xfId="2" applyFont="1" applyFill="1" applyBorder="1" applyAlignment="1">
      <alignment horizontal="center" vertical="center" wrapText="1" readingOrder="1"/>
    </xf>
    <xf numFmtId="0" fontId="111" fillId="42" borderId="112" xfId="0" applyFont="1" applyFill="1" applyBorder="1" applyAlignment="1">
      <alignment horizontal="center"/>
    </xf>
    <xf numFmtId="17" fontId="107" fillId="42" borderId="112" xfId="0" applyNumberFormat="1" applyFont="1" applyFill="1" applyBorder="1" applyAlignment="1">
      <alignment horizontal="center" vertical="center" wrapText="1"/>
    </xf>
    <xf numFmtId="0" fontId="111" fillId="42" borderId="112" xfId="0" applyFont="1" applyFill="1" applyBorder="1" applyAlignment="1">
      <alignment horizontal="center" vertical="center"/>
    </xf>
    <xf numFmtId="0" fontId="115" fillId="38" borderId="112" xfId="2" applyFont="1" applyFill="1" applyBorder="1" applyAlignment="1">
      <alignment horizontal="center" vertical="center" wrapText="1" readingOrder="1"/>
    </xf>
    <xf numFmtId="17" fontId="115" fillId="38" borderId="112" xfId="0" applyNumberFormat="1" applyFont="1" applyFill="1" applyBorder="1" applyAlignment="1">
      <alignment horizontal="center" vertical="center" wrapText="1"/>
    </xf>
    <xf numFmtId="0" fontId="50" fillId="38" borderId="112" xfId="0" applyFont="1" applyFill="1" applyBorder="1" applyAlignment="1">
      <alignment horizontal="center" vertical="center"/>
    </xf>
    <xf numFmtId="0" fontId="111" fillId="51" borderId="112" xfId="0" applyFont="1" applyFill="1" applyBorder="1" applyAlignment="1">
      <alignment horizontal="center"/>
    </xf>
    <xf numFmtId="17" fontId="107" fillId="51" borderId="112" xfId="0" applyNumberFormat="1" applyFont="1" applyFill="1" applyBorder="1" applyAlignment="1">
      <alignment horizontal="center" vertical="center" wrapText="1"/>
    </xf>
    <xf numFmtId="0" fontId="111" fillId="51" borderId="112" xfId="0" applyFont="1" applyFill="1" applyBorder="1" applyAlignment="1">
      <alignment horizontal="center" vertical="center"/>
    </xf>
    <xf numFmtId="0" fontId="107" fillId="51" borderId="112" xfId="2" applyFont="1" applyFill="1" applyBorder="1" applyAlignment="1">
      <alignment horizontal="center" vertical="center" wrapText="1" readingOrder="1"/>
    </xf>
    <xf numFmtId="0" fontId="107" fillId="51" borderId="112" xfId="0" applyFont="1" applyFill="1" applyBorder="1" applyAlignment="1">
      <alignment horizontal="left" vertical="center" wrapText="1"/>
    </xf>
    <xf numFmtId="0" fontId="109" fillId="0" borderId="80" xfId="0" applyFont="1" applyBorder="1" applyAlignment="1">
      <alignment horizontal="center" vertical="center" wrapText="1"/>
    </xf>
    <xf numFmtId="0" fontId="109" fillId="0" borderId="112" xfId="0" applyFont="1" applyBorder="1" applyAlignment="1">
      <alignment horizontal="center" vertical="center" wrapText="1"/>
    </xf>
    <xf numFmtId="0" fontId="0" fillId="0" borderId="112" xfId="0" applyBorder="1"/>
    <xf numFmtId="0" fontId="108" fillId="0" borderId="112" xfId="2" applyFont="1" applyBorder="1" applyAlignment="1">
      <alignment horizontal="center" vertical="center" wrapText="1" readingOrder="1"/>
    </xf>
    <xf numFmtId="0" fontId="80" fillId="16" borderId="112" xfId="2" applyFont="1" applyFill="1" applyBorder="1" applyAlignment="1">
      <alignment horizontal="center" vertical="center" wrapText="1" readingOrder="1"/>
    </xf>
    <xf numFmtId="0" fontId="78" fillId="9" borderId="112" xfId="2" applyFont="1" applyFill="1" applyBorder="1" applyAlignment="1">
      <alignment horizontal="center" vertical="center" wrapText="1" readingOrder="1"/>
    </xf>
    <xf numFmtId="0" fontId="80" fillId="9" borderId="112" xfId="0" applyFont="1" applyFill="1" applyBorder="1" applyAlignment="1">
      <alignment horizontal="center" vertical="center"/>
    </xf>
    <xf numFmtId="0" fontId="75" fillId="9" borderId="112" xfId="0" applyFont="1" applyFill="1" applyBorder="1" applyAlignment="1">
      <alignment horizontal="left" vertical="center" wrapText="1"/>
    </xf>
    <xf numFmtId="0" fontId="0" fillId="9" borderId="112" xfId="0" applyFill="1" applyBorder="1" applyAlignment="1">
      <alignment horizontal="center"/>
    </xf>
    <xf numFmtId="0" fontId="0" fillId="0" borderId="113" xfId="0" applyBorder="1"/>
    <xf numFmtId="0" fontId="78" fillId="0" borderId="111" xfId="0" applyFont="1" applyBorder="1" applyAlignment="1">
      <alignment horizontal="left" vertical="top" wrapText="1"/>
    </xf>
    <xf numFmtId="0" fontId="108" fillId="0" borderId="112" xfId="0" applyFont="1" applyBorder="1" applyAlignment="1">
      <alignment horizontal="center" vertical="center" wrapText="1"/>
    </xf>
    <xf numFmtId="0" fontId="108" fillId="0" borderId="112" xfId="0" applyFont="1" applyBorder="1" applyAlignment="1">
      <alignment horizontal="left" vertical="center" wrapText="1"/>
    </xf>
    <xf numFmtId="0" fontId="80" fillId="16" borderId="112" xfId="0" applyFont="1" applyFill="1" applyBorder="1" applyAlignment="1">
      <alignment horizontal="center" vertical="center" wrapText="1"/>
    </xf>
    <xf numFmtId="0" fontId="75" fillId="16" borderId="112" xfId="0" applyFont="1" applyFill="1" applyBorder="1" applyAlignment="1">
      <alignment horizontal="left" vertical="center" wrapText="1"/>
    </xf>
    <xf numFmtId="17" fontId="79" fillId="9" borderId="112" xfId="0" applyNumberFormat="1" applyFont="1" applyFill="1" applyBorder="1" applyAlignment="1">
      <alignment horizontal="center" vertical="center" wrapText="1"/>
    </xf>
    <xf numFmtId="0" fontId="78" fillId="0" borderId="112" xfId="2" applyFont="1" applyBorder="1" applyAlignment="1">
      <alignment horizontal="center" vertical="center" wrapText="1" readingOrder="1"/>
    </xf>
    <xf numFmtId="0" fontId="75" fillId="0" borderId="112" xfId="0" applyFont="1" applyBorder="1" applyAlignment="1">
      <alignment horizontal="center" vertical="center" wrapText="1"/>
    </xf>
    <xf numFmtId="0" fontId="78" fillId="0" borderId="112" xfId="0" applyFont="1" applyBorder="1" applyAlignment="1">
      <alignment horizontal="center" vertical="top" wrapText="1"/>
    </xf>
    <xf numFmtId="0" fontId="78" fillId="0" borderId="112" xfId="0" applyFont="1" applyBorder="1" applyAlignment="1">
      <alignment vertical="top" wrapText="1"/>
    </xf>
    <xf numFmtId="0" fontId="0" fillId="0" borderId="0" xfId="0" applyAlignment="1">
      <alignment horizontal="left" indent="1"/>
    </xf>
    <xf numFmtId="9" fontId="0" fillId="52" borderId="0" xfId="1" applyFont="1" applyFill="1"/>
    <xf numFmtId="0" fontId="86" fillId="10" borderId="0" xfId="0" applyFont="1" applyFill="1" applyAlignment="1">
      <alignment horizontal="center" vertical="center"/>
    </xf>
    <xf numFmtId="0" fontId="0" fillId="0" borderId="0" xfId="0" applyAlignment="1">
      <alignment horizontal="left" indent="2"/>
    </xf>
    <xf numFmtId="0" fontId="2" fillId="0" borderId="0" xfId="22"/>
    <xf numFmtId="0" fontId="2" fillId="0" borderId="0" xfId="22" applyAlignment="1">
      <alignment horizontal="center" vertical="center"/>
    </xf>
    <xf numFmtId="0" fontId="2" fillId="10" borderId="0" xfId="22" applyFill="1" applyAlignment="1">
      <alignment horizontal="center" vertical="center"/>
    </xf>
    <xf numFmtId="0" fontId="117" fillId="53" borderId="16" xfId="22" applyFont="1" applyFill="1" applyBorder="1" applyAlignment="1">
      <alignment horizontal="center" vertical="center" wrapText="1" readingOrder="1"/>
    </xf>
    <xf numFmtId="0" fontId="118" fillId="54" borderId="16" xfId="22" applyFont="1" applyFill="1" applyBorder="1" applyAlignment="1">
      <alignment horizontal="center" vertical="center" wrapText="1" readingOrder="1"/>
    </xf>
    <xf numFmtId="0" fontId="41" fillId="0" borderId="0" xfId="22" applyFont="1"/>
    <xf numFmtId="9" fontId="0" fillId="0" borderId="0" xfId="23" applyFont="1"/>
    <xf numFmtId="0" fontId="117" fillId="53" borderId="114" xfId="22" applyFont="1" applyFill="1" applyBorder="1" applyAlignment="1">
      <alignment horizontal="center" vertical="center" wrapText="1" readingOrder="1"/>
    </xf>
    <xf numFmtId="0" fontId="118" fillId="54" borderId="115" xfId="22" applyFont="1" applyFill="1" applyBorder="1" applyAlignment="1">
      <alignment horizontal="center" vertical="center" wrapText="1" readingOrder="1"/>
    </xf>
    <xf numFmtId="0" fontId="118" fillId="54" borderId="115" xfId="22" quotePrefix="1" applyFont="1" applyFill="1" applyBorder="1" applyAlignment="1">
      <alignment horizontal="center" vertical="center" wrapText="1" readingOrder="1"/>
    </xf>
    <xf numFmtId="0" fontId="118" fillId="54" borderId="16" xfId="22" quotePrefix="1" applyFont="1" applyFill="1" applyBorder="1" applyAlignment="1">
      <alignment horizontal="center" vertical="center" wrapText="1" readingOrder="1"/>
    </xf>
    <xf numFmtId="0" fontId="117" fillId="53" borderId="0" xfId="22" applyFont="1" applyFill="1" applyAlignment="1">
      <alignment horizontal="center" vertical="center" wrapText="1" readingOrder="1"/>
    </xf>
    <xf numFmtId="0" fontId="118" fillId="54" borderId="0" xfId="22" applyFont="1" applyFill="1" applyAlignment="1">
      <alignment horizontal="center" vertical="center" wrapText="1" readingOrder="1"/>
    </xf>
    <xf numFmtId="0" fontId="2" fillId="19" borderId="0" xfId="22" applyFill="1"/>
    <xf numFmtId="0" fontId="117" fillId="53" borderId="108" xfId="22" applyFont="1" applyFill="1" applyBorder="1" applyAlignment="1">
      <alignment horizontal="center" vertical="center" wrapText="1" readingOrder="1"/>
    </xf>
    <xf numFmtId="0" fontId="116" fillId="0" borderId="0" xfId="22" applyFont="1"/>
    <xf numFmtId="0" fontId="116" fillId="0" borderId="0" xfId="22" applyFont="1" applyAlignment="1">
      <alignment horizontal="center" vertical="center"/>
    </xf>
    <xf numFmtId="0" fontId="119" fillId="53" borderId="114" xfId="22" applyFont="1" applyFill="1" applyBorder="1" applyAlignment="1">
      <alignment horizontal="center" vertical="center" wrapText="1" readingOrder="1"/>
    </xf>
    <xf numFmtId="0" fontId="120" fillId="54" borderId="115" xfId="22" applyFont="1" applyFill="1" applyBorder="1" applyAlignment="1">
      <alignment horizontal="center" vertical="center" wrapText="1" readingOrder="1"/>
    </xf>
    <xf numFmtId="9" fontId="2" fillId="19" borderId="0" xfId="22" applyNumberFormat="1" applyFill="1"/>
    <xf numFmtId="9" fontId="0" fillId="19" borderId="0" xfId="23" applyFont="1" applyFill="1"/>
    <xf numFmtId="0" fontId="117" fillId="9" borderId="108" xfId="22" applyFont="1" applyFill="1" applyBorder="1" applyAlignment="1">
      <alignment horizontal="center" vertical="center" wrapText="1" readingOrder="1"/>
    </xf>
    <xf numFmtId="0" fontId="2" fillId="19" borderId="0" xfId="22" applyFill="1" applyAlignment="1">
      <alignment horizontal="center" vertical="center"/>
    </xf>
    <xf numFmtId="0" fontId="0" fillId="0" borderId="120" xfId="0" applyBorder="1"/>
    <xf numFmtId="0" fontId="0" fillId="0" borderId="121" xfId="0" applyBorder="1"/>
    <xf numFmtId="0" fontId="0" fillId="0" borderId="122" xfId="0" applyBorder="1"/>
    <xf numFmtId="9" fontId="0" fillId="0" borderId="0" xfId="0" applyNumberFormat="1" applyAlignment="1">
      <alignment horizontal="center"/>
    </xf>
    <xf numFmtId="17" fontId="80" fillId="42" borderId="77" xfId="0" applyNumberFormat="1" applyFont="1" applyFill="1" applyBorder="1" applyAlignment="1">
      <alignment horizontal="left" vertical="center"/>
    </xf>
    <xf numFmtId="17" fontId="80" fillId="43" borderId="79" xfId="0" applyNumberFormat="1" applyFont="1" applyFill="1" applyBorder="1" applyAlignment="1">
      <alignment horizontal="center" vertical="center"/>
    </xf>
    <xf numFmtId="9" fontId="0" fillId="28" borderId="0" xfId="0" applyNumberFormat="1" applyFill="1"/>
    <xf numFmtId="0" fontId="118" fillId="54" borderId="117" xfId="22" applyFont="1" applyFill="1" applyBorder="1" applyAlignment="1">
      <alignment horizontal="center" vertical="center" wrapText="1" readingOrder="1"/>
    </xf>
    <xf numFmtId="9" fontId="118" fillId="19" borderId="117" xfId="23" applyFont="1" applyFill="1" applyBorder="1" applyAlignment="1">
      <alignment horizontal="center" vertical="center" wrapText="1" readingOrder="1"/>
    </xf>
    <xf numFmtId="0" fontId="118" fillId="56" borderId="118" xfId="22" applyFont="1" applyFill="1" applyBorder="1" applyAlignment="1">
      <alignment horizontal="center" vertical="center" wrapText="1" readingOrder="1"/>
    </xf>
    <xf numFmtId="0" fontId="78" fillId="0" borderId="119" xfId="22" applyFont="1" applyBorder="1" applyAlignment="1">
      <alignment horizontal="center" wrapText="1" readingOrder="1"/>
    </xf>
    <xf numFmtId="9" fontId="78" fillId="0" borderId="119" xfId="22" applyNumberFormat="1" applyFont="1" applyBorder="1" applyAlignment="1">
      <alignment horizontal="center" wrapText="1" readingOrder="1"/>
    </xf>
    <xf numFmtId="0" fontId="86" fillId="41" borderId="54" xfId="0" applyFont="1" applyFill="1" applyBorder="1" applyAlignment="1">
      <alignment horizontal="center" vertical="center" wrapText="1"/>
    </xf>
    <xf numFmtId="17" fontId="43" fillId="0" borderId="18" xfId="0" applyNumberFormat="1" applyFont="1" applyBorder="1" applyAlignment="1">
      <alignment horizontal="center" vertical="center"/>
    </xf>
    <xf numFmtId="0" fontId="51" fillId="0" borderId="16" xfId="11" applyFont="1" applyBorder="1" applyAlignment="1">
      <alignment horizontal="center" vertical="center"/>
    </xf>
    <xf numFmtId="0" fontId="0" fillId="0" borderId="18" xfId="11" applyFont="1" applyBorder="1" applyAlignment="1">
      <alignment horizontal="left" vertical="center" wrapText="1"/>
    </xf>
    <xf numFmtId="0" fontId="0" fillId="0" borderId="16" xfId="11" applyFont="1" applyBorder="1" applyAlignment="1">
      <alignment horizontal="left" vertical="center"/>
    </xf>
    <xf numFmtId="0" fontId="0" fillId="0" borderId="89" xfId="11" applyFont="1" applyBorder="1" applyAlignment="1">
      <alignment horizontal="left" vertical="center"/>
    </xf>
    <xf numFmtId="0" fontId="0" fillId="0" borderId="89" xfId="11" applyFont="1" applyBorder="1" applyAlignment="1">
      <alignment horizontal="left"/>
    </xf>
    <xf numFmtId="0" fontId="11" fillId="0" borderId="0" xfId="11" applyAlignment="1">
      <alignment horizontal="left"/>
    </xf>
    <xf numFmtId="0" fontId="43" fillId="0" borderId="18" xfId="0" applyFont="1" applyBorder="1" applyAlignment="1">
      <alignment horizontal="center" vertical="center" wrapText="1"/>
    </xf>
    <xf numFmtId="0" fontId="43" fillId="0" borderId="20" xfId="0" applyFont="1" applyBorder="1" applyAlignment="1">
      <alignment horizontal="center" vertical="center"/>
    </xf>
    <xf numFmtId="0" fontId="25" fillId="32" borderId="136" xfId="11" applyFont="1" applyFill="1" applyBorder="1" applyAlignment="1">
      <alignment horizontal="center" vertical="center" wrapText="1"/>
    </xf>
    <xf numFmtId="0" fontId="24" fillId="0" borderId="20" xfId="11" applyFont="1" applyBorder="1" applyAlignment="1">
      <alignment horizontal="center" vertical="center"/>
    </xf>
    <xf numFmtId="9" fontId="24" fillId="0" borderId="20" xfId="1" applyFont="1" applyFill="1" applyBorder="1" applyAlignment="1">
      <alignment horizontal="center" vertical="center"/>
    </xf>
    <xf numFmtId="167" fontId="24" fillId="0" borderId="20" xfId="0" applyNumberFormat="1" applyFont="1" applyBorder="1" applyAlignment="1">
      <alignment horizontal="center" vertical="center"/>
    </xf>
    <xf numFmtId="0" fontId="90" fillId="36" borderId="136" xfId="11" applyFont="1" applyFill="1" applyBorder="1" applyAlignment="1">
      <alignment horizontal="center" vertical="center" wrapText="1"/>
    </xf>
    <xf numFmtId="0" fontId="99" fillId="0" borderId="20" xfId="11" applyFont="1" applyBorder="1" applyAlignment="1">
      <alignment horizontal="center" vertical="center"/>
    </xf>
    <xf numFmtId="9" fontId="95" fillId="0" borderId="20" xfId="1" applyFont="1" applyFill="1" applyBorder="1" applyAlignment="1">
      <alignment horizontal="center" vertical="center"/>
    </xf>
    <xf numFmtId="167" fontId="95" fillId="0" borderId="20" xfId="0" applyNumberFormat="1" applyFont="1" applyBorder="1" applyAlignment="1">
      <alignment horizontal="center" vertical="center"/>
    </xf>
    <xf numFmtId="0" fontId="82" fillId="0" borderId="99" xfId="11" applyFont="1" applyBorder="1" applyAlignment="1">
      <alignment horizontal="center" vertical="center" wrapText="1"/>
    </xf>
    <xf numFmtId="0" fontId="82" fillId="0" borderId="99" xfId="11" applyFont="1" applyBorder="1" applyAlignment="1">
      <alignment horizontal="center" vertical="center"/>
    </xf>
    <xf numFmtId="0" fontId="0" fillId="59" borderId="0" xfId="11" applyFont="1" applyFill="1"/>
    <xf numFmtId="0" fontId="127" fillId="10" borderId="77" xfId="0" applyFont="1" applyFill="1" applyBorder="1" applyAlignment="1">
      <alignment horizontal="center" vertical="center" wrapText="1"/>
    </xf>
    <xf numFmtId="0" fontId="0" fillId="3" borderId="77" xfId="0" applyFill="1" applyBorder="1" applyAlignment="1">
      <alignment horizontal="center"/>
    </xf>
    <xf numFmtId="1" fontId="0" fillId="3" borderId="77" xfId="0" applyNumberFormat="1" applyFill="1" applyBorder="1" applyAlignment="1">
      <alignment horizontal="center"/>
    </xf>
    <xf numFmtId="9" fontId="0" fillId="3" borderId="77" xfId="1" applyFont="1" applyFill="1" applyBorder="1" applyAlignment="1">
      <alignment horizontal="center"/>
    </xf>
    <xf numFmtId="0" fontId="0" fillId="16" borderId="0" xfId="11" applyFont="1" applyFill="1"/>
    <xf numFmtId="0" fontId="11" fillId="0" borderId="0" xfId="11" applyAlignment="1">
      <alignment horizontal="center"/>
    </xf>
    <xf numFmtId="0" fontId="11" fillId="10" borderId="0" xfId="11" applyFill="1" applyAlignment="1">
      <alignment wrapText="1"/>
    </xf>
    <xf numFmtId="0" fontId="11" fillId="36" borderId="0" xfId="11" applyFill="1" applyAlignment="1">
      <alignment horizontal="center" vertical="center"/>
    </xf>
    <xf numFmtId="0" fontId="11" fillId="58" borderId="0" xfId="11" applyFill="1" applyAlignment="1">
      <alignment horizontal="center" vertical="center"/>
    </xf>
    <xf numFmtId="0" fontId="91" fillId="57" borderId="0" xfId="11" applyFont="1" applyFill="1" applyAlignment="1">
      <alignment horizontal="center" vertical="center" wrapText="1"/>
    </xf>
    <xf numFmtId="167" fontId="24" fillId="0" borderId="18" xfId="0" applyNumberFormat="1" applyFont="1" applyBorder="1" applyAlignment="1">
      <alignment horizontal="center" vertical="center"/>
    </xf>
    <xf numFmtId="0" fontId="89" fillId="0" borderId="18" xfId="0" applyFont="1" applyBorder="1" applyAlignment="1">
      <alignment horizontal="center" vertical="center"/>
    </xf>
    <xf numFmtId="2" fontId="24" fillId="0" borderId="18" xfId="0" applyNumberFormat="1" applyFont="1" applyBorder="1" applyAlignment="1">
      <alignment horizontal="center" vertical="center"/>
    </xf>
    <xf numFmtId="0" fontId="91" fillId="0" borderId="77" xfId="11" applyFont="1" applyBorder="1" applyAlignment="1">
      <alignment horizontal="center" vertical="center"/>
    </xf>
    <xf numFmtId="0" fontId="0" fillId="0" borderId="142" xfId="11" applyFont="1" applyBorder="1" applyAlignment="1">
      <alignment horizontal="center" vertical="center"/>
    </xf>
    <xf numFmtId="0" fontId="0" fillId="0" borderId="90" xfId="11" applyFont="1" applyBorder="1" applyAlignment="1">
      <alignment horizontal="center" vertical="center"/>
    </xf>
    <xf numFmtId="0" fontId="0" fillId="0" borderId="77" xfId="11" applyFont="1" applyBorder="1" applyAlignment="1">
      <alignment horizontal="left" vertical="center"/>
    </xf>
    <xf numFmtId="0" fontId="51" fillId="0" borderId="77" xfId="11" applyFont="1" applyBorder="1" applyAlignment="1">
      <alignment horizontal="center" vertical="center"/>
    </xf>
    <xf numFmtId="0" fontId="51" fillId="0" borderId="77" xfId="11" applyFont="1" applyBorder="1" applyAlignment="1">
      <alignment horizontal="left" vertical="center" wrapText="1"/>
    </xf>
    <xf numFmtId="0" fontId="0" fillId="0" borderId="77" xfId="11" applyFont="1" applyBorder="1" applyAlignment="1">
      <alignment horizontal="left" vertical="center" wrapText="1"/>
    </xf>
    <xf numFmtId="0" fontId="0" fillId="45" borderId="77" xfId="0" applyFill="1" applyBorder="1" applyAlignment="1">
      <alignment horizontal="center"/>
    </xf>
    <xf numFmtId="1" fontId="0" fillId="45" borderId="77" xfId="0" applyNumberFormat="1" applyFill="1" applyBorder="1" applyAlignment="1">
      <alignment horizontal="center"/>
    </xf>
    <xf numFmtId="9" fontId="0" fillId="45" borderId="77" xfId="1" applyFont="1" applyFill="1" applyBorder="1" applyAlignment="1">
      <alignment horizontal="center"/>
    </xf>
    <xf numFmtId="0" fontId="0" fillId="45" borderId="134" xfId="0" applyFill="1" applyBorder="1" applyAlignment="1">
      <alignment horizontal="center"/>
    </xf>
    <xf numFmtId="1" fontId="0" fillId="45" borderId="134" xfId="0" applyNumberFormat="1" applyFill="1" applyBorder="1" applyAlignment="1">
      <alignment horizontal="center"/>
    </xf>
    <xf numFmtId="9" fontId="0" fillId="45" borderId="134" xfId="1" applyFont="1" applyFill="1" applyBorder="1" applyAlignment="1">
      <alignment horizontal="center"/>
    </xf>
    <xf numFmtId="0" fontId="51" fillId="0" borderId="89" xfId="11" applyFont="1" applyBorder="1" applyAlignment="1">
      <alignment wrapText="1"/>
    </xf>
    <xf numFmtId="0" fontId="129" fillId="0" borderId="89" xfId="11" applyFont="1" applyBorder="1"/>
    <xf numFmtId="0" fontId="93" fillId="32" borderId="123" xfId="11" applyFont="1" applyFill="1" applyBorder="1" applyAlignment="1">
      <alignment horizontal="center" vertical="center"/>
    </xf>
    <xf numFmtId="0" fontId="93" fillId="36" borderId="79" xfId="11" applyFont="1" applyFill="1" applyBorder="1" applyAlignment="1">
      <alignment horizontal="center" vertical="center"/>
    </xf>
    <xf numFmtId="0" fontId="93" fillId="36" borderId="124" xfId="11" applyFont="1" applyFill="1" applyBorder="1" applyAlignment="1">
      <alignment horizontal="center" vertical="center"/>
    </xf>
    <xf numFmtId="0" fontId="93" fillId="36" borderId="123" xfId="11" applyFont="1" applyFill="1" applyBorder="1" applyAlignment="1">
      <alignment horizontal="center" vertical="center"/>
    </xf>
    <xf numFmtId="0" fontId="133" fillId="0" borderId="0" xfId="0" applyFont="1"/>
    <xf numFmtId="0" fontId="127" fillId="10" borderId="146" xfId="0" applyFont="1" applyFill="1" applyBorder="1" applyAlignment="1">
      <alignment horizontal="center" vertical="center" wrapText="1"/>
    </xf>
    <xf numFmtId="0" fontId="127" fillId="10" borderId="147" xfId="0" applyFont="1" applyFill="1" applyBorder="1" applyAlignment="1">
      <alignment horizontal="center" vertical="center" wrapText="1"/>
    </xf>
    <xf numFmtId="0" fontId="0" fillId="3" borderId="147" xfId="0" applyFill="1" applyBorder="1" applyAlignment="1">
      <alignment vertical="center" wrapText="1"/>
    </xf>
    <xf numFmtId="0" fontId="0" fillId="45" borderId="147" xfId="0" applyFill="1" applyBorder="1" applyAlignment="1">
      <alignment vertical="center" wrapText="1"/>
    </xf>
    <xf numFmtId="0" fontId="0" fillId="45" borderId="148" xfId="0" applyFill="1" applyBorder="1" applyAlignment="1">
      <alignment vertical="center" wrapText="1"/>
    </xf>
    <xf numFmtId="0" fontId="0" fillId="45" borderId="150" xfId="0" applyFill="1" applyBorder="1" applyAlignment="1">
      <alignment horizontal="center"/>
    </xf>
    <xf numFmtId="1" fontId="0" fillId="45" borderId="150" xfId="0" applyNumberFormat="1" applyFill="1" applyBorder="1" applyAlignment="1">
      <alignment horizontal="center"/>
    </xf>
    <xf numFmtId="9" fontId="0" fillId="45" borderId="150" xfId="1" applyFont="1" applyFill="1" applyBorder="1" applyAlignment="1">
      <alignment horizontal="center"/>
    </xf>
    <xf numFmtId="0" fontId="0" fillId="45" borderId="151" xfId="0" applyFill="1" applyBorder="1" applyAlignment="1">
      <alignment vertical="center" wrapText="1"/>
    </xf>
    <xf numFmtId="0" fontId="0" fillId="46" borderId="144" xfId="0" applyFill="1" applyBorder="1"/>
    <xf numFmtId="0" fontId="0" fillId="46" borderId="145" xfId="0" applyFill="1" applyBorder="1"/>
    <xf numFmtId="0" fontId="0" fillId="46" borderId="0" xfId="0" applyFill="1"/>
    <xf numFmtId="0" fontId="0" fillId="46" borderId="153" xfId="0" applyFill="1" applyBorder="1"/>
    <xf numFmtId="0" fontId="0" fillId="0" borderId="0" xfId="11" applyFont="1" applyAlignment="1">
      <alignment horizontal="center" vertical="center"/>
    </xf>
    <xf numFmtId="0" fontId="0" fillId="0" borderId="0" xfId="11" applyFont="1" applyAlignment="1">
      <alignment horizontal="left" vertical="center" wrapText="1"/>
    </xf>
    <xf numFmtId="0" fontId="0" fillId="0" borderId="155" xfId="11" applyFont="1" applyBorder="1" applyAlignment="1">
      <alignment horizontal="center" vertical="center"/>
    </xf>
    <xf numFmtId="0" fontId="0" fillId="0" borderId="155" xfId="11" applyFont="1" applyBorder="1" applyAlignment="1">
      <alignment horizontal="left" vertical="center" wrapText="1"/>
    </xf>
    <xf numFmtId="0" fontId="133" fillId="0" borderId="144" xfId="0" applyFont="1" applyBorder="1"/>
    <xf numFmtId="0" fontId="133" fillId="0" borderId="145" xfId="0" applyFont="1" applyBorder="1"/>
    <xf numFmtId="0" fontId="0" fillId="0" borderId="153" xfId="0" applyBorder="1"/>
    <xf numFmtId="0" fontId="0" fillId="0" borderId="152" xfId="0" applyBorder="1"/>
    <xf numFmtId="0" fontId="132" fillId="10" borderId="143" xfId="0" applyFont="1" applyFill="1" applyBorder="1" applyAlignment="1">
      <alignment horizontal="left" vertical="center"/>
    </xf>
    <xf numFmtId="0" fontId="132" fillId="10" borderId="144" xfId="0" applyFont="1" applyFill="1" applyBorder="1" applyAlignment="1">
      <alignment horizontal="left" vertical="center"/>
    </xf>
    <xf numFmtId="0" fontId="132" fillId="10" borderId="145" xfId="0" applyFont="1" applyFill="1" applyBorder="1" applyAlignment="1">
      <alignment horizontal="left" vertical="center"/>
    </xf>
    <xf numFmtId="0" fontId="114" fillId="9" borderId="157" xfId="11" applyFont="1" applyFill="1" applyBorder="1" applyAlignment="1">
      <alignment horizontal="center"/>
    </xf>
    <xf numFmtId="0" fontId="114" fillId="9" borderId="158" xfId="11" applyFont="1" applyFill="1" applyBorder="1" applyAlignment="1">
      <alignment horizontal="center"/>
    </xf>
    <xf numFmtId="0" fontId="114" fillId="9" borderId="159" xfId="11" applyFont="1" applyFill="1" applyBorder="1" applyAlignment="1">
      <alignment horizontal="center"/>
    </xf>
    <xf numFmtId="0" fontId="114" fillId="42" borderId="157" xfId="11" applyFont="1" applyFill="1" applyBorder="1" applyAlignment="1">
      <alignment horizontal="center"/>
    </xf>
    <xf numFmtId="0" fontId="114" fillId="42" borderId="158" xfId="11" applyFont="1" applyFill="1" applyBorder="1" applyAlignment="1">
      <alignment horizontal="center"/>
    </xf>
    <xf numFmtId="0" fontId="114" fillId="42" borderId="159" xfId="11" applyFont="1" applyFill="1" applyBorder="1" applyAlignment="1">
      <alignment horizontal="center"/>
    </xf>
    <xf numFmtId="0" fontId="114" fillId="49" borderId="157" xfId="11" applyFont="1" applyFill="1" applyBorder="1" applyAlignment="1">
      <alignment horizontal="center"/>
    </xf>
    <xf numFmtId="0" fontId="114" fillId="49" borderId="158" xfId="11" applyFont="1" applyFill="1" applyBorder="1" applyAlignment="1">
      <alignment horizontal="center"/>
    </xf>
    <xf numFmtId="0" fontId="114" fillId="49" borderId="160" xfId="11" applyFont="1" applyFill="1" applyBorder="1" applyAlignment="1">
      <alignment horizontal="center"/>
    </xf>
    <xf numFmtId="0" fontId="0" fillId="0" borderId="156" xfId="11" applyFont="1" applyBorder="1"/>
    <xf numFmtId="0" fontId="0" fillId="0" borderId="155" xfId="11" applyFont="1" applyBorder="1"/>
    <xf numFmtId="0" fontId="93" fillId="0" borderId="155" xfId="11" applyFont="1" applyBorder="1" applyAlignment="1">
      <alignment vertical="center"/>
    </xf>
    <xf numFmtId="0" fontId="101" fillId="36" borderId="154" xfId="11" applyFont="1" applyFill="1" applyBorder="1" applyAlignment="1">
      <alignment horizontal="center" vertical="center" wrapText="1"/>
    </xf>
    <xf numFmtId="167" fontId="134" fillId="61" borderId="89" xfId="11" applyNumberFormat="1" applyFont="1" applyFill="1" applyBorder="1" applyAlignment="1">
      <alignment horizontal="center" vertical="center" wrapText="1"/>
    </xf>
    <xf numFmtId="0" fontId="134" fillId="61" borderId="89" xfId="11" applyFont="1" applyFill="1" applyBorder="1" applyAlignment="1">
      <alignment horizontal="center" vertical="center" wrapText="1"/>
    </xf>
    <xf numFmtId="167" fontId="134" fillId="60" borderId="89" xfId="11" applyNumberFormat="1" applyFont="1" applyFill="1" applyBorder="1" applyAlignment="1">
      <alignment horizontal="center" vertical="center" wrapText="1"/>
    </xf>
    <xf numFmtId="0" fontId="134" fillId="60" borderId="89" xfId="11" applyFont="1" applyFill="1" applyBorder="1" applyAlignment="1">
      <alignment horizontal="center" vertical="center" wrapText="1"/>
    </xf>
    <xf numFmtId="167" fontId="82" fillId="0" borderId="89" xfId="11" applyNumberFormat="1" applyFont="1" applyBorder="1" applyAlignment="1">
      <alignment horizontal="center" vertical="center"/>
    </xf>
    <xf numFmtId="0" fontId="82" fillId="0" borderId="89" xfId="11" applyFont="1" applyBorder="1" applyAlignment="1">
      <alignment horizontal="center"/>
    </xf>
    <xf numFmtId="167" fontId="0" fillId="0" borderId="89" xfId="11" applyNumberFormat="1" applyFont="1" applyBorder="1" applyAlignment="1">
      <alignment horizontal="center" vertical="center"/>
    </xf>
    <xf numFmtId="9" fontId="0" fillId="0" borderId="89" xfId="1" applyFont="1" applyBorder="1" applyAlignment="1">
      <alignment horizontal="center" vertical="center"/>
    </xf>
    <xf numFmtId="0" fontId="135" fillId="36" borderId="89" xfId="11" applyFont="1" applyFill="1" applyBorder="1" applyAlignment="1">
      <alignment horizontal="left" vertical="center" wrapText="1"/>
    </xf>
    <xf numFmtId="0" fontId="93" fillId="49" borderId="89" xfId="11" applyFont="1" applyFill="1" applyBorder="1" applyAlignment="1">
      <alignment horizontal="center"/>
    </xf>
    <xf numFmtId="0" fontId="93" fillId="42" borderId="89" xfId="11" applyFont="1" applyFill="1" applyBorder="1" applyAlignment="1">
      <alignment horizontal="center"/>
    </xf>
    <xf numFmtId="0" fontId="93" fillId="9" borderId="89" xfId="11" applyFont="1" applyFill="1" applyBorder="1" applyAlignment="1">
      <alignment horizontal="center"/>
    </xf>
    <xf numFmtId="1" fontId="136" fillId="61" borderId="87" xfId="11" applyNumberFormat="1" applyFont="1" applyFill="1" applyBorder="1" applyAlignment="1">
      <alignment horizontal="center" vertical="center"/>
    </xf>
    <xf numFmtId="1" fontId="136" fillId="61" borderId="16" xfId="11" applyNumberFormat="1" applyFont="1" applyFill="1" applyBorder="1" applyAlignment="1">
      <alignment horizontal="center" vertical="center"/>
    </xf>
    <xf numFmtId="1" fontId="136" fillId="61" borderId="22" xfId="11" applyNumberFormat="1" applyFont="1" applyFill="1" applyBorder="1" applyAlignment="1">
      <alignment horizontal="center" vertical="center"/>
    </xf>
    <xf numFmtId="0" fontId="136" fillId="61" borderId="91" xfId="11" applyFont="1" applyFill="1" applyBorder="1" applyAlignment="1">
      <alignment horizontal="left" vertical="center" wrapText="1"/>
    </xf>
    <xf numFmtId="0" fontId="82" fillId="36" borderId="89" xfId="11" applyFont="1" applyFill="1" applyBorder="1" applyAlignment="1">
      <alignment horizontal="center" vertical="center"/>
    </xf>
    <xf numFmtId="0" fontId="138" fillId="49" borderId="97" xfId="11" applyFont="1" applyFill="1" applyBorder="1" applyAlignment="1">
      <alignment horizontal="center" vertical="center"/>
    </xf>
    <xf numFmtId="0" fontId="138" fillId="49" borderId="105" xfId="11" applyFont="1" applyFill="1" applyBorder="1" applyAlignment="1">
      <alignment horizontal="center" vertical="center"/>
    </xf>
    <xf numFmtId="0" fontId="138" fillId="42" borderId="97" xfId="11" applyFont="1" applyFill="1" applyBorder="1" applyAlignment="1">
      <alignment horizontal="center" vertical="center"/>
    </xf>
    <xf numFmtId="0" fontId="138" fillId="42" borderId="105" xfId="11" applyFont="1" applyFill="1" applyBorder="1" applyAlignment="1">
      <alignment horizontal="center" vertical="center"/>
    </xf>
    <xf numFmtId="0" fontId="138" fillId="9" borderId="97" xfId="11" applyFont="1" applyFill="1" applyBorder="1" applyAlignment="1">
      <alignment horizontal="center" vertical="center"/>
    </xf>
    <xf numFmtId="0" fontId="138" fillId="9" borderId="105" xfId="11" applyFont="1" applyFill="1" applyBorder="1" applyAlignment="1">
      <alignment horizontal="center" vertical="center"/>
    </xf>
    <xf numFmtId="0" fontId="139" fillId="36" borderId="84" xfId="11" applyFont="1" applyFill="1" applyBorder="1" applyAlignment="1">
      <alignment vertical="center"/>
    </xf>
    <xf numFmtId="0" fontId="139" fillId="36" borderId="83" xfId="11" applyFont="1" applyFill="1" applyBorder="1" applyAlignment="1">
      <alignment vertical="center"/>
    </xf>
    <xf numFmtId="0" fontId="139" fillId="36" borderId="82" xfId="11" applyFont="1" applyFill="1" applyBorder="1" applyAlignment="1">
      <alignment vertical="center"/>
    </xf>
    <xf numFmtId="0" fontId="101" fillId="36" borderId="152" xfId="11" applyFont="1" applyFill="1" applyBorder="1" applyAlignment="1">
      <alignment horizontal="center" vertical="center" wrapText="1"/>
    </xf>
    <xf numFmtId="0" fontId="0" fillId="0" borderId="96" xfId="11" applyFont="1" applyBorder="1"/>
    <xf numFmtId="0" fontId="93" fillId="0" borderId="95" xfId="11" applyFont="1" applyBorder="1" applyAlignment="1">
      <alignment vertical="center"/>
    </xf>
    <xf numFmtId="0" fontId="93" fillId="0" borderId="88" xfId="11" applyFont="1" applyBorder="1" applyAlignment="1">
      <alignment vertical="center"/>
    </xf>
    <xf numFmtId="0" fontId="0" fillId="0" borderId="86" xfId="11" applyFont="1" applyBorder="1"/>
    <xf numFmtId="0" fontId="124" fillId="37" borderId="89" xfId="11" applyFont="1" applyFill="1" applyBorder="1" applyAlignment="1">
      <alignment horizontal="center" vertical="center"/>
    </xf>
    <xf numFmtId="0" fontId="124" fillId="0" borderId="89" xfId="11" applyFont="1" applyBorder="1" applyAlignment="1">
      <alignment horizontal="center" vertical="center"/>
    </xf>
    <xf numFmtId="0" fontId="140" fillId="0" borderId="89" xfId="11" applyFont="1" applyBorder="1" applyAlignment="1">
      <alignment horizontal="center" vertical="center"/>
    </xf>
    <xf numFmtId="1" fontId="135" fillId="19" borderId="87" xfId="11" applyNumberFormat="1" applyFont="1" applyFill="1" applyBorder="1" applyAlignment="1">
      <alignment horizontal="center" vertical="center"/>
    </xf>
    <xf numFmtId="0" fontId="135" fillId="36" borderId="91" xfId="11" applyFont="1" applyFill="1" applyBorder="1" applyAlignment="1">
      <alignment horizontal="left" vertical="center" wrapText="1"/>
    </xf>
    <xf numFmtId="0" fontId="135" fillId="36" borderId="89" xfId="11" applyFont="1" applyFill="1" applyBorder="1" applyAlignment="1">
      <alignment horizontal="center" vertical="center" wrapText="1"/>
    </xf>
    <xf numFmtId="0" fontId="135" fillId="45" borderId="87" xfId="11" applyFont="1" applyFill="1" applyBorder="1" applyAlignment="1">
      <alignment horizontal="center" vertical="center"/>
    </xf>
    <xf numFmtId="0" fontId="0" fillId="0" borderId="153" xfId="11" applyFont="1" applyBorder="1"/>
    <xf numFmtId="0" fontId="93" fillId="48" borderId="104" xfId="11" applyFont="1" applyFill="1" applyBorder="1" applyAlignment="1">
      <alignment horizontal="center"/>
    </xf>
    <xf numFmtId="0" fontId="93" fillId="42" borderId="104" xfId="11" applyFont="1" applyFill="1" applyBorder="1" applyAlignment="1">
      <alignment horizontal="center"/>
    </xf>
    <xf numFmtId="0" fontId="93" fillId="9" borderId="104" xfId="11" applyFont="1" applyFill="1" applyBorder="1" applyAlignment="1">
      <alignment horizontal="center"/>
    </xf>
    <xf numFmtId="0" fontId="139" fillId="36" borderId="86" xfId="11" applyFont="1" applyFill="1" applyBorder="1"/>
    <xf numFmtId="0" fontId="139" fillId="36" borderId="85" xfId="11" applyFont="1" applyFill="1" applyBorder="1"/>
    <xf numFmtId="0" fontId="101" fillId="36" borderId="161" xfId="11" applyFont="1" applyFill="1" applyBorder="1" applyAlignment="1">
      <alignment horizontal="left" vertical="center" wrapText="1"/>
    </xf>
    <xf numFmtId="0" fontId="93" fillId="59" borderId="0" xfId="11" applyFont="1" applyFill="1" applyAlignment="1">
      <alignment vertical="center"/>
    </xf>
    <xf numFmtId="0" fontId="0" fillId="0" borderId="101" xfId="11" applyFont="1" applyBorder="1" applyAlignment="1">
      <alignment horizontal="center" vertical="center"/>
    </xf>
    <xf numFmtId="167" fontId="142" fillId="61" borderId="102" xfId="11" applyNumberFormat="1" applyFont="1" applyFill="1" applyBorder="1" applyAlignment="1">
      <alignment horizontal="center" vertical="center"/>
    </xf>
    <xf numFmtId="1" fontId="0" fillId="0" borderId="101" xfId="11" applyNumberFormat="1" applyFont="1" applyBorder="1" applyAlignment="1">
      <alignment horizontal="center" vertical="center"/>
    </xf>
    <xf numFmtId="0" fontId="143" fillId="0" borderId="100" xfId="11" applyFont="1" applyBorder="1" applyAlignment="1">
      <alignment horizontal="left" vertical="center" wrapText="1"/>
    </xf>
    <xf numFmtId="0" fontId="93" fillId="0" borderId="63" xfId="11" applyFont="1" applyBorder="1" applyAlignment="1">
      <alignment vertical="center"/>
    </xf>
    <xf numFmtId="0" fontId="0" fillId="0" borderId="63" xfId="11" applyFont="1" applyBorder="1"/>
    <xf numFmtId="0" fontId="0" fillId="0" borderId="135" xfId="11" applyFont="1" applyBorder="1"/>
    <xf numFmtId="0" fontId="0" fillId="0" borderId="85" xfId="11" applyFont="1" applyBorder="1"/>
    <xf numFmtId="0" fontId="0" fillId="0" borderId="55" xfId="11" applyFont="1" applyBorder="1" applyAlignment="1">
      <alignment horizontal="center" vertical="center"/>
    </xf>
    <xf numFmtId="2" fontId="142" fillId="61" borderId="99" xfId="11" applyNumberFormat="1" applyFont="1" applyFill="1" applyBorder="1" applyAlignment="1">
      <alignment horizontal="center"/>
    </xf>
    <xf numFmtId="0" fontId="142" fillId="61" borderId="99" xfId="11" applyFont="1" applyFill="1" applyBorder="1" applyAlignment="1">
      <alignment horizontal="center"/>
    </xf>
    <xf numFmtId="0" fontId="0" fillId="0" borderId="98" xfId="11" applyFont="1" applyBorder="1" applyAlignment="1">
      <alignment horizontal="left" vertical="center" wrapText="1"/>
    </xf>
    <xf numFmtId="0" fontId="93" fillId="0" borderId="85" xfId="11" applyFont="1" applyBorder="1" applyAlignment="1">
      <alignment vertical="center"/>
    </xf>
    <xf numFmtId="168" fontId="136" fillId="61" borderId="99" xfId="11" applyNumberFormat="1" applyFont="1" applyFill="1" applyBorder="1" applyAlignment="1">
      <alignment horizontal="center" vertical="center" wrapText="1"/>
    </xf>
    <xf numFmtId="0" fontId="135" fillId="0" borderId="89" xfId="11" applyFont="1" applyBorder="1" applyAlignment="1">
      <alignment horizontal="center" vertical="center" wrapText="1"/>
    </xf>
    <xf numFmtId="0" fontId="135" fillId="0" borderId="98" xfId="11" applyFont="1" applyBorder="1" applyAlignment="1">
      <alignment horizontal="center" vertical="center" wrapText="1"/>
    </xf>
    <xf numFmtId="1" fontId="145" fillId="44" borderId="87" xfId="11" applyNumberFormat="1" applyFont="1" applyFill="1" applyBorder="1" applyAlignment="1">
      <alignment horizontal="center" vertical="center"/>
    </xf>
    <xf numFmtId="1" fontId="136" fillId="44" borderId="16" xfId="11" applyNumberFormat="1" applyFont="1" applyFill="1" applyBorder="1" applyAlignment="1">
      <alignment horizontal="center" vertical="center"/>
    </xf>
    <xf numFmtId="1" fontId="136" fillId="44" borderId="22" xfId="11" applyNumberFormat="1" applyFont="1" applyFill="1" applyBorder="1" applyAlignment="1">
      <alignment horizontal="center" vertical="center"/>
    </xf>
    <xf numFmtId="0" fontId="136" fillId="44" borderId="91" xfId="11" applyFont="1" applyFill="1" applyBorder="1" applyAlignment="1">
      <alignment horizontal="left" vertical="center" wrapText="1"/>
    </xf>
    <xf numFmtId="1" fontId="146" fillId="48" borderId="89" xfId="11" applyNumberFormat="1" applyFont="1" applyFill="1" applyBorder="1" applyAlignment="1">
      <alignment horizontal="center" vertical="center" wrapText="1"/>
    </xf>
    <xf numFmtId="0" fontId="82" fillId="48" borderId="98" xfId="11" applyFont="1" applyFill="1" applyBorder="1" applyAlignment="1">
      <alignment horizontal="left" vertical="center" wrapText="1"/>
    </xf>
    <xf numFmtId="1" fontId="146" fillId="42" borderId="89" xfId="11" applyNumberFormat="1" applyFont="1" applyFill="1" applyBorder="1" applyAlignment="1">
      <alignment horizontal="center" vertical="center" wrapText="1"/>
    </xf>
    <xf numFmtId="0" fontId="82" fillId="42" borderId="98" xfId="11" applyFont="1" applyFill="1" applyBorder="1" applyAlignment="1">
      <alignment horizontal="left" vertical="center" wrapText="1"/>
    </xf>
    <xf numFmtId="1" fontId="147" fillId="61" borderId="89" xfId="11" applyNumberFormat="1" applyFont="1" applyFill="1" applyBorder="1" applyAlignment="1">
      <alignment horizontal="center" vertical="center" wrapText="1"/>
    </xf>
    <xf numFmtId="1" fontId="146" fillId="47" borderId="89" xfId="11" applyNumberFormat="1" applyFont="1" applyFill="1" applyBorder="1" applyAlignment="1">
      <alignment horizontal="center" vertical="center" wrapText="1"/>
    </xf>
    <xf numFmtId="0" fontId="82" fillId="47" borderId="98" xfId="11" applyFont="1" applyFill="1" applyBorder="1" applyAlignment="1">
      <alignment horizontal="left" vertical="center" wrapText="1"/>
    </xf>
    <xf numFmtId="1" fontId="144" fillId="19" borderId="87" xfId="11" applyNumberFormat="1" applyFont="1" applyFill="1" applyBorder="1" applyAlignment="1">
      <alignment horizontal="center" vertical="center"/>
    </xf>
    <xf numFmtId="1" fontId="135" fillId="49" borderId="16" xfId="11" applyNumberFormat="1" applyFont="1" applyFill="1" applyBorder="1" applyAlignment="1">
      <alignment horizontal="center" vertical="center"/>
    </xf>
    <xf numFmtId="1" fontId="135" fillId="42" borderId="16" xfId="11" applyNumberFormat="1" applyFont="1" applyFill="1" applyBorder="1" applyAlignment="1">
      <alignment horizontal="center" vertical="center"/>
    </xf>
    <xf numFmtId="1" fontId="135" fillId="9" borderId="22" xfId="11" applyNumberFormat="1" applyFont="1" applyFill="1" applyBorder="1" applyAlignment="1">
      <alignment horizontal="center" vertical="center"/>
    </xf>
    <xf numFmtId="0" fontId="135" fillId="32" borderId="91" xfId="11" applyFont="1" applyFill="1" applyBorder="1" applyAlignment="1">
      <alignment horizontal="left" vertical="center" wrapText="1"/>
    </xf>
    <xf numFmtId="0" fontId="135" fillId="48" borderId="89" xfId="11" applyFont="1" applyFill="1" applyBorder="1" applyAlignment="1">
      <alignment horizontal="center" vertical="center" wrapText="1"/>
    </xf>
    <xf numFmtId="0" fontId="94" fillId="48" borderId="98" xfId="11" applyFont="1" applyFill="1" applyBorder="1" applyAlignment="1">
      <alignment horizontal="center"/>
    </xf>
    <xf numFmtId="0" fontId="94" fillId="42" borderId="98" xfId="11" applyFont="1" applyFill="1" applyBorder="1" applyAlignment="1">
      <alignment horizontal="center"/>
    </xf>
    <xf numFmtId="0" fontId="136" fillId="61" borderId="99" xfId="11" applyFont="1" applyFill="1" applyBorder="1" applyAlignment="1">
      <alignment horizontal="center" vertical="center" wrapText="1"/>
    </xf>
    <xf numFmtId="0" fontId="135" fillId="47" borderId="89" xfId="11" applyFont="1" applyFill="1" applyBorder="1" applyAlignment="1">
      <alignment horizontal="center" vertical="center" wrapText="1"/>
    </xf>
    <xf numFmtId="0" fontId="94" fillId="47" borderId="98" xfId="11" applyFont="1" applyFill="1" applyBorder="1"/>
    <xf numFmtId="0" fontId="135" fillId="19" borderId="87" xfId="11" applyFont="1" applyFill="1" applyBorder="1" applyAlignment="1">
      <alignment horizontal="center" vertical="center"/>
    </xf>
    <xf numFmtId="0" fontId="135" fillId="49" borderId="16" xfId="11" applyFont="1" applyFill="1" applyBorder="1" applyAlignment="1">
      <alignment horizontal="center" vertical="center"/>
    </xf>
    <xf numFmtId="0" fontId="135" fillId="42" borderId="16" xfId="11" applyFont="1" applyFill="1" applyBorder="1" applyAlignment="1">
      <alignment horizontal="center" vertical="center"/>
    </xf>
    <xf numFmtId="0" fontId="135" fillId="9" borderId="16" xfId="11" applyFont="1" applyFill="1" applyBorder="1" applyAlignment="1">
      <alignment horizontal="center" vertical="center"/>
    </xf>
    <xf numFmtId="0" fontId="94" fillId="0" borderId="85" xfId="11" applyFont="1" applyBorder="1"/>
    <xf numFmtId="0" fontId="114" fillId="48" borderId="140" xfId="11" applyFont="1" applyFill="1" applyBorder="1" applyAlignment="1">
      <alignment horizontal="center"/>
    </xf>
    <xf numFmtId="0" fontId="114" fillId="48" borderId="139" xfId="11" applyFont="1" applyFill="1" applyBorder="1" applyAlignment="1">
      <alignment horizontal="center"/>
    </xf>
    <xf numFmtId="0" fontId="114" fillId="48" borderId="138" xfId="11" applyFont="1" applyFill="1" applyBorder="1" applyAlignment="1">
      <alignment horizontal="center"/>
    </xf>
    <xf numFmtId="0" fontId="114" fillId="42" borderId="140" xfId="11" applyFont="1" applyFill="1" applyBorder="1" applyAlignment="1">
      <alignment horizontal="center"/>
    </xf>
    <xf numFmtId="0" fontId="114" fillId="42" borderId="139" xfId="11" applyFont="1" applyFill="1" applyBorder="1" applyAlignment="1">
      <alignment horizontal="center"/>
    </xf>
    <xf numFmtId="0" fontId="114" fillId="42" borderId="138" xfId="11" applyFont="1" applyFill="1" applyBorder="1" applyAlignment="1">
      <alignment horizontal="center"/>
    </xf>
    <xf numFmtId="0" fontId="114" fillId="9" borderId="140" xfId="11" applyFont="1" applyFill="1" applyBorder="1" applyAlignment="1">
      <alignment horizontal="center"/>
    </xf>
    <xf numFmtId="0" fontId="114" fillId="9" borderId="139" xfId="11" applyFont="1" applyFill="1" applyBorder="1" applyAlignment="1">
      <alignment horizontal="center"/>
    </xf>
    <xf numFmtId="0" fontId="114" fillId="9" borderId="138" xfId="11" applyFont="1" applyFill="1" applyBorder="1" applyAlignment="1">
      <alignment horizontal="center"/>
    </xf>
    <xf numFmtId="0" fontId="93" fillId="0" borderId="83" xfId="11" applyFont="1" applyBorder="1" applyAlignment="1">
      <alignment vertical="center"/>
    </xf>
    <xf numFmtId="0" fontId="139" fillId="32" borderId="86" xfId="11" applyFont="1" applyFill="1" applyBorder="1" applyAlignment="1">
      <alignment horizontal="left" vertical="center"/>
    </xf>
    <xf numFmtId="0" fontId="139" fillId="32" borderId="85" xfId="11" applyFont="1" applyFill="1" applyBorder="1" applyAlignment="1">
      <alignment horizontal="left" vertical="center"/>
    </xf>
    <xf numFmtId="0" fontId="0" fillId="0" borderId="137" xfId="11" applyFont="1" applyBorder="1"/>
    <xf numFmtId="0" fontId="0" fillId="0" borderId="130" xfId="11" applyFont="1" applyBorder="1"/>
    <xf numFmtId="0" fontId="93" fillId="0" borderId="130" xfId="11" applyFont="1" applyBorder="1" applyAlignment="1">
      <alignment vertical="center"/>
    </xf>
    <xf numFmtId="0" fontId="93" fillId="0" borderId="130" xfId="11" applyFont="1" applyBorder="1" applyAlignment="1">
      <alignment horizontal="left" vertical="center"/>
    </xf>
    <xf numFmtId="0" fontId="0" fillId="0" borderId="131" xfId="11" applyFont="1" applyBorder="1"/>
    <xf numFmtId="0" fontId="0" fillId="0" borderId="77" xfId="11" applyFont="1" applyBorder="1" applyAlignment="1">
      <alignment horizontal="center"/>
    </xf>
    <xf numFmtId="0" fontId="0" fillId="0" borderId="77" xfId="11" applyFont="1" applyBorder="1"/>
    <xf numFmtId="0" fontId="93" fillId="0" borderId="131" xfId="11" applyFont="1" applyBorder="1" applyAlignment="1">
      <alignment vertical="center"/>
    </xf>
    <xf numFmtId="0" fontId="93" fillId="0" borderId="133" xfId="11" applyFont="1" applyBorder="1" applyAlignment="1">
      <alignment vertical="center"/>
    </xf>
    <xf numFmtId="0" fontId="93" fillId="0" borderId="89" xfId="11" applyFont="1" applyBorder="1" applyAlignment="1">
      <alignment horizontal="left" vertical="center"/>
    </xf>
    <xf numFmtId="0" fontId="93" fillId="0" borderId="104" xfId="11" applyFont="1" applyBorder="1" applyAlignment="1">
      <alignment horizontal="left" vertical="center"/>
    </xf>
    <xf numFmtId="0" fontId="93" fillId="0" borderId="89" xfId="11" applyFont="1" applyBorder="1" applyAlignment="1">
      <alignment vertical="center"/>
    </xf>
    <xf numFmtId="0" fontId="93" fillId="0" borderId="90" xfId="11" applyFont="1" applyBorder="1" applyAlignment="1">
      <alignment vertical="center"/>
    </xf>
    <xf numFmtId="0" fontId="93" fillId="0" borderId="16" xfId="11" applyFont="1" applyBorder="1" applyAlignment="1">
      <alignment horizontal="left" vertical="center"/>
    </xf>
    <xf numFmtId="0" fontId="0" fillId="0" borderId="105" xfId="11" applyFont="1" applyBorder="1" applyAlignment="1">
      <alignment horizontal="left" vertical="center"/>
    </xf>
    <xf numFmtId="0" fontId="0" fillId="0" borderId="104" xfId="11" applyFont="1" applyBorder="1" applyAlignment="1">
      <alignment horizontal="center" vertical="center"/>
    </xf>
    <xf numFmtId="0" fontId="0" fillId="0" borderId="99" xfId="11" applyFont="1" applyBorder="1"/>
    <xf numFmtId="0" fontId="0" fillId="0" borderId="89" xfId="11" applyFont="1" applyBorder="1" applyAlignment="1">
      <alignment horizontal="center"/>
    </xf>
    <xf numFmtId="0" fontId="0" fillId="0" borderId="89" xfId="11" applyFont="1" applyBorder="1"/>
    <xf numFmtId="0" fontId="0" fillId="0" borderId="90" xfId="11" applyFont="1" applyBorder="1"/>
    <xf numFmtId="0" fontId="0" fillId="0" borderId="16" xfId="11" applyFont="1" applyBorder="1" applyAlignment="1">
      <alignment horizontal="left"/>
    </xf>
    <xf numFmtId="0" fontId="0" fillId="0" borderId="18" xfId="11" applyFont="1" applyBorder="1" applyAlignment="1">
      <alignment horizontal="left" vertical="center"/>
    </xf>
    <xf numFmtId="0" fontId="0" fillId="0" borderId="126" xfId="11" applyFont="1" applyBorder="1"/>
    <xf numFmtId="0" fontId="82" fillId="0" borderId="18" xfId="11" applyFont="1" applyBorder="1" applyAlignment="1">
      <alignment horizontal="left" vertical="center" wrapText="1"/>
    </xf>
    <xf numFmtId="0" fontId="0" fillId="0" borderId="16" xfId="11" applyFont="1" applyBorder="1" applyAlignment="1">
      <alignment horizontal="center" vertical="center"/>
    </xf>
    <xf numFmtId="0" fontId="0" fillId="0" borderId="77" xfId="11" applyFont="1" applyBorder="1" applyAlignment="1">
      <alignment horizontal="center" vertical="center"/>
    </xf>
    <xf numFmtId="0" fontId="93" fillId="0" borderId="126" xfId="11" applyFont="1" applyBorder="1" applyAlignment="1">
      <alignment vertical="center"/>
    </xf>
    <xf numFmtId="0" fontId="135" fillId="49" borderId="89" xfId="11" applyFont="1" applyFill="1" applyBorder="1" applyAlignment="1">
      <alignment horizontal="center" vertical="center" wrapText="1"/>
    </xf>
    <xf numFmtId="0" fontId="135" fillId="42" borderId="125" xfId="11" applyFont="1" applyFill="1" applyBorder="1" applyAlignment="1">
      <alignment horizontal="center" vertical="center" wrapText="1"/>
    </xf>
    <xf numFmtId="0" fontId="135" fillId="9" borderId="125" xfId="11" applyFont="1" applyFill="1" applyBorder="1" applyAlignment="1">
      <alignment horizontal="center" vertical="center" wrapText="1"/>
    </xf>
    <xf numFmtId="1" fontId="101" fillId="0" borderId="87" xfId="11" applyNumberFormat="1" applyFont="1" applyBorder="1" applyAlignment="1">
      <alignment horizontal="center" vertical="center"/>
    </xf>
    <xf numFmtId="167" fontId="135" fillId="49" borderId="16" xfId="11" applyNumberFormat="1" applyFont="1" applyFill="1" applyBorder="1" applyAlignment="1">
      <alignment horizontal="center" vertical="center"/>
    </xf>
    <xf numFmtId="167" fontId="135" fillId="42" borderId="16" xfId="11" applyNumberFormat="1" applyFont="1" applyFill="1" applyBorder="1" applyAlignment="1">
      <alignment horizontal="center" vertical="center"/>
    </xf>
    <xf numFmtId="167" fontId="135" fillId="9" borderId="22" xfId="11" applyNumberFormat="1" applyFont="1" applyFill="1" applyBorder="1" applyAlignment="1">
      <alignment horizontal="center" vertical="center"/>
    </xf>
    <xf numFmtId="0" fontId="135" fillId="32" borderId="129" xfId="11" applyFont="1" applyFill="1" applyBorder="1" applyAlignment="1">
      <alignment horizontal="left" vertical="center" wrapText="1"/>
    </xf>
    <xf numFmtId="0" fontId="135" fillId="49" borderId="99" xfId="11" applyFont="1" applyFill="1" applyBorder="1" applyAlignment="1">
      <alignment horizontal="center" vertical="center" wrapText="1"/>
    </xf>
    <xf numFmtId="0" fontId="146" fillId="49" borderId="89" xfId="11" applyFont="1" applyFill="1" applyBorder="1" applyAlignment="1">
      <alignment horizontal="center" vertical="center" wrapText="1"/>
    </xf>
    <xf numFmtId="0" fontId="127" fillId="49" borderId="89" xfId="11" applyFont="1" applyFill="1" applyBorder="1" applyAlignment="1">
      <alignment horizontal="left" vertical="center" wrapText="1"/>
    </xf>
    <xf numFmtId="0" fontId="135" fillId="42" borderId="89" xfId="11" applyFont="1" applyFill="1" applyBorder="1" applyAlignment="1">
      <alignment horizontal="center" vertical="center" wrapText="1"/>
    </xf>
    <xf numFmtId="0" fontId="146" fillId="42" borderId="89" xfId="11" applyFont="1" applyFill="1" applyBorder="1" applyAlignment="1">
      <alignment horizontal="center" vertical="center" wrapText="1"/>
    </xf>
    <xf numFmtId="0" fontId="127" fillId="42" borderId="89" xfId="11" applyFont="1" applyFill="1" applyBorder="1" applyAlignment="1">
      <alignment horizontal="left" vertical="center" wrapText="1"/>
    </xf>
    <xf numFmtId="0" fontId="135" fillId="9" borderId="89" xfId="11" applyFont="1" applyFill="1" applyBorder="1" applyAlignment="1">
      <alignment horizontal="center" vertical="center" wrapText="1"/>
    </xf>
    <xf numFmtId="0" fontId="146" fillId="9" borderId="89" xfId="11" applyFont="1" applyFill="1" applyBorder="1" applyAlignment="1">
      <alignment horizontal="center" vertical="center" wrapText="1"/>
    </xf>
    <xf numFmtId="0" fontId="127" fillId="9" borderId="89" xfId="11" applyFont="1" applyFill="1" applyBorder="1" applyAlignment="1">
      <alignment horizontal="left" vertical="center" wrapText="1"/>
    </xf>
    <xf numFmtId="0" fontId="139" fillId="45" borderId="87" xfId="11" applyFont="1" applyFill="1" applyBorder="1" applyAlignment="1">
      <alignment horizontal="center" vertical="center"/>
    </xf>
    <xf numFmtId="0" fontId="139" fillId="49" borderId="16" xfId="11" applyFont="1" applyFill="1" applyBorder="1" applyAlignment="1">
      <alignment horizontal="center" vertical="center"/>
    </xf>
    <xf numFmtId="0" fontId="139" fillId="42" borderId="16" xfId="11" applyFont="1" applyFill="1" applyBorder="1" applyAlignment="1">
      <alignment horizontal="center" vertical="center"/>
    </xf>
    <xf numFmtId="0" fontId="139" fillId="9" borderId="16" xfId="11" applyFont="1" applyFill="1" applyBorder="1" applyAlignment="1">
      <alignment horizontal="center" vertical="center"/>
    </xf>
    <xf numFmtId="0" fontId="94" fillId="0" borderId="126" xfId="11" applyFont="1" applyBorder="1"/>
    <xf numFmtId="0" fontId="0" fillId="0" borderId="128" xfId="11" applyFont="1" applyBorder="1"/>
    <xf numFmtId="0" fontId="139" fillId="32" borderId="132" xfId="11" applyFont="1" applyFill="1" applyBorder="1"/>
    <xf numFmtId="0" fontId="139" fillId="32" borderId="128" xfId="11" applyFont="1" applyFill="1" applyBorder="1"/>
    <xf numFmtId="0" fontId="93" fillId="32" borderId="127" xfId="11" applyFont="1" applyFill="1" applyBorder="1"/>
    <xf numFmtId="0" fontId="0" fillId="32" borderId="59" xfId="11" applyFont="1" applyFill="1" applyBorder="1"/>
    <xf numFmtId="0" fontId="0" fillId="32" borderId="65" xfId="11" applyFont="1" applyFill="1" applyBorder="1"/>
    <xf numFmtId="0" fontId="93" fillId="32" borderId="65" xfId="11" applyFont="1" applyFill="1" applyBorder="1" applyAlignment="1">
      <alignment vertical="center"/>
    </xf>
    <xf numFmtId="0" fontId="93" fillId="46" borderId="153" xfId="11" applyFont="1" applyFill="1" applyBorder="1" applyAlignment="1">
      <alignment vertical="center"/>
    </xf>
    <xf numFmtId="0" fontId="148" fillId="61" borderId="77" xfId="11" applyFont="1" applyFill="1" applyBorder="1" applyAlignment="1">
      <alignment horizontal="center" vertical="center"/>
    </xf>
    <xf numFmtId="0" fontId="93" fillId="32" borderId="79" xfId="11" applyFont="1" applyFill="1" applyBorder="1" applyAlignment="1">
      <alignment horizontal="center" vertical="center"/>
    </xf>
    <xf numFmtId="0" fontId="127" fillId="46" borderId="77" xfId="11" applyFont="1" applyFill="1" applyBorder="1" applyAlignment="1">
      <alignment vertical="center"/>
    </xf>
    <xf numFmtId="0" fontId="93" fillId="46" borderId="77" xfId="11" applyFont="1" applyFill="1" applyBorder="1" applyAlignment="1">
      <alignment vertical="center"/>
    </xf>
    <xf numFmtId="0" fontId="101" fillId="10" borderId="152" xfId="11" applyFont="1" applyFill="1" applyBorder="1" applyAlignment="1">
      <alignment horizontal="center" vertical="center" wrapText="1"/>
    </xf>
    <xf numFmtId="0" fontId="93" fillId="46" borderId="144" xfId="11" applyFont="1" applyFill="1" applyBorder="1" applyAlignment="1">
      <alignment vertical="center"/>
    </xf>
    <xf numFmtId="0" fontId="101" fillId="10" borderId="143" xfId="11" applyFont="1" applyFill="1" applyBorder="1" applyAlignment="1">
      <alignment horizontal="center" vertical="center" wrapText="1"/>
    </xf>
    <xf numFmtId="0" fontId="82" fillId="45" borderId="150" xfId="0" applyFont="1" applyFill="1" applyBorder="1" applyAlignment="1">
      <alignment horizontal="left" vertical="center"/>
    </xf>
    <xf numFmtId="0" fontId="82" fillId="35" borderId="150" xfId="0" applyFont="1" applyFill="1" applyBorder="1" applyAlignment="1">
      <alignment horizontal="center" vertical="center"/>
    </xf>
    <xf numFmtId="0" fontId="82" fillId="35" borderId="150" xfId="0" applyFont="1" applyFill="1" applyBorder="1" applyAlignment="1">
      <alignment horizontal="left" vertical="center"/>
    </xf>
    <xf numFmtId="0" fontId="82" fillId="35" borderId="149" xfId="0" applyFont="1" applyFill="1" applyBorder="1" applyAlignment="1">
      <alignment vertical="center"/>
    </xf>
    <xf numFmtId="0" fontId="82" fillId="35" borderId="77" xfId="0" applyFont="1" applyFill="1" applyBorder="1" applyAlignment="1">
      <alignment horizontal="center" vertical="center"/>
    </xf>
    <xf numFmtId="0" fontId="82" fillId="35" borderId="80" xfId="0" applyFont="1" applyFill="1" applyBorder="1" applyAlignment="1">
      <alignment horizontal="left" vertical="center"/>
    </xf>
    <xf numFmtId="0" fontId="82" fillId="35" borderId="146" xfId="0" applyFont="1" applyFill="1" applyBorder="1" applyAlignment="1">
      <alignment vertical="center"/>
    </xf>
    <xf numFmtId="0" fontId="82" fillId="45" borderId="134" xfId="0" applyFont="1" applyFill="1" applyBorder="1" applyAlignment="1">
      <alignment horizontal="left" vertical="center"/>
    </xf>
    <xf numFmtId="0" fontId="82" fillId="36" borderId="141" xfId="0" applyFont="1" applyFill="1" applyBorder="1" applyAlignment="1">
      <alignment horizontal="left" vertical="center"/>
    </xf>
    <xf numFmtId="0" fontId="82" fillId="36" borderId="77" xfId="0" applyFont="1" applyFill="1" applyBorder="1" applyAlignment="1">
      <alignment horizontal="center" vertical="center"/>
    </xf>
    <xf numFmtId="0" fontId="82" fillId="36" borderId="80" xfId="0" applyFont="1" applyFill="1" applyBorder="1" applyAlignment="1">
      <alignment horizontal="left" vertical="center"/>
    </xf>
    <xf numFmtId="0" fontId="82" fillId="36" borderId="146" xfId="0" applyFont="1" applyFill="1" applyBorder="1" applyAlignment="1">
      <alignment vertical="center"/>
    </xf>
    <xf numFmtId="0" fontId="82" fillId="45" borderId="77" xfId="0" applyFont="1" applyFill="1" applyBorder="1" applyAlignment="1">
      <alignment horizontal="left" vertical="center"/>
    </xf>
    <xf numFmtId="0" fontId="82" fillId="3" borderId="77" xfId="0" applyFont="1" applyFill="1" applyBorder="1" applyAlignment="1">
      <alignment horizontal="left" vertical="center" wrapText="1"/>
    </xf>
    <xf numFmtId="0" fontId="82" fillId="9" borderId="80" xfId="0" applyFont="1" applyFill="1" applyBorder="1" applyAlignment="1">
      <alignment horizontal="center" vertical="center"/>
    </xf>
    <xf numFmtId="0" fontId="82" fillId="9" borderId="77" xfId="0" applyFont="1" applyFill="1" applyBorder="1" applyAlignment="1">
      <alignment horizontal="left" vertical="center"/>
    </xf>
    <xf numFmtId="0" fontId="82" fillId="9" borderId="146" xfId="0" applyFont="1" applyFill="1" applyBorder="1" applyAlignment="1">
      <alignment vertical="center"/>
    </xf>
    <xf numFmtId="0" fontId="93" fillId="46" borderId="0" xfId="11" applyFont="1" applyFill="1" applyAlignment="1">
      <alignment vertical="center"/>
    </xf>
    <xf numFmtId="0" fontId="141" fillId="32" borderId="162" xfId="11" applyFont="1" applyFill="1" applyBorder="1" applyAlignment="1">
      <alignment vertical="center"/>
    </xf>
    <xf numFmtId="0" fontId="0" fillId="32" borderId="164" xfId="11" applyFont="1" applyFill="1" applyBorder="1"/>
    <xf numFmtId="0" fontId="101" fillId="46" borderId="152" xfId="11" applyFont="1" applyFill="1" applyBorder="1" applyAlignment="1">
      <alignment horizontal="left" vertical="center" wrapText="1"/>
    </xf>
    <xf numFmtId="0" fontId="0" fillId="0" borderId="0" xfId="11" applyFont="1"/>
    <xf numFmtId="9" fontId="135" fillId="0" borderId="0" xfId="1" applyFont="1" applyBorder="1" applyAlignment="1">
      <alignment horizontal="center" vertical="center"/>
    </xf>
    <xf numFmtId="0" fontId="93" fillId="0" borderId="0" xfId="11" applyFont="1" applyAlignment="1">
      <alignment vertical="center"/>
    </xf>
    <xf numFmtId="0" fontId="101" fillId="46" borderId="161" xfId="11" applyFont="1" applyFill="1" applyBorder="1" applyAlignment="1">
      <alignment horizontal="left" vertical="center" wrapText="1"/>
    </xf>
    <xf numFmtId="0" fontId="139" fillId="32" borderId="0" xfId="11" applyFont="1" applyFill="1" applyAlignment="1">
      <alignment horizontal="left" vertical="center"/>
    </xf>
    <xf numFmtId="0" fontId="135" fillId="0" borderId="0" xfId="11" applyFont="1" applyAlignment="1">
      <alignment vertical="center"/>
    </xf>
    <xf numFmtId="9" fontId="144" fillId="0" borderId="0" xfId="1" applyFont="1" applyBorder="1" applyAlignment="1">
      <alignment horizontal="center" vertical="center"/>
    </xf>
    <xf numFmtId="0" fontId="101" fillId="46" borderId="163" xfId="11" applyFont="1" applyFill="1" applyBorder="1" applyAlignment="1">
      <alignment horizontal="left" vertical="center" wrapText="1"/>
    </xf>
    <xf numFmtId="0" fontId="131" fillId="59" borderId="152" xfId="11" applyFont="1" applyFill="1" applyBorder="1" applyAlignment="1">
      <alignment vertical="center"/>
    </xf>
    <xf numFmtId="0" fontId="0" fillId="59" borderId="153" xfId="11" applyFont="1" applyFill="1" applyBorder="1"/>
    <xf numFmtId="0" fontId="141" fillId="36" borderId="152" xfId="11" applyFont="1" applyFill="1" applyBorder="1" applyAlignment="1">
      <alignment vertical="center"/>
    </xf>
    <xf numFmtId="0" fontId="93" fillId="36" borderId="0" xfId="11" applyFont="1" applyFill="1" applyAlignment="1">
      <alignment vertical="center"/>
    </xf>
    <xf numFmtId="0" fontId="128" fillId="36" borderId="0" xfId="11" applyFont="1" applyFill="1" applyAlignment="1">
      <alignment horizontal="center" vertical="center" wrapText="1"/>
    </xf>
    <xf numFmtId="0" fontId="0" fillId="36" borderId="0" xfId="11" applyFont="1" applyFill="1"/>
    <xf numFmtId="0" fontId="0" fillId="36" borderId="153" xfId="11" applyFont="1" applyFill="1" applyBorder="1"/>
    <xf numFmtId="0" fontId="139" fillId="36" borderId="0" xfId="11" applyFont="1" applyFill="1"/>
    <xf numFmtId="0" fontId="139" fillId="0" borderId="0" xfId="11" applyFont="1" applyAlignment="1">
      <alignment horizontal="center" wrapText="1"/>
    </xf>
    <xf numFmtId="0" fontId="0" fillId="0" borderId="0" xfId="11" applyFont="1" applyAlignment="1">
      <alignment horizontal="left" vertical="center"/>
    </xf>
    <xf numFmtId="0" fontId="137" fillId="0" borderId="0" xfId="11" applyFont="1" applyAlignment="1">
      <alignment horizontal="center" vertical="center"/>
    </xf>
    <xf numFmtId="9" fontId="0" fillId="0" borderId="0" xfId="1" applyFont="1" applyBorder="1" applyAlignment="1">
      <alignment horizontal="center" vertical="center"/>
    </xf>
    <xf numFmtId="0" fontId="128" fillId="0" borderId="0" xfId="11" applyFont="1" applyAlignment="1">
      <alignment horizontal="center" vertical="center"/>
    </xf>
    <xf numFmtId="9" fontId="0" fillId="0" borderId="0" xfId="1" applyFont="1" applyBorder="1"/>
    <xf numFmtId="0" fontId="101" fillId="10" borderId="154" xfId="11" applyFont="1" applyFill="1" applyBorder="1" applyAlignment="1">
      <alignment horizontal="center" vertical="center" wrapText="1"/>
    </xf>
    <xf numFmtId="0" fontId="93" fillId="46" borderId="155" xfId="11" applyFont="1" applyFill="1" applyBorder="1" applyAlignment="1">
      <alignment vertical="center"/>
    </xf>
    <xf numFmtId="0" fontId="93" fillId="46" borderId="156" xfId="11" applyFont="1" applyFill="1" applyBorder="1" applyAlignment="1">
      <alignment vertical="center"/>
    </xf>
    <xf numFmtId="0" fontId="131" fillId="61" borderId="152" xfId="11" applyFont="1" applyFill="1" applyBorder="1" applyAlignment="1">
      <alignment vertical="center"/>
    </xf>
    <xf numFmtId="0" fontId="93" fillId="61" borderId="0" xfId="11" applyFont="1" applyFill="1" applyAlignment="1">
      <alignment vertical="center"/>
    </xf>
    <xf numFmtId="0" fontId="0" fillId="61" borderId="0" xfId="11" applyFont="1" applyFill="1"/>
    <xf numFmtId="0" fontId="0" fillId="61" borderId="153" xfId="11" applyFont="1" applyFill="1" applyBorder="1"/>
    <xf numFmtId="0" fontId="149" fillId="0" borderId="0" xfId="0" applyFont="1"/>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9" fontId="1" fillId="0" borderId="0" xfId="1" applyFont="1" applyAlignment="1">
      <alignment horizontal="center" vertical="center"/>
    </xf>
    <xf numFmtId="9" fontId="1" fillId="19" borderId="0" xfId="1" applyFont="1" applyFill="1" applyAlignment="1">
      <alignment horizontal="center"/>
    </xf>
    <xf numFmtId="0" fontId="0" fillId="46" borderId="77" xfId="0" applyFill="1" applyBorder="1" applyAlignment="1">
      <alignment horizontal="center" vertical="center"/>
    </xf>
    <xf numFmtId="0" fontId="0" fillId="46" borderId="166" xfId="0" applyFill="1" applyBorder="1"/>
    <xf numFmtId="0" fontId="0" fillId="46" borderId="167" xfId="0" applyFill="1" applyBorder="1"/>
    <xf numFmtId="0" fontId="130" fillId="61" borderId="147" xfId="0" applyFont="1" applyFill="1" applyBorder="1" applyAlignment="1">
      <alignment horizontal="center" vertical="center"/>
    </xf>
    <xf numFmtId="0" fontId="0" fillId="46" borderId="146" xfId="0" applyFill="1" applyBorder="1" applyAlignment="1">
      <alignment horizontal="center" vertical="center" indent="1"/>
    </xf>
    <xf numFmtId="0" fontId="0" fillId="46" borderId="146" xfId="0" applyFill="1" applyBorder="1" applyAlignment="1">
      <alignment horizontal="left"/>
    </xf>
    <xf numFmtId="0" fontId="0" fillId="46" borderId="150" xfId="0" applyFill="1" applyBorder="1" applyAlignment="1">
      <alignment horizontal="center" vertical="center"/>
    </xf>
    <xf numFmtId="0" fontId="130" fillId="61" borderId="151" xfId="0" applyFont="1" applyFill="1" applyBorder="1" applyAlignment="1">
      <alignment horizontal="center" vertical="center"/>
    </xf>
    <xf numFmtId="0" fontId="0" fillId="46" borderId="168" xfId="0" applyFill="1" applyBorder="1" applyAlignment="1">
      <alignment horizontal="center" vertical="center"/>
    </xf>
    <xf numFmtId="0" fontId="0" fillId="46" borderId="169" xfId="0" applyFill="1" applyBorder="1" applyAlignment="1">
      <alignment horizontal="center" vertical="center"/>
    </xf>
    <xf numFmtId="0" fontId="130" fillId="61" borderId="170" xfId="0" applyFont="1" applyFill="1" applyBorder="1" applyAlignment="1">
      <alignment horizontal="center" vertical="center"/>
    </xf>
    <xf numFmtId="0" fontId="0" fillId="46" borderId="146" xfId="0" applyFill="1" applyBorder="1" applyAlignment="1">
      <alignment horizontal="center" vertical="center"/>
    </xf>
    <xf numFmtId="0" fontId="0" fillId="46" borderId="149" xfId="0" applyFill="1" applyBorder="1" applyAlignment="1">
      <alignment horizontal="center" vertical="center"/>
    </xf>
    <xf numFmtId="0" fontId="0" fillId="46" borderId="165" xfId="0" applyFill="1" applyBorder="1"/>
    <xf numFmtId="0" fontId="0" fillId="36" borderId="165" xfId="0" applyFill="1" applyBorder="1" applyAlignment="1">
      <alignment horizontal="left"/>
    </xf>
    <xf numFmtId="0" fontId="0" fillId="9" borderId="165" xfId="0" applyFill="1" applyBorder="1" applyAlignment="1">
      <alignment horizontal="left"/>
    </xf>
    <xf numFmtId="0" fontId="0" fillId="35" borderId="165" xfId="0" applyFill="1" applyBorder="1" applyAlignment="1">
      <alignment horizontal="left"/>
    </xf>
    <xf numFmtId="0" fontId="0" fillId="46" borderId="165" xfId="0" applyFill="1" applyBorder="1" applyAlignment="1">
      <alignment horizontal="center" vertical="center"/>
    </xf>
    <xf numFmtId="0" fontId="0" fillId="36" borderId="165" xfId="0" applyFill="1" applyBorder="1" applyAlignment="1">
      <alignment horizontal="center" vertical="center" indent="1"/>
    </xf>
    <xf numFmtId="0" fontId="0" fillId="9" borderId="165" xfId="0" applyFill="1" applyBorder="1" applyAlignment="1">
      <alignment horizontal="center" vertical="center" indent="1"/>
    </xf>
    <xf numFmtId="0" fontId="0" fillId="9" borderId="171" xfId="0" applyFill="1" applyBorder="1" applyAlignment="1">
      <alignment horizontal="center" vertical="center" indent="1"/>
    </xf>
    <xf numFmtId="0" fontId="0" fillId="9" borderId="172" xfId="0" applyFill="1" applyBorder="1" applyAlignment="1">
      <alignment horizontal="center" vertical="center" indent="1"/>
    </xf>
    <xf numFmtId="0" fontId="0" fillId="35" borderId="171" xfId="0" applyFill="1" applyBorder="1" applyAlignment="1">
      <alignment horizontal="center" vertical="center" indent="1"/>
    </xf>
    <xf numFmtId="0" fontId="0" fillId="35" borderId="172" xfId="0" applyFill="1" applyBorder="1" applyAlignment="1">
      <alignment horizontal="center" vertical="center" indent="1"/>
    </xf>
    <xf numFmtId="0" fontId="0" fillId="46" borderId="166" xfId="0" applyFill="1" applyBorder="1" applyAlignment="1">
      <alignment wrapText="1"/>
    </xf>
    <xf numFmtId="0" fontId="0" fillId="46" borderId="173" xfId="0" applyFill="1" applyBorder="1" applyAlignment="1">
      <alignment wrapText="1"/>
    </xf>
    <xf numFmtId="0" fontId="130" fillId="61" borderId="167" xfId="0" applyFont="1" applyFill="1" applyBorder="1" applyAlignment="1">
      <alignment wrapText="1"/>
    </xf>
    <xf numFmtId="0" fontId="28" fillId="6" borderId="10" xfId="2" applyFont="1" applyFill="1" applyBorder="1" applyAlignment="1">
      <alignment horizontal="center" vertical="center" wrapText="1" readingOrder="1"/>
    </xf>
    <xf numFmtId="0" fontId="28" fillId="6" borderId="11" xfId="2" applyFont="1" applyFill="1" applyBorder="1" applyAlignment="1">
      <alignment horizontal="center" vertical="center" wrapText="1" readingOrder="1"/>
    </xf>
    <xf numFmtId="0" fontId="19" fillId="2" borderId="2" xfId="2" applyFont="1" applyFill="1" applyBorder="1" applyAlignment="1">
      <alignment horizontal="center" vertical="center" readingOrder="1"/>
    </xf>
    <xf numFmtId="0" fontId="19" fillId="2" borderId="0" xfId="2" applyFont="1" applyFill="1" applyAlignment="1">
      <alignment horizontal="center" vertical="center" readingOrder="1"/>
    </xf>
    <xf numFmtId="166" fontId="21" fillId="3" borderId="3" xfId="0" applyNumberFormat="1" applyFont="1" applyFill="1" applyBorder="1" applyAlignment="1">
      <alignment horizontal="center" vertical="center" wrapText="1"/>
    </xf>
    <xf numFmtId="166" fontId="23" fillId="3" borderId="4" xfId="0" applyNumberFormat="1" applyFont="1" applyFill="1" applyBorder="1" applyAlignment="1">
      <alignment horizontal="center" vertical="center" wrapText="1"/>
    </xf>
    <xf numFmtId="166" fontId="22" fillId="2" borderId="4" xfId="0" applyNumberFormat="1" applyFont="1" applyFill="1" applyBorder="1" applyAlignment="1">
      <alignment horizontal="center" vertical="center" wrapText="1"/>
    </xf>
    <xf numFmtId="166" fontId="22" fillId="2" borderId="5" xfId="0" applyNumberFormat="1" applyFont="1" applyFill="1" applyBorder="1" applyAlignment="1">
      <alignment horizontal="center" vertical="center" wrapText="1"/>
    </xf>
    <xf numFmtId="0" fontId="22" fillId="4" borderId="2" xfId="0" applyFont="1" applyFill="1" applyBorder="1" applyAlignment="1">
      <alignment horizontal="center" vertical="center"/>
    </xf>
    <xf numFmtId="0" fontId="22" fillId="4" borderId="0" xfId="0" applyFont="1" applyFill="1" applyAlignment="1">
      <alignment horizontal="center" vertical="center"/>
    </xf>
    <xf numFmtId="0" fontId="26" fillId="5" borderId="6" xfId="2" applyFont="1" applyFill="1" applyBorder="1" applyAlignment="1">
      <alignment horizontal="center" vertical="center" wrapText="1" readingOrder="1"/>
    </xf>
    <xf numFmtId="0" fontId="26" fillId="5" borderId="7" xfId="2" applyFont="1" applyFill="1" applyBorder="1" applyAlignment="1">
      <alignment horizontal="center" vertical="center" wrapText="1" readingOrder="1"/>
    </xf>
    <xf numFmtId="0" fontId="26" fillId="5" borderId="8" xfId="2" applyFont="1" applyFill="1" applyBorder="1" applyAlignment="1">
      <alignment horizontal="center" vertical="center" wrapText="1" readingOrder="1"/>
    </xf>
    <xf numFmtId="0" fontId="27" fillId="6" borderId="9" xfId="2" applyFont="1" applyFill="1" applyBorder="1" applyAlignment="1">
      <alignment horizontal="center" vertical="center" wrapText="1" readingOrder="1"/>
    </xf>
    <xf numFmtId="0" fontId="27" fillId="6" borderId="7" xfId="2" applyFont="1" applyFill="1" applyBorder="1" applyAlignment="1">
      <alignment horizontal="center" vertical="center" wrapText="1" readingOrder="1"/>
    </xf>
    <xf numFmtId="0" fontId="27" fillId="6" borderId="8" xfId="2" applyFont="1" applyFill="1" applyBorder="1" applyAlignment="1">
      <alignment horizontal="center" vertical="center" wrapText="1" readingOrder="1"/>
    </xf>
    <xf numFmtId="0" fontId="52" fillId="15" borderId="34" xfId="11" applyFont="1" applyFill="1" applyBorder="1" applyAlignment="1">
      <alignment horizontal="center" vertical="center" wrapText="1" readingOrder="1"/>
    </xf>
    <xf numFmtId="0" fontId="89" fillId="46" borderId="103" xfId="11" applyFont="1" applyFill="1" applyBorder="1" applyAlignment="1">
      <alignment horizontal="left" vertical="center"/>
    </xf>
    <xf numFmtId="0" fontId="89" fillId="46" borderId="0" xfId="11" applyFont="1" applyFill="1" applyAlignment="1">
      <alignment horizontal="left" vertical="center" wrapText="1"/>
    </xf>
    <xf numFmtId="0" fontId="97" fillId="35" borderId="92" xfId="11" applyFont="1" applyFill="1" applyBorder="1" applyAlignment="1">
      <alignment horizontal="center" vertical="center"/>
    </xf>
    <xf numFmtId="0" fontId="97" fillId="35" borderId="93" xfId="11" applyFont="1" applyFill="1" applyBorder="1" applyAlignment="1">
      <alignment horizontal="center" vertical="center"/>
    </xf>
    <xf numFmtId="0" fontId="97" fillId="35" borderId="94" xfId="11" applyFont="1" applyFill="1" applyBorder="1" applyAlignment="1">
      <alignment horizontal="center" vertical="center"/>
    </xf>
    <xf numFmtId="0" fontId="89" fillId="46" borderId="35" xfId="11" applyFont="1" applyFill="1" applyBorder="1" applyAlignment="1">
      <alignment horizontal="center" vertical="center" wrapText="1"/>
    </xf>
    <xf numFmtId="0" fontId="121" fillId="55" borderId="116" xfId="22" applyFont="1" applyFill="1" applyBorder="1" applyAlignment="1">
      <alignment horizontal="center" wrapText="1" readingOrder="1"/>
    </xf>
    <xf numFmtId="0" fontId="41" fillId="10" borderId="0" xfId="0" applyFont="1" applyFill="1" applyAlignment="1">
      <alignment horizontal="center"/>
    </xf>
    <xf numFmtId="0" fontId="62" fillId="15" borderId="40" xfId="0" applyFont="1" applyFill="1" applyBorder="1" applyAlignment="1">
      <alignment horizontal="center" vertical="center" wrapText="1" readingOrder="1"/>
    </xf>
    <xf numFmtId="0" fontId="62" fillId="15" borderId="42" xfId="0" applyFont="1" applyFill="1" applyBorder="1" applyAlignment="1">
      <alignment horizontal="center" vertical="center" wrapText="1" readingOrder="1"/>
    </xf>
    <xf numFmtId="0" fontId="0" fillId="0" borderId="45" xfId="0" applyBorder="1" applyAlignment="1">
      <alignment horizontal="center"/>
    </xf>
    <xf numFmtId="0" fontId="52" fillId="15" borderId="34" xfId="0" applyFont="1" applyFill="1" applyBorder="1" applyAlignment="1">
      <alignment horizontal="center" vertical="center" wrapText="1" readingOrder="1"/>
    </xf>
    <xf numFmtId="0" fontId="52" fillId="15" borderId="0" xfId="0" applyFont="1" applyFill="1" applyAlignment="1">
      <alignment horizontal="center" vertical="center" wrapText="1" readingOrder="1"/>
    </xf>
    <xf numFmtId="0" fontId="52" fillId="15" borderId="35" xfId="0" applyFont="1" applyFill="1" applyBorder="1" applyAlignment="1">
      <alignment horizontal="center" vertical="center" wrapText="1" readingOrder="1"/>
    </xf>
    <xf numFmtId="0" fontId="56" fillId="21" borderId="34" xfId="0" applyFont="1" applyFill="1" applyBorder="1" applyAlignment="1">
      <alignment horizontal="right" vertical="center" wrapText="1" readingOrder="1"/>
    </xf>
    <xf numFmtId="0" fontId="56" fillId="21" borderId="0" xfId="0" applyFont="1" applyFill="1" applyAlignment="1">
      <alignment horizontal="right" vertical="center" wrapText="1" readingOrder="1"/>
    </xf>
    <xf numFmtId="0" fontId="56" fillId="21" borderId="35" xfId="0" applyFont="1" applyFill="1" applyBorder="1" applyAlignment="1">
      <alignment horizontal="right" vertical="center" wrapText="1" readingOrder="1"/>
    </xf>
    <xf numFmtId="0" fontId="56" fillId="22" borderId="34" xfId="0" applyFont="1" applyFill="1" applyBorder="1" applyAlignment="1">
      <alignment horizontal="right" vertical="center" wrapText="1" readingOrder="1"/>
    </xf>
    <xf numFmtId="0" fontId="56" fillId="22" borderId="0" xfId="0" applyFont="1" applyFill="1" applyAlignment="1">
      <alignment horizontal="right" vertical="center" wrapText="1" readingOrder="1"/>
    </xf>
    <xf numFmtId="0" fontId="56" fillId="22" borderId="35" xfId="0" applyFont="1" applyFill="1" applyBorder="1" applyAlignment="1">
      <alignment horizontal="right" vertical="center" wrapText="1" readingOrder="1"/>
    </xf>
    <xf numFmtId="0" fontId="56" fillId="24" borderId="34" xfId="0" applyFont="1" applyFill="1" applyBorder="1" applyAlignment="1">
      <alignment horizontal="right" vertical="center" wrapText="1" readingOrder="1"/>
    </xf>
    <xf numFmtId="0" fontId="56" fillId="24" borderId="0" xfId="0" applyFont="1" applyFill="1" applyAlignment="1">
      <alignment horizontal="right" vertical="center" wrapText="1" readingOrder="1"/>
    </xf>
    <xf numFmtId="0" fontId="56" fillId="24" borderId="35" xfId="0" applyFont="1" applyFill="1" applyBorder="1" applyAlignment="1">
      <alignment horizontal="right" vertical="center" wrapText="1" readingOrder="1"/>
    </xf>
    <xf numFmtId="0" fontId="56" fillId="25" borderId="37" xfId="0" applyFont="1" applyFill="1" applyBorder="1" applyAlignment="1">
      <alignment horizontal="right" vertical="center" wrapText="1" readingOrder="1"/>
    </xf>
    <xf numFmtId="0" fontId="56" fillId="25" borderId="38" xfId="0" applyFont="1" applyFill="1" applyBorder="1" applyAlignment="1">
      <alignment horizontal="right" vertical="center" wrapText="1" readingOrder="1"/>
    </xf>
    <xf numFmtId="0" fontId="56" fillId="25" borderId="39" xfId="0" applyFont="1" applyFill="1" applyBorder="1" applyAlignment="1">
      <alignment horizontal="right" vertical="center" wrapText="1" readingOrder="1"/>
    </xf>
    <xf numFmtId="0" fontId="47" fillId="0" borderId="30" xfId="0" applyFont="1" applyBorder="1" applyAlignment="1">
      <alignment horizontal="left" vertical="center" wrapText="1"/>
    </xf>
    <xf numFmtId="0" fontId="47" fillId="0" borderId="32" xfId="0" applyFont="1" applyBorder="1" applyAlignment="1">
      <alignment horizontal="left" vertical="center" wrapText="1"/>
    </xf>
    <xf numFmtId="0" fontId="47" fillId="0" borderId="28" xfId="0" applyFont="1" applyBorder="1" applyAlignment="1">
      <alignment horizontal="left" vertical="center" wrapText="1"/>
    </xf>
    <xf numFmtId="0" fontId="47" fillId="0" borderId="30" xfId="0" applyFont="1" applyBorder="1" applyAlignment="1">
      <alignment horizontal="center" vertical="center" wrapText="1"/>
    </xf>
    <xf numFmtId="0" fontId="47" fillId="0" borderId="32" xfId="0" applyFont="1" applyBorder="1" applyAlignment="1">
      <alignment horizontal="center" vertical="center" wrapText="1"/>
    </xf>
    <xf numFmtId="0" fontId="47" fillId="0" borderId="28" xfId="0" applyFont="1" applyBorder="1" applyAlignment="1">
      <alignment horizontal="center" vertical="center" wrapText="1"/>
    </xf>
    <xf numFmtId="16" fontId="47" fillId="0" borderId="30" xfId="0" applyNumberFormat="1" applyFont="1" applyBorder="1" applyAlignment="1">
      <alignment horizontal="center" vertical="center" wrapText="1"/>
    </xf>
  </cellXfs>
  <cellStyles count="24">
    <cellStyle name="40% - Accent2 2" xfId="13" xr:uid="{CA186BFD-E04C-4EF5-939A-AD36F662683B}"/>
    <cellStyle name="40% - Accent2 2 2" xfId="20" xr:uid="{2F60D553-D549-4977-AC08-C82E7DC34A13}"/>
    <cellStyle name="Accent2" xfId="10" builtinId="33"/>
    <cellStyle name="Currency" xfId="8" builtinId="4"/>
    <cellStyle name="Neutral" xfId="9" builtinId="28"/>
    <cellStyle name="Normal" xfId="0" builtinId="0"/>
    <cellStyle name="Normal 2" xfId="2" xr:uid="{D61E32BA-BE30-4AE9-8172-EFC8DBFDEDE4}"/>
    <cellStyle name="Normal 2 2" xfId="11" xr:uid="{C004313E-71C7-4391-8578-B19B5EF941B1}"/>
    <cellStyle name="Normal 2 3 3 2 2 3" xfId="21" xr:uid="{6006E74A-A64E-4010-AC0C-B39A2106EB3D}"/>
    <cellStyle name="Normal 3" xfId="7" xr:uid="{93517256-58FC-4EF3-9635-FA44184E6C59}"/>
    <cellStyle name="Normal 3 2" xfId="3" xr:uid="{8F25B9D9-0264-416D-98F9-A6D8C2BF3EC3}"/>
    <cellStyle name="Normal 3 2 2" xfId="5" xr:uid="{76BC9DC6-FF09-489F-9D18-6A367EEFA729}"/>
    <cellStyle name="Normal 3 2 2 2" xfId="16" xr:uid="{AB257DCE-F876-4CB7-865F-A6518566BF27}"/>
    <cellStyle name="Normal 3 2 3" xfId="14" xr:uid="{3EDCE360-DBDD-4836-8DB0-763B7285263B}"/>
    <cellStyle name="Normal 3 3" xfId="4" xr:uid="{79C8B343-19EF-4BE8-B6D4-FCB91EECE91E}"/>
    <cellStyle name="Normal 3 3 2" xfId="6" xr:uid="{C9A86DEF-624F-403E-A092-7B4F34047085}"/>
    <cellStyle name="Normal 3 3 2 2" xfId="17" xr:uid="{90D5A3E9-5115-4BA0-8A7F-81C8490D37C3}"/>
    <cellStyle name="Normal 3 3 3" xfId="15" xr:uid="{04E94E0A-5804-49F7-9CDB-AC4A1F616DDB}"/>
    <cellStyle name="Normal 3 4" xfId="18" xr:uid="{16CB67AB-5D37-43A5-B3AF-35A45215FC42}"/>
    <cellStyle name="Normal 4" xfId="12" xr:uid="{8FDE3E91-461A-4F3D-A08B-637BDABC1244}"/>
    <cellStyle name="Normal 4 2" xfId="19" xr:uid="{8288065A-1743-4DEA-993A-393FCAA0C443}"/>
    <cellStyle name="Normal 5" xfId="22" xr:uid="{2EDE1D22-9BE6-44DC-B0F2-0C9A8997B779}"/>
    <cellStyle name="Percent" xfId="1" builtinId="5"/>
    <cellStyle name="Percent 2" xfId="23" xr:uid="{88EEBDF3-2114-4C46-A200-BA07156F172F}"/>
  </cellStyles>
  <dxfs count="287">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theme="0"/>
      </font>
      <fill>
        <patternFill>
          <bgColor rgb="FF000000"/>
        </patternFill>
      </fill>
    </dxf>
    <dxf>
      <font>
        <color auto="1"/>
      </font>
      <fill>
        <patternFill>
          <bgColor rgb="FF92D050"/>
        </patternFill>
      </fill>
    </dxf>
    <dxf>
      <font>
        <color theme="0"/>
      </font>
      <fill>
        <patternFill>
          <bgColor rgb="FF4472C4"/>
        </patternFill>
      </fill>
    </dxf>
    <dxf>
      <fill>
        <patternFill>
          <bgColor rgb="FFFFC000"/>
        </patternFill>
      </fill>
    </dxf>
    <dxf>
      <font>
        <color theme="0"/>
      </font>
      <fill>
        <patternFill>
          <bgColor rgb="FF808080"/>
        </patternFill>
      </fill>
    </dxf>
    <dxf>
      <font>
        <color theme="0"/>
      </font>
      <fill>
        <patternFill>
          <bgColor rgb="FFC00000"/>
        </patternFill>
      </fill>
    </dxf>
    <dxf>
      <font>
        <color theme="0"/>
      </font>
      <fill>
        <patternFill>
          <bgColor rgb="FFC00000"/>
        </patternFill>
      </fill>
    </dxf>
    <dxf>
      <fill>
        <patternFill>
          <bgColor theme="5" tint="0.59996337778862885"/>
        </patternFill>
      </fill>
    </dxf>
    <dxf>
      <fill>
        <patternFill>
          <bgColor rgb="FFC00000"/>
        </patternFill>
      </fill>
    </dxf>
    <dxf>
      <fill>
        <patternFill>
          <bgColor theme="9" tint="0.59996337778862885"/>
        </patternFill>
      </fill>
    </dxf>
    <dxf>
      <fill>
        <patternFill>
          <bgColor rgb="FFC00000"/>
        </patternFill>
      </fill>
    </dxf>
    <dxf>
      <fill>
        <patternFill>
          <bgColor theme="9" tint="0.59996337778862885"/>
        </patternFill>
      </fill>
    </dxf>
    <dxf>
      <fill>
        <patternFill>
          <bgColor rgb="FFB4C6E7"/>
        </patternFill>
      </fill>
    </dxf>
    <dxf>
      <font>
        <color theme="0"/>
      </font>
      <fill>
        <patternFill>
          <bgColor rgb="FFC00000"/>
        </patternFill>
      </fill>
    </dxf>
    <dxf>
      <fill>
        <patternFill>
          <bgColor rgb="FFC00000"/>
        </patternFill>
      </fill>
    </dxf>
    <dxf>
      <fill>
        <patternFill>
          <bgColor theme="9" tint="0.59996337778862885"/>
        </patternFill>
      </fill>
    </dxf>
    <dxf>
      <font>
        <color theme="0"/>
      </font>
      <fill>
        <patternFill>
          <bgColor rgb="FFC00000"/>
        </patternFill>
      </fill>
    </dxf>
    <dxf>
      <fill>
        <patternFill>
          <bgColor rgb="FFB4C6E7"/>
        </patternFill>
      </fill>
    </dxf>
    <dxf>
      <fill>
        <patternFill>
          <bgColor theme="5" tint="0.59996337778862885"/>
        </patternFill>
      </fill>
    </dxf>
    <dxf>
      <font>
        <b/>
        <i val="0"/>
        <color theme="9" tint="-0.24994659260841701"/>
      </font>
      <fill>
        <patternFill>
          <bgColor theme="9" tint="0.79998168889431442"/>
        </patternFill>
      </fill>
    </dxf>
    <dxf>
      <font>
        <b/>
        <i val="0"/>
        <color rgb="FFC00000"/>
      </font>
      <fill>
        <patternFill>
          <bgColor rgb="FFFFD5D5"/>
        </patternFill>
      </fill>
    </dxf>
    <dxf>
      <font>
        <b/>
        <i val="0"/>
        <color rgb="FFC00000"/>
      </font>
      <fill>
        <patternFill patternType="solid">
          <bgColor rgb="FFFFD5D5"/>
        </patternFill>
      </fill>
    </dxf>
    <dxf>
      <font>
        <b/>
        <i val="0"/>
        <color theme="9" tint="-0.24994659260841701"/>
      </font>
      <fill>
        <patternFill>
          <bgColor theme="9" tint="0.79998168889431442"/>
        </patternFill>
      </fill>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horizontal="center"/>
    </dxf>
    <dxf>
      <fill>
        <patternFill patternType="none">
          <fgColor indexed="64"/>
          <bgColor indexed="6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horizontal="center"/>
    </dxf>
    <dxf>
      <alignment horizontal="center"/>
    </dxf>
    <dxf>
      <alignment horizontal="center"/>
    </dxf>
    <dxf>
      <alignment horizontal="cent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horizontal="cent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horizontal="center"/>
    </dxf>
    <dxf>
      <alignment horizontal="center"/>
    </dxf>
    <dxf>
      <alignment horizontal="center"/>
    </dxf>
    <dxf>
      <alignment horizontal="center"/>
    </dxf>
    <dxf>
      <alignment horizontal="cent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wrapText="1"/>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alignment vertical="center"/>
    </dxf>
    <dxf>
      <alignment vertical="center"/>
    </dxf>
    <dxf>
      <alignment vertical="center"/>
    </dxf>
    <dxf>
      <alignment horizontal="center"/>
    </dxf>
    <dxf>
      <alignment horizontal="center"/>
    </dxf>
    <dxf>
      <alignment horizontal="cent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vertical="center"/>
    </dxf>
    <dxf>
      <alignment vertical="center"/>
    </dxf>
    <dxf>
      <alignment vertic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color theme="8" tint="-0.499984740745262"/>
      </font>
    </dxf>
    <dxf>
      <font>
        <color rgb="FF7CBF33"/>
      </font>
    </dxf>
    <dxf>
      <font>
        <color theme="8" tint="-0.249977111117893"/>
      </font>
    </dxf>
    <dxf>
      <font>
        <color rgb="FFD2A000"/>
      </font>
    </dxf>
    <dxf>
      <font>
        <color theme="5" tint="-0.249977111117893"/>
      </font>
    </dxf>
    <dxf>
      <font>
        <color theme="4" tint="-0.249977111117893"/>
      </font>
    </dxf>
    <dxf>
      <alignment vertical="center"/>
    </dxf>
    <dxf>
      <border>
        <top style="medium">
          <color theme="1"/>
        </top>
        <bottom style="medium">
          <color theme="1"/>
        </bottom>
      </border>
    </dxf>
    <dxf>
      <border>
        <left style="medium">
          <color theme="1"/>
        </left>
        <right style="medium">
          <color theme="1"/>
        </right>
        <top style="medium">
          <color theme="1"/>
        </top>
        <bottom style="medium">
          <color theme="1"/>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border>
        <left style="medium">
          <color theme="0" tint="-0.499984740745262"/>
        </left>
        <right style="medium">
          <color theme="0" tint="-0.499984740745262"/>
        </right>
        <top style="medium">
          <color theme="0" tint="-0.499984740745262"/>
        </top>
        <bottom style="medium">
          <color theme="0" tint="-0.499984740745262"/>
        </bottom>
      </border>
    </dxf>
    <dxf>
      <alignment horizontal="center"/>
    </dxf>
    <dxf>
      <alignment horizontal="center"/>
    </dxf>
    <dxf>
      <alignment vertical="center"/>
    </dxf>
    <dxf>
      <alignment horizontal="center"/>
    </dxf>
    <dxf>
      <border>
        <top style="thin">
          <color theme="0" tint="-0.14999847407452621"/>
        </top>
        <vertical style="thin">
          <color theme="0" tint="-0.14999847407452621"/>
        </vertical>
        <horizontal style="thin">
          <color theme="0" tint="-0.14999847407452621"/>
        </horizontal>
      </border>
    </dxf>
    <dxf>
      <border>
        <top style="thin">
          <color theme="0" tint="-0.14999847407452621"/>
        </top>
        <vertical style="thin">
          <color theme="0" tint="-0.14999847407452621"/>
        </vertical>
        <horizontal style="thin">
          <color theme="0" tint="-0.14999847407452621"/>
        </horizontal>
      </border>
    </dxf>
    <dxf>
      <border>
        <top style="thin">
          <color theme="0" tint="-0.14999847407452621"/>
        </top>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border>
    </dxf>
    <dxf>
      <border>
        <left style="thin">
          <color theme="0" tint="-0.14999847407452621"/>
        </left>
        <right style="thin">
          <color theme="0" tint="-0.14999847407452621"/>
        </right>
        <top style="thin">
          <color theme="0" tint="-0.14999847407452621"/>
        </top>
        <bottom style="thin">
          <color theme="0" tint="-0.14999847407452621"/>
        </bottom>
      </border>
    </dxf>
    <dxf>
      <border>
        <left style="thin">
          <color theme="0" tint="-0.14999847407452621"/>
        </left>
        <right style="thin">
          <color theme="0" tint="-0.14999847407452621"/>
        </right>
        <top style="thin">
          <color theme="0" tint="-0.14999847407452621"/>
        </top>
        <bottom style="thin">
          <color theme="0" tint="-0.14999847407452621"/>
        </bottom>
      </border>
    </dxf>
    <dxf>
      <border>
        <left style="thin">
          <color theme="0" tint="-0.14999847407452621"/>
        </left>
        <right style="thin">
          <color theme="0" tint="-0.14999847407452621"/>
        </right>
        <top style="thin">
          <color theme="0" tint="-0.14999847407452621"/>
        </top>
        <bottom style="thin">
          <color theme="0" tint="-0.14999847407452621"/>
        </bottom>
      </border>
    </dxf>
    <dxf>
      <alignment vertical="center"/>
    </dxf>
    <dxf>
      <alignment vertical="center"/>
    </dxf>
    <dxf>
      <alignment horizontal="center"/>
    </dxf>
    <dxf>
      <alignment horizontal="center"/>
    </dxf>
    <dxf>
      <alignment wrapText="1"/>
    </dxf>
    <dxf>
      <alignment wrapText="1"/>
    </dxf>
    <dxf>
      <alignment wrapText="1"/>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left"/>
    </dxf>
    <dxf>
      <alignment vertical="center"/>
    </dxf>
    <dxf>
      <alignment horizontal="center"/>
    </dxf>
    <dxf>
      <alignment horizontal="center"/>
    </dxf>
    <dxf>
      <alignment horizontal="center"/>
    </dxf>
    <dxf>
      <alignment horizontal="center"/>
    </dxf>
    <dxf>
      <alignment horizontal="cent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bottom style="medium">
          <color theme="2" tint="-0.499984740745262"/>
        </bottom>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border>
    </dxf>
    <dxf>
      <fill>
        <patternFill>
          <bgColor rgb="FFFFC000"/>
        </patternFill>
      </fill>
    </dxf>
    <dxf>
      <fill>
        <patternFill>
          <bgColor rgb="FFFFC000"/>
        </patternFill>
      </fill>
    </dxf>
    <dxf>
      <fill>
        <patternFill>
          <bgColor rgb="FFFFC000"/>
        </patternFill>
      </fill>
    </dxf>
    <dxf>
      <fill>
        <patternFill>
          <bgColor theme="9" tint="0.39997558519241921"/>
        </patternFill>
      </fill>
    </dxf>
    <dxf>
      <fill>
        <patternFill>
          <bgColor theme="9" tint="0.39997558519241921"/>
        </patternFill>
      </fill>
    </dxf>
    <dxf>
      <fill>
        <patternFill>
          <bgColor rgb="FF00B0F0"/>
        </patternFill>
      </fill>
    </dxf>
    <dxf>
      <fill>
        <patternFill>
          <bgColor rgb="FF00B0F0"/>
        </patternFill>
      </fill>
    </dxf>
    <dxf>
      <font>
        <color theme="0" tint="-4.9989318521683403E-2"/>
      </font>
    </dxf>
    <dxf>
      <font>
        <color theme="0" tint="-4.9989318521683403E-2"/>
      </font>
    </dxf>
    <dxf>
      <fill>
        <patternFill>
          <bgColor theme="2" tint="-0.249977111117893"/>
        </patternFill>
      </fill>
    </dxf>
    <dxf>
      <fill>
        <patternFill>
          <bgColor theme="2" tint="-0.249977111117893"/>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alignment wrapText="1"/>
    </dxf>
    <dxf>
      <fill>
        <patternFill>
          <bgColor theme="9" tint="0.79998168889431442"/>
        </patternFill>
      </fill>
    </dxf>
    <dxf>
      <fill>
        <patternFill>
          <bgColor theme="9" tint="0.79998168889431442"/>
        </patternFill>
      </fill>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vertical style="thin">
          <color theme="0" tint="-0.499984740745262"/>
        </vertical>
        <horizontal style="thin">
          <color theme="0" tint="-0.499984740745262"/>
        </horizontal>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colors>
    <mruColors>
      <color rgb="FF7CBF33"/>
      <color rgb="FFFFDDDD"/>
      <color rgb="FF0070C0"/>
      <color rgb="FFFF9797"/>
      <color rgb="FFFFE7E7"/>
      <color rgb="FFF2F2F2"/>
      <color rgb="FF92D050"/>
      <color rgb="FFD2A000"/>
      <color rgb="FFFFE1E1"/>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Pipeline.xlsx]RPD Capacity!PivotTable4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Capacity Charter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'RPD Capacity'!$D$18</c:f>
              <c:strCache>
                <c:ptCount val="1"/>
                <c:pt idx="0">
                  <c:v>Count of Project 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Capacity'!$D$19:$D$38</c:f>
              <c:numCache>
                <c:formatCode>General</c:formatCode>
                <c:ptCount val="13"/>
                <c:pt idx="0">
                  <c:v>1</c:v>
                </c:pt>
                <c:pt idx="1">
                  <c:v>1</c:v>
                </c:pt>
                <c:pt idx="2">
                  <c:v>2</c:v>
                </c:pt>
                <c:pt idx="3">
                  <c:v>1</c:v>
                </c:pt>
                <c:pt idx="4">
                  <c:v>2</c:v>
                </c:pt>
                <c:pt idx="5">
                  <c:v>1</c:v>
                </c:pt>
                <c:pt idx="6">
                  <c:v>146</c:v>
                </c:pt>
                <c:pt idx="7">
                  <c:v>60</c:v>
                </c:pt>
                <c:pt idx="8">
                  <c:v>19</c:v>
                </c:pt>
                <c:pt idx="9">
                  <c:v>5</c:v>
                </c:pt>
                <c:pt idx="10">
                  <c:v>12</c:v>
                </c:pt>
                <c:pt idx="11">
                  <c:v>3</c:v>
                </c:pt>
                <c:pt idx="12">
                  <c:v>9</c:v>
                </c:pt>
              </c:numCache>
            </c:numRef>
          </c:val>
          <c:extLst>
            <c:ext xmlns:c16="http://schemas.microsoft.com/office/drawing/2014/chart" uri="{C3380CC4-5D6E-409C-BE32-E72D297353CC}">
              <c16:uniqueId val="{00000000-32BD-4F85-A7A1-F2CDF45A598F}"/>
            </c:ext>
          </c:extLst>
        </c:ser>
        <c:ser>
          <c:idx val="1"/>
          <c:order val="1"/>
          <c:tx>
            <c:strRef>
              <c:f>'RPD Capacity'!$E$18</c:f>
              <c:strCache>
                <c:ptCount val="1"/>
                <c:pt idx="0">
                  <c:v>Sum of Process Design Man Week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Capacity'!$E$19:$E$38</c:f>
              <c:numCache>
                <c:formatCode>General</c:formatCode>
                <c:ptCount val="13"/>
                <c:pt idx="0">
                  <c:v>20</c:v>
                </c:pt>
                <c:pt idx="1">
                  <c:v>30</c:v>
                </c:pt>
                <c:pt idx="2">
                  <c:v>10</c:v>
                </c:pt>
                <c:pt idx="3">
                  <c:v>5</c:v>
                </c:pt>
                <c:pt idx="4">
                  <c:v>38</c:v>
                </c:pt>
                <c:pt idx="5">
                  <c:v>19</c:v>
                </c:pt>
                <c:pt idx="6">
                  <c:v>587</c:v>
                </c:pt>
                <c:pt idx="7">
                  <c:v>188</c:v>
                </c:pt>
                <c:pt idx="8">
                  <c:v>380</c:v>
                </c:pt>
                <c:pt idx="9">
                  <c:v>75</c:v>
                </c:pt>
                <c:pt idx="10">
                  <c:v>60</c:v>
                </c:pt>
                <c:pt idx="11">
                  <c:v>70</c:v>
                </c:pt>
                <c:pt idx="12">
                  <c:v>48</c:v>
                </c:pt>
              </c:numCache>
            </c:numRef>
          </c:val>
          <c:extLst>
            <c:ext xmlns:c16="http://schemas.microsoft.com/office/drawing/2014/chart" uri="{C3380CC4-5D6E-409C-BE32-E72D297353CC}">
              <c16:uniqueId val="{00000001-32BD-4F85-A7A1-F2CDF45A598F}"/>
            </c:ext>
          </c:extLst>
        </c:ser>
        <c:ser>
          <c:idx val="2"/>
          <c:order val="2"/>
          <c:tx>
            <c:strRef>
              <c:f>'RPD Capacity'!$F$18</c:f>
              <c:strCache>
                <c:ptCount val="1"/>
                <c:pt idx="0">
                  <c:v>Sum of Actual Design Man Week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Capacity'!$F$19:$F$38</c:f>
              <c:numCache>
                <c:formatCode>General</c:formatCode>
                <c:ptCount val="13"/>
                <c:pt idx="4">
                  <c:v>167</c:v>
                </c:pt>
                <c:pt idx="5">
                  <c:v>19</c:v>
                </c:pt>
                <c:pt idx="6">
                  <c:v>451.5</c:v>
                </c:pt>
                <c:pt idx="7">
                  <c:v>144.69999999999999</c:v>
                </c:pt>
                <c:pt idx="8">
                  <c:v>345</c:v>
                </c:pt>
                <c:pt idx="9">
                  <c:v>68</c:v>
                </c:pt>
              </c:numCache>
            </c:numRef>
          </c:val>
          <c:extLst>
            <c:ext xmlns:c16="http://schemas.microsoft.com/office/drawing/2014/chart" uri="{C3380CC4-5D6E-409C-BE32-E72D297353CC}">
              <c16:uniqueId val="{00000002-32BD-4F85-A7A1-F2CDF45A598F}"/>
            </c:ext>
          </c:extLst>
        </c:ser>
        <c:ser>
          <c:idx val="3"/>
          <c:order val="3"/>
          <c:tx>
            <c:strRef>
              <c:f>'RPD Capacity'!$G$18</c:f>
              <c:strCache>
                <c:ptCount val="1"/>
                <c:pt idx="0">
                  <c:v>Count of  Certification Testing  Required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Capacity'!$G$19:$G$38</c:f>
              <c:numCache>
                <c:formatCode>General</c:formatCode>
                <c:ptCount val="13"/>
                <c:pt idx="0">
                  <c:v>1</c:v>
                </c:pt>
                <c:pt idx="1">
                  <c:v>1</c:v>
                </c:pt>
                <c:pt idx="2">
                  <c:v>2</c:v>
                </c:pt>
                <c:pt idx="4">
                  <c:v>2</c:v>
                </c:pt>
                <c:pt idx="5">
                  <c:v>1</c:v>
                </c:pt>
                <c:pt idx="6">
                  <c:v>109</c:v>
                </c:pt>
                <c:pt idx="7">
                  <c:v>18</c:v>
                </c:pt>
                <c:pt idx="8">
                  <c:v>17</c:v>
                </c:pt>
                <c:pt idx="9">
                  <c:v>3</c:v>
                </c:pt>
                <c:pt idx="10">
                  <c:v>1</c:v>
                </c:pt>
              </c:numCache>
            </c:numRef>
          </c:val>
          <c:extLst>
            <c:ext xmlns:c16="http://schemas.microsoft.com/office/drawing/2014/chart" uri="{C3380CC4-5D6E-409C-BE32-E72D297353CC}">
              <c16:uniqueId val="{00000003-32BD-4F85-A7A1-F2CDF45A598F}"/>
            </c:ext>
          </c:extLst>
        </c:ser>
        <c:ser>
          <c:idx val="4"/>
          <c:order val="4"/>
          <c:tx>
            <c:strRef>
              <c:f>'RPD Capacity'!$H$18</c:f>
              <c:strCache>
                <c:ptCount val="1"/>
                <c:pt idx="0">
                  <c:v>Sum of Lab Weeks- Process Derived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Capacity'!$H$19:$H$38</c:f>
              <c:numCache>
                <c:formatCode>General</c:formatCode>
                <c:ptCount val="13"/>
                <c:pt idx="1">
                  <c:v>4</c:v>
                </c:pt>
                <c:pt idx="4">
                  <c:v>88</c:v>
                </c:pt>
                <c:pt idx="5">
                  <c:v>6</c:v>
                </c:pt>
                <c:pt idx="6">
                  <c:v>496.5</c:v>
                </c:pt>
                <c:pt idx="7">
                  <c:v>31</c:v>
                </c:pt>
                <c:pt idx="8">
                  <c:v>980</c:v>
                </c:pt>
                <c:pt idx="9">
                  <c:v>14</c:v>
                </c:pt>
              </c:numCache>
            </c:numRef>
          </c:val>
          <c:extLst>
            <c:ext xmlns:c16="http://schemas.microsoft.com/office/drawing/2014/chart" uri="{C3380CC4-5D6E-409C-BE32-E72D297353CC}">
              <c16:uniqueId val="{00000004-32BD-4F85-A7A1-F2CDF45A598F}"/>
            </c:ext>
          </c:extLst>
        </c:ser>
        <c:ser>
          <c:idx val="5"/>
          <c:order val="5"/>
          <c:tx>
            <c:strRef>
              <c:f>'RPD Capacity'!$I$18</c:f>
              <c:strCache>
                <c:ptCount val="1"/>
                <c:pt idx="0">
                  <c:v>Sum of Actual Testing Time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Capacity'!$I$19:$I$38</c:f>
              <c:numCache>
                <c:formatCode>General</c:formatCode>
                <c:ptCount val="13"/>
                <c:pt idx="0">
                  <c:v>1</c:v>
                </c:pt>
                <c:pt idx="1">
                  <c:v>8</c:v>
                </c:pt>
                <c:pt idx="2">
                  <c:v>9</c:v>
                </c:pt>
                <c:pt idx="3">
                  <c:v>0</c:v>
                </c:pt>
                <c:pt idx="4">
                  <c:v>99</c:v>
                </c:pt>
                <c:pt idx="5">
                  <c:v>6</c:v>
                </c:pt>
                <c:pt idx="6">
                  <c:v>2521</c:v>
                </c:pt>
                <c:pt idx="7">
                  <c:v>26</c:v>
                </c:pt>
                <c:pt idx="8">
                  <c:v>1054</c:v>
                </c:pt>
                <c:pt idx="9">
                  <c:v>50</c:v>
                </c:pt>
                <c:pt idx="10">
                  <c:v>4</c:v>
                </c:pt>
                <c:pt idx="11">
                  <c:v>0</c:v>
                </c:pt>
              </c:numCache>
            </c:numRef>
          </c:val>
          <c:extLst>
            <c:ext xmlns:c16="http://schemas.microsoft.com/office/drawing/2014/chart" uri="{C3380CC4-5D6E-409C-BE32-E72D297353CC}">
              <c16:uniqueId val="{00000007-32BD-4F85-A7A1-F2CDF45A598F}"/>
            </c:ext>
          </c:extLst>
        </c:ser>
        <c:ser>
          <c:idx val="6"/>
          <c:order val="6"/>
          <c:tx>
            <c:strRef>
              <c:f>'RPD Capacity'!$J$18</c:f>
              <c:strCache>
                <c:ptCount val="1"/>
                <c:pt idx="0">
                  <c:v>Count of Safety Certification Required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'RPD Capacity'!$C$19:$C$38</c:f>
              <c:multiLvlStrCache>
                <c:ptCount val="13"/>
                <c:lvl>
                  <c:pt idx="0">
                    <c:v>A</c:v>
                  </c:pt>
                  <c:pt idx="1">
                    <c:v>A+</c:v>
                  </c:pt>
                  <c:pt idx="2">
                    <c:v>B</c:v>
                  </c:pt>
                  <c:pt idx="3">
                    <c:v>C</c:v>
                  </c:pt>
                  <c:pt idx="4">
                    <c:v>A</c:v>
                  </c:pt>
                  <c:pt idx="5">
                    <c:v>A</c:v>
                  </c:pt>
                  <c:pt idx="6">
                    <c:v>B</c:v>
                  </c:pt>
                  <c:pt idx="7">
                    <c:v>C</c:v>
                  </c:pt>
                  <c:pt idx="8">
                    <c:v>B</c:v>
                  </c:pt>
                  <c:pt idx="9">
                    <c:v>C</c:v>
                  </c:pt>
                  <c:pt idx="10">
                    <c:v>B-OEM</c:v>
                  </c:pt>
                  <c:pt idx="11">
                    <c:v>A-OEM</c:v>
                  </c:pt>
                  <c:pt idx="12">
                    <c:v>B-OEM</c:v>
                  </c:pt>
                </c:lvl>
                <c:lvl>
                  <c:pt idx="0">
                    <c:v>R&amp;D-Greece</c:v>
                  </c:pt>
                  <c:pt idx="4">
                    <c:v>R&amp;D-India</c:v>
                  </c:pt>
                  <c:pt idx="5">
                    <c:v>PD-India</c:v>
                  </c:pt>
                  <c:pt idx="8">
                    <c:v>PD-Romania</c:v>
                  </c:pt>
                  <c:pt idx="10">
                    <c:v>OEM-HCK</c:v>
                  </c:pt>
                  <c:pt idx="11">
                    <c:v>OEM-SEITEK</c:v>
                  </c:pt>
                </c:lvl>
              </c:multiLvlStrCache>
            </c:multiLvlStrRef>
          </c:cat>
          <c:val>
            <c:numRef>
              <c:f>'RPD Capacity'!$J$19:$J$38</c:f>
              <c:numCache>
                <c:formatCode>General</c:formatCode>
                <c:ptCount val="13"/>
                <c:pt idx="4">
                  <c:v>1</c:v>
                </c:pt>
                <c:pt idx="5">
                  <c:v>1</c:v>
                </c:pt>
                <c:pt idx="6">
                  <c:v>51</c:v>
                </c:pt>
                <c:pt idx="7">
                  <c:v>18</c:v>
                </c:pt>
                <c:pt idx="8">
                  <c:v>3</c:v>
                </c:pt>
              </c:numCache>
            </c:numRef>
          </c:val>
          <c:extLst>
            <c:ext xmlns:c16="http://schemas.microsoft.com/office/drawing/2014/chart" uri="{C3380CC4-5D6E-409C-BE32-E72D297353CC}">
              <c16:uniqueId val="{00000009-32BD-4F85-A7A1-F2CDF45A598F}"/>
            </c:ext>
          </c:extLst>
        </c:ser>
        <c:dLbls>
          <c:dLblPos val="outEnd"/>
          <c:showLegendKey val="0"/>
          <c:showVal val="1"/>
          <c:showCatName val="0"/>
          <c:showSerName val="0"/>
          <c:showPercent val="0"/>
          <c:showBubbleSize val="0"/>
        </c:dLbls>
        <c:gapWidth val="219"/>
        <c:overlap val="-27"/>
        <c:axId val="313926719"/>
        <c:axId val="313903199"/>
      </c:barChart>
      <c:catAx>
        <c:axId val="3139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03199"/>
        <c:crosses val="autoZero"/>
        <c:auto val="1"/>
        <c:lblAlgn val="ctr"/>
        <c:lblOffset val="100"/>
        <c:noMultiLvlLbl val="0"/>
      </c:catAx>
      <c:valAx>
        <c:axId val="31390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26719"/>
        <c:crosses val="autoZero"/>
        <c:crossBetween val="between"/>
      </c:valAx>
      <c:dTable>
        <c:showHorzBorder val="1"/>
        <c:showVertBorder val="1"/>
        <c:showOutline val="1"/>
        <c:showKeys val="1"/>
        <c:spPr>
          <a:noFill/>
          <a:ln w="9525" cap="flat" cmpd="sng" algn="ctr">
            <a:solidFill>
              <a:schemeClr val="accent1"/>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'RPD Capacity'!$B$54</c:f>
              <c:strCache>
                <c:ptCount val="1"/>
                <c:pt idx="0">
                  <c:v>Total Yearly Capacity (Man Week)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'RPD Capacity'!$C$53:$G$53</c:f>
              <c:strCache>
                <c:ptCount val="5"/>
                <c:pt idx="0">
                  <c:v>India (PD)</c:v>
                </c:pt>
                <c:pt idx="1">
                  <c:v>India (R&amp;D)</c:v>
                </c:pt>
                <c:pt idx="2">
                  <c:v>Greece (R&amp;D)</c:v>
                </c:pt>
                <c:pt idx="3">
                  <c:v>Romania (PD)</c:v>
                </c:pt>
                <c:pt idx="4">
                  <c:v>Global</c:v>
                </c:pt>
              </c:strCache>
            </c:strRef>
          </c:cat>
          <c:val>
            <c:numRef>
              <c:f>'RPD Capacity'!$C$54:$G$54</c:f>
              <c:numCache>
                <c:formatCode>0</c:formatCode>
                <c:ptCount val="5"/>
                <c:pt idx="0">
                  <c:v>252.61666666666667</c:v>
                </c:pt>
                <c:pt idx="1">
                  <c:v>87.866666666666674</c:v>
                </c:pt>
                <c:pt idx="2">
                  <c:v>124.88</c:v>
                </c:pt>
                <c:pt idx="3">
                  <c:v>165</c:v>
                </c:pt>
                <c:pt idx="4">
                  <c:v>630.36333333333334</c:v>
                </c:pt>
              </c:numCache>
            </c:numRef>
          </c:val>
          <c:extLst>
            <c:ext xmlns:c16="http://schemas.microsoft.com/office/drawing/2014/chart" uri="{C3380CC4-5D6E-409C-BE32-E72D297353CC}">
              <c16:uniqueId val="{00000000-4DB0-4369-996F-7D823C59D3FF}"/>
            </c:ext>
          </c:extLst>
        </c:ser>
        <c:dLbls>
          <c:dLblPos val="outEnd"/>
          <c:showLegendKey val="0"/>
          <c:showVal val="1"/>
          <c:showCatName val="0"/>
          <c:showSerName val="0"/>
          <c:showPercent val="0"/>
          <c:showBubbleSize val="0"/>
        </c:dLbls>
        <c:gapWidth val="219"/>
        <c:overlap val="-27"/>
        <c:axId val="606956544"/>
        <c:axId val="606946944"/>
      </c:barChart>
      <c:catAx>
        <c:axId val="60695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46944"/>
        <c:crosses val="autoZero"/>
        <c:auto val="1"/>
        <c:lblAlgn val="ctr"/>
        <c:lblOffset val="100"/>
        <c:noMultiLvlLbl val="0"/>
      </c:catAx>
      <c:valAx>
        <c:axId val="60694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Man Week</a:t>
                </a:r>
              </a:p>
            </c:rich>
          </c:tx>
          <c:layout>
            <c:manualLayout>
              <c:xMode val="edge"/>
              <c:yMode val="edge"/>
              <c:x val="0.19182857732245284"/>
              <c:y val="0.240285448787807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56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Count for Lab Platform and Chamber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'RPD Capacity'!$B$66</c:f>
              <c:strCache>
                <c:ptCount val="1"/>
                <c:pt idx="0">
                  <c:v>No. of  Chamber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'RPD Capacity'!$C$65:$F$65</c:f>
              <c:strCache>
                <c:ptCount val="4"/>
                <c:pt idx="0">
                  <c:v>India</c:v>
                </c:pt>
                <c:pt idx="1">
                  <c:v>Greece</c:v>
                </c:pt>
                <c:pt idx="2">
                  <c:v>Romania</c:v>
                </c:pt>
                <c:pt idx="3">
                  <c:v>Total</c:v>
                </c:pt>
              </c:strCache>
            </c:strRef>
          </c:cat>
          <c:val>
            <c:numRef>
              <c:f>'RPD Capacity'!$C$66:$F$66</c:f>
              <c:numCache>
                <c:formatCode>0</c:formatCode>
                <c:ptCount val="4"/>
                <c:pt idx="0">
                  <c:v>3</c:v>
                </c:pt>
                <c:pt idx="1">
                  <c:v>2</c:v>
                </c:pt>
                <c:pt idx="2">
                  <c:v>4</c:v>
                </c:pt>
                <c:pt idx="3">
                  <c:v>9</c:v>
                </c:pt>
              </c:numCache>
            </c:numRef>
          </c:val>
          <c:extLst>
            <c:ext xmlns:c16="http://schemas.microsoft.com/office/drawing/2014/chart" uri="{C3380CC4-5D6E-409C-BE32-E72D297353CC}">
              <c16:uniqueId val="{00000000-55C7-4422-ACCE-1AC554DE9A48}"/>
            </c:ext>
          </c:extLst>
        </c:ser>
        <c:ser>
          <c:idx val="1"/>
          <c:order val="1"/>
          <c:tx>
            <c:strRef>
              <c:f>'RPD Capacity'!$B$67</c:f>
              <c:strCache>
                <c:ptCount val="1"/>
                <c:pt idx="0">
                  <c:v>No. of  Test Paltform/Station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'RPD Capacity'!$C$65:$F$65</c:f>
              <c:strCache>
                <c:ptCount val="4"/>
                <c:pt idx="0">
                  <c:v>India</c:v>
                </c:pt>
                <c:pt idx="1">
                  <c:v>Greece</c:v>
                </c:pt>
                <c:pt idx="2">
                  <c:v>Romania</c:v>
                </c:pt>
                <c:pt idx="3">
                  <c:v>Total</c:v>
                </c:pt>
              </c:strCache>
            </c:strRef>
          </c:cat>
          <c:val>
            <c:numRef>
              <c:f>'RPD Capacity'!$C$67:$F$67</c:f>
              <c:numCache>
                <c:formatCode>0</c:formatCode>
                <c:ptCount val="4"/>
                <c:pt idx="0">
                  <c:v>8</c:v>
                </c:pt>
                <c:pt idx="1">
                  <c:v>3</c:v>
                </c:pt>
                <c:pt idx="2">
                  <c:v>8</c:v>
                </c:pt>
                <c:pt idx="3">
                  <c:v>19</c:v>
                </c:pt>
              </c:numCache>
            </c:numRef>
          </c:val>
          <c:extLst>
            <c:ext xmlns:c16="http://schemas.microsoft.com/office/drawing/2014/chart" uri="{C3380CC4-5D6E-409C-BE32-E72D297353CC}">
              <c16:uniqueId val="{00000001-55C7-4422-ACCE-1AC554DE9A48}"/>
            </c:ext>
          </c:extLst>
        </c:ser>
        <c:dLbls>
          <c:dLblPos val="outEnd"/>
          <c:showLegendKey val="0"/>
          <c:showVal val="1"/>
          <c:showCatName val="0"/>
          <c:showSerName val="0"/>
          <c:showPercent val="0"/>
          <c:showBubbleSize val="0"/>
        </c:dLbls>
        <c:gapWidth val="219"/>
        <c:overlap val="-27"/>
        <c:axId val="633700560"/>
        <c:axId val="633702480"/>
      </c:barChart>
      <c:catAx>
        <c:axId val="63370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Hub</a:t>
                </a:r>
              </a:p>
            </c:rich>
          </c:tx>
          <c:layout>
            <c:manualLayout>
              <c:xMode val="edge"/>
              <c:yMode val="edge"/>
              <c:x val="0.57704388941979146"/>
              <c:y val="0.79293571538400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702480"/>
        <c:crosses val="autoZero"/>
        <c:auto val="1"/>
        <c:lblAlgn val="ctr"/>
        <c:lblOffset val="100"/>
        <c:noMultiLvlLbl val="0"/>
      </c:catAx>
      <c:valAx>
        <c:axId val="63370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a:t>
                </a:r>
                <a:r>
                  <a:rPr lang="en-IN" baseline="0"/>
                  <a:t> Chamber</a:t>
                </a:r>
                <a:endParaRPr lang="en-IN"/>
              </a:p>
            </c:rich>
          </c:tx>
          <c:layout>
            <c:manualLayout>
              <c:xMode val="edge"/>
              <c:yMode val="edge"/>
              <c:x val="0.16842915478391599"/>
              <c:y val="0.226421909436084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700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Resource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'RPD Capacity'!$B$41</c:f>
              <c:strCache>
                <c:ptCount val="1"/>
                <c:pt idx="0">
                  <c:v>No. of  Resources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'RPD Capacity'!$C$40:$G$40</c:f>
              <c:strCache>
                <c:ptCount val="5"/>
                <c:pt idx="0">
                  <c:v>India PD</c:v>
                </c:pt>
                <c:pt idx="1">
                  <c:v>India R&amp;D</c:v>
                </c:pt>
                <c:pt idx="2">
                  <c:v>Greece R&amp;D</c:v>
                </c:pt>
                <c:pt idx="3">
                  <c:v>Romania PD</c:v>
                </c:pt>
                <c:pt idx="4">
                  <c:v>Global</c:v>
                </c:pt>
              </c:strCache>
            </c:strRef>
          </c:cat>
          <c:val>
            <c:numRef>
              <c:f>'RPD Capacity'!$C$41:$G$41</c:f>
              <c:numCache>
                <c:formatCode>0.0</c:formatCode>
                <c:ptCount val="5"/>
                <c:pt idx="0">
                  <c:v>5.75</c:v>
                </c:pt>
                <c:pt idx="1">
                  <c:v>2</c:v>
                </c:pt>
                <c:pt idx="2">
                  <c:v>2.8</c:v>
                </c:pt>
                <c:pt idx="3">
                  <c:v>3.75</c:v>
                </c:pt>
                <c:pt idx="4" formatCode="0">
                  <c:v>14.3</c:v>
                </c:pt>
              </c:numCache>
            </c:numRef>
          </c:val>
          <c:extLst>
            <c:ext xmlns:c16="http://schemas.microsoft.com/office/drawing/2014/chart" uri="{C3380CC4-5D6E-409C-BE32-E72D297353CC}">
              <c16:uniqueId val="{00000000-B3FF-49AE-AC9E-55B0146351B4}"/>
            </c:ext>
          </c:extLst>
        </c:ser>
        <c:dLbls>
          <c:dLblPos val="outEnd"/>
          <c:showLegendKey val="0"/>
          <c:showVal val="1"/>
          <c:showCatName val="0"/>
          <c:showSerName val="0"/>
          <c:showPercent val="0"/>
          <c:showBubbleSize val="0"/>
        </c:dLbls>
        <c:gapWidth val="219"/>
        <c:overlap val="-27"/>
        <c:axId val="569880208"/>
        <c:axId val="569881648"/>
      </c:barChart>
      <c:catAx>
        <c:axId val="569880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manualLayout>
              <c:xMode val="edge"/>
              <c:yMode val="edge"/>
              <c:x val="0.54022585713201055"/>
              <c:y val="0.875618864557480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81648"/>
        <c:crosses val="autoZero"/>
        <c:auto val="1"/>
        <c:lblAlgn val="ctr"/>
        <c:lblOffset val="100"/>
        <c:noMultiLvlLbl val="0"/>
      </c:catAx>
      <c:valAx>
        <c:axId val="56988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Resources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8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kern="1200" spc="0" baseline="0" dirty="0">
                <a:solidFill>
                  <a:prstClr val="black">
                    <a:lumMod val="65000"/>
                    <a:lumOff val="35000"/>
                  </a:prstClr>
                </a:solidFill>
              </a:rPr>
              <a:t>RO PD Projects - 2026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Delete!$L$16</c:f>
              <c:strCache>
                <c:ptCount val="1"/>
                <c:pt idx="0">
                  <c:v>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Delete!$K$17:$K$21</c:f>
              <c:strCache>
                <c:ptCount val="5"/>
                <c:pt idx="0">
                  <c:v>Development</c:v>
                </c:pt>
                <c:pt idx="1">
                  <c:v>In Que</c:v>
                </c:pt>
                <c:pt idx="2">
                  <c:v>Industrialization</c:v>
                </c:pt>
                <c:pt idx="3">
                  <c:v>On Hold</c:v>
                </c:pt>
                <c:pt idx="4">
                  <c:v>Grand Total</c:v>
                </c:pt>
              </c:strCache>
            </c:strRef>
          </c:cat>
          <c:val>
            <c:numRef>
              <c:f>Delete!$L$17:$L$21</c:f>
              <c:numCache>
                <c:formatCode>General</c:formatCode>
                <c:ptCount val="5"/>
                <c:pt idx="2">
                  <c:v>4</c:v>
                </c:pt>
                <c:pt idx="4">
                  <c:v>4</c:v>
                </c:pt>
              </c:numCache>
            </c:numRef>
          </c:val>
          <c:extLst>
            <c:ext xmlns:c16="http://schemas.microsoft.com/office/drawing/2014/chart" uri="{C3380CC4-5D6E-409C-BE32-E72D297353CC}">
              <c16:uniqueId val="{00000000-FE6B-4B1C-9608-002083F8353D}"/>
            </c:ext>
          </c:extLst>
        </c:ser>
        <c:ser>
          <c:idx val="1"/>
          <c:order val="1"/>
          <c:tx>
            <c:strRef>
              <c:f>Delete!$M$16</c:f>
              <c:strCache>
                <c:ptCount val="1"/>
                <c:pt idx="0">
                  <c:v>B</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Delete!$K$17:$K$21</c:f>
              <c:strCache>
                <c:ptCount val="5"/>
                <c:pt idx="0">
                  <c:v>Development</c:v>
                </c:pt>
                <c:pt idx="1">
                  <c:v>In Que</c:v>
                </c:pt>
                <c:pt idx="2">
                  <c:v>Industrialization</c:v>
                </c:pt>
                <c:pt idx="3">
                  <c:v>On Hold</c:v>
                </c:pt>
                <c:pt idx="4">
                  <c:v>Grand Total</c:v>
                </c:pt>
              </c:strCache>
            </c:strRef>
          </c:cat>
          <c:val>
            <c:numRef>
              <c:f>Delete!$M$17:$M$21</c:f>
              <c:numCache>
                <c:formatCode>General</c:formatCode>
                <c:ptCount val="5"/>
                <c:pt idx="0">
                  <c:v>6</c:v>
                </c:pt>
                <c:pt idx="1">
                  <c:v>5</c:v>
                </c:pt>
                <c:pt idx="2">
                  <c:v>3</c:v>
                </c:pt>
                <c:pt idx="3">
                  <c:v>9</c:v>
                </c:pt>
                <c:pt idx="4">
                  <c:v>23</c:v>
                </c:pt>
              </c:numCache>
            </c:numRef>
          </c:val>
          <c:extLst>
            <c:ext xmlns:c16="http://schemas.microsoft.com/office/drawing/2014/chart" uri="{C3380CC4-5D6E-409C-BE32-E72D297353CC}">
              <c16:uniqueId val="{00000001-FE6B-4B1C-9608-002083F8353D}"/>
            </c:ext>
          </c:extLst>
        </c:ser>
        <c:ser>
          <c:idx val="2"/>
          <c:order val="2"/>
          <c:tx>
            <c:strRef>
              <c:f>Delete!$N$16</c:f>
              <c:strCache>
                <c:ptCount val="1"/>
                <c:pt idx="0">
                  <c:v>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Delete!$K$17:$K$21</c:f>
              <c:strCache>
                <c:ptCount val="5"/>
                <c:pt idx="0">
                  <c:v>Development</c:v>
                </c:pt>
                <c:pt idx="1">
                  <c:v>In Que</c:v>
                </c:pt>
                <c:pt idx="2">
                  <c:v>Industrialization</c:v>
                </c:pt>
                <c:pt idx="3">
                  <c:v>On Hold</c:v>
                </c:pt>
                <c:pt idx="4">
                  <c:v>Grand Total</c:v>
                </c:pt>
              </c:strCache>
            </c:strRef>
          </c:cat>
          <c:val>
            <c:numRef>
              <c:f>Delete!$N$17:$N$21</c:f>
              <c:numCache>
                <c:formatCode>General</c:formatCode>
                <c:ptCount val="5"/>
                <c:pt idx="0">
                  <c:v>7</c:v>
                </c:pt>
                <c:pt idx="1">
                  <c:v>2</c:v>
                </c:pt>
                <c:pt idx="2">
                  <c:v>2</c:v>
                </c:pt>
                <c:pt idx="3">
                  <c:v>3</c:v>
                </c:pt>
                <c:pt idx="4">
                  <c:v>14</c:v>
                </c:pt>
              </c:numCache>
            </c:numRef>
          </c:val>
          <c:extLst>
            <c:ext xmlns:c16="http://schemas.microsoft.com/office/drawing/2014/chart" uri="{C3380CC4-5D6E-409C-BE32-E72D297353CC}">
              <c16:uniqueId val="{00000002-FE6B-4B1C-9608-002083F8353D}"/>
            </c:ext>
          </c:extLst>
        </c:ser>
        <c:ser>
          <c:idx val="3"/>
          <c:order val="3"/>
          <c:tx>
            <c:strRef>
              <c:f>Delete!$O$16</c:f>
              <c:strCache>
                <c:ptCount val="1"/>
                <c:pt idx="0">
                  <c:v>Grand Total</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Delete!$K$17:$K$21</c:f>
              <c:strCache>
                <c:ptCount val="5"/>
                <c:pt idx="0">
                  <c:v>Development</c:v>
                </c:pt>
                <c:pt idx="1">
                  <c:v>In Que</c:v>
                </c:pt>
                <c:pt idx="2">
                  <c:v>Industrialization</c:v>
                </c:pt>
                <c:pt idx="3">
                  <c:v>On Hold</c:v>
                </c:pt>
                <c:pt idx="4">
                  <c:v>Grand Total</c:v>
                </c:pt>
              </c:strCache>
            </c:strRef>
          </c:cat>
          <c:val>
            <c:numRef>
              <c:f>Delete!$O$17:$O$21</c:f>
              <c:numCache>
                <c:formatCode>General</c:formatCode>
                <c:ptCount val="5"/>
                <c:pt idx="0">
                  <c:v>13</c:v>
                </c:pt>
                <c:pt idx="1">
                  <c:v>7</c:v>
                </c:pt>
                <c:pt idx="2">
                  <c:v>9</c:v>
                </c:pt>
                <c:pt idx="3">
                  <c:v>12</c:v>
                </c:pt>
                <c:pt idx="4">
                  <c:v>41</c:v>
                </c:pt>
              </c:numCache>
            </c:numRef>
          </c:val>
          <c:extLst>
            <c:ext xmlns:c16="http://schemas.microsoft.com/office/drawing/2014/chart" uri="{C3380CC4-5D6E-409C-BE32-E72D297353CC}">
              <c16:uniqueId val="{00000003-FE6B-4B1C-9608-002083F8353D}"/>
            </c:ext>
          </c:extLst>
        </c:ser>
        <c:dLbls>
          <c:dLblPos val="outEnd"/>
          <c:showLegendKey val="0"/>
          <c:showVal val="1"/>
          <c:showCatName val="0"/>
          <c:showSerName val="0"/>
          <c:showPercent val="0"/>
          <c:showBubbleSize val="0"/>
        </c:dLbls>
        <c:gapWidth val="219"/>
        <c:overlap val="-27"/>
        <c:axId val="1609454863"/>
        <c:axId val="1609457263"/>
      </c:barChart>
      <c:catAx>
        <c:axId val="160945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457263"/>
        <c:crosses val="autoZero"/>
        <c:auto val="1"/>
        <c:lblAlgn val="ctr"/>
        <c:lblOffset val="100"/>
        <c:noMultiLvlLbl val="0"/>
      </c:catAx>
      <c:valAx>
        <c:axId val="160945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454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Pipeline.xlsx]2026 Project-Delete!PivotTable1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2026 Project Pipeline -&gt; Spill over (15) and New Project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'2026 Project-Delete'!$G$148:$G$149</c:f>
              <c:strCache>
                <c:ptCount val="1"/>
                <c:pt idx="0">
                  <c:v>New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Project-Delete'!$F$150:$F$157</c:f>
              <c:multiLvlStrCache>
                <c:ptCount val="5"/>
                <c:lvl>
                  <c:pt idx="0">
                    <c:v>B</c:v>
                  </c:pt>
                  <c:pt idx="1">
                    <c:v>C</c:v>
                  </c:pt>
                  <c:pt idx="2">
                    <c:v>A</c:v>
                  </c:pt>
                  <c:pt idx="3">
                    <c:v>B</c:v>
                  </c:pt>
                  <c:pt idx="4">
                    <c:v>C</c:v>
                  </c:pt>
                </c:lvl>
                <c:lvl>
                  <c:pt idx="0">
                    <c:v>Central Procurement Group</c:v>
                  </c:pt>
                  <c:pt idx="2">
                    <c:v>Marketing/Sales</c:v>
                  </c:pt>
                </c:lvl>
              </c:multiLvlStrCache>
            </c:multiLvlStrRef>
          </c:cat>
          <c:val>
            <c:numRef>
              <c:f>'2026 Project-Delete'!$G$150:$G$157</c:f>
              <c:numCache>
                <c:formatCode>General</c:formatCode>
                <c:ptCount val="5"/>
                <c:pt idx="3">
                  <c:v>4</c:v>
                </c:pt>
                <c:pt idx="4">
                  <c:v>1</c:v>
                </c:pt>
              </c:numCache>
            </c:numRef>
          </c:val>
          <c:extLst>
            <c:ext xmlns:c16="http://schemas.microsoft.com/office/drawing/2014/chart" uri="{C3380CC4-5D6E-409C-BE32-E72D297353CC}">
              <c16:uniqueId val="{00000000-3EB4-4352-8913-926114D1188B}"/>
            </c:ext>
          </c:extLst>
        </c:ser>
        <c:ser>
          <c:idx val="1"/>
          <c:order val="1"/>
          <c:tx>
            <c:strRef>
              <c:f>'2026 Project-Delete'!$H$148:$H$149</c:f>
              <c:strCache>
                <c:ptCount val="1"/>
                <c:pt idx="0">
                  <c:v>Spill Over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Project-Delete'!$F$150:$F$157</c:f>
              <c:multiLvlStrCache>
                <c:ptCount val="5"/>
                <c:lvl>
                  <c:pt idx="0">
                    <c:v>B</c:v>
                  </c:pt>
                  <c:pt idx="1">
                    <c:v>C</c:v>
                  </c:pt>
                  <c:pt idx="2">
                    <c:v>A</c:v>
                  </c:pt>
                  <c:pt idx="3">
                    <c:v>B</c:v>
                  </c:pt>
                  <c:pt idx="4">
                    <c:v>C</c:v>
                  </c:pt>
                </c:lvl>
                <c:lvl>
                  <c:pt idx="0">
                    <c:v>Central Procurement Group</c:v>
                  </c:pt>
                  <c:pt idx="2">
                    <c:v>Marketing/Sales</c:v>
                  </c:pt>
                </c:lvl>
              </c:multiLvlStrCache>
            </c:multiLvlStrRef>
          </c:cat>
          <c:val>
            <c:numRef>
              <c:f>'2026 Project-Delete'!$H$150:$H$157</c:f>
              <c:numCache>
                <c:formatCode>General</c:formatCode>
                <c:ptCount val="5"/>
                <c:pt idx="0">
                  <c:v>10</c:v>
                </c:pt>
                <c:pt idx="1">
                  <c:v>1</c:v>
                </c:pt>
                <c:pt idx="2">
                  <c:v>1</c:v>
                </c:pt>
                <c:pt idx="3">
                  <c:v>1</c:v>
                </c:pt>
                <c:pt idx="4">
                  <c:v>2</c:v>
                </c:pt>
              </c:numCache>
            </c:numRef>
          </c:val>
          <c:extLst>
            <c:ext xmlns:c16="http://schemas.microsoft.com/office/drawing/2014/chart" uri="{C3380CC4-5D6E-409C-BE32-E72D297353CC}">
              <c16:uniqueId val="{00000001-3EB4-4352-8913-926114D1188B}"/>
            </c:ext>
          </c:extLst>
        </c:ser>
        <c:dLbls>
          <c:dLblPos val="outEnd"/>
          <c:showLegendKey val="0"/>
          <c:showVal val="1"/>
          <c:showCatName val="0"/>
          <c:showSerName val="0"/>
          <c:showPercent val="0"/>
          <c:showBubbleSize val="0"/>
        </c:dLbls>
        <c:gapWidth val="219"/>
        <c:overlap val="-27"/>
        <c:axId val="234774112"/>
        <c:axId val="788083728"/>
      </c:barChart>
      <c:catAx>
        <c:axId val="23477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88083728"/>
        <c:crosses val="autoZero"/>
        <c:auto val="1"/>
        <c:lblAlgn val="ctr"/>
        <c:lblOffset val="100"/>
        <c:noMultiLvlLbl val="0"/>
      </c:catAx>
      <c:valAx>
        <c:axId val="78808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347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Pipeline.xlsx]2026 Project-Delete!PivotTable16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'2026 Project-Delete'!$G$164:$G$166</c:f>
              <c:strCache>
                <c:ptCount val="1"/>
                <c:pt idx="0">
                  <c:v>New - 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Project-Delete'!$G$167:$G$178</c:f>
              <c:numCache>
                <c:formatCode>General</c:formatCode>
                <c:ptCount val="8"/>
                <c:pt idx="2">
                  <c:v>3</c:v>
                </c:pt>
                <c:pt idx="3">
                  <c:v>6</c:v>
                </c:pt>
                <c:pt idx="7">
                  <c:v>1</c:v>
                </c:pt>
              </c:numCache>
            </c:numRef>
          </c:val>
          <c:extLst>
            <c:ext xmlns:c16="http://schemas.microsoft.com/office/drawing/2014/chart" uri="{C3380CC4-5D6E-409C-BE32-E72D297353CC}">
              <c16:uniqueId val="{00000000-236A-4B57-8D37-B3F21BAB8AFB}"/>
            </c:ext>
          </c:extLst>
        </c:ser>
        <c:ser>
          <c:idx val="1"/>
          <c:order val="1"/>
          <c:tx>
            <c:strRef>
              <c:f>'2026 Project-Delete'!$H$164:$H$166</c:f>
              <c:strCache>
                <c:ptCount val="1"/>
                <c:pt idx="0">
                  <c:v>New - ROM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Project-Delete'!$H$167:$H$178</c:f>
              <c:numCache>
                <c:formatCode>General</c:formatCode>
                <c:ptCount val="8"/>
                <c:pt idx="2">
                  <c:v>3</c:v>
                </c:pt>
                <c:pt idx="3">
                  <c:v>8</c:v>
                </c:pt>
                <c:pt idx="4">
                  <c:v>1</c:v>
                </c:pt>
              </c:numCache>
            </c:numRef>
          </c:val>
          <c:extLst>
            <c:ext xmlns:c16="http://schemas.microsoft.com/office/drawing/2014/chart" uri="{C3380CC4-5D6E-409C-BE32-E72D297353CC}">
              <c16:uniqueId val="{00000001-236A-4B57-8D37-B3F21BAB8AFB}"/>
            </c:ext>
          </c:extLst>
        </c:ser>
        <c:ser>
          <c:idx val="2"/>
          <c:order val="2"/>
          <c:tx>
            <c:strRef>
              <c:f>'2026 Project-Delete'!$I$164:$I$166</c:f>
              <c:strCache>
                <c:ptCount val="1"/>
                <c:pt idx="0">
                  <c:v>New - SAF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Project-Delete'!$I$167:$I$178</c:f>
              <c:numCache>
                <c:formatCode>General</c:formatCode>
                <c:ptCount val="8"/>
                <c:pt idx="2">
                  <c:v>1</c:v>
                </c:pt>
                <c:pt idx="3">
                  <c:v>2</c:v>
                </c:pt>
                <c:pt idx="4">
                  <c:v>5</c:v>
                </c:pt>
              </c:numCache>
            </c:numRef>
          </c:val>
          <c:extLst>
            <c:ext xmlns:c16="http://schemas.microsoft.com/office/drawing/2014/chart" uri="{C3380CC4-5D6E-409C-BE32-E72D297353CC}">
              <c16:uniqueId val="{00000002-236A-4B57-8D37-B3F21BAB8AFB}"/>
            </c:ext>
          </c:extLst>
        </c:ser>
        <c:ser>
          <c:idx val="3"/>
          <c:order val="3"/>
          <c:tx>
            <c:strRef>
              <c:f>'2026 Project-Delete'!$J$164:$J$166</c:f>
              <c:strCache>
                <c:ptCount val="1"/>
                <c:pt idx="0">
                  <c:v>New - OEM-Seitek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Project-Delete'!$J$167:$J$178</c:f>
              <c:numCache>
                <c:formatCode>General</c:formatCode>
                <c:ptCount val="8"/>
                <c:pt idx="2">
                  <c:v>4</c:v>
                </c:pt>
                <c:pt idx="3">
                  <c:v>6</c:v>
                </c:pt>
              </c:numCache>
            </c:numRef>
          </c:val>
          <c:extLst>
            <c:ext xmlns:c16="http://schemas.microsoft.com/office/drawing/2014/chart" uri="{C3380CC4-5D6E-409C-BE32-E72D297353CC}">
              <c16:uniqueId val="{00000003-236A-4B57-8D37-B3F21BAB8AFB}"/>
            </c:ext>
          </c:extLst>
        </c:ser>
        <c:ser>
          <c:idx val="4"/>
          <c:order val="4"/>
          <c:tx>
            <c:strRef>
              <c:f>'2026 Project-Delete'!$K$164:$K$166</c:f>
              <c:strCache>
                <c:ptCount val="1"/>
                <c:pt idx="0">
                  <c:v>New - OEM-HCK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Project-Delete'!$K$167:$K$178</c:f>
              <c:numCache>
                <c:formatCode>General</c:formatCode>
                <c:ptCount val="8"/>
                <c:pt idx="3">
                  <c:v>9</c:v>
                </c:pt>
              </c:numCache>
            </c:numRef>
          </c:val>
          <c:extLst>
            <c:ext xmlns:c16="http://schemas.microsoft.com/office/drawing/2014/chart" uri="{C3380CC4-5D6E-409C-BE32-E72D297353CC}">
              <c16:uniqueId val="{00000004-236A-4B57-8D37-B3F21BAB8AFB}"/>
            </c:ext>
          </c:extLst>
        </c:ser>
        <c:ser>
          <c:idx val="5"/>
          <c:order val="5"/>
          <c:tx>
            <c:strRef>
              <c:f>'2026 Project-Delete'!$M$164:$M$166</c:f>
              <c:strCache>
                <c:ptCount val="1"/>
                <c:pt idx="0">
                  <c:v>Spill Over - Egypt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Project-Delete'!$M$167:$M$178</c:f>
              <c:numCache>
                <c:formatCode>General</c:formatCode>
                <c:ptCount val="8"/>
                <c:pt idx="3">
                  <c:v>2</c:v>
                </c:pt>
              </c:numCache>
            </c:numRef>
          </c:val>
          <c:extLst>
            <c:ext xmlns:c16="http://schemas.microsoft.com/office/drawing/2014/chart" uri="{C3380CC4-5D6E-409C-BE32-E72D297353CC}">
              <c16:uniqueId val="{00000005-236A-4B57-8D37-B3F21BAB8AFB}"/>
            </c:ext>
          </c:extLst>
        </c:ser>
        <c:ser>
          <c:idx val="6"/>
          <c:order val="6"/>
          <c:tx>
            <c:strRef>
              <c:f>'2026 Project-Delete'!$N$164:$N$166</c:f>
              <c:strCache>
                <c:ptCount val="1"/>
                <c:pt idx="0">
                  <c:v>Spill Over - IND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Project-Delete'!$N$167:$N$178</c:f>
              <c:numCache>
                <c:formatCode>General</c:formatCode>
                <c:ptCount val="8"/>
                <c:pt idx="1">
                  <c:v>1</c:v>
                </c:pt>
                <c:pt idx="3">
                  <c:v>19</c:v>
                </c:pt>
                <c:pt idx="7">
                  <c:v>3</c:v>
                </c:pt>
              </c:numCache>
            </c:numRef>
          </c:val>
          <c:extLst>
            <c:ext xmlns:c16="http://schemas.microsoft.com/office/drawing/2014/chart" uri="{C3380CC4-5D6E-409C-BE32-E72D297353CC}">
              <c16:uniqueId val="{00000006-236A-4B57-8D37-B3F21BAB8AFB}"/>
            </c:ext>
          </c:extLst>
        </c:ser>
        <c:ser>
          <c:idx val="7"/>
          <c:order val="7"/>
          <c:tx>
            <c:strRef>
              <c:f>'2026 Project-Delete'!$O$164:$O$166</c:f>
              <c:strCache>
                <c:ptCount val="1"/>
                <c:pt idx="0">
                  <c:v>Spill Over - INN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Project-Delete'!$O$167:$O$178</c:f>
              <c:numCache>
                <c:formatCode>General</c:formatCode>
                <c:ptCount val="8"/>
                <c:pt idx="2">
                  <c:v>1</c:v>
                </c:pt>
                <c:pt idx="3">
                  <c:v>2</c:v>
                </c:pt>
              </c:numCache>
            </c:numRef>
          </c:val>
          <c:extLst>
            <c:ext xmlns:c16="http://schemas.microsoft.com/office/drawing/2014/chart" uri="{C3380CC4-5D6E-409C-BE32-E72D297353CC}">
              <c16:uniqueId val="{00000007-236A-4B57-8D37-B3F21BAB8AFB}"/>
            </c:ext>
          </c:extLst>
        </c:ser>
        <c:ser>
          <c:idx val="8"/>
          <c:order val="8"/>
          <c:tx>
            <c:strRef>
              <c:f>'2026 Project-Delete'!$P$164:$P$166</c:f>
              <c:strCache>
                <c:ptCount val="1"/>
                <c:pt idx="0">
                  <c:v>Spill Over - Multiplant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Project-Delete'!$P$167:$P$178</c:f>
              <c:numCache>
                <c:formatCode>General</c:formatCode>
                <c:ptCount val="8"/>
                <c:pt idx="1">
                  <c:v>10</c:v>
                </c:pt>
                <c:pt idx="3">
                  <c:v>1</c:v>
                </c:pt>
              </c:numCache>
            </c:numRef>
          </c:val>
          <c:extLst>
            <c:ext xmlns:c16="http://schemas.microsoft.com/office/drawing/2014/chart" uri="{C3380CC4-5D6E-409C-BE32-E72D297353CC}">
              <c16:uniqueId val="{00000008-236A-4B57-8D37-B3F21BAB8AFB}"/>
            </c:ext>
          </c:extLst>
        </c:ser>
        <c:ser>
          <c:idx val="9"/>
          <c:order val="9"/>
          <c:tx>
            <c:strRef>
              <c:f>'2026 Project-Delete'!$Q$164:$Q$166</c:f>
              <c:strCache>
                <c:ptCount val="1"/>
                <c:pt idx="0">
                  <c:v>Spill Over - ROM</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Project-Delete'!$Q$167:$Q$178</c:f>
              <c:numCache>
                <c:formatCode>General</c:formatCode>
                <c:ptCount val="8"/>
                <c:pt idx="0">
                  <c:v>10</c:v>
                </c:pt>
                <c:pt idx="1">
                  <c:v>1</c:v>
                </c:pt>
                <c:pt idx="2">
                  <c:v>6</c:v>
                </c:pt>
                <c:pt idx="3">
                  <c:v>7</c:v>
                </c:pt>
                <c:pt idx="4">
                  <c:v>4</c:v>
                </c:pt>
              </c:numCache>
            </c:numRef>
          </c:val>
          <c:extLst>
            <c:ext xmlns:c16="http://schemas.microsoft.com/office/drawing/2014/chart" uri="{C3380CC4-5D6E-409C-BE32-E72D297353CC}">
              <c16:uniqueId val="{00000000-F7D5-4414-9216-FF0614AC6980}"/>
            </c:ext>
          </c:extLst>
        </c:ser>
        <c:ser>
          <c:idx val="10"/>
          <c:order val="10"/>
          <c:tx>
            <c:strRef>
              <c:f>'2026 Project-Delete'!$R$164:$R$166</c:f>
              <c:strCache>
                <c:ptCount val="1"/>
                <c:pt idx="0">
                  <c:v>Spill Over - SAF</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Project-Delete'!$R$167:$R$178</c:f>
              <c:numCache>
                <c:formatCode>General</c:formatCode>
                <c:ptCount val="8"/>
                <c:pt idx="4">
                  <c:v>1</c:v>
                </c:pt>
              </c:numCache>
            </c:numRef>
          </c:val>
          <c:extLst>
            <c:ext xmlns:c16="http://schemas.microsoft.com/office/drawing/2014/chart" uri="{C3380CC4-5D6E-409C-BE32-E72D297353CC}">
              <c16:uniqueId val="{00000001-F7D5-4414-9216-FF0614AC6980}"/>
            </c:ext>
          </c:extLst>
        </c:ser>
        <c:ser>
          <c:idx val="11"/>
          <c:order val="11"/>
          <c:tx>
            <c:strRef>
              <c:f>'2026 Project-Delete'!$S$164:$S$166</c:f>
              <c:strCache>
                <c:ptCount val="1"/>
                <c:pt idx="0">
                  <c:v>Spill Over - OEM-Seitek</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Project-Delete'!$S$167:$S$178</c:f>
              <c:numCache>
                <c:formatCode>General</c:formatCode>
                <c:ptCount val="8"/>
                <c:pt idx="2">
                  <c:v>2</c:v>
                </c:pt>
                <c:pt idx="3">
                  <c:v>2</c:v>
                </c:pt>
                <c:pt idx="5">
                  <c:v>1</c:v>
                </c:pt>
                <c:pt idx="6">
                  <c:v>1</c:v>
                </c:pt>
              </c:numCache>
            </c:numRef>
          </c:val>
          <c:extLst>
            <c:ext xmlns:c16="http://schemas.microsoft.com/office/drawing/2014/chart" uri="{C3380CC4-5D6E-409C-BE32-E72D297353CC}">
              <c16:uniqueId val="{00000002-F7D5-4414-9216-FF0614AC6980}"/>
            </c:ext>
          </c:extLst>
        </c:ser>
        <c:ser>
          <c:idx val="12"/>
          <c:order val="12"/>
          <c:tx>
            <c:strRef>
              <c:f>'2026 Project-Delete'!$T$164:$T$166</c:f>
              <c:strCache>
                <c:ptCount val="1"/>
                <c:pt idx="0">
                  <c:v>Spill Over - OEM-HCK</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Project-Delete'!$F$167:$F$178</c:f>
              <c:multiLvlStrCache>
                <c:ptCount val="8"/>
                <c:lvl>
                  <c:pt idx="0">
                    <c:v>B</c:v>
                  </c:pt>
                  <c:pt idx="1">
                    <c:v>C</c:v>
                  </c:pt>
                  <c:pt idx="2">
                    <c:v>A</c:v>
                  </c:pt>
                  <c:pt idx="3">
                    <c:v>B</c:v>
                  </c:pt>
                  <c:pt idx="4">
                    <c:v>C</c:v>
                  </c:pt>
                  <c:pt idx="5">
                    <c:v>A-OEM</c:v>
                  </c:pt>
                  <c:pt idx="6">
                    <c:v>B-OEM</c:v>
                  </c:pt>
                  <c:pt idx="7">
                    <c:v>B</c:v>
                  </c:pt>
                </c:lvl>
                <c:lvl>
                  <c:pt idx="0">
                    <c:v>Central Procurement Group</c:v>
                  </c:pt>
                  <c:pt idx="2">
                    <c:v>Marketing/Sales</c:v>
                  </c:pt>
                  <c:pt idx="7">
                    <c:v>PD</c:v>
                  </c:pt>
                </c:lvl>
              </c:multiLvlStrCache>
            </c:multiLvlStrRef>
          </c:cat>
          <c:val>
            <c:numRef>
              <c:f>'2026 Project-Delete'!$T$167:$T$178</c:f>
              <c:numCache>
                <c:formatCode>General</c:formatCode>
                <c:ptCount val="8"/>
                <c:pt idx="3">
                  <c:v>1</c:v>
                </c:pt>
              </c:numCache>
            </c:numRef>
          </c:val>
          <c:extLst>
            <c:ext xmlns:c16="http://schemas.microsoft.com/office/drawing/2014/chart" uri="{C3380CC4-5D6E-409C-BE32-E72D297353CC}">
              <c16:uniqueId val="{00000003-F7D5-4414-9216-FF0614AC6980}"/>
            </c:ext>
          </c:extLst>
        </c:ser>
        <c:dLbls>
          <c:dLblPos val="outEnd"/>
          <c:showLegendKey val="0"/>
          <c:showVal val="1"/>
          <c:showCatName val="0"/>
          <c:showSerName val="0"/>
          <c:showPercent val="0"/>
          <c:showBubbleSize val="0"/>
        </c:dLbls>
        <c:gapWidth val="219"/>
        <c:overlap val="-27"/>
        <c:axId val="1180698832"/>
        <c:axId val="1180705072"/>
      </c:barChart>
      <c:catAx>
        <c:axId val="11806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05072"/>
        <c:crosses val="autoZero"/>
        <c:auto val="1"/>
        <c:lblAlgn val="ctr"/>
        <c:lblOffset val="100"/>
        <c:noMultiLvlLbl val="0"/>
      </c:catAx>
      <c:valAx>
        <c:axId val="11807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9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Pipeline.xlsx]2026 Project-Delete!PivotTable2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'2026 Project-Delete'!$G$192:$G$194</c:f>
              <c:strCache>
                <c:ptCount val="1"/>
                <c:pt idx="0">
                  <c:v>New - OEM-HCK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Project-Delete'!$F$195:$F$200</c:f>
              <c:multiLvlStrCache>
                <c:ptCount val="4"/>
                <c:lvl>
                  <c:pt idx="0">
                    <c:v>A</c:v>
                  </c:pt>
                  <c:pt idx="1">
                    <c:v>A-OEM</c:v>
                  </c:pt>
                  <c:pt idx="2">
                    <c:v>B</c:v>
                  </c:pt>
                  <c:pt idx="3">
                    <c:v>B-OEM</c:v>
                  </c:pt>
                </c:lvl>
                <c:lvl>
                  <c:pt idx="0">
                    <c:v>Marketing/Sales</c:v>
                  </c:pt>
                </c:lvl>
              </c:multiLvlStrCache>
            </c:multiLvlStrRef>
          </c:cat>
          <c:val>
            <c:numRef>
              <c:f>'2026 Project-Delete'!$G$195:$G$200</c:f>
              <c:numCache>
                <c:formatCode>General</c:formatCode>
                <c:ptCount val="4"/>
                <c:pt idx="2">
                  <c:v>9</c:v>
                </c:pt>
              </c:numCache>
            </c:numRef>
          </c:val>
          <c:extLst>
            <c:ext xmlns:c16="http://schemas.microsoft.com/office/drawing/2014/chart" uri="{C3380CC4-5D6E-409C-BE32-E72D297353CC}">
              <c16:uniqueId val="{00000000-68E7-48E4-AEEC-48EF1FB307E2}"/>
            </c:ext>
          </c:extLst>
        </c:ser>
        <c:ser>
          <c:idx val="1"/>
          <c:order val="1"/>
          <c:tx>
            <c:strRef>
              <c:f>'2026 Project-Delete'!$H$192:$H$194</c:f>
              <c:strCache>
                <c:ptCount val="1"/>
                <c:pt idx="0">
                  <c:v>New - OEM-Seitek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Project-Delete'!$F$195:$F$200</c:f>
              <c:multiLvlStrCache>
                <c:ptCount val="4"/>
                <c:lvl>
                  <c:pt idx="0">
                    <c:v>A</c:v>
                  </c:pt>
                  <c:pt idx="1">
                    <c:v>A-OEM</c:v>
                  </c:pt>
                  <c:pt idx="2">
                    <c:v>B</c:v>
                  </c:pt>
                  <c:pt idx="3">
                    <c:v>B-OEM</c:v>
                  </c:pt>
                </c:lvl>
                <c:lvl>
                  <c:pt idx="0">
                    <c:v>Marketing/Sales</c:v>
                  </c:pt>
                </c:lvl>
              </c:multiLvlStrCache>
            </c:multiLvlStrRef>
          </c:cat>
          <c:val>
            <c:numRef>
              <c:f>'2026 Project-Delete'!$H$195:$H$200</c:f>
              <c:numCache>
                <c:formatCode>General</c:formatCode>
                <c:ptCount val="4"/>
                <c:pt idx="0">
                  <c:v>2</c:v>
                </c:pt>
                <c:pt idx="2">
                  <c:v>6</c:v>
                </c:pt>
              </c:numCache>
            </c:numRef>
          </c:val>
          <c:extLst>
            <c:ext xmlns:c16="http://schemas.microsoft.com/office/drawing/2014/chart" uri="{C3380CC4-5D6E-409C-BE32-E72D297353CC}">
              <c16:uniqueId val="{00000001-68E7-48E4-AEEC-48EF1FB307E2}"/>
            </c:ext>
          </c:extLst>
        </c:ser>
        <c:ser>
          <c:idx val="2"/>
          <c:order val="2"/>
          <c:tx>
            <c:strRef>
              <c:f>'2026 Project-Delete'!$J$192:$J$194</c:f>
              <c:strCache>
                <c:ptCount val="1"/>
                <c:pt idx="0">
                  <c:v>Spill Over - OEM-HCK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Project-Delete'!$F$195:$F$200</c:f>
              <c:multiLvlStrCache>
                <c:ptCount val="4"/>
                <c:lvl>
                  <c:pt idx="0">
                    <c:v>A</c:v>
                  </c:pt>
                  <c:pt idx="1">
                    <c:v>A-OEM</c:v>
                  </c:pt>
                  <c:pt idx="2">
                    <c:v>B</c:v>
                  </c:pt>
                  <c:pt idx="3">
                    <c:v>B-OEM</c:v>
                  </c:pt>
                </c:lvl>
                <c:lvl>
                  <c:pt idx="0">
                    <c:v>Marketing/Sales</c:v>
                  </c:pt>
                </c:lvl>
              </c:multiLvlStrCache>
            </c:multiLvlStrRef>
          </c:cat>
          <c:val>
            <c:numRef>
              <c:f>'2026 Project-Delete'!$J$195:$J$200</c:f>
              <c:numCache>
                <c:formatCode>General</c:formatCode>
                <c:ptCount val="4"/>
                <c:pt idx="2">
                  <c:v>1</c:v>
                </c:pt>
              </c:numCache>
            </c:numRef>
          </c:val>
          <c:extLst>
            <c:ext xmlns:c16="http://schemas.microsoft.com/office/drawing/2014/chart" uri="{C3380CC4-5D6E-409C-BE32-E72D297353CC}">
              <c16:uniqueId val="{00000002-68E7-48E4-AEEC-48EF1FB307E2}"/>
            </c:ext>
          </c:extLst>
        </c:ser>
        <c:ser>
          <c:idx val="3"/>
          <c:order val="3"/>
          <c:tx>
            <c:strRef>
              <c:f>'2026 Project-Delete'!$K$192:$K$194</c:f>
              <c:strCache>
                <c:ptCount val="1"/>
                <c:pt idx="0">
                  <c:v>Spill Over - OEM-Seitek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 Project-Delete'!$F$195:$F$200</c:f>
              <c:multiLvlStrCache>
                <c:ptCount val="4"/>
                <c:lvl>
                  <c:pt idx="0">
                    <c:v>A</c:v>
                  </c:pt>
                  <c:pt idx="1">
                    <c:v>A-OEM</c:v>
                  </c:pt>
                  <c:pt idx="2">
                    <c:v>B</c:v>
                  </c:pt>
                  <c:pt idx="3">
                    <c:v>B-OEM</c:v>
                  </c:pt>
                </c:lvl>
                <c:lvl>
                  <c:pt idx="0">
                    <c:v>Marketing/Sales</c:v>
                  </c:pt>
                </c:lvl>
              </c:multiLvlStrCache>
            </c:multiLvlStrRef>
          </c:cat>
          <c:val>
            <c:numRef>
              <c:f>'2026 Project-Delete'!$K$195:$K$200</c:f>
              <c:numCache>
                <c:formatCode>General</c:formatCode>
                <c:ptCount val="4"/>
                <c:pt idx="0">
                  <c:v>2</c:v>
                </c:pt>
                <c:pt idx="1">
                  <c:v>1</c:v>
                </c:pt>
                <c:pt idx="2">
                  <c:v>2</c:v>
                </c:pt>
                <c:pt idx="3">
                  <c:v>1</c:v>
                </c:pt>
              </c:numCache>
            </c:numRef>
          </c:val>
          <c:extLst>
            <c:ext xmlns:c16="http://schemas.microsoft.com/office/drawing/2014/chart" uri="{C3380CC4-5D6E-409C-BE32-E72D297353CC}">
              <c16:uniqueId val="{00000003-68E7-48E4-AEEC-48EF1FB307E2}"/>
            </c:ext>
          </c:extLst>
        </c:ser>
        <c:dLbls>
          <c:dLblPos val="outEnd"/>
          <c:showLegendKey val="0"/>
          <c:showVal val="1"/>
          <c:showCatName val="0"/>
          <c:showSerName val="0"/>
          <c:showPercent val="0"/>
          <c:showBubbleSize val="0"/>
        </c:dLbls>
        <c:gapWidth val="219"/>
        <c:overlap val="-27"/>
        <c:axId val="2030339439"/>
        <c:axId val="2030327439"/>
      </c:barChart>
      <c:catAx>
        <c:axId val="203033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27439"/>
        <c:crosses val="autoZero"/>
        <c:auto val="1"/>
        <c:lblAlgn val="ctr"/>
        <c:lblOffset val="100"/>
        <c:noMultiLvlLbl val="0"/>
      </c:catAx>
      <c:valAx>
        <c:axId val="203032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Pipeline.xlsx]2026-Charter-Delete!PivotTable1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2026 Project Pipeline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'2026-Charter-Delete'!$B$1:$B$2</c:f>
              <c:strCache>
                <c:ptCount val="1"/>
                <c:pt idx="0">
                  <c:v>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'2026-Charter-Delete'!$A$3:$A$20</c:f>
              <c:multiLvlStrCache>
                <c:ptCount val="9"/>
                <c:lvl>
                  <c:pt idx="0">
                    <c:v>Spill Over</c:v>
                  </c:pt>
                  <c:pt idx="1">
                    <c:v>New</c:v>
                  </c:pt>
                  <c:pt idx="2">
                    <c:v>Spill Over</c:v>
                  </c:pt>
                  <c:pt idx="3">
                    <c:v>New</c:v>
                  </c:pt>
                  <c:pt idx="4">
                    <c:v>Spill Over</c:v>
                  </c:pt>
                  <c:pt idx="5">
                    <c:v>New</c:v>
                  </c:pt>
                  <c:pt idx="6">
                    <c:v>Spill Over</c:v>
                  </c:pt>
                  <c:pt idx="7">
                    <c:v>New</c:v>
                  </c:pt>
                  <c:pt idx="8">
                    <c:v>Spill Over</c:v>
                  </c:pt>
                </c:lvl>
                <c:lvl>
                  <c:pt idx="0">
                    <c:v>A</c:v>
                  </c:pt>
                  <c:pt idx="2">
                    <c:v>B</c:v>
                  </c:pt>
                  <c:pt idx="4">
                    <c:v>C</c:v>
                  </c:pt>
                  <c:pt idx="6">
                    <c:v>B</c:v>
                  </c:pt>
                  <c:pt idx="8">
                    <c:v>C</c:v>
                  </c:pt>
                </c:lvl>
                <c:lvl>
                  <c:pt idx="0">
                    <c:v>Marketing/Sales</c:v>
                  </c:pt>
                  <c:pt idx="6">
                    <c:v>PD</c:v>
                  </c:pt>
                  <c:pt idx="8">
                    <c:v>Central Procurement Group</c:v>
                  </c:pt>
                </c:lvl>
              </c:multiLvlStrCache>
            </c:multiLvlStrRef>
          </c:cat>
          <c:val>
            <c:numRef>
              <c:f>'2026-Charter-Delete'!$B$3:$B$20</c:f>
              <c:numCache>
                <c:formatCode>General</c:formatCode>
                <c:ptCount val="9"/>
                <c:pt idx="1">
                  <c:v>3</c:v>
                </c:pt>
                <c:pt idx="2">
                  <c:v>19</c:v>
                </c:pt>
                <c:pt idx="3">
                  <c:v>6</c:v>
                </c:pt>
                <c:pt idx="6">
                  <c:v>3</c:v>
                </c:pt>
                <c:pt idx="7">
                  <c:v>1</c:v>
                </c:pt>
                <c:pt idx="8">
                  <c:v>1</c:v>
                </c:pt>
              </c:numCache>
            </c:numRef>
          </c:val>
          <c:extLst>
            <c:ext xmlns:c16="http://schemas.microsoft.com/office/drawing/2014/chart" uri="{C3380CC4-5D6E-409C-BE32-E72D297353CC}">
              <c16:uniqueId val="{00000000-3F79-43E3-8531-A4D0151D2EBC}"/>
            </c:ext>
          </c:extLst>
        </c:ser>
        <c:ser>
          <c:idx val="1"/>
          <c:order val="1"/>
          <c:tx>
            <c:strRef>
              <c:f>'2026-Charter-Delete'!$C$1:$C$2</c:f>
              <c:strCache>
                <c:ptCount val="1"/>
                <c:pt idx="0">
                  <c:v>INN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'2026-Charter-Delete'!$A$3:$A$20</c:f>
              <c:multiLvlStrCache>
                <c:ptCount val="9"/>
                <c:lvl>
                  <c:pt idx="0">
                    <c:v>Spill Over</c:v>
                  </c:pt>
                  <c:pt idx="1">
                    <c:v>New</c:v>
                  </c:pt>
                  <c:pt idx="2">
                    <c:v>Spill Over</c:v>
                  </c:pt>
                  <c:pt idx="3">
                    <c:v>New</c:v>
                  </c:pt>
                  <c:pt idx="4">
                    <c:v>Spill Over</c:v>
                  </c:pt>
                  <c:pt idx="5">
                    <c:v>New</c:v>
                  </c:pt>
                  <c:pt idx="6">
                    <c:v>Spill Over</c:v>
                  </c:pt>
                  <c:pt idx="7">
                    <c:v>New</c:v>
                  </c:pt>
                  <c:pt idx="8">
                    <c:v>Spill Over</c:v>
                  </c:pt>
                </c:lvl>
                <c:lvl>
                  <c:pt idx="0">
                    <c:v>A</c:v>
                  </c:pt>
                  <c:pt idx="2">
                    <c:v>B</c:v>
                  </c:pt>
                  <c:pt idx="4">
                    <c:v>C</c:v>
                  </c:pt>
                  <c:pt idx="6">
                    <c:v>B</c:v>
                  </c:pt>
                  <c:pt idx="8">
                    <c:v>C</c:v>
                  </c:pt>
                </c:lvl>
                <c:lvl>
                  <c:pt idx="0">
                    <c:v>Marketing/Sales</c:v>
                  </c:pt>
                  <c:pt idx="6">
                    <c:v>PD</c:v>
                  </c:pt>
                  <c:pt idx="8">
                    <c:v>Central Procurement Group</c:v>
                  </c:pt>
                </c:lvl>
              </c:multiLvlStrCache>
            </c:multiLvlStrRef>
          </c:cat>
          <c:val>
            <c:numRef>
              <c:f>'2026-Charter-Delete'!$C$3:$C$20</c:f>
              <c:numCache>
                <c:formatCode>General</c:formatCode>
                <c:ptCount val="9"/>
                <c:pt idx="0">
                  <c:v>1</c:v>
                </c:pt>
                <c:pt idx="2">
                  <c:v>2</c:v>
                </c:pt>
              </c:numCache>
            </c:numRef>
          </c:val>
          <c:extLst>
            <c:ext xmlns:c16="http://schemas.microsoft.com/office/drawing/2014/chart" uri="{C3380CC4-5D6E-409C-BE32-E72D297353CC}">
              <c16:uniqueId val="{00000001-3F79-43E3-8531-A4D0151D2EBC}"/>
            </c:ext>
          </c:extLst>
        </c:ser>
        <c:ser>
          <c:idx val="2"/>
          <c:order val="2"/>
          <c:tx>
            <c:strRef>
              <c:f>'2026-Charter-Delete'!$D$1:$D$2</c:f>
              <c:strCache>
                <c:ptCount val="1"/>
                <c:pt idx="0">
                  <c:v>Multiplant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'2026-Charter-Delete'!$A$3:$A$20</c:f>
              <c:multiLvlStrCache>
                <c:ptCount val="9"/>
                <c:lvl>
                  <c:pt idx="0">
                    <c:v>Spill Over</c:v>
                  </c:pt>
                  <c:pt idx="1">
                    <c:v>New</c:v>
                  </c:pt>
                  <c:pt idx="2">
                    <c:v>Spill Over</c:v>
                  </c:pt>
                  <c:pt idx="3">
                    <c:v>New</c:v>
                  </c:pt>
                  <c:pt idx="4">
                    <c:v>Spill Over</c:v>
                  </c:pt>
                  <c:pt idx="5">
                    <c:v>New</c:v>
                  </c:pt>
                  <c:pt idx="6">
                    <c:v>Spill Over</c:v>
                  </c:pt>
                  <c:pt idx="7">
                    <c:v>New</c:v>
                  </c:pt>
                  <c:pt idx="8">
                    <c:v>Spill Over</c:v>
                  </c:pt>
                </c:lvl>
                <c:lvl>
                  <c:pt idx="0">
                    <c:v>A</c:v>
                  </c:pt>
                  <c:pt idx="2">
                    <c:v>B</c:v>
                  </c:pt>
                  <c:pt idx="4">
                    <c:v>C</c:v>
                  </c:pt>
                  <c:pt idx="6">
                    <c:v>B</c:v>
                  </c:pt>
                  <c:pt idx="8">
                    <c:v>C</c:v>
                  </c:pt>
                </c:lvl>
                <c:lvl>
                  <c:pt idx="0">
                    <c:v>Marketing/Sales</c:v>
                  </c:pt>
                  <c:pt idx="6">
                    <c:v>PD</c:v>
                  </c:pt>
                  <c:pt idx="8">
                    <c:v>Central Procurement Group</c:v>
                  </c:pt>
                </c:lvl>
              </c:multiLvlStrCache>
            </c:multiLvlStrRef>
          </c:cat>
          <c:val>
            <c:numRef>
              <c:f>'2026-Charter-Delete'!$D$3:$D$20</c:f>
              <c:numCache>
                <c:formatCode>General</c:formatCode>
                <c:ptCount val="9"/>
                <c:pt idx="2">
                  <c:v>1</c:v>
                </c:pt>
                <c:pt idx="8">
                  <c:v>10</c:v>
                </c:pt>
              </c:numCache>
            </c:numRef>
          </c:val>
          <c:extLst>
            <c:ext xmlns:c16="http://schemas.microsoft.com/office/drawing/2014/chart" uri="{C3380CC4-5D6E-409C-BE32-E72D297353CC}">
              <c16:uniqueId val="{00000002-3F79-43E3-8531-A4D0151D2EBC}"/>
            </c:ext>
          </c:extLst>
        </c:ser>
        <c:ser>
          <c:idx val="3"/>
          <c:order val="3"/>
          <c:tx>
            <c:strRef>
              <c:f>'2026-Charter-Delete'!$E$1:$E$2</c:f>
              <c:strCache>
                <c:ptCount val="1"/>
                <c:pt idx="0">
                  <c:v>SAF</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'2026-Charter-Delete'!$A$3:$A$20</c:f>
              <c:multiLvlStrCache>
                <c:ptCount val="9"/>
                <c:lvl>
                  <c:pt idx="0">
                    <c:v>Spill Over</c:v>
                  </c:pt>
                  <c:pt idx="1">
                    <c:v>New</c:v>
                  </c:pt>
                  <c:pt idx="2">
                    <c:v>Spill Over</c:v>
                  </c:pt>
                  <c:pt idx="3">
                    <c:v>New</c:v>
                  </c:pt>
                  <c:pt idx="4">
                    <c:v>Spill Over</c:v>
                  </c:pt>
                  <c:pt idx="5">
                    <c:v>New</c:v>
                  </c:pt>
                  <c:pt idx="6">
                    <c:v>Spill Over</c:v>
                  </c:pt>
                  <c:pt idx="7">
                    <c:v>New</c:v>
                  </c:pt>
                  <c:pt idx="8">
                    <c:v>Spill Over</c:v>
                  </c:pt>
                </c:lvl>
                <c:lvl>
                  <c:pt idx="0">
                    <c:v>A</c:v>
                  </c:pt>
                  <c:pt idx="2">
                    <c:v>B</c:v>
                  </c:pt>
                  <c:pt idx="4">
                    <c:v>C</c:v>
                  </c:pt>
                  <c:pt idx="6">
                    <c:v>B</c:v>
                  </c:pt>
                  <c:pt idx="8">
                    <c:v>C</c:v>
                  </c:pt>
                </c:lvl>
                <c:lvl>
                  <c:pt idx="0">
                    <c:v>Marketing/Sales</c:v>
                  </c:pt>
                  <c:pt idx="6">
                    <c:v>PD</c:v>
                  </c:pt>
                  <c:pt idx="8">
                    <c:v>Central Procurement Group</c:v>
                  </c:pt>
                </c:lvl>
              </c:multiLvlStrCache>
            </c:multiLvlStrRef>
          </c:cat>
          <c:val>
            <c:numRef>
              <c:f>'2026-Charter-Delete'!$E$3:$E$20</c:f>
              <c:numCache>
                <c:formatCode>General</c:formatCode>
                <c:ptCount val="9"/>
                <c:pt idx="1">
                  <c:v>1</c:v>
                </c:pt>
                <c:pt idx="3">
                  <c:v>2</c:v>
                </c:pt>
                <c:pt idx="4">
                  <c:v>1</c:v>
                </c:pt>
                <c:pt idx="5">
                  <c:v>5</c:v>
                </c:pt>
              </c:numCache>
            </c:numRef>
          </c:val>
          <c:extLst>
            <c:ext xmlns:c16="http://schemas.microsoft.com/office/drawing/2014/chart" uri="{C3380CC4-5D6E-409C-BE32-E72D297353CC}">
              <c16:uniqueId val="{00000003-3F79-43E3-8531-A4D0151D2EBC}"/>
            </c:ext>
          </c:extLst>
        </c:ser>
        <c:ser>
          <c:idx val="4"/>
          <c:order val="4"/>
          <c:tx>
            <c:strRef>
              <c:f>'2026-Charter-Delete'!$F$1:$F$2</c:f>
              <c:strCache>
                <c:ptCount val="1"/>
                <c:pt idx="0">
                  <c:v>Egypt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'2026-Charter-Delete'!$A$3:$A$20</c:f>
              <c:multiLvlStrCache>
                <c:ptCount val="9"/>
                <c:lvl>
                  <c:pt idx="0">
                    <c:v>Spill Over</c:v>
                  </c:pt>
                  <c:pt idx="1">
                    <c:v>New</c:v>
                  </c:pt>
                  <c:pt idx="2">
                    <c:v>Spill Over</c:v>
                  </c:pt>
                  <c:pt idx="3">
                    <c:v>New</c:v>
                  </c:pt>
                  <c:pt idx="4">
                    <c:v>Spill Over</c:v>
                  </c:pt>
                  <c:pt idx="5">
                    <c:v>New</c:v>
                  </c:pt>
                  <c:pt idx="6">
                    <c:v>Spill Over</c:v>
                  </c:pt>
                  <c:pt idx="7">
                    <c:v>New</c:v>
                  </c:pt>
                  <c:pt idx="8">
                    <c:v>Spill Over</c:v>
                  </c:pt>
                </c:lvl>
                <c:lvl>
                  <c:pt idx="0">
                    <c:v>A</c:v>
                  </c:pt>
                  <c:pt idx="2">
                    <c:v>B</c:v>
                  </c:pt>
                  <c:pt idx="4">
                    <c:v>C</c:v>
                  </c:pt>
                  <c:pt idx="6">
                    <c:v>B</c:v>
                  </c:pt>
                  <c:pt idx="8">
                    <c:v>C</c:v>
                  </c:pt>
                </c:lvl>
                <c:lvl>
                  <c:pt idx="0">
                    <c:v>Marketing/Sales</c:v>
                  </c:pt>
                  <c:pt idx="6">
                    <c:v>PD</c:v>
                  </c:pt>
                  <c:pt idx="8">
                    <c:v>Central Procurement Group</c:v>
                  </c:pt>
                </c:lvl>
              </c:multiLvlStrCache>
            </c:multiLvlStrRef>
          </c:cat>
          <c:val>
            <c:numRef>
              <c:f>'2026-Charter-Delete'!$F$3:$F$20</c:f>
              <c:numCache>
                <c:formatCode>General</c:formatCode>
                <c:ptCount val="9"/>
                <c:pt idx="2">
                  <c:v>2</c:v>
                </c:pt>
              </c:numCache>
            </c:numRef>
          </c:val>
          <c:extLst>
            <c:ext xmlns:c16="http://schemas.microsoft.com/office/drawing/2014/chart" uri="{C3380CC4-5D6E-409C-BE32-E72D297353CC}">
              <c16:uniqueId val="{00000006-3F79-43E3-8531-A4D0151D2EBC}"/>
            </c:ext>
          </c:extLst>
        </c:ser>
        <c:dLbls>
          <c:dLblPos val="outEnd"/>
          <c:showLegendKey val="0"/>
          <c:showVal val="1"/>
          <c:showCatName val="0"/>
          <c:showSerName val="0"/>
          <c:showPercent val="0"/>
          <c:showBubbleSize val="0"/>
        </c:dLbls>
        <c:gapWidth val="219"/>
        <c:overlap val="-27"/>
        <c:axId val="1478460560"/>
        <c:axId val="1478467760"/>
      </c:barChart>
      <c:catAx>
        <c:axId val="147846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Category/Requesting</a:t>
                </a:r>
                <a:r>
                  <a:rPr lang="en-IN" baseline="0"/>
                  <a:t> Department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467760"/>
        <c:crosses val="autoZero"/>
        <c:auto val="1"/>
        <c:lblAlgn val="ctr"/>
        <c:lblOffset val="100"/>
        <c:noMultiLvlLbl val="0"/>
      </c:catAx>
      <c:valAx>
        <c:axId val="147846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Projects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46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Pipeline.xlsx]2026-Charter-Delete!PivotTable2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'2026-Charter-Delete'!$B$26:$B$27</c:f>
              <c:strCache>
                <c:ptCount val="1"/>
                <c:pt idx="0">
                  <c:v>Egypt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'2026-Charter-Delete'!$A$28:$A$36</c:f>
              <c:multiLvlStrCache>
                <c:ptCount val="5"/>
                <c:lvl>
                  <c:pt idx="0">
                    <c:v>A</c:v>
                  </c:pt>
                  <c:pt idx="1">
                    <c:v>B</c:v>
                  </c:pt>
                  <c:pt idx="2">
                    <c:v>C</c:v>
                  </c:pt>
                  <c:pt idx="3">
                    <c:v>B</c:v>
                  </c:pt>
                  <c:pt idx="4">
                    <c:v>C</c:v>
                  </c:pt>
                </c:lvl>
                <c:lvl>
                  <c:pt idx="0">
                    <c:v>Marketing/Sales</c:v>
                  </c:pt>
                  <c:pt idx="3">
                    <c:v>PD</c:v>
                  </c:pt>
                  <c:pt idx="4">
                    <c:v>Central Procurement Group</c:v>
                  </c:pt>
                </c:lvl>
              </c:multiLvlStrCache>
            </c:multiLvlStrRef>
          </c:cat>
          <c:val>
            <c:numRef>
              <c:f>'2026-Charter-Delete'!$B$28:$B$36</c:f>
              <c:numCache>
                <c:formatCode>General</c:formatCode>
                <c:ptCount val="5"/>
                <c:pt idx="1">
                  <c:v>2</c:v>
                </c:pt>
              </c:numCache>
            </c:numRef>
          </c:val>
          <c:extLst>
            <c:ext xmlns:c16="http://schemas.microsoft.com/office/drawing/2014/chart" uri="{C3380CC4-5D6E-409C-BE32-E72D297353CC}">
              <c16:uniqueId val="{00000000-DDE9-46D7-98CF-D2EF19E4B595}"/>
            </c:ext>
          </c:extLst>
        </c:ser>
        <c:ser>
          <c:idx val="1"/>
          <c:order val="1"/>
          <c:tx>
            <c:strRef>
              <c:f>'2026-Charter-Delete'!$C$26:$C$27</c:f>
              <c:strCache>
                <c:ptCount val="1"/>
                <c:pt idx="0">
                  <c:v>IND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'2026-Charter-Delete'!$A$28:$A$36</c:f>
              <c:multiLvlStrCache>
                <c:ptCount val="5"/>
                <c:lvl>
                  <c:pt idx="0">
                    <c:v>A</c:v>
                  </c:pt>
                  <c:pt idx="1">
                    <c:v>B</c:v>
                  </c:pt>
                  <c:pt idx="2">
                    <c:v>C</c:v>
                  </c:pt>
                  <c:pt idx="3">
                    <c:v>B</c:v>
                  </c:pt>
                  <c:pt idx="4">
                    <c:v>C</c:v>
                  </c:pt>
                </c:lvl>
                <c:lvl>
                  <c:pt idx="0">
                    <c:v>Marketing/Sales</c:v>
                  </c:pt>
                  <c:pt idx="3">
                    <c:v>PD</c:v>
                  </c:pt>
                  <c:pt idx="4">
                    <c:v>Central Procurement Group</c:v>
                  </c:pt>
                </c:lvl>
              </c:multiLvlStrCache>
            </c:multiLvlStrRef>
          </c:cat>
          <c:val>
            <c:numRef>
              <c:f>'2026-Charter-Delete'!$C$28:$C$36</c:f>
              <c:numCache>
                <c:formatCode>General</c:formatCode>
                <c:ptCount val="5"/>
                <c:pt idx="0">
                  <c:v>3</c:v>
                </c:pt>
                <c:pt idx="1">
                  <c:v>25</c:v>
                </c:pt>
                <c:pt idx="3">
                  <c:v>4</c:v>
                </c:pt>
                <c:pt idx="4">
                  <c:v>1</c:v>
                </c:pt>
              </c:numCache>
            </c:numRef>
          </c:val>
          <c:extLst>
            <c:ext xmlns:c16="http://schemas.microsoft.com/office/drawing/2014/chart" uri="{C3380CC4-5D6E-409C-BE32-E72D297353CC}">
              <c16:uniqueId val="{00000001-DDE9-46D7-98CF-D2EF19E4B595}"/>
            </c:ext>
          </c:extLst>
        </c:ser>
        <c:ser>
          <c:idx val="2"/>
          <c:order val="2"/>
          <c:tx>
            <c:strRef>
              <c:f>'2026-Charter-Delete'!$D$26:$D$27</c:f>
              <c:strCache>
                <c:ptCount val="1"/>
                <c:pt idx="0">
                  <c:v>INN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'2026-Charter-Delete'!$A$28:$A$36</c:f>
              <c:multiLvlStrCache>
                <c:ptCount val="5"/>
                <c:lvl>
                  <c:pt idx="0">
                    <c:v>A</c:v>
                  </c:pt>
                  <c:pt idx="1">
                    <c:v>B</c:v>
                  </c:pt>
                  <c:pt idx="2">
                    <c:v>C</c:v>
                  </c:pt>
                  <c:pt idx="3">
                    <c:v>B</c:v>
                  </c:pt>
                  <c:pt idx="4">
                    <c:v>C</c:v>
                  </c:pt>
                </c:lvl>
                <c:lvl>
                  <c:pt idx="0">
                    <c:v>Marketing/Sales</c:v>
                  </c:pt>
                  <c:pt idx="3">
                    <c:v>PD</c:v>
                  </c:pt>
                  <c:pt idx="4">
                    <c:v>Central Procurement Group</c:v>
                  </c:pt>
                </c:lvl>
              </c:multiLvlStrCache>
            </c:multiLvlStrRef>
          </c:cat>
          <c:val>
            <c:numRef>
              <c:f>'2026-Charter-Delete'!$D$28:$D$36</c:f>
              <c:numCache>
                <c:formatCode>General</c:formatCode>
                <c:ptCount val="5"/>
                <c:pt idx="0">
                  <c:v>1</c:v>
                </c:pt>
                <c:pt idx="1">
                  <c:v>2</c:v>
                </c:pt>
              </c:numCache>
            </c:numRef>
          </c:val>
          <c:extLst>
            <c:ext xmlns:c16="http://schemas.microsoft.com/office/drawing/2014/chart" uri="{C3380CC4-5D6E-409C-BE32-E72D297353CC}">
              <c16:uniqueId val="{00000002-DDE9-46D7-98CF-D2EF19E4B595}"/>
            </c:ext>
          </c:extLst>
        </c:ser>
        <c:ser>
          <c:idx val="3"/>
          <c:order val="3"/>
          <c:tx>
            <c:strRef>
              <c:f>'2026-Charter-Delete'!$E$26:$E$27</c:f>
              <c:strCache>
                <c:ptCount val="1"/>
                <c:pt idx="0">
                  <c:v>Multiplant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'2026-Charter-Delete'!$A$28:$A$36</c:f>
              <c:multiLvlStrCache>
                <c:ptCount val="5"/>
                <c:lvl>
                  <c:pt idx="0">
                    <c:v>A</c:v>
                  </c:pt>
                  <c:pt idx="1">
                    <c:v>B</c:v>
                  </c:pt>
                  <c:pt idx="2">
                    <c:v>C</c:v>
                  </c:pt>
                  <c:pt idx="3">
                    <c:v>B</c:v>
                  </c:pt>
                  <c:pt idx="4">
                    <c:v>C</c:v>
                  </c:pt>
                </c:lvl>
                <c:lvl>
                  <c:pt idx="0">
                    <c:v>Marketing/Sales</c:v>
                  </c:pt>
                  <c:pt idx="3">
                    <c:v>PD</c:v>
                  </c:pt>
                  <c:pt idx="4">
                    <c:v>Central Procurement Group</c:v>
                  </c:pt>
                </c:lvl>
              </c:multiLvlStrCache>
            </c:multiLvlStrRef>
          </c:cat>
          <c:val>
            <c:numRef>
              <c:f>'2026-Charter-Delete'!$E$28:$E$36</c:f>
              <c:numCache>
                <c:formatCode>General</c:formatCode>
                <c:ptCount val="5"/>
                <c:pt idx="1">
                  <c:v>1</c:v>
                </c:pt>
                <c:pt idx="4">
                  <c:v>10</c:v>
                </c:pt>
              </c:numCache>
            </c:numRef>
          </c:val>
          <c:extLst>
            <c:ext xmlns:c16="http://schemas.microsoft.com/office/drawing/2014/chart" uri="{C3380CC4-5D6E-409C-BE32-E72D297353CC}">
              <c16:uniqueId val="{00000003-DDE9-46D7-98CF-D2EF19E4B595}"/>
            </c:ext>
          </c:extLst>
        </c:ser>
        <c:ser>
          <c:idx val="4"/>
          <c:order val="4"/>
          <c:tx>
            <c:strRef>
              <c:f>'2026-Charter-Delete'!$F$26:$F$27</c:f>
              <c:strCache>
                <c:ptCount val="1"/>
                <c:pt idx="0">
                  <c:v>SAF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'2026-Charter-Delete'!$A$28:$A$36</c:f>
              <c:multiLvlStrCache>
                <c:ptCount val="5"/>
                <c:lvl>
                  <c:pt idx="0">
                    <c:v>A</c:v>
                  </c:pt>
                  <c:pt idx="1">
                    <c:v>B</c:v>
                  </c:pt>
                  <c:pt idx="2">
                    <c:v>C</c:v>
                  </c:pt>
                  <c:pt idx="3">
                    <c:v>B</c:v>
                  </c:pt>
                  <c:pt idx="4">
                    <c:v>C</c:v>
                  </c:pt>
                </c:lvl>
                <c:lvl>
                  <c:pt idx="0">
                    <c:v>Marketing/Sales</c:v>
                  </c:pt>
                  <c:pt idx="3">
                    <c:v>PD</c:v>
                  </c:pt>
                  <c:pt idx="4">
                    <c:v>Central Procurement Group</c:v>
                  </c:pt>
                </c:lvl>
              </c:multiLvlStrCache>
            </c:multiLvlStrRef>
          </c:cat>
          <c:val>
            <c:numRef>
              <c:f>'2026-Charter-Delete'!$F$28:$F$36</c:f>
              <c:numCache>
                <c:formatCode>General</c:formatCode>
                <c:ptCount val="5"/>
                <c:pt idx="0">
                  <c:v>1</c:v>
                </c:pt>
                <c:pt idx="1">
                  <c:v>2</c:v>
                </c:pt>
                <c:pt idx="2">
                  <c:v>6</c:v>
                </c:pt>
              </c:numCache>
            </c:numRef>
          </c:val>
          <c:extLst>
            <c:ext xmlns:c16="http://schemas.microsoft.com/office/drawing/2014/chart" uri="{C3380CC4-5D6E-409C-BE32-E72D297353CC}">
              <c16:uniqueId val="{00000004-DDE9-46D7-98CF-D2EF19E4B595}"/>
            </c:ext>
          </c:extLst>
        </c:ser>
        <c:dLbls>
          <c:dLblPos val="outEnd"/>
          <c:showLegendKey val="0"/>
          <c:showVal val="1"/>
          <c:showCatName val="0"/>
          <c:showSerName val="0"/>
          <c:showPercent val="0"/>
          <c:showBubbleSize val="0"/>
        </c:dLbls>
        <c:gapWidth val="219"/>
        <c:overlap val="-27"/>
        <c:axId val="1748560704"/>
        <c:axId val="1748537664"/>
      </c:barChart>
      <c:catAx>
        <c:axId val="174856070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537664"/>
        <c:crosses val="autoZero"/>
        <c:auto val="1"/>
        <c:lblAlgn val="ctr"/>
        <c:lblOffset val="100"/>
        <c:noMultiLvlLbl val="0"/>
      </c:catAx>
      <c:valAx>
        <c:axId val="17485376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5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AS/AF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477690288714"/>
          <c:y val="9.8053224733189781E-2"/>
          <c:w val="0.74498005249343835"/>
          <c:h val="0.7515002180352085"/>
        </c:manualLayout>
      </c:layout>
      <c:barChart>
        <c:barDir val="col"/>
        <c:grouping val="stacked"/>
        <c:varyColors val="0"/>
        <c:ser>
          <c:idx val="0"/>
          <c:order val="0"/>
          <c:tx>
            <c:strRef>
              <c:f>'Data Backup-17-11-25'!$B$2</c:f>
              <c:strCache>
                <c:ptCount val="1"/>
                <c:pt idx="0">
                  <c:v>A</c:v>
                </c:pt>
              </c:strCache>
            </c:strRef>
          </c:tx>
          <c:spPr>
            <a:solidFill>
              <a:sysClr val="windowText" lastClr="000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Backup-17-11-25'!$C$1:$D$1</c:f>
              <c:numCache>
                <c:formatCode>General</c:formatCode>
                <c:ptCount val="2"/>
                <c:pt idx="0">
                  <c:v>2025</c:v>
                </c:pt>
                <c:pt idx="1">
                  <c:v>2026</c:v>
                </c:pt>
              </c:numCache>
            </c:numRef>
          </c:cat>
          <c:val>
            <c:numRef>
              <c:f>'Data Backup-17-11-25'!$C$2:$D$2</c:f>
              <c:numCache>
                <c:formatCode>General</c:formatCode>
                <c:ptCount val="2"/>
                <c:pt idx="0">
                  <c:v>8</c:v>
                </c:pt>
                <c:pt idx="1">
                  <c:v>5</c:v>
                </c:pt>
              </c:numCache>
            </c:numRef>
          </c:val>
          <c:extLst>
            <c:ext xmlns:c16="http://schemas.microsoft.com/office/drawing/2014/chart" uri="{C3380CC4-5D6E-409C-BE32-E72D297353CC}">
              <c16:uniqueId val="{00000000-36FE-4AD0-BC63-E3E9DE09A471}"/>
            </c:ext>
          </c:extLst>
        </c:ser>
        <c:ser>
          <c:idx val="1"/>
          <c:order val="1"/>
          <c:tx>
            <c:strRef>
              <c:f>'Data Backup-17-11-25'!$B$3</c:f>
              <c:strCache>
                <c:ptCount val="1"/>
                <c:pt idx="0">
                  <c:v>B</c:v>
                </c:pt>
              </c:strCache>
            </c:strRef>
          </c:tx>
          <c:spPr>
            <a:solidFill>
              <a:srgbClr val="8A00EE"/>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Backup-17-11-25'!$C$1:$D$1</c:f>
              <c:numCache>
                <c:formatCode>General</c:formatCode>
                <c:ptCount val="2"/>
                <c:pt idx="0">
                  <c:v>2025</c:v>
                </c:pt>
                <c:pt idx="1">
                  <c:v>2026</c:v>
                </c:pt>
              </c:numCache>
            </c:numRef>
          </c:cat>
          <c:val>
            <c:numRef>
              <c:f>'Data Backup-17-11-25'!$C$3:$D$3</c:f>
              <c:numCache>
                <c:formatCode>General</c:formatCode>
                <c:ptCount val="2"/>
                <c:pt idx="0">
                  <c:v>112</c:v>
                </c:pt>
                <c:pt idx="1">
                  <c:v>36</c:v>
                </c:pt>
              </c:numCache>
            </c:numRef>
          </c:val>
          <c:extLst>
            <c:ext xmlns:c16="http://schemas.microsoft.com/office/drawing/2014/chart" uri="{C3380CC4-5D6E-409C-BE32-E72D297353CC}">
              <c16:uniqueId val="{00000001-36FE-4AD0-BC63-E3E9DE09A471}"/>
            </c:ext>
          </c:extLst>
        </c:ser>
        <c:ser>
          <c:idx val="2"/>
          <c:order val="2"/>
          <c:tx>
            <c:strRef>
              <c:f>'Data Backup-17-11-25'!$B$4</c:f>
              <c:strCache>
                <c:ptCount val="1"/>
                <c:pt idx="0">
                  <c:v>C</c:v>
                </c:pt>
              </c:strCache>
            </c:strRef>
          </c:tx>
          <c:spPr>
            <a:solidFill>
              <a:srgbClr val="538ED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Backup-17-11-25'!$C$1:$D$1</c:f>
              <c:numCache>
                <c:formatCode>General</c:formatCode>
                <c:ptCount val="2"/>
                <c:pt idx="0">
                  <c:v>2025</c:v>
                </c:pt>
                <c:pt idx="1">
                  <c:v>2026</c:v>
                </c:pt>
              </c:numCache>
            </c:numRef>
          </c:cat>
          <c:val>
            <c:numRef>
              <c:f>'Data Backup-17-11-25'!$C$4:$D$4</c:f>
              <c:numCache>
                <c:formatCode>General</c:formatCode>
                <c:ptCount val="2"/>
                <c:pt idx="0">
                  <c:v>71</c:v>
                </c:pt>
                <c:pt idx="1">
                  <c:v>17</c:v>
                </c:pt>
              </c:numCache>
            </c:numRef>
          </c:val>
          <c:extLst>
            <c:ext xmlns:c16="http://schemas.microsoft.com/office/drawing/2014/chart" uri="{C3380CC4-5D6E-409C-BE32-E72D297353CC}">
              <c16:uniqueId val="{00000002-36FE-4AD0-BC63-E3E9DE09A471}"/>
            </c:ext>
          </c:extLst>
        </c:ser>
        <c:dLbls>
          <c:dLblPos val="ctr"/>
          <c:showLegendKey val="0"/>
          <c:showVal val="1"/>
          <c:showCatName val="0"/>
          <c:showSerName val="0"/>
          <c:showPercent val="0"/>
          <c:showBubbleSize val="0"/>
        </c:dLbls>
        <c:gapWidth val="150"/>
        <c:overlap val="100"/>
        <c:axId val="1672447296"/>
        <c:axId val="1672436736"/>
      </c:barChart>
      <c:catAx>
        <c:axId val="167244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672436736"/>
        <c:crosses val="autoZero"/>
        <c:auto val="1"/>
        <c:lblAlgn val="ctr"/>
        <c:lblOffset val="100"/>
        <c:noMultiLvlLbl val="0"/>
      </c:catAx>
      <c:valAx>
        <c:axId val="167243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 of Projects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150"/>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672447296"/>
        <c:crosses val="autoZero"/>
        <c:crossBetween val="between"/>
      </c:valAx>
      <c:spPr>
        <a:noFill/>
        <a:ln>
          <a:noFill/>
        </a:ln>
        <a:effectLst/>
      </c:spPr>
    </c:plotArea>
    <c:legend>
      <c:legendPos val="r"/>
      <c:layout>
        <c:manualLayout>
          <c:xMode val="edge"/>
          <c:yMode val="edge"/>
          <c:x val="0.82199072016934815"/>
          <c:y val="0.10597683796320885"/>
          <c:w val="7.1938582677165352E-2"/>
          <c:h val="0.16393247004775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b="1" u="sng"/>
              <a:t>AS/AF (191 Projects)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'Data Backup-17-11-25'!$H$2</c:f>
              <c:strCache>
                <c:ptCount val="1"/>
                <c:pt idx="0">
                  <c:v>ALL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Backup-17-11-25'!$I$1:$L$1</c15:sqref>
                  </c15:fullRef>
                </c:ext>
              </c:extLst>
              <c:f>'Data Backup-17-11-25'!$I$1:$K$1</c:f>
              <c:strCache>
                <c:ptCount val="3"/>
                <c:pt idx="0">
                  <c:v>A</c:v>
                </c:pt>
                <c:pt idx="1">
                  <c:v>B</c:v>
                </c:pt>
                <c:pt idx="2">
                  <c:v>C</c:v>
                </c:pt>
              </c:strCache>
            </c:strRef>
          </c:cat>
          <c:val>
            <c:numRef>
              <c:extLst>
                <c:ext xmlns:c15="http://schemas.microsoft.com/office/drawing/2012/chart" uri="{02D57815-91ED-43cb-92C2-25804820EDAC}">
                  <c15:fullRef>
                    <c15:sqref>'Data Backup-17-11-25'!$I$2:$L$2</c15:sqref>
                  </c15:fullRef>
                </c:ext>
              </c:extLst>
              <c:f>'Data Backup-17-11-25'!$I$2:$K$2</c:f>
              <c:numCache>
                <c:formatCode>General</c:formatCode>
                <c:ptCount val="3"/>
                <c:pt idx="0">
                  <c:v>4</c:v>
                </c:pt>
                <c:pt idx="1">
                  <c:v>56</c:v>
                </c:pt>
                <c:pt idx="2">
                  <c:v>60</c:v>
                </c:pt>
              </c:numCache>
            </c:numRef>
          </c:val>
          <c:extLst>
            <c:ext xmlns:c16="http://schemas.microsoft.com/office/drawing/2014/chart" uri="{C3380CC4-5D6E-409C-BE32-E72D297353CC}">
              <c16:uniqueId val="{00000000-4B3D-4313-A747-E14177DA8240}"/>
            </c:ext>
          </c:extLst>
        </c:ser>
        <c:ser>
          <c:idx val="1"/>
          <c:order val="1"/>
          <c:tx>
            <c:strRef>
              <c:f>'Data Backup-17-11-25'!$H$3</c:f>
              <c:strCache>
                <c:ptCount val="1"/>
                <c:pt idx="0">
                  <c:v>CC</c:v>
                </c:pt>
              </c:strCache>
            </c:strRef>
          </c:tx>
          <c:spPr>
            <a:solidFill>
              <a:schemeClr val="accent2"/>
            </a:solidFill>
            <a:ln>
              <a:noFill/>
            </a:ln>
            <a:effectLst/>
          </c:spPr>
          <c:invertIfNegative val="0"/>
          <c:dLbls>
            <c:dLbl>
              <c:idx val="0"/>
              <c:layout>
                <c:manualLayout>
                  <c:x val="-9.7301287102534301E-2"/>
                  <c:y val="-9.14182717051819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D-4313-A747-E14177DA8240}"/>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Backup-17-11-25'!$I$1:$L$1</c15:sqref>
                  </c15:fullRef>
                </c:ext>
              </c:extLst>
              <c:f>'Data Backup-17-11-25'!$I$1:$K$1</c:f>
              <c:strCache>
                <c:ptCount val="3"/>
                <c:pt idx="0">
                  <c:v>A</c:v>
                </c:pt>
                <c:pt idx="1">
                  <c:v>B</c:v>
                </c:pt>
                <c:pt idx="2">
                  <c:v>C</c:v>
                </c:pt>
              </c:strCache>
            </c:strRef>
          </c:cat>
          <c:val>
            <c:numRef>
              <c:extLst>
                <c:ext xmlns:c15="http://schemas.microsoft.com/office/drawing/2012/chart" uri="{02D57815-91ED-43cb-92C2-25804820EDAC}">
                  <c15:fullRef>
                    <c15:sqref>'Data Backup-17-11-25'!$I$3:$L$3</c15:sqref>
                  </c15:fullRef>
                </c:ext>
              </c:extLst>
              <c:f>'Data Backup-17-11-25'!$I$3:$K$3</c:f>
              <c:numCache>
                <c:formatCode>General</c:formatCode>
                <c:ptCount val="3"/>
                <c:pt idx="0">
                  <c:v>2</c:v>
                </c:pt>
                <c:pt idx="1">
                  <c:v>19</c:v>
                </c:pt>
                <c:pt idx="2">
                  <c:v>6</c:v>
                </c:pt>
              </c:numCache>
            </c:numRef>
          </c:val>
          <c:extLst>
            <c:ext xmlns:c16="http://schemas.microsoft.com/office/drawing/2014/chart" uri="{C3380CC4-5D6E-409C-BE32-E72D297353CC}">
              <c16:uniqueId val="{00000001-4B3D-4313-A747-E14177DA8240}"/>
            </c:ext>
          </c:extLst>
        </c:ser>
        <c:ser>
          <c:idx val="2"/>
          <c:order val="2"/>
          <c:tx>
            <c:strRef>
              <c:f>'Data Backup-17-11-25'!$H$4</c:f>
              <c:strCache>
                <c:ptCount val="1"/>
                <c:pt idx="0">
                  <c:v>KA</c:v>
                </c:pt>
              </c:strCache>
            </c:strRef>
          </c:tx>
          <c:spPr>
            <a:solidFill>
              <a:schemeClr val="accent3"/>
            </a:solidFill>
            <a:ln>
              <a:noFill/>
            </a:ln>
            <a:effectLst/>
          </c:spPr>
          <c:invertIfNegative val="0"/>
          <c:dLbls>
            <c:dLbl>
              <c:idx val="0"/>
              <c:layout>
                <c:manualLayout>
                  <c:x val="8.4879846195827682E-2"/>
                  <c:y val="2.285456792629527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D-4313-A747-E14177DA8240}"/>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Backup-17-11-25'!$I$1:$L$1</c15:sqref>
                  </c15:fullRef>
                </c:ext>
              </c:extLst>
              <c:f>'Data Backup-17-11-25'!$I$1:$K$1</c:f>
              <c:strCache>
                <c:ptCount val="3"/>
                <c:pt idx="0">
                  <c:v>A</c:v>
                </c:pt>
                <c:pt idx="1">
                  <c:v>B</c:v>
                </c:pt>
                <c:pt idx="2">
                  <c:v>C</c:v>
                </c:pt>
              </c:strCache>
            </c:strRef>
          </c:cat>
          <c:val>
            <c:numRef>
              <c:extLst>
                <c:ext xmlns:c15="http://schemas.microsoft.com/office/drawing/2012/chart" uri="{02D57815-91ED-43cb-92C2-25804820EDAC}">
                  <c15:fullRef>
                    <c15:sqref>'Data Backup-17-11-25'!$I$4:$L$4</c15:sqref>
                  </c15:fullRef>
                </c:ext>
              </c:extLst>
              <c:f>'Data Backup-17-11-25'!$I$4:$K$4</c:f>
              <c:numCache>
                <c:formatCode>General</c:formatCode>
                <c:ptCount val="3"/>
                <c:pt idx="0">
                  <c:v>1</c:v>
                </c:pt>
                <c:pt idx="1">
                  <c:v>22</c:v>
                </c:pt>
                <c:pt idx="2">
                  <c:v>4</c:v>
                </c:pt>
              </c:numCache>
            </c:numRef>
          </c:val>
          <c:extLst>
            <c:ext xmlns:c16="http://schemas.microsoft.com/office/drawing/2014/chart" uri="{C3380CC4-5D6E-409C-BE32-E72D297353CC}">
              <c16:uniqueId val="{00000002-4B3D-4313-A747-E14177DA8240}"/>
            </c:ext>
          </c:extLst>
        </c:ser>
        <c:ser>
          <c:idx val="3"/>
          <c:order val="3"/>
          <c:tx>
            <c:strRef>
              <c:f>'Data Backup-17-11-25'!$H$5</c:f>
              <c:strCache>
                <c:ptCount val="1"/>
                <c:pt idx="0">
                  <c:v>White</c:v>
                </c:pt>
              </c:strCache>
            </c:strRef>
          </c:tx>
          <c:spPr>
            <a:solidFill>
              <a:schemeClr val="accent4"/>
            </a:solidFill>
            <a:ln>
              <a:noFill/>
            </a:ln>
            <a:effectLst/>
          </c:spPr>
          <c:invertIfNegative val="0"/>
          <c:dLbls>
            <c:dLbl>
              <c:idx val="0"/>
              <c:layout>
                <c:manualLayout>
                  <c:x val="-1.4486204945091744E-2"/>
                  <c:y val="-5.5422605549788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D-4313-A747-E14177DA8240}"/>
                </c:ext>
              </c:extLst>
            </c:dLbl>
            <c:dLbl>
              <c:idx val="2"/>
              <c:layout>
                <c:manualLayout>
                  <c:x val="2.2772641662295253E-2"/>
                  <c:y val="-2.05691111336657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D-4313-A747-E14177DA8240}"/>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Backup-17-11-25'!$I$1:$L$1</c15:sqref>
                  </c15:fullRef>
                </c:ext>
              </c:extLst>
              <c:f>'Data Backup-17-11-25'!$I$1:$K$1</c:f>
              <c:strCache>
                <c:ptCount val="3"/>
                <c:pt idx="0">
                  <c:v>A</c:v>
                </c:pt>
                <c:pt idx="1">
                  <c:v>B</c:v>
                </c:pt>
                <c:pt idx="2">
                  <c:v>C</c:v>
                </c:pt>
              </c:strCache>
            </c:strRef>
          </c:cat>
          <c:val>
            <c:numRef>
              <c:extLst>
                <c:ext xmlns:c15="http://schemas.microsoft.com/office/drawing/2012/chart" uri="{02D57815-91ED-43cb-92C2-25804820EDAC}">
                  <c15:fullRef>
                    <c15:sqref>'Data Backup-17-11-25'!$I$5:$L$5</c15:sqref>
                  </c15:fullRef>
                </c:ext>
              </c:extLst>
              <c:f>'Data Backup-17-11-25'!$I$5:$K$5</c:f>
              <c:numCache>
                <c:formatCode>General</c:formatCode>
                <c:ptCount val="3"/>
                <c:pt idx="0">
                  <c:v>1</c:v>
                </c:pt>
                <c:pt idx="1">
                  <c:v>15</c:v>
                </c:pt>
                <c:pt idx="2">
                  <c:v>1</c:v>
                </c:pt>
              </c:numCache>
            </c:numRef>
          </c:val>
          <c:extLst>
            <c:ext xmlns:c16="http://schemas.microsoft.com/office/drawing/2014/chart" uri="{C3380CC4-5D6E-409C-BE32-E72D297353CC}">
              <c16:uniqueId val="{00000003-4B3D-4313-A747-E14177DA8240}"/>
            </c:ext>
          </c:extLst>
        </c:ser>
        <c:dLbls>
          <c:dLblPos val="ctr"/>
          <c:showLegendKey val="0"/>
          <c:showVal val="1"/>
          <c:showCatName val="0"/>
          <c:showSerName val="0"/>
          <c:showPercent val="0"/>
          <c:showBubbleSize val="0"/>
        </c:dLbls>
        <c:gapWidth val="150"/>
        <c:overlap val="100"/>
        <c:axId val="1646889024"/>
        <c:axId val="1646862624"/>
      </c:barChart>
      <c:catAx>
        <c:axId val="1646889024"/>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IN"/>
                  <a:t>Category of projects</a:t>
                </a:r>
              </a:p>
            </c:rich>
          </c:tx>
          <c:layout>
            <c:manualLayout>
              <c:xMode val="edge"/>
              <c:yMode val="edge"/>
              <c:x val="0.4147041047788031"/>
              <c:y val="0.9129684547400401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46862624"/>
        <c:crosses val="autoZero"/>
        <c:auto val="1"/>
        <c:lblAlgn val="ctr"/>
        <c:lblOffset val="100"/>
        <c:noMultiLvlLbl val="0"/>
      </c:catAx>
      <c:valAx>
        <c:axId val="164686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a:t>No. of Projects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46889024"/>
        <c:crosses val="autoZero"/>
        <c:crossBetween val="between"/>
      </c:valAx>
      <c:spPr>
        <a:noFill/>
        <a:ln>
          <a:noFill/>
        </a:ln>
        <a:effectLst/>
      </c:spPr>
    </c:plotArea>
    <c:legend>
      <c:legendPos val="b"/>
      <c:layout>
        <c:manualLayout>
          <c:xMode val="edge"/>
          <c:yMode val="edge"/>
          <c:x val="0.71287076575745023"/>
          <c:y val="0.12277361526576804"/>
          <c:w val="0.28712925363493291"/>
          <c:h val="4.691154647781919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Global Project Category per plant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'Pivot-Charter-obsolete'!$BU$4:$BU$5</c:f>
              <c:strCache>
                <c:ptCount val="1"/>
                <c:pt idx="0">
                  <c:v>ROM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'Pivot-Charter-obsolete'!$BU$6:$BU$13</c:f>
              <c:numCache>
                <c:formatCode>General</c:formatCode>
                <c:ptCount val="7"/>
                <c:pt idx="0">
                  <c:v>5</c:v>
                </c:pt>
                <c:pt idx="1">
                  <c:v>4</c:v>
                </c:pt>
                <c:pt idx="3">
                  <c:v>56</c:v>
                </c:pt>
                <c:pt idx="5">
                  <c:v>34</c:v>
                </c:pt>
              </c:numCache>
            </c:numRef>
          </c:val>
          <c:extLst>
            <c:ext xmlns:c16="http://schemas.microsoft.com/office/drawing/2014/chart" uri="{C3380CC4-5D6E-409C-BE32-E72D297353CC}">
              <c16:uniqueId val="{00000000-8F75-4F6F-88E4-E6B6EBC1628C}"/>
            </c:ext>
          </c:extLst>
        </c:ser>
        <c:ser>
          <c:idx val="1"/>
          <c:order val="1"/>
          <c:tx>
            <c:strRef>
              <c:f>'Pivot-Charter-obsolete'!$BV$4:$BV$5</c:f>
              <c:strCache>
                <c:ptCount val="1"/>
                <c:pt idx="0">
                  <c:v>IND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'Pivot-Charter-obsolete'!$BV$6:$BV$13</c:f>
              <c:numCache>
                <c:formatCode>General</c:formatCode>
                <c:ptCount val="7"/>
                <c:pt idx="0">
                  <c:v>4</c:v>
                </c:pt>
                <c:pt idx="3">
                  <c:v>64</c:v>
                </c:pt>
                <c:pt idx="5">
                  <c:v>41</c:v>
                </c:pt>
              </c:numCache>
            </c:numRef>
          </c:val>
          <c:extLst>
            <c:ext xmlns:c16="http://schemas.microsoft.com/office/drawing/2014/chart" uri="{C3380CC4-5D6E-409C-BE32-E72D297353CC}">
              <c16:uniqueId val="{00000001-8F75-4F6F-88E4-E6B6EBC1628C}"/>
            </c:ext>
          </c:extLst>
        </c:ser>
        <c:ser>
          <c:idx val="2"/>
          <c:order val="2"/>
          <c:tx>
            <c:strRef>
              <c:f>'Pivot-Charter-obsolete'!$BW$4:$BW$5</c:f>
              <c:strCache>
                <c:ptCount val="1"/>
                <c:pt idx="0">
                  <c:v>SAF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'Pivot-Charter-obsolete'!$BW$6:$BW$13</c:f>
              <c:numCache>
                <c:formatCode>General</c:formatCode>
                <c:ptCount val="7"/>
                <c:pt idx="0">
                  <c:v>2</c:v>
                </c:pt>
                <c:pt idx="1">
                  <c:v>1</c:v>
                </c:pt>
                <c:pt idx="3">
                  <c:v>10</c:v>
                </c:pt>
                <c:pt idx="5">
                  <c:v>9</c:v>
                </c:pt>
              </c:numCache>
            </c:numRef>
          </c:val>
          <c:extLst>
            <c:ext xmlns:c16="http://schemas.microsoft.com/office/drawing/2014/chart" uri="{C3380CC4-5D6E-409C-BE32-E72D297353CC}">
              <c16:uniqueId val="{00000002-8F75-4F6F-88E4-E6B6EBC1628C}"/>
            </c:ext>
          </c:extLst>
        </c:ser>
        <c:ser>
          <c:idx val="3"/>
          <c:order val="3"/>
          <c:tx>
            <c:strRef>
              <c:f>'Pivot-Charter-obsolete'!$BX$4:$BX$5</c:f>
              <c:strCache>
                <c:ptCount val="1"/>
                <c:pt idx="0">
                  <c:v>INN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'Pivot-Charter-obsolete'!$BX$6:$BX$13</c:f>
              <c:numCache>
                <c:formatCode>General</c:formatCode>
                <c:ptCount val="7"/>
                <c:pt idx="0">
                  <c:v>1</c:v>
                </c:pt>
                <c:pt idx="3">
                  <c:v>7</c:v>
                </c:pt>
              </c:numCache>
            </c:numRef>
          </c:val>
          <c:extLst>
            <c:ext xmlns:c16="http://schemas.microsoft.com/office/drawing/2014/chart" uri="{C3380CC4-5D6E-409C-BE32-E72D297353CC}">
              <c16:uniqueId val="{00000003-8F75-4F6F-88E4-E6B6EBC1628C}"/>
            </c:ext>
          </c:extLst>
        </c:ser>
        <c:ser>
          <c:idx val="4"/>
          <c:order val="4"/>
          <c:tx>
            <c:strRef>
              <c:f>'Pivot-Charter-obsolete'!$BY$4:$BY$5</c:f>
              <c:strCache>
                <c:ptCount val="1"/>
                <c:pt idx="0">
                  <c:v>Multiplant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'Pivot-Charter-obsolete'!$BY$6:$BY$13</c:f>
              <c:numCache>
                <c:formatCode>General</c:formatCode>
                <c:ptCount val="7"/>
                <c:pt idx="3">
                  <c:v>10</c:v>
                </c:pt>
                <c:pt idx="5">
                  <c:v>3</c:v>
                </c:pt>
              </c:numCache>
            </c:numRef>
          </c:val>
          <c:extLst>
            <c:ext xmlns:c16="http://schemas.microsoft.com/office/drawing/2014/chart" uri="{C3380CC4-5D6E-409C-BE32-E72D297353CC}">
              <c16:uniqueId val="{00000004-8F75-4F6F-88E4-E6B6EBC1628C}"/>
            </c:ext>
          </c:extLst>
        </c:ser>
        <c:ser>
          <c:idx val="5"/>
          <c:order val="5"/>
          <c:tx>
            <c:strRef>
              <c:f>'Pivot-Charter-obsolete'!$BZ$4:$BZ$5</c:f>
              <c:strCache>
                <c:ptCount val="1"/>
                <c:pt idx="0">
                  <c:v>OEM-HCK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'Pivot-Charter-obsolete'!$BZ$6:$BZ$13</c:f>
              <c:numCache>
                <c:formatCode>General</c:formatCode>
                <c:ptCount val="7"/>
                <c:pt idx="0">
                  <c:v>1</c:v>
                </c:pt>
                <c:pt idx="4">
                  <c:v>12</c:v>
                </c:pt>
              </c:numCache>
            </c:numRef>
          </c:val>
          <c:extLst>
            <c:ext xmlns:c16="http://schemas.microsoft.com/office/drawing/2014/chart" uri="{C3380CC4-5D6E-409C-BE32-E72D297353CC}">
              <c16:uniqueId val="{00000005-8F75-4F6F-88E4-E6B6EBC1628C}"/>
            </c:ext>
          </c:extLst>
        </c:ser>
        <c:ser>
          <c:idx val="6"/>
          <c:order val="6"/>
          <c:tx>
            <c:strRef>
              <c:f>'Pivot-Charter-obsolete'!$CA$4:$CA$5</c:f>
              <c:strCache>
                <c:ptCount val="1"/>
                <c:pt idx="0">
                  <c:v>OEM-Seitek</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'Pivot-Charter-obsolete'!$BT$6:$BT$13</c:f>
              <c:strCache>
                <c:ptCount val="7"/>
                <c:pt idx="0">
                  <c:v>A</c:v>
                </c:pt>
                <c:pt idx="1">
                  <c:v>A+</c:v>
                </c:pt>
                <c:pt idx="2">
                  <c:v>A-OEM</c:v>
                </c:pt>
                <c:pt idx="3">
                  <c:v>B</c:v>
                </c:pt>
                <c:pt idx="4">
                  <c:v>B-OEM</c:v>
                </c:pt>
                <c:pt idx="5">
                  <c:v>C</c:v>
                </c:pt>
                <c:pt idx="6">
                  <c:v>(blank)</c:v>
                </c:pt>
              </c:strCache>
            </c:strRef>
          </c:cat>
          <c:val>
            <c:numRef>
              <c:f>'Pivot-Charter-obsolete'!$CA$6:$CA$13</c:f>
              <c:numCache>
                <c:formatCode>General</c:formatCode>
                <c:ptCount val="7"/>
                <c:pt idx="2">
                  <c:v>3</c:v>
                </c:pt>
                <c:pt idx="4">
                  <c:v>11</c:v>
                </c:pt>
              </c:numCache>
            </c:numRef>
          </c:val>
          <c:extLst>
            <c:ext xmlns:c16="http://schemas.microsoft.com/office/drawing/2014/chart" uri="{C3380CC4-5D6E-409C-BE32-E72D297353CC}">
              <c16:uniqueId val="{00000006-8F75-4F6F-88E4-E6B6EBC1628C}"/>
            </c:ext>
          </c:extLst>
        </c:ser>
        <c:dLbls>
          <c:dLblPos val="outEnd"/>
          <c:showLegendKey val="0"/>
          <c:showVal val="1"/>
          <c:showCatName val="0"/>
          <c:showSerName val="0"/>
          <c:showPercent val="0"/>
          <c:showBubbleSize val="0"/>
        </c:dLbls>
        <c:gapWidth val="219"/>
        <c:overlap val="-27"/>
        <c:axId val="926109552"/>
        <c:axId val="926110512"/>
      </c:barChart>
      <c:catAx>
        <c:axId val="92610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10512"/>
        <c:crosses val="autoZero"/>
        <c:auto val="1"/>
        <c:lblAlgn val="ctr"/>
        <c:lblOffset val="100"/>
        <c:noMultiLvlLbl val="0"/>
      </c:catAx>
      <c:valAx>
        <c:axId val="92611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Projects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0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Pipeline.xlsx]Pivot-Charter-obsolete!Global - Total No. of Projects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effectLst/>
              </a:rPr>
              <a:t>Global - Total No. of Projects</a:t>
            </a:r>
            <a:r>
              <a:rPr lang="en-IN" sz="1400" b="0" i="0" u="sng" strike="noStrike" baseline="0"/>
              <a:t> </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'Pivot-Charter-obsolete'!$B$6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'Pivot-Charter-obsolete'!$A$7:$A$12</c:f>
              <c:strCache>
                <c:ptCount val="5"/>
                <c:pt idx="0">
                  <c:v>R&amp;D-Greece</c:v>
                </c:pt>
                <c:pt idx="1">
                  <c:v>PD-Romania</c:v>
                </c:pt>
                <c:pt idx="2">
                  <c:v>PD-India</c:v>
                </c:pt>
                <c:pt idx="3">
                  <c:v>OEM-HCK</c:v>
                </c:pt>
                <c:pt idx="4">
                  <c:v>OEM-SEITEK</c:v>
                </c:pt>
              </c:strCache>
            </c:strRef>
          </c:cat>
          <c:val>
            <c:numRef>
              <c:f>'Pivot-Charter-obsolete'!$B$7:$B$12</c:f>
              <c:numCache>
                <c:formatCode>General</c:formatCode>
                <c:ptCount val="5"/>
                <c:pt idx="0">
                  <c:v>16</c:v>
                </c:pt>
                <c:pt idx="1">
                  <c:v>91</c:v>
                </c:pt>
                <c:pt idx="2">
                  <c:v>149</c:v>
                </c:pt>
                <c:pt idx="3">
                  <c:v>12</c:v>
                </c:pt>
                <c:pt idx="4">
                  <c:v>14</c:v>
                </c:pt>
              </c:numCache>
            </c:numRef>
          </c:val>
          <c:extLst>
            <c:ext xmlns:c16="http://schemas.microsoft.com/office/drawing/2014/chart" uri="{C3380CC4-5D6E-409C-BE32-E72D297353CC}">
              <c16:uniqueId val="{00000000-4B39-4188-ABE3-B43D6518D647}"/>
            </c:ext>
          </c:extLst>
        </c:ser>
        <c:dLbls>
          <c:showLegendKey val="0"/>
          <c:showVal val="1"/>
          <c:showCatName val="0"/>
          <c:showSerName val="0"/>
          <c:showPercent val="0"/>
          <c:showBubbleSize val="0"/>
        </c:dLbls>
        <c:gapWidth val="219"/>
        <c:axId val="952976432"/>
        <c:axId val="952975472"/>
      </c:barChart>
      <c:catAx>
        <c:axId val="95297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75472"/>
        <c:crosses val="autoZero"/>
        <c:auto val="1"/>
        <c:lblAlgn val="ctr"/>
        <c:lblOffset val="100"/>
        <c:noMultiLvlLbl val="0"/>
      </c:catAx>
      <c:valAx>
        <c:axId val="95297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No.  Of   Projects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7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Global RPDO resources per project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'Pivot-Charter-obsolete'!$CG$4:$CG$5</c:f>
              <c:strCache>
                <c:ptCount val="1"/>
                <c:pt idx="0">
                  <c:v>R&amp;D-Greece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'Pivot-Charter-obsolete'!$CF$6:$CF$20</c:f>
              <c:strCache>
                <c:ptCount val="14"/>
                <c:pt idx="0">
                  <c:v>Antonis</c:v>
                </c:pt>
                <c:pt idx="1">
                  <c:v>Theoni</c:v>
                </c:pt>
                <c:pt idx="2">
                  <c:v>Vaggelis</c:v>
                </c:pt>
                <c:pt idx="3">
                  <c:v>Stef</c:v>
                </c:pt>
                <c:pt idx="4">
                  <c:v>Catalin</c:v>
                </c:pt>
                <c:pt idx="5">
                  <c:v>Adrian</c:v>
                </c:pt>
                <c:pt idx="6">
                  <c:v>Alin</c:v>
                </c:pt>
                <c:pt idx="7">
                  <c:v>Lokesh</c:v>
                </c:pt>
                <c:pt idx="8">
                  <c:v>Pawan</c:v>
                </c:pt>
                <c:pt idx="9">
                  <c:v>Rishi</c:v>
                </c:pt>
                <c:pt idx="10">
                  <c:v>Zakir</c:v>
                </c:pt>
                <c:pt idx="11">
                  <c:v>Ashwin</c:v>
                </c:pt>
                <c:pt idx="12">
                  <c:v>Nikhil</c:v>
                </c:pt>
                <c:pt idx="13">
                  <c:v>Sailesh</c:v>
                </c:pt>
              </c:strCache>
            </c:strRef>
          </c:cat>
          <c:val>
            <c:numRef>
              <c:f>'Pivot-Charter-obsolete'!$CG$6:$CG$20</c:f>
              <c:numCache>
                <c:formatCode>General</c:formatCode>
                <c:ptCount val="14"/>
                <c:pt idx="0">
                  <c:v>8</c:v>
                </c:pt>
                <c:pt idx="1">
                  <c:v>6</c:v>
                </c:pt>
                <c:pt idx="2">
                  <c:v>2</c:v>
                </c:pt>
              </c:numCache>
            </c:numRef>
          </c:val>
          <c:extLst>
            <c:ext xmlns:c16="http://schemas.microsoft.com/office/drawing/2014/chart" uri="{C3380CC4-5D6E-409C-BE32-E72D297353CC}">
              <c16:uniqueId val="{00000000-ECE9-48F6-84E1-5E4517DD66CA}"/>
            </c:ext>
          </c:extLst>
        </c:ser>
        <c:ser>
          <c:idx val="1"/>
          <c:order val="1"/>
          <c:tx>
            <c:strRef>
              <c:f>'Pivot-Charter-obsolete'!$CH$4:$CH$5</c:f>
              <c:strCache>
                <c:ptCount val="1"/>
                <c:pt idx="0">
                  <c:v>PD-Romania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'Pivot-Charter-obsolete'!$CF$6:$CF$20</c:f>
              <c:strCache>
                <c:ptCount val="14"/>
                <c:pt idx="0">
                  <c:v>Antonis</c:v>
                </c:pt>
                <c:pt idx="1">
                  <c:v>Theoni</c:v>
                </c:pt>
                <c:pt idx="2">
                  <c:v>Vaggelis</c:v>
                </c:pt>
                <c:pt idx="3">
                  <c:v>Stef</c:v>
                </c:pt>
                <c:pt idx="4">
                  <c:v>Catalin</c:v>
                </c:pt>
                <c:pt idx="5">
                  <c:v>Adrian</c:v>
                </c:pt>
                <c:pt idx="6">
                  <c:v>Alin</c:v>
                </c:pt>
                <c:pt idx="7">
                  <c:v>Lokesh</c:v>
                </c:pt>
                <c:pt idx="8">
                  <c:v>Pawan</c:v>
                </c:pt>
                <c:pt idx="9">
                  <c:v>Rishi</c:v>
                </c:pt>
                <c:pt idx="10">
                  <c:v>Zakir</c:v>
                </c:pt>
                <c:pt idx="11">
                  <c:v>Ashwin</c:v>
                </c:pt>
                <c:pt idx="12">
                  <c:v>Nikhil</c:v>
                </c:pt>
                <c:pt idx="13">
                  <c:v>Sailesh</c:v>
                </c:pt>
              </c:strCache>
            </c:strRef>
          </c:cat>
          <c:val>
            <c:numRef>
              <c:f>'Pivot-Charter-obsolete'!$CH$6:$CH$20</c:f>
              <c:numCache>
                <c:formatCode>General</c:formatCode>
                <c:ptCount val="14"/>
                <c:pt idx="3">
                  <c:v>21</c:v>
                </c:pt>
                <c:pt idx="4">
                  <c:v>2</c:v>
                </c:pt>
                <c:pt idx="5">
                  <c:v>26</c:v>
                </c:pt>
                <c:pt idx="6">
                  <c:v>12</c:v>
                </c:pt>
              </c:numCache>
            </c:numRef>
          </c:val>
          <c:extLst>
            <c:ext xmlns:c16="http://schemas.microsoft.com/office/drawing/2014/chart" uri="{C3380CC4-5D6E-409C-BE32-E72D297353CC}">
              <c16:uniqueId val="{00000001-ECE9-48F6-84E1-5E4517DD66CA}"/>
            </c:ext>
          </c:extLst>
        </c:ser>
        <c:ser>
          <c:idx val="2"/>
          <c:order val="2"/>
          <c:tx>
            <c:strRef>
              <c:f>'Pivot-Charter-obsolete'!$CI$4:$CI$5</c:f>
              <c:strCache>
                <c:ptCount val="1"/>
                <c:pt idx="0">
                  <c:v>PD-India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'Pivot-Charter-obsolete'!$CF$6:$CF$20</c:f>
              <c:strCache>
                <c:ptCount val="14"/>
                <c:pt idx="0">
                  <c:v>Antonis</c:v>
                </c:pt>
                <c:pt idx="1">
                  <c:v>Theoni</c:v>
                </c:pt>
                <c:pt idx="2">
                  <c:v>Vaggelis</c:v>
                </c:pt>
                <c:pt idx="3">
                  <c:v>Stef</c:v>
                </c:pt>
                <c:pt idx="4">
                  <c:v>Catalin</c:v>
                </c:pt>
                <c:pt idx="5">
                  <c:v>Adrian</c:v>
                </c:pt>
                <c:pt idx="6">
                  <c:v>Alin</c:v>
                </c:pt>
                <c:pt idx="7">
                  <c:v>Lokesh</c:v>
                </c:pt>
                <c:pt idx="8">
                  <c:v>Pawan</c:v>
                </c:pt>
                <c:pt idx="9">
                  <c:v>Rishi</c:v>
                </c:pt>
                <c:pt idx="10">
                  <c:v>Zakir</c:v>
                </c:pt>
                <c:pt idx="11">
                  <c:v>Ashwin</c:v>
                </c:pt>
                <c:pt idx="12">
                  <c:v>Nikhil</c:v>
                </c:pt>
                <c:pt idx="13">
                  <c:v>Sailesh</c:v>
                </c:pt>
              </c:strCache>
            </c:strRef>
          </c:cat>
          <c:val>
            <c:numRef>
              <c:f>'Pivot-Charter-obsolete'!$CI$6:$CI$20</c:f>
              <c:numCache>
                <c:formatCode>General</c:formatCode>
                <c:ptCount val="14"/>
                <c:pt idx="7">
                  <c:v>31</c:v>
                </c:pt>
                <c:pt idx="8">
                  <c:v>20</c:v>
                </c:pt>
                <c:pt idx="9">
                  <c:v>22</c:v>
                </c:pt>
                <c:pt idx="10">
                  <c:v>15</c:v>
                </c:pt>
                <c:pt idx="11">
                  <c:v>15</c:v>
                </c:pt>
                <c:pt idx="12">
                  <c:v>14</c:v>
                </c:pt>
                <c:pt idx="13">
                  <c:v>2</c:v>
                </c:pt>
              </c:numCache>
            </c:numRef>
          </c:val>
          <c:extLst>
            <c:ext xmlns:c16="http://schemas.microsoft.com/office/drawing/2014/chart" uri="{C3380CC4-5D6E-409C-BE32-E72D297353CC}">
              <c16:uniqueId val="{00000002-ECE9-48F6-84E1-5E4517DD66CA}"/>
            </c:ext>
          </c:extLst>
        </c:ser>
        <c:ser>
          <c:idx val="3"/>
          <c:order val="3"/>
          <c:tx>
            <c:strRef>
              <c:f>'Pivot-Charter-obsolete'!$CJ$4:$CJ$5</c:f>
              <c:strCache>
                <c:ptCount val="1"/>
                <c:pt idx="0">
                  <c:v>OEM-HCK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'Pivot-Charter-obsolete'!$CF$6:$CF$20</c:f>
              <c:strCache>
                <c:ptCount val="14"/>
                <c:pt idx="0">
                  <c:v>Antonis</c:v>
                </c:pt>
                <c:pt idx="1">
                  <c:v>Theoni</c:v>
                </c:pt>
                <c:pt idx="2">
                  <c:v>Vaggelis</c:v>
                </c:pt>
                <c:pt idx="3">
                  <c:v>Stef</c:v>
                </c:pt>
                <c:pt idx="4">
                  <c:v>Catalin</c:v>
                </c:pt>
                <c:pt idx="5">
                  <c:v>Adrian</c:v>
                </c:pt>
                <c:pt idx="6">
                  <c:v>Alin</c:v>
                </c:pt>
                <c:pt idx="7">
                  <c:v>Lokesh</c:v>
                </c:pt>
                <c:pt idx="8">
                  <c:v>Pawan</c:v>
                </c:pt>
                <c:pt idx="9">
                  <c:v>Rishi</c:v>
                </c:pt>
                <c:pt idx="10">
                  <c:v>Zakir</c:v>
                </c:pt>
                <c:pt idx="11">
                  <c:v>Ashwin</c:v>
                </c:pt>
                <c:pt idx="12">
                  <c:v>Nikhil</c:v>
                </c:pt>
                <c:pt idx="13">
                  <c:v>Sailesh</c:v>
                </c:pt>
              </c:strCache>
            </c:strRef>
          </c:cat>
          <c:val>
            <c:numRef>
              <c:f>'Pivot-Charter-obsolete'!$CJ$6:$CJ$20</c:f>
              <c:numCache>
                <c:formatCode>General</c:formatCode>
                <c:ptCount val="14"/>
                <c:pt idx="1">
                  <c:v>12</c:v>
                </c:pt>
              </c:numCache>
            </c:numRef>
          </c:val>
          <c:extLst>
            <c:ext xmlns:c16="http://schemas.microsoft.com/office/drawing/2014/chart" uri="{C3380CC4-5D6E-409C-BE32-E72D297353CC}">
              <c16:uniqueId val="{00000003-ECE9-48F6-84E1-5E4517DD66CA}"/>
            </c:ext>
          </c:extLst>
        </c:ser>
        <c:ser>
          <c:idx val="4"/>
          <c:order val="4"/>
          <c:tx>
            <c:strRef>
              <c:f>'Pivot-Charter-obsolete'!$CK$4:$CK$5</c:f>
              <c:strCache>
                <c:ptCount val="1"/>
                <c:pt idx="0">
                  <c:v>OEM-SEITEK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'Pivot-Charter-obsolete'!$CF$6:$CF$20</c:f>
              <c:strCache>
                <c:ptCount val="14"/>
                <c:pt idx="0">
                  <c:v>Antonis</c:v>
                </c:pt>
                <c:pt idx="1">
                  <c:v>Theoni</c:v>
                </c:pt>
                <c:pt idx="2">
                  <c:v>Vaggelis</c:v>
                </c:pt>
                <c:pt idx="3">
                  <c:v>Stef</c:v>
                </c:pt>
                <c:pt idx="4">
                  <c:v>Catalin</c:v>
                </c:pt>
                <c:pt idx="5">
                  <c:v>Adrian</c:v>
                </c:pt>
                <c:pt idx="6">
                  <c:v>Alin</c:v>
                </c:pt>
                <c:pt idx="7">
                  <c:v>Lokesh</c:v>
                </c:pt>
                <c:pt idx="8">
                  <c:v>Pawan</c:v>
                </c:pt>
                <c:pt idx="9">
                  <c:v>Rishi</c:v>
                </c:pt>
                <c:pt idx="10">
                  <c:v>Zakir</c:v>
                </c:pt>
                <c:pt idx="11">
                  <c:v>Ashwin</c:v>
                </c:pt>
                <c:pt idx="12">
                  <c:v>Nikhil</c:v>
                </c:pt>
                <c:pt idx="13">
                  <c:v>Sailesh</c:v>
                </c:pt>
              </c:strCache>
            </c:strRef>
          </c:cat>
          <c:val>
            <c:numRef>
              <c:f>'Pivot-Charter-obsolete'!$CK$6:$CK$20</c:f>
              <c:numCache>
                <c:formatCode>General</c:formatCode>
                <c:ptCount val="14"/>
                <c:pt idx="1">
                  <c:v>14</c:v>
                </c:pt>
              </c:numCache>
            </c:numRef>
          </c:val>
          <c:extLst>
            <c:ext xmlns:c16="http://schemas.microsoft.com/office/drawing/2014/chart" uri="{C3380CC4-5D6E-409C-BE32-E72D297353CC}">
              <c16:uniqueId val="{00000004-ECE9-48F6-84E1-5E4517DD66CA}"/>
            </c:ext>
          </c:extLst>
        </c:ser>
        <c:dLbls>
          <c:showLegendKey val="0"/>
          <c:showVal val="1"/>
          <c:showCatName val="0"/>
          <c:showSerName val="0"/>
          <c:showPercent val="0"/>
          <c:showBubbleSize val="0"/>
        </c:dLbls>
        <c:gapWidth val="219"/>
        <c:overlap val="100"/>
        <c:axId val="920531984"/>
        <c:axId val="920529104"/>
      </c:barChart>
      <c:catAx>
        <c:axId val="92053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29104"/>
        <c:crosses val="autoZero"/>
        <c:auto val="1"/>
        <c:lblAlgn val="ctr"/>
        <c:lblOffset val="100"/>
        <c:noMultiLvlLbl val="0"/>
      </c:catAx>
      <c:valAx>
        <c:axId val="92052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No. of projects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3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5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2025-26</a:t>
            </a:r>
            <a:r>
              <a:rPr lang="en-IN" b="1" u="sng" baseline="0"/>
              <a:t> Pipeline and Project Status</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'Pivot-Charter-obsolete'!$AF$6:$AF$7</c:f>
              <c:strCache>
                <c:ptCount val="1"/>
                <c:pt idx="0">
                  <c:v>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'Pivot-Charter-obsolete'!$AE$8:$AE$13</c:f>
              <c:strCache>
                <c:ptCount val="5"/>
                <c:pt idx="0">
                  <c:v>ROM</c:v>
                </c:pt>
                <c:pt idx="1">
                  <c:v>IND</c:v>
                </c:pt>
                <c:pt idx="2">
                  <c:v>INN</c:v>
                </c:pt>
                <c:pt idx="3">
                  <c:v>SAF</c:v>
                </c:pt>
                <c:pt idx="4">
                  <c:v>Multiplant</c:v>
                </c:pt>
              </c:strCache>
            </c:strRef>
          </c:cat>
          <c:val>
            <c:numRef>
              <c:f>'Pivot-Charter-obsolete'!$AF$8:$AF$13</c:f>
              <c:numCache>
                <c:formatCode>General</c:formatCode>
                <c:ptCount val="5"/>
                <c:pt idx="0">
                  <c:v>62</c:v>
                </c:pt>
                <c:pt idx="1">
                  <c:v>49</c:v>
                </c:pt>
                <c:pt idx="2">
                  <c:v>4</c:v>
                </c:pt>
                <c:pt idx="3">
                  <c:v>13</c:v>
                </c:pt>
                <c:pt idx="4">
                  <c:v>9</c:v>
                </c:pt>
              </c:numCache>
            </c:numRef>
          </c:val>
          <c:extLst>
            <c:ext xmlns:c16="http://schemas.microsoft.com/office/drawing/2014/chart" uri="{C3380CC4-5D6E-409C-BE32-E72D297353CC}">
              <c16:uniqueId val="{00000000-96D6-4778-A4BC-D0E0C8FE555A}"/>
            </c:ext>
          </c:extLst>
        </c:ser>
        <c:ser>
          <c:idx val="1"/>
          <c:order val="1"/>
          <c:tx>
            <c:strRef>
              <c:f>'Pivot-Charter-obsolete'!$AG$6:$AG$7</c:f>
              <c:strCache>
                <c:ptCount val="1"/>
                <c:pt idx="0">
                  <c:v>BC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'Pivot-Charter-obsolete'!$AE$8:$AE$13</c:f>
              <c:strCache>
                <c:ptCount val="5"/>
                <c:pt idx="0">
                  <c:v>ROM</c:v>
                </c:pt>
                <c:pt idx="1">
                  <c:v>IND</c:v>
                </c:pt>
                <c:pt idx="2">
                  <c:v>INN</c:v>
                </c:pt>
                <c:pt idx="3">
                  <c:v>SAF</c:v>
                </c:pt>
                <c:pt idx="4">
                  <c:v>Multiplant</c:v>
                </c:pt>
              </c:strCache>
            </c:strRef>
          </c:cat>
          <c:val>
            <c:numRef>
              <c:f>'Pivot-Charter-obsolete'!$AG$8:$AG$13</c:f>
              <c:numCache>
                <c:formatCode>General</c:formatCode>
                <c:ptCount val="5"/>
                <c:pt idx="1">
                  <c:v>21</c:v>
                </c:pt>
              </c:numCache>
            </c:numRef>
          </c:val>
          <c:extLst>
            <c:ext xmlns:c16="http://schemas.microsoft.com/office/drawing/2014/chart" uri="{C3380CC4-5D6E-409C-BE32-E72D297353CC}">
              <c16:uniqueId val="{00000001-96D6-4778-A4BC-D0E0C8FE555A}"/>
            </c:ext>
          </c:extLst>
        </c:ser>
        <c:ser>
          <c:idx val="2"/>
          <c:order val="2"/>
          <c:tx>
            <c:strRef>
              <c:f>'Pivot-Charter-obsolete'!$AH$6:$AH$7</c:f>
              <c:strCache>
                <c:ptCount val="1"/>
                <c:pt idx="0">
                  <c:v>NM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'Pivot-Charter-obsolete'!$AE$8:$AE$13</c:f>
              <c:strCache>
                <c:ptCount val="5"/>
                <c:pt idx="0">
                  <c:v>ROM</c:v>
                </c:pt>
                <c:pt idx="1">
                  <c:v>IND</c:v>
                </c:pt>
                <c:pt idx="2">
                  <c:v>INN</c:v>
                </c:pt>
                <c:pt idx="3">
                  <c:v>SAF</c:v>
                </c:pt>
                <c:pt idx="4">
                  <c:v>Multiplant</c:v>
                </c:pt>
              </c:strCache>
            </c:strRef>
          </c:cat>
          <c:val>
            <c:numRef>
              <c:f>'Pivot-Charter-obsolete'!$AH$8:$AH$13</c:f>
              <c:numCache>
                <c:formatCode>General</c:formatCode>
                <c:ptCount val="5"/>
                <c:pt idx="0">
                  <c:v>16</c:v>
                </c:pt>
                <c:pt idx="1">
                  <c:v>9</c:v>
                </c:pt>
                <c:pt idx="2">
                  <c:v>2</c:v>
                </c:pt>
                <c:pt idx="3">
                  <c:v>3</c:v>
                </c:pt>
              </c:numCache>
            </c:numRef>
          </c:val>
          <c:extLst>
            <c:ext xmlns:c16="http://schemas.microsoft.com/office/drawing/2014/chart" uri="{C3380CC4-5D6E-409C-BE32-E72D297353CC}">
              <c16:uniqueId val="{00000002-96D6-4778-A4BC-D0E0C8FE555A}"/>
            </c:ext>
          </c:extLst>
        </c:ser>
        <c:ser>
          <c:idx val="3"/>
          <c:order val="3"/>
          <c:tx>
            <c:strRef>
              <c:f>'Pivot-Charter-obsolete'!$AI$6:$AI$7</c:f>
              <c:strCache>
                <c:ptCount val="1"/>
                <c:pt idx="0">
                  <c:v>IMP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'Pivot-Charter-obsolete'!$AE$8:$AE$13</c:f>
              <c:strCache>
                <c:ptCount val="5"/>
                <c:pt idx="0">
                  <c:v>ROM</c:v>
                </c:pt>
                <c:pt idx="1">
                  <c:v>IND</c:v>
                </c:pt>
                <c:pt idx="2">
                  <c:v>INN</c:v>
                </c:pt>
                <c:pt idx="3">
                  <c:v>SAF</c:v>
                </c:pt>
                <c:pt idx="4">
                  <c:v>Multiplant</c:v>
                </c:pt>
              </c:strCache>
            </c:strRef>
          </c:cat>
          <c:val>
            <c:numRef>
              <c:f>'Pivot-Charter-obsolete'!$AI$8:$AI$13</c:f>
              <c:numCache>
                <c:formatCode>General</c:formatCode>
                <c:ptCount val="5"/>
                <c:pt idx="0">
                  <c:v>2</c:v>
                </c:pt>
                <c:pt idx="1">
                  <c:v>14</c:v>
                </c:pt>
                <c:pt idx="2">
                  <c:v>2</c:v>
                </c:pt>
                <c:pt idx="3">
                  <c:v>5</c:v>
                </c:pt>
                <c:pt idx="4">
                  <c:v>4</c:v>
                </c:pt>
              </c:numCache>
            </c:numRef>
          </c:val>
          <c:extLst>
            <c:ext xmlns:c16="http://schemas.microsoft.com/office/drawing/2014/chart" uri="{C3380CC4-5D6E-409C-BE32-E72D297353CC}">
              <c16:uniqueId val="{00000003-96D6-4778-A4BC-D0E0C8FE555A}"/>
            </c:ext>
          </c:extLst>
        </c:ser>
        <c:ser>
          <c:idx val="4"/>
          <c:order val="4"/>
          <c:tx>
            <c:strRef>
              <c:f>'Pivot-Charter-obsolete'!$AJ$6:$AJ$7</c:f>
              <c:strCache>
                <c:ptCount val="1"/>
                <c:pt idx="0">
                  <c:v>NO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'Pivot-Charter-obsolete'!$AE$8:$AE$13</c:f>
              <c:strCache>
                <c:ptCount val="5"/>
                <c:pt idx="0">
                  <c:v>ROM</c:v>
                </c:pt>
                <c:pt idx="1">
                  <c:v>IND</c:v>
                </c:pt>
                <c:pt idx="2">
                  <c:v>INN</c:v>
                </c:pt>
                <c:pt idx="3">
                  <c:v>SAF</c:v>
                </c:pt>
                <c:pt idx="4">
                  <c:v>Multiplant</c:v>
                </c:pt>
              </c:strCache>
            </c:strRef>
          </c:cat>
          <c:val>
            <c:numRef>
              <c:f>'Pivot-Charter-obsolete'!$AJ$8:$AJ$13</c:f>
              <c:numCache>
                <c:formatCode>General</c:formatCode>
                <c:ptCount val="5"/>
                <c:pt idx="0">
                  <c:v>20</c:v>
                </c:pt>
                <c:pt idx="1">
                  <c:v>16</c:v>
                </c:pt>
                <c:pt idx="3">
                  <c:v>1</c:v>
                </c:pt>
              </c:numCache>
            </c:numRef>
          </c:val>
          <c:extLst>
            <c:ext xmlns:c16="http://schemas.microsoft.com/office/drawing/2014/chart" uri="{C3380CC4-5D6E-409C-BE32-E72D297353CC}">
              <c16:uniqueId val="{00000004-96D6-4778-A4BC-D0E0C8FE555A}"/>
            </c:ext>
          </c:extLst>
        </c:ser>
        <c:ser>
          <c:idx val="5"/>
          <c:order val="5"/>
          <c:tx>
            <c:strRef>
              <c:f>'Pivot-Charter-obsolete'!$AK$6:$AK$7</c:f>
              <c:strCache>
                <c:ptCount val="1"/>
                <c:pt idx="0">
                  <c:v>SER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'Pivot-Charter-obsolete'!$AE$8:$AE$13</c:f>
              <c:strCache>
                <c:ptCount val="5"/>
                <c:pt idx="0">
                  <c:v>ROM</c:v>
                </c:pt>
                <c:pt idx="1">
                  <c:v>IND</c:v>
                </c:pt>
                <c:pt idx="2">
                  <c:v>INN</c:v>
                </c:pt>
                <c:pt idx="3">
                  <c:v>SAF</c:v>
                </c:pt>
                <c:pt idx="4">
                  <c:v>Multiplant</c:v>
                </c:pt>
              </c:strCache>
            </c:strRef>
          </c:cat>
          <c:val>
            <c:numRef>
              <c:f>'Pivot-Charter-obsolete'!$AK$8:$AK$13</c:f>
              <c:numCache>
                <c:formatCode>General</c:formatCode>
                <c:ptCount val="5"/>
                <c:pt idx="0">
                  <c:v>3</c:v>
                </c:pt>
              </c:numCache>
            </c:numRef>
          </c:val>
          <c:extLst>
            <c:ext xmlns:c16="http://schemas.microsoft.com/office/drawing/2014/chart" uri="{C3380CC4-5D6E-409C-BE32-E72D297353CC}">
              <c16:uniqueId val="{00000006-96D6-4778-A4BC-D0E0C8FE555A}"/>
            </c:ext>
          </c:extLst>
        </c:ser>
        <c:dLbls>
          <c:dLblPos val="outEnd"/>
          <c:showLegendKey val="0"/>
          <c:showVal val="1"/>
          <c:showCatName val="0"/>
          <c:showSerName val="0"/>
          <c:showPercent val="0"/>
          <c:showBubbleSize val="0"/>
        </c:dLbls>
        <c:gapWidth val="219"/>
        <c:overlap val="-27"/>
        <c:axId val="1729419296"/>
        <c:axId val="1729418336"/>
      </c:barChart>
      <c:catAx>
        <c:axId val="172941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Project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18336"/>
        <c:crosses val="autoZero"/>
        <c:auto val="1"/>
        <c:lblAlgn val="ctr"/>
        <c:lblOffset val="100"/>
        <c:noMultiLvlLbl val="0"/>
      </c:catAx>
      <c:valAx>
        <c:axId val="172941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projects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RM Saving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'Pivot-Charter-obsolete'!$AS$5:$AS$6</c:f>
              <c:strCache>
                <c:ptCount val="1"/>
                <c:pt idx="0">
                  <c:v>ROM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'Pivot-Charter-obsolete'!$AR$7:$AR$33</c:f>
              <c:multiLvlStrCache>
                <c:ptCount val="20"/>
                <c:lvl>
                  <c:pt idx="0">
                    <c:v>Cooling Components</c:v>
                  </c:pt>
                  <c:pt idx="1">
                    <c:v>Electrical Components</c:v>
                  </c:pt>
                  <c:pt idx="2">
                    <c:v>Plastics</c:v>
                  </c:pt>
                  <c:pt idx="3">
                    <c:v>Steel &amp; Parts</c:v>
                  </c:pt>
                  <c:pt idx="4">
                    <c:v>Cooling Components</c:v>
                  </c:pt>
                  <c:pt idx="5">
                    <c:v>Electrical Components</c:v>
                  </c:pt>
                  <c:pt idx="6">
                    <c:v>Other</c:v>
                  </c:pt>
                  <c:pt idx="7">
                    <c:v>Plastics</c:v>
                  </c:pt>
                  <c:pt idx="8">
                    <c:v>Steel &amp; Parts</c:v>
                  </c:pt>
                  <c:pt idx="9">
                    <c:v>Cooling Components</c:v>
                  </c:pt>
                  <c:pt idx="10">
                    <c:v>Door Components &amp; Acc.</c:v>
                  </c:pt>
                  <c:pt idx="11">
                    <c:v>Electrical Components</c:v>
                  </c:pt>
                  <c:pt idx="12">
                    <c:v>Other</c:v>
                  </c:pt>
                  <c:pt idx="13">
                    <c:v>Plastics</c:v>
                  </c:pt>
                  <c:pt idx="14">
                    <c:v>Steel &amp; Parts</c:v>
                  </c:pt>
                  <c:pt idx="15">
                    <c:v>(blank)</c:v>
                  </c:pt>
                  <c:pt idx="16">
                    <c:v>Steel &amp; Parts</c:v>
                  </c:pt>
                  <c:pt idx="17">
                    <c:v>Electrical Components</c:v>
                  </c:pt>
                  <c:pt idx="18">
                    <c:v>Electrical Components</c:v>
                  </c:pt>
                  <c:pt idx="19">
                    <c:v>Steel &amp; Parts</c:v>
                  </c:pt>
                </c:lvl>
                <c:lvl>
                  <c:pt idx="0">
                    <c:v>Completed</c:v>
                  </c:pt>
                  <c:pt idx="4">
                    <c:v>In progress</c:v>
                  </c:pt>
                  <c:pt idx="9">
                    <c:v>In Que</c:v>
                  </c:pt>
                  <c:pt idx="16">
                    <c:v>Cancelled</c:v>
                  </c:pt>
                  <c:pt idx="17">
                    <c:v>Delayed</c:v>
                  </c:pt>
                  <c:pt idx="18">
                    <c:v>On hold</c:v>
                  </c:pt>
                </c:lvl>
              </c:multiLvlStrCache>
            </c:multiLvlStrRef>
          </c:cat>
          <c:val>
            <c:numRef>
              <c:f>'Pivot-Charter-obsolete'!$AS$7:$AS$33</c:f>
              <c:numCache>
                <c:formatCode>General</c:formatCode>
                <c:ptCount val="20"/>
                <c:pt idx="3">
                  <c:v>1</c:v>
                </c:pt>
                <c:pt idx="4">
                  <c:v>10</c:v>
                </c:pt>
                <c:pt idx="5">
                  <c:v>1</c:v>
                </c:pt>
                <c:pt idx="6">
                  <c:v>1</c:v>
                </c:pt>
                <c:pt idx="7">
                  <c:v>1</c:v>
                </c:pt>
                <c:pt idx="9">
                  <c:v>18</c:v>
                </c:pt>
                <c:pt idx="10">
                  <c:v>4</c:v>
                </c:pt>
                <c:pt idx="11">
                  <c:v>14</c:v>
                </c:pt>
                <c:pt idx="12">
                  <c:v>2</c:v>
                </c:pt>
                <c:pt idx="17">
                  <c:v>2</c:v>
                </c:pt>
                <c:pt idx="18">
                  <c:v>7</c:v>
                </c:pt>
                <c:pt idx="19">
                  <c:v>1</c:v>
                </c:pt>
              </c:numCache>
            </c:numRef>
          </c:val>
          <c:extLst>
            <c:ext xmlns:c16="http://schemas.microsoft.com/office/drawing/2014/chart" uri="{C3380CC4-5D6E-409C-BE32-E72D297353CC}">
              <c16:uniqueId val="{00000000-15B6-4F10-9210-4A1F490C75F2}"/>
            </c:ext>
          </c:extLst>
        </c:ser>
        <c:ser>
          <c:idx val="1"/>
          <c:order val="1"/>
          <c:tx>
            <c:strRef>
              <c:f>'Pivot-Charter-obsolete'!$AT$5:$AT$6</c:f>
              <c:strCache>
                <c:ptCount val="1"/>
                <c:pt idx="0">
                  <c:v>IND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'Pivot-Charter-obsolete'!$AR$7:$AR$33</c:f>
              <c:multiLvlStrCache>
                <c:ptCount val="20"/>
                <c:lvl>
                  <c:pt idx="0">
                    <c:v>Cooling Components</c:v>
                  </c:pt>
                  <c:pt idx="1">
                    <c:v>Electrical Components</c:v>
                  </c:pt>
                  <c:pt idx="2">
                    <c:v>Plastics</c:v>
                  </c:pt>
                  <c:pt idx="3">
                    <c:v>Steel &amp; Parts</c:v>
                  </c:pt>
                  <c:pt idx="4">
                    <c:v>Cooling Components</c:v>
                  </c:pt>
                  <c:pt idx="5">
                    <c:v>Electrical Components</c:v>
                  </c:pt>
                  <c:pt idx="6">
                    <c:v>Other</c:v>
                  </c:pt>
                  <c:pt idx="7">
                    <c:v>Plastics</c:v>
                  </c:pt>
                  <c:pt idx="8">
                    <c:v>Steel &amp; Parts</c:v>
                  </c:pt>
                  <c:pt idx="9">
                    <c:v>Cooling Components</c:v>
                  </c:pt>
                  <c:pt idx="10">
                    <c:v>Door Components &amp; Acc.</c:v>
                  </c:pt>
                  <c:pt idx="11">
                    <c:v>Electrical Components</c:v>
                  </c:pt>
                  <c:pt idx="12">
                    <c:v>Other</c:v>
                  </c:pt>
                  <c:pt idx="13">
                    <c:v>Plastics</c:v>
                  </c:pt>
                  <c:pt idx="14">
                    <c:v>Steel &amp; Parts</c:v>
                  </c:pt>
                  <c:pt idx="15">
                    <c:v>(blank)</c:v>
                  </c:pt>
                  <c:pt idx="16">
                    <c:v>Steel &amp; Parts</c:v>
                  </c:pt>
                  <c:pt idx="17">
                    <c:v>Electrical Components</c:v>
                  </c:pt>
                  <c:pt idx="18">
                    <c:v>Electrical Components</c:v>
                  </c:pt>
                  <c:pt idx="19">
                    <c:v>Steel &amp; Parts</c:v>
                  </c:pt>
                </c:lvl>
                <c:lvl>
                  <c:pt idx="0">
                    <c:v>Completed</c:v>
                  </c:pt>
                  <c:pt idx="4">
                    <c:v>In progress</c:v>
                  </c:pt>
                  <c:pt idx="9">
                    <c:v>In Que</c:v>
                  </c:pt>
                  <c:pt idx="16">
                    <c:v>Cancelled</c:v>
                  </c:pt>
                  <c:pt idx="17">
                    <c:v>Delayed</c:v>
                  </c:pt>
                  <c:pt idx="18">
                    <c:v>On hold</c:v>
                  </c:pt>
                </c:lvl>
              </c:multiLvlStrCache>
            </c:multiLvlStrRef>
          </c:cat>
          <c:val>
            <c:numRef>
              <c:f>'Pivot-Charter-obsolete'!$AT$7:$AT$33</c:f>
              <c:numCache>
                <c:formatCode>General</c:formatCode>
                <c:ptCount val="20"/>
                <c:pt idx="0">
                  <c:v>8</c:v>
                </c:pt>
                <c:pt idx="1">
                  <c:v>1</c:v>
                </c:pt>
                <c:pt idx="2">
                  <c:v>2</c:v>
                </c:pt>
                <c:pt idx="4">
                  <c:v>4</c:v>
                </c:pt>
                <c:pt idx="5">
                  <c:v>12</c:v>
                </c:pt>
                <c:pt idx="6">
                  <c:v>1</c:v>
                </c:pt>
                <c:pt idx="8">
                  <c:v>11</c:v>
                </c:pt>
                <c:pt idx="9">
                  <c:v>2</c:v>
                </c:pt>
                <c:pt idx="10">
                  <c:v>1</c:v>
                </c:pt>
                <c:pt idx="12">
                  <c:v>1</c:v>
                </c:pt>
                <c:pt idx="14">
                  <c:v>5</c:v>
                </c:pt>
                <c:pt idx="16">
                  <c:v>1</c:v>
                </c:pt>
              </c:numCache>
            </c:numRef>
          </c:val>
          <c:extLst>
            <c:ext xmlns:c16="http://schemas.microsoft.com/office/drawing/2014/chart" uri="{C3380CC4-5D6E-409C-BE32-E72D297353CC}">
              <c16:uniqueId val="{00000001-15B6-4F10-9210-4A1F490C75F2}"/>
            </c:ext>
          </c:extLst>
        </c:ser>
        <c:ser>
          <c:idx val="2"/>
          <c:order val="2"/>
          <c:tx>
            <c:strRef>
              <c:f>'Pivot-Charter-obsolete'!$AU$5:$AU$6</c:f>
              <c:strCache>
                <c:ptCount val="1"/>
                <c:pt idx="0">
                  <c:v>INN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'Pivot-Charter-obsolete'!$AR$7:$AR$33</c:f>
              <c:multiLvlStrCache>
                <c:ptCount val="20"/>
                <c:lvl>
                  <c:pt idx="0">
                    <c:v>Cooling Components</c:v>
                  </c:pt>
                  <c:pt idx="1">
                    <c:v>Electrical Components</c:v>
                  </c:pt>
                  <c:pt idx="2">
                    <c:v>Plastics</c:v>
                  </c:pt>
                  <c:pt idx="3">
                    <c:v>Steel &amp; Parts</c:v>
                  </c:pt>
                  <c:pt idx="4">
                    <c:v>Cooling Components</c:v>
                  </c:pt>
                  <c:pt idx="5">
                    <c:v>Electrical Components</c:v>
                  </c:pt>
                  <c:pt idx="6">
                    <c:v>Other</c:v>
                  </c:pt>
                  <c:pt idx="7">
                    <c:v>Plastics</c:v>
                  </c:pt>
                  <c:pt idx="8">
                    <c:v>Steel &amp; Parts</c:v>
                  </c:pt>
                  <c:pt idx="9">
                    <c:v>Cooling Components</c:v>
                  </c:pt>
                  <c:pt idx="10">
                    <c:v>Door Components &amp; Acc.</c:v>
                  </c:pt>
                  <c:pt idx="11">
                    <c:v>Electrical Components</c:v>
                  </c:pt>
                  <c:pt idx="12">
                    <c:v>Other</c:v>
                  </c:pt>
                  <c:pt idx="13">
                    <c:v>Plastics</c:v>
                  </c:pt>
                  <c:pt idx="14">
                    <c:v>Steel &amp; Parts</c:v>
                  </c:pt>
                  <c:pt idx="15">
                    <c:v>(blank)</c:v>
                  </c:pt>
                  <c:pt idx="16">
                    <c:v>Steel &amp; Parts</c:v>
                  </c:pt>
                  <c:pt idx="17">
                    <c:v>Electrical Components</c:v>
                  </c:pt>
                  <c:pt idx="18">
                    <c:v>Electrical Components</c:v>
                  </c:pt>
                  <c:pt idx="19">
                    <c:v>Steel &amp; Parts</c:v>
                  </c:pt>
                </c:lvl>
                <c:lvl>
                  <c:pt idx="0">
                    <c:v>Completed</c:v>
                  </c:pt>
                  <c:pt idx="4">
                    <c:v>In progress</c:v>
                  </c:pt>
                  <c:pt idx="9">
                    <c:v>In Que</c:v>
                  </c:pt>
                  <c:pt idx="16">
                    <c:v>Cancelled</c:v>
                  </c:pt>
                  <c:pt idx="17">
                    <c:v>Delayed</c:v>
                  </c:pt>
                  <c:pt idx="18">
                    <c:v>On hold</c:v>
                  </c:pt>
                </c:lvl>
              </c:multiLvlStrCache>
            </c:multiLvlStrRef>
          </c:cat>
          <c:val>
            <c:numRef>
              <c:f>'Pivot-Charter-obsolete'!$AU$7:$AU$33</c:f>
              <c:numCache>
                <c:formatCode>General</c:formatCode>
                <c:ptCount val="20"/>
                <c:pt idx="4">
                  <c:v>2</c:v>
                </c:pt>
                <c:pt idx="9">
                  <c:v>2</c:v>
                </c:pt>
              </c:numCache>
            </c:numRef>
          </c:val>
          <c:extLst>
            <c:ext xmlns:c16="http://schemas.microsoft.com/office/drawing/2014/chart" uri="{C3380CC4-5D6E-409C-BE32-E72D297353CC}">
              <c16:uniqueId val="{00000002-15B6-4F10-9210-4A1F490C75F2}"/>
            </c:ext>
          </c:extLst>
        </c:ser>
        <c:ser>
          <c:idx val="3"/>
          <c:order val="3"/>
          <c:tx>
            <c:strRef>
              <c:f>'Pivot-Charter-obsolete'!$AV$5:$AV$6</c:f>
              <c:strCache>
                <c:ptCount val="1"/>
                <c:pt idx="0">
                  <c:v>SAF</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'Pivot-Charter-obsolete'!$AR$7:$AR$33</c:f>
              <c:multiLvlStrCache>
                <c:ptCount val="20"/>
                <c:lvl>
                  <c:pt idx="0">
                    <c:v>Cooling Components</c:v>
                  </c:pt>
                  <c:pt idx="1">
                    <c:v>Electrical Components</c:v>
                  </c:pt>
                  <c:pt idx="2">
                    <c:v>Plastics</c:v>
                  </c:pt>
                  <c:pt idx="3">
                    <c:v>Steel &amp; Parts</c:v>
                  </c:pt>
                  <c:pt idx="4">
                    <c:v>Cooling Components</c:v>
                  </c:pt>
                  <c:pt idx="5">
                    <c:v>Electrical Components</c:v>
                  </c:pt>
                  <c:pt idx="6">
                    <c:v>Other</c:v>
                  </c:pt>
                  <c:pt idx="7">
                    <c:v>Plastics</c:v>
                  </c:pt>
                  <c:pt idx="8">
                    <c:v>Steel &amp; Parts</c:v>
                  </c:pt>
                  <c:pt idx="9">
                    <c:v>Cooling Components</c:v>
                  </c:pt>
                  <c:pt idx="10">
                    <c:v>Door Components &amp; Acc.</c:v>
                  </c:pt>
                  <c:pt idx="11">
                    <c:v>Electrical Components</c:v>
                  </c:pt>
                  <c:pt idx="12">
                    <c:v>Other</c:v>
                  </c:pt>
                  <c:pt idx="13">
                    <c:v>Plastics</c:v>
                  </c:pt>
                  <c:pt idx="14">
                    <c:v>Steel &amp; Parts</c:v>
                  </c:pt>
                  <c:pt idx="15">
                    <c:v>(blank)</c:v>
                  </c:pt>
                  <c:pt idx="16">
                    <c:v>Steel &amp; Parts</c:v>
                  </c:pt>
                  <c:pt idx="17">
                    <c:v>Electrical Components</c:v>
                  </c:pt>
                  <c:pt idx="18">
                    <c:v>Electrical Components</c:v>
                  </c:pt>
                  <c:pt idx="19">
                    <c:v>Steel &amp; Parts</c:v>
                  </c:pt>
                </c:lvl>
                <c:lvl>
                  <c:pt idx="0">
                    <c:v>Completed</c:v>
                  </c:pt>
                  <c:pt idx="4">
                    <c:v>In progress</c:v>
                  </c:pt>
                  <c:pt idx="9">
                    <c:v>In Que</c:v>
                  </c:pt>
                  <c:pt idx="16">
                    <c:v>Cancelled</c:v>
                  </c:pt>
                  <c:pt idx="17">
                    <c:v>Delayed</c:v>
                  </c:pt>
                  <c:pt idx="18">
                    <c:v>On hold</c:v>
                  </c:pt>
                </c:lvl>
              </c:multiLvlStrCache>
            </c:multiLvlStrRef>
          </c:cat>
          <c:val>
            <c:numRef>
              <c:f>'Pivot-Charter-obsolete'!$AV$7:$AV$33</c:f>
              <c:numCache>
                <c:formatCode>General</c:formatCode>
                <c:ptCount val="20"/>
                <c:pt idx="4">
                  <c:v>5</c:v>
                </c:pt>
                <c:pt idx="5">
                  <c:v>1</c:v>
                </c:pt>
                <c:pt idx="11">
                  <c:v>2</c:v>
                </c:pt>
                <c:pt idx="12">
                  <c:v>1</c:v>
                </c:pt>
                <c:pt idx="13">
                  <c:v>1</c:v>
                </c:pt>
                <c:pt idx="14">
                  <c:v>3</c:v>
                </c:pt>
              </c:numCache>
            </c:numRef>
          </c:val>
          <c:extLst>
            <c:ext xmlns:c16="http://schemas.microsoft.com/office/drawing/2014/chart" uri="{C3380CC4-5D6E-409C-BE32-E72D297353CC}">
              <c16:uniqueId val="{00000003-15B6-4F10-9210-4A1F490C75F2}"/>
            </c:ext>
          </c:extLst>
        </c:ser>
        <c:ser>
          <c:idx val="4"/>
          <c:order val="4"/>
          <c:tx>
            <c:strRef>
              <c:f>'Pivot-Charter-obsolete'!$AW$5:$AW$6</c:f>
              <c:strCache>
                <c:ptCount val="1"/>
                <c:pt idx="0">
                  <c:v>Multiplant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'Pivot-Charter-obsolete'!$AR$7:$AR$33</c:f>
              <c:multiLvlStrCache>
                <c:ptCount val="20"/>
                <c:lvl>
                  <c:pt idx="0">
                    <c:v>Cooling Components</c:v>
                  </c:pt>
                  <c:pt idx="1">
                    <c:v>Electrical Components</c:v>
                  </c:pt>
                  <c:pt idx="2">
                    <c:v>Plastics</c:v>
                  </c:pt>
                  <c:pt idx="3">
                    <c:v>Steel &amp; Parts</c:v>
                  </c:pt>
                  <c:pt idx="4">
                    <c:v>Cooling Components</c:v>
                  </c:pt>
                  <c:pt idx="5">
                    <c:v>Electrical Components</c:v>
                  </c:pt>
                  <c:pt idx="6">
                    <c:v>Other</c:v>
                  </c:pt>
                  <c:pt idx="7">
                    <c:v>Plastics</c:v>
                  </c:pt>
                  <c:pt idx="8">
                    <c:v>Steel &amp; Parts</c:v>
                  </c:pt>
                  <c:pt idx="9">
                    <c:v>Cooling Components</c:v>
                  </c:pt>
                  <c:pt idx="10">
                    <c:v>Door Components &amp; Acc.</c:v>
                  </c:pt>
                  <c:pt idx="11">
                    <c:v>Electrical Components</c:v>
                  </c:pt>
                  <c:pt idx="12">
                    <c:v>Other</c:v>
                  </c:pt>
                  <c:pt idx="13">
                    <c:v>Plastics</c:v>
                  </c:pt>
                  <c:pt idx="14">
                    <c:v>Steel &amp; Parts</c:v>
                  </c:pt>
                  <c:pt idx="15">
                    <c:v>(blank)</c:v>
                  </c:pt>
                  <c:pt idx="16">
                    <c:v>Steel &amp; Parts</c:v>
                  </c:pt>
                  <c:pt idx="17">
                    <c:v>Electrical Components</c:v>
                  </c:pt>
                  <c:pt idx="18">
                    <c:v>Electrical Components</c:v>
                  </c:pt>
                  <c:pt idx="19">
                    <c:v>Steel &amp; Parts</c:v>
                  </c:pt>
                </c:lvl>
                <c:lvl>
                  <c:pt idx="0">
                    <c:v>Completed</c:v>
                  </c:pt>
                  <c:pt idx="4">
                    <c:v>In progress</c:v>
                  </c:pt>
                  <c:pt idx="9">
                    <c:v>In Que</c:v>
                  </c:pt>
                  <c:pt idx="16">
                    <c:v>Cancelled</c:v>
                  </c:pt>
                  <c:pt idx="17">
                    <c:v>Delayed</c:v>
                  </c:pt>
                  <c:pt idx="18">
                    <c:v>On hold</c:v>
                  </c:pt>
                </c:lvl>
              </c:multiLvlStrCache>
            </c:multiLvlStrRef>
          </c:cat>
          <c:val>
            <c:numRef>
              <c:f>'Pivot-Charter-obsolete'!$AW$7:$AW$33</c:f>
              <c:numCache>
                <c:formatCode>General</c:formatCode>
                <c:ptCount val="20"/>
                <c:pt idx="5">
                  <c:v>7</c:v>
                </c:pt>
                <c:pt idx="11">
                  <c:v>2</c:v>
                </c:pt>
              </c:numCache>
            </c:numRef>
          </c:val>
          <c:extLst>
            <c:ext xmlns:c16="http://schemas.microsoft.com/office/drawing/2014/chart" uri="{C3380CC4-5D6E-409C-BE32-E72D297353CC}">
              <c16:uniqueId val="{00000004-15B6-4F10-9210-4A1F490C75F2}"/>
            </c:ext>
          </c:extLst>
        </c:ser>
        <c:dLbls>
          <c:dLblPos val="outEnd"/>
          <c:showLegendKey val="0"/>
          <c:showVal val="1"/>
          <c:showCatName val="0"/>
          <c:showSerName val="0"/>
          <c:showPercent val="0"/>
          <c:showBubbleSize val="0"/>
        </c:dLbls>
        <c:gapWidth val="219"/>
        <c:overlap val="-27"/>
        <c:axId val="351434031"/>
        <c:axId val="351432111"/>
      </c:barChart>
      <c:catAx>
        <c:axId val="35143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Component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32111"/>
        <c:crosses val="autoZero"/>
        <c:auto val="1"/>
        <c:lblAlgn val="ctr"/>
        <c:lblOffset val="100"/>
        <c:noMultiLvlLbl val="0"/>
      </c:catAx>
      <c:valAx>
        <c:axId val="35143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Projects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34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5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'Pivot-Charter-obsolete'!$BF$5:$BF$7</c:f>
              <c:strCache>
                <c:ptCount val="1"/>
                <c:pt idx="0">
                  <c:v>NM - 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D2-44D5-BF49-6CE8FDE2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D2-44D5-BF49-6CE8FDE2D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D2-44D5-BF49-6CE8FDE2D0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D2-44D5-BF49-6CE8FDE2D0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D2-44D5-BF49-6CE8FDE2D0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D2-44D5-BF49-6CE8FDE2D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'Pivot-Charter-obsolete'!$BE$8:$BE$14</c:f>
              <c:strCache>
                <c:ptCount val="6"/>
                <c:pt idx="0">
                  <c:v>ROM</c:v>
                </c:pt>
                <c:pt idx="1">
                  <c:v>IND</c:v>
                </c:pt>
                <c:pt idx="2">
                  <c:v>INN</c:v>
                </c:pt>
                <c:pt idx="3">
                  <c:v>SAF</c:v>
                </c:pt>
                <c:pt idx="4">
                  <c:v>OEM-HCK</c:v>
                </c:pt>
                <c:pt idx="5">
                  <c:v>OEM-Seitek</c:v>
                </c:pt>
              </c:strCache>
            </c:strRef>
          </c:cat>
          <c:val>
            <c:numRef>
              <c:f>'Pivot-Charter-obsolete'!$BF$8:$BF$14</c:f>
              <c:numCache>
                <c:formatCode>General</c:formatCode>
                <c:ptCount val="6"/>
                <c:pt idx="0">
                  <c:v>4</c:v>
                </c:pt>
                <c:pt idx="3">
                  <c:v>1</c:v>
                </c:pt>
              </c:numCache>
            </c:numRef>
          </c:val>
          <c:extLst>
            <c:ext xmlns:c16="http://schemas.microsoft.com/office/drawing/2014/chart" uri="{C3380CC4-5D6E-409C-BE32-E72D297353CC}">
              <c16:uniqueId val="{00000000-4775-4D13-A18E-5C0F89A55BF7}"/>
            </c:ext>
          </c:extLst>
        </c:ser>
        <c:ser>
          <c:idx val="1"/>
          <c:order val="1"/>
          <c:tx>
            <c:strRef>
              <c:f>'Pivot-Charter-obsolete'!$BG$5:$BG$7</c:f>
              <c:strCache>
                <c:ptCount val="1"/>
                <c:pt idx="0">
                  <c:v>NM - 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3DD2-44D5-BF49-6CE8FDE2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3DD2-44D5-BF49-6CE8FDE2D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3DD2-44D5-BF49-6CE8FDE2D0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3DD2-44D5-BF49-6CE8FDE2D0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3DD2-44D5-BF49-6CE8FDE2D0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3DD2-44D5-BF49-6CE8FDE2D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'Pivot-Charter-obsolete'!$BE$8:$BE$14</c:f>
              <c:strCache>
                <c:ptCount val="6"/>
                <c:pt idx="0">
                  <c:v>ROM</c:v>
                </c:pt>
                <c:pt idx="1">
                  <c:v>IND</c:v>
                </c:pt>
                <c:pt idx="2">
                  <c:v>INN</c:v>
                </c:pt>
                <c:pt idx="3">
                  <c:v>SAF</c:v>
                </c:pt>
                <c:pt idx="4">
                  <c:v>OEM-HCK</c:v>
                </c:pt>
                <c:pt idx="5">
                  <c:v>OEM-Seitek</c:v>
                </c:pt>
              </c:strCache>
            </c:strRef>
          </c:cat>
          <c:val>
            <c:numRef>
              <c:f>'Pivot-Charter-obsolete'!$BG$8:$BG$14</c:f>
              <c:numCache>
                <c:formatCode>General</c:formatCode>
                <c:ptCount val="6"/>
                <c:pt idx="0">
                  <c:v>5</c:v>
                </c:pt>
                <c:pt idx="1">
                  <c:v>4</c:v>
                </c:pt>
                <c:pt idx="2">
                  <c:v>1</c:v>
                </c:pt>
                <c:pt idx="3">
                  <c:v>2</c:v>
                </c:pt>
              </c:numCache>
            </c:numRef>
          </c:val>
          <c:extLst>
            <c:ext xmlns:c16="http://schemas.microsoft.com/office/drawing/2014/chart" uri="{C3380CC4-5D6E-409C-BE32-E72D297353CC}">
              <c16:uniqueId val="{00000002-4775-4D13-A18E-5C0F89A55BF7}"/>
            </c:ext>
          </c:extLst>
        </c:ser>
        <c:ser>
          <c:idx val="2"/>
          <c:order val="2"/>
          <c:tx>
            <c:strRef>
              <c:f>'Pivot-Charter-obsolete'!$BH$5:$BH$7</c:f>
              <c:strCache>
                <c:ptCount val="1"/>
                <c:pt idx="0">
                  <c:v>NM - 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3DD2-44D5-BF49-6CE8FDE2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3DD2-44D5-BF49-6CE8FDE2D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3DD2-44D5-BF49-6CE8FDE2D0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3DD2-44D5-BF49-6CE8FDE2D0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3DD2-44D5-BF49-6CE8FDE2D0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3DD2-44D5-BF49-6CE8FDE2D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'Pivot-Charter-obsolete'!$BE$8:$BE$14</c:f>
              <c:strCache>
                <c:ptCount val="6"/>
                <c:pt idx="0">
                  <c:v>ROM</c:v>
                </c:pt>
                <c:pt idx="1">
                  <c:v>IND</c:v>
                </c:pt>
                <c:pt idx="2">
                  <c:v>INN</c:v>
                </c:pt>
                <c:pt idx="3">
                  <c:v>SAF</c:v>
                </c:pt>
                <c:pt idx="4">
                  <c:v>OEM-HCK</c:v>
                </c:pt>
                <c:pt idx="5">
                  <c:v>OEM-Seitek</c:v>
                </c:pt>
              </c:strCache>
            </c:strRef>
          </c:cat>
          <c:val>
            <c:numRef>
              <c:f>'Pivot-Charter-obsolete'!$BH$8:$BH$14</c:f>
              <c:numCache>
                <c:formatCode>General</c:formatCode>
                <c:ptCount val="6"/>
                <c:pt idx="0">
                  <c:v>4</c:v>
                </c:pt>
                <c:pt idx="1">
                  <c:v>5</c:v>
                </c:pt>
                <c:pt idx="2">
                  <c:v>1</c:v>
                </c:pt>
              </c:numCache>
            </c:numRef>
          </c:val>
          <c:extLst>
            <c:ext xmlns:c16="http://schemas.microsoft.com/office/drawing/2014/chart" uri="{C3380CC4-5D6E-409C-BE32-E72D297353CC}">
              <c16:uniqueId val="{00000003-4775-4D13-A18E-5C0F89A55BF7}"/>
            </c:ext>
          </c:extLst>
        </c:ser>
        <c:ser>
          <c:idx val="3"/>
          <c:order val="3"/>
          <c:tx>
            <c:strRef>
              <c:f>'Pivot-Charter-obsolete'!$BI$5:$BI$7</c:f>
              <c:strCache>
                <c:ptCount val="1"/>
                <c:pt idx="0">
                  <c:v>NM - 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3DD2-44D5-BF49-6CE8FDE2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3DD2-44D5-BF49-6CE8FDE2D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3DD2-44D5-BF49-6CE8FDE2D0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3DD2-44D5-BF49-6CE8FDE2D0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3DD2-44D5-BF49-6CE8FDE2D0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3DD2-44D5-BF49-6CE8FDE2D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'Pivot-Charter-obsolete'!$BE$8:$BE$14</c:f>
              <c:strCache>
                <c:ptCount val="6"/>
                <c:pt idx="0">
                  <c:v>ROM</c:v>
                </c:pt>
                <c:pt idx="1">
                  <c:v>IND</c:v>
                </c:pt>
                <c:pt idx="2">
                  <c:v>INN</c:v>
                </c:pt>
                <c:pt idx="3">
                  <c:v>SAF</c:v>
                </c:pt>
                <c:pt idx="4">
                  <c:v>OEM-HCK</c:v>
                </c:pt>
                <c:pt idx="5">
                  <c:v>OEM-Seitek</c:v>
                </c:pt>
              </c:strCache>
            </c:strRef>
          </c:cat>
          <c:val>
            <c:numRef>
              <c:f>'Pivot-Charter-obsolete'!$BI$8:$BI$14</c:f>
              <c:numCache>
                <c:formatCode>General</c:formatCode>
                <c:ptCount val="6"/>
                <c:pt idx="0">
                  <c:v>3</c:v>
                </c:pt>
              </c:numCache>
            </c:numRef>
          </c:val>
          <c:extLst>
            <c:ext xmlns:c16="http://schemas.microsoft.com/office/drawing/2014/chart" uri="{C3380CC4-5D6E-409C-BE32-E72D297353CC}">
              <c16:uniqueId val="{00000004-4775-4D13-A18E-5C0F89A55BF7}"/>
            </c:ext>
          </c:extLst>
        </c:ser>
        <c:ser>
          <c:idx val="4"/>
          <c:order val="4"/>
          <c:tx>
            <c:strRef>
              <c:f>'Pivot-Charter-obsolete'!$BJ$5:$BJ$7</c:f>
              <c:strCache>
                <c:ptCount val="1"/>
                <c:pt idx="0">
                  <c:v>NM - A-OEM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3DD2-44D5-BF49-6CE8FDE2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3DD2-44D5-BF49-6CE8FDE2D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3DD2-44D5-BF49-6CE8FDE2D0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3DD2-44D5-BF49-6CE8FDE2D0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3DD2-44D5-BF49-6CE8FDE2D0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3DD2-44D5-BF49-6CE8FDE2D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'Pivot-Charter-obsolete'!$BE$8:$BE$14</c:f>
              <c:strCache>
                <c:ptCount val="6"/>
                <c:pt idx="0">
                  <c:v>ROM</c:v>
                </c:pt>
                <c:pt idx="1">
                  <c:v>IND</c:v>
                </c:pt>
                <c:pt idx="2">
                  <c:v>INN</c:v>
                </c:pt>
                <c:pt idx="3">
                  <c:v>SAF</c:v>
                </c:pt>
                <c:pt idx="4">
                  <c:v>OEM-HCK</c:v>
                </c:pt>
                <c:pt idx="5">
                  <c:v>OEM-Seitek</c:v>
                </c:pt>
              </c:strCache>
            </c:strRef>
          </c:cat>
          <c:val>
            <c:numRef>
              <c:f>'Pivot-Charter-obsolete'!$BJ$8:$BJ$14</c:f>
              <c:numCache>
                <c:formatCode>General</c:formatCode>
                <c:ptCount val="6"/>
                <c:pt idx="5">
                  <c:v>3</c:v>
                </c:pt>
              </c:numCache>
            </c:numRef>
          </c:val>
          <c:extLst>
            <c:ext xmlns:c16="http://schemas.microsoft.com/office/drawing/2014/chart" uri="{C3380CC4-5D6E-409C-BE32-E72D297353CC}">
              <c16:uniqueId val="{00000005-4775-4D13-A18E-5C0F89A55BF7}"/>
            </c:ext>
          </c:extLst>
        </c:ser>
        <c:ser>
          <c:idx val="5"/>
          <c:order val="5"/>
          <c:tx>
            <c:strRef>
              <c:f>'Pivot-Charter-obsolete'!$BK$5:$BK$7</c:f>
              <c:strCache>
                <c:ptCount val="1"/>
                <c:pt idx="0">
                  <c:v>NM - B-OEM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3DD2-44D5-BF49-6CE8FDE2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3DD2-44D5-BF49-6CE8FDE2D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3DD2-44D5-BF49-6CE8FDE2D0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3DD2-44D5-BF49-6CE8FDE2D0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3DD2-44D5-BF49-6CE8FDE2D0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3DD2-44D5-BF49-6CE8FDE2D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'Pivot-Charter-obsolete'!$BE$8:$BE$14</c:f>
              <c:strCache>
                <c:ptCount val="6"/>
                <c:pt idx="0">
                  <c:v>ROM</c:v>
                </c:pt>
                <c:pt idx="1">
                  <c:v>IND</c:v>
                </c:pt>
                <c:pt idx="2">
                  <c:v>INN</c:v>
                </c:pt>
                <c:pt idx="3">
                  <c:v>SAF</c:v>
                </c:pt>
                <c:pt idx="4">
                  <c:v>OEM-HCK</c:v>
                </c:pt>
                <c:pt idx="5">
                  <c:v>OEM-Seitek</c:v>
                </c:pt>
              </c:strCache>
            </c:strRef>
          </c:cat>
          <c:val>
            <c:numRef>
              <c:f>'Pivot-Charter-obsolete'!$BK$8:$BK$14</c:f>
              <c:numCache>
                <c:formatCode>General</c:formatCode>
                <c:ptCount val="6"/>
                <c:pt idx="4">
                  <c:v>7</c:v>
                </c:pt>
                <c:pt idx="5">
                  <c:v>4</c:v>
                </c:pt>
              </c:numCache>
            </c:numRef>
          </c:val>
          <c:extLst>
            <c:ext xmlns:c16="http://schemas.microsoft.com/office/drawing/2014/chart" uri="{C3380CC4-5D6E-409C-BE32-E72D297353CC}">
              <c16:uniqueId val="{00000006-4775-4D13-A18E-5C0F89A55BF7}"/>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777777777777777"/>
          <c:y val="0.17346092155147275"/>
          <c:w val="0.33333333333333331"/>
          <c:h val="0.76635389326334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Requesting department and Current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4.2222222222222203E-2"/>
              <c:y val="-0.2018469377423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4.4444444444444444E-3"/>
              <c:y val="-0.12335090639811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2.2222222222222222E-3"/>
              <c:y val="-9.7185562616699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
              <c:y val="-9.71855626166991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8.1625280472449185E-17"/>
              <c:y val="-4.6955246616008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
              <c:y val="-4.3343304568623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8.1625280472449185E-17"/>
              <c:y val="-4.6955246616008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5.4179130710779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2.9506470264431411E-2"/>
              <c:y val="-1.457372569551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3721680302207305E-2"/>
              <c:y val="-2.5504019967151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2.5504019967151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1.0538025094439789E-2"/>
              <c:y val="-4.7364608510424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dLbl>
          <c:idx val="0"/>
          <c:layout>
            <c:manualLayout>
              <c:x val="3.37216803022073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6860840151103663E-2"/>
              <c:y val="-4.3721177086545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4.2152100377759157E-3"/>
              <c:y val="-4.7364608510424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1076050188879578E-3"/>
              <c:y val="-4.3721177086545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dLbl>
          <c:idx val="0"/>
          <c:layout>
            <c:manualLayout>
              <c:x val="-4.2152100377759157E-3"/>
              <c:y val="-6.9225197053697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dLbl>
          <c:idx val="0"/>
          <c:layout>
            <c:manualLayout>
              <c:x val="-3.7936890339983244E-2"/>
              <c:y val="-1.82171571193941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pivotFmt>
      <c:pivotFmt>
        <c:idx val="28"/>
      </c:pivotFmt>
      <c:pivotFmt>
        <c:idx val="29"/>
        <c:spPr>
          <a:solidFill>
            <a:schemeClr val="accent1"/>
          </a:solidFill>
          <a:ln>
            <a:noFill/>
          </a:ln>
          <a:effectLst/>
        </c:spPr>
      </c:pivotFmt>
      <c:pivotFmt>
        <c:idx val="30"/>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pivotFmt>
      <c:pivotFmt>
        <c:idx val="36"/>
      </c:pivotFmt>
      <c:pivotFmt>
        <c:idx val="37"/>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3"/>
          </a:solidFill>
          <a:ln>
            <a:noFill/>
          </a:ln>
          <a:effectLst/>
        </c:spPr>
      </c:pivotFmt>
      <c:pivotFmt>
        <c:idx val="41"/>
        <c:spPr>
          <a:solidFill>
            <a:schemeClr val="accent3"/>
          </a:solidFill>
          <a:ln>
            <a:noFill/>
          </a:ln>
          <a:effectLst/>
        </c:spPr>
      </c:pivotFmt>
      <c:pivotFmt>
        <c:idx val="42"/>
      </c:pivotFmt>
      <c:pivotFmt>
        <c:idx val="43"/>
      </c:pivotFmt>
      <c:pivotFmt>
        <c:idx val="44"/>
        <c:spPr>
          <a:solidFill>
            <a:schemeClr val="accent3"/>
          </a:solidFill>
          <a:ln>
            <a:noFill/>
          </a:ln>
          <a:effectLst/>
        </c:spPr>
      </c:pivotFmt>
      <c:pivotFmt>
        <c:idx val="45"/>
      </c:pivotFmt>
      <c:pivotFmt>
        <c:idx val="46"/>
        <c:spPr>
          <a:solidFill>
            <a:schemeClr val="accent3"/>
          </a:solidFill>
          <a:ln>
            <a:noFill/>
          </a:ln>
          <a:effectLst/>
        </c:spPr>
      </c:pivotFmt>
      <c:pivotFmt>
        <c:idx val="47"/>
        <c:spPr>
          <a:solidFill>
            <a:schemeClr val="accent3"/>
          </a:solidFill>
          <a:ln>
            <a:noFill/>
          </a:ln>
          <a:effectLst/>
        </c:spPr>
      </c:pivotFmt>
      <c:pivotFmt>
        <c:idx val="48"/>
        <c:spPr>
          <a:solidFill>
            <a:schemeClr val="accent4"/>
          </a:solidFill>
          <a:ln>
            <a:noFill/>
          </a:ln>
          <a:effectLst/>
        </c:spPr>
      </c:pivotFmt>
      <c:pivotFmt>
        <c:idx val="49"/>
        <c:spPr>
          <a:solidFill>
            <a:schemeClr val="accent4"/>
          </a:solidFill>
          <a:ln>
            <a:noFill/>
          </a:ln>
          <a:effectLst/>
        </c:spPr>
      </c:pivotFmt>
      <c:pivotFmt>
        <c:idx val="50"/>
      </c:pivotFmt>
      <c:pivotFmt>
        <c:idx val="51"/>
        <c:spPr>
          <a:solidFill>
            <a:schemeClr val="accent4"/>
          </a:solidFill>
          <a:ln>
            <a:noFill/>
          </a:ln>
          <a:effectLst/>
        </c:spPr>
      </c:pivotFmt>
      <c:pivotFmt>
        <c:idx val="52"/>
        <c:spPr>
          <a:solidFill>
            <a:schemeClr val="accent4"/>
          </a:solidFill>
          <a:ln>
            <a:noFill/>
          </a:ln>
          <a:effectLst/>
        </c:spPr>
      </c:pivotFmt>
      <c:pivotFmt>
        <c:idx val="53"/>
        <c:spPr>
          <a:solidFill>
            <a:schemeClr val="accent5"/>
          </a:solidFill>
          <a:ln>
            <a:noFill/>
          </a:ln>
          <a:effectLst/>
        </c:spPr>
      </c:pivotFmt>
      <c:pivotFmt>
        <c:idx val="54"/>
      </c:pivotFmt>
      <c:pivotFmt>
        <c:idx val="55"/>
      </c:pivotFmt>
      <c:pivotFmt>
        <c:idx val="56"/>
        <c:spPr>
          <a:solidFill>
            <a:schemeClr val="accent5"/>
          </a:solidFill>
          <a:ln>
            <a:noFill/>
          </a:ln>
          <a:effectLst/>
        </c:spPr>
      </c:pivotFmt>
      <c:pivotFmt>
        <c:idx val="57"/>
      </c:pivotFmt>
      <c:pivotFmt>
        <c:idx val="58"/>
        <c:spPr>
          <a:solidFill>
            <a:schemeClr val="accent5"/>
          </a:solidFill>
          <a:ln>
            <a:noFill/>
          </a:ln>
          <a:effectLst/>
        </c:spPr>
      </c:pivotFmt>
      <c:pivotFmt>
        <c:idx val="59"/>
      </c:pivotFmt>
      <c:pivotFmt>
        <c:idx val="60"/>
        <c:spPr>
          <a:solidFill>
            <a:schemeClr val="accent6"/>
          </a:solidFill>
          <a:ln>
            <a:noFill/>
          </a:ln>
          <a:effectLst/>
        </c:spPr>
      </c:pivotFmt>
      <c:pivotFmt>
        <c:idx val="61"/>
      </c:pivotFmt>
      <c:pivotFmt>
        <c:idx val="62"/>
        <c:spPr>
          <a:solidFill>
            <a:schemeClr val="accent6"/>
          </a:solidFill>
          <a:ln>
            <a:noFill/>
          </a:ln>
          <a:effectLst/>
        </c:spPr>
      </c:pivotFmt>
      <c:pivotFmt>
        <c:idx val="63"/>
        <c:spPr>
          <a:solidFill>
            <a:schemeClr val="accent6"/>
          </a:solidFill>
          <a:ln>
            <a:noFill/>
          </a:ln>
          <a:effectLst/>
        </c:spPr>
      </c:pivotFmt>
    </c:pivotFmts>
    <c:plotArea>
      <c:layout>
        <c:manualLayout>
          <c:layoutTarget val="inner"/>
          <c:xMode val="edge"/>
          <c:yMode val="edge"/>
          <c:x val="8.3659638716671009E-2"/>
          <c:y val="0.20720022376980399"/>
          <c:w val="0.65078212890344633"/>
          <c:h val="0.31550165317114803"/>
        </c:manualLayout>
      </c:layout>
      <c:barChart>
        <c:barDir val="col"/>
        <c:grouping val="stacked"/>
        <c:varyColors val="0"/>
        <c:ser>
          <c:idx val="0"/>
          <c:order val="0"/>
          <c:tx>
            <c:strRef>
              <c:f>'Pivot-Charter-obsolete'!$P$4:$P$5</c:f>
              <c:strCache>
                <c:ptCount val="1"/>
                <c:pt idx="0">
                  <c:v>Completed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31F-4469-AA37-CC2A8B8FBEEA}"/>
              </c:ext>
            </c:extLst>
          </c:dPt>
          <c:dLbls>
            <c:dLbl>
              <c:idx val="0"/>
              <c:layout>
                <c:manualLayout>
                  <c:x val="3.3721680302207305E-2"/>
                  <c:y val="-2.550401996715180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1F-4469-AA37-CC2A8B8FBE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'Pivot-Charter-obsolete'!$O$6:$O$14</c:f>
              <c:strCache>
                <c:ptCount val="8"/>
                <c:pt idx="0">
                  <c:v>Marketing/Sales</c:v>
                </c:pt>
                <c:pt idx="1">
                  <c:v>PD</c:v>
                </c:pt>
                <c:pt idx="2">
                  <c:v>Central Procurement Group</c:v>
                </c:pt>
                <c:pt idx="3">
                  <c:v>Quality</c:v>
                </c:pt>
                <c:pt idx="4">
                  <c:v>Service</c:v>
                </c:pt>
                <c:pt idx="5">
                  <c:v>(blank)</c:v>
                </c:pt>
                <c:pt idx="6">
                  <c:v>Central R&amp;PD</c:v>
                </c:pt>
                <c:pt idx="7">
                  <c:v>Central Supply Chain</c:v>
                </c:pt>
              </c:strCache>
            </c:strRef>
          </c:cat>
          <c:val>
            <c:numRef>
              <c:f>'Pivot-Charter-obsolete'!$P$6:$P$14</c:f>
              <c:numCache>
                <c:formatCode>General</c:formatCode>
                <c:ptCount val="8"/>
                <c:pt idx="0">
                  <c:v>6</c:v>
                </c:pt>
                <c:pt idx="1">
                  <c:v>2</c:v>
                </c:pt>
                <c:pt idx="2">
                  <c:v>9</c:v>
                </c:pt>
                <c:pt idx="4">
                  <c:v>1</c:v>
                </c:pt>
              </c:numCache>
            </c:numRef>
          </c:val>
          <c:extLst>
            <c:ext xmlns:c16="http://schemas.microsoft.com/office/drawing/2014/chart" uri="{C3380CC4-5D6E-409C-BE32-E72D297353CC}">
              <c16:uniqueId val="{00000000-631F-4469-AA37-CC2A8B8FBEEA}"/>
            </c:ext>
          </c:extLst>
        </c:ser>
        <c:ser>
          <c:idx val="1"/>
          <c:order val="1"/>
          <c:tx>
            <c:strRef>
              <c:f>'Pivot-Charter-obsolete'!$Q$4:$Q$5</c:f>
              <c:strCache>
                <c:ptCount val="1"/>
                <c:pt idx="0">
                  <c:v>In progress</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3-9395-4611-B4D4-B71FE9F9742F}"/>
              </c:ext>
            </c:extLst>
          </c:dPt>
          <c:dPt>
            <c:idx val="4"/>
            <c:invertIfNegative val="0"/>
            <c:bubble3D val="0"/>
            <c:extLst>
              <c:ext xmlns:c16="http://schemas.microsoft.com/office/drawing/2014/chart" uri="{C3380CC4-5D6E-409C-BE32-E72D297353CC}">
                <c16:uniqueId val="{00000015-631F-4469-AA37-CC2A8B8FBEEA}"/>
              </c:ext>
            </c:extLst>
          </c:dPt>
          <c:dLbls>
            <c:dLbl>
              <c:idx val="2"/>
              <c:layout>
                <c:manualLayout>
                  <c:x val="-4.2152100377759157E-3"/>
                  <c:y val="-4.73646085104247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95-4611-B4D4-B71FE9F974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'Pivot-Charter-obsolete'!$O$6:$O$14</c:f>
              <c:strCache>
                <c:ptCount val="8"/>
                <c:pt idx="0">
                  <c:v>Marketing/Sales</c:v>
                </c:pt>
                <c:pt idx="1">
                  <c:v>PD</c:v>
                </c:pt>
                <c:pt idx="2">
                  <c:v>Central Procurement Group</c:v>
                </c:pt>
                <c:pt idx="3">
                  <c:v>Quality</c:v>
                </c:pt>
                <c:pt idx="4">
                  <c:v>Service</c:v>
                </c:pt>
                <c:pt idx="5">
                  <c:v>(blank)</c:v>
                </c:pt>
                <c:pt idx="6">
                  <c:v>Central R&amp;PD</c:v>
                </c:pt>
                <c:pt idx="7">
                  <c:v>Central Supply Chain</c:v>
                </c:pt>
              </c:strCache>
            </c:strRef>
          </c:cat>
          <c:val>
            <c:numRef>
              <c:f>'Pivot-Charter-obsolete'!$Q$6:$Q$14</c:f>
              <c:numCache>
                <c:formatCode>General</c:formatCode>
                <c:ptCount val="8"/>
                <c:pt idx="0">
                  <c:v>37</c:v>
                </c:pt>
                <c:pt idx="1">
                  <c:v>22</c:v>
                </c:pt>
                <c:pt idx="2">
                  <c:v>31</c:v>
                </c:pt>
                <c:pt idx="7">
                  <c:v>6</c:v>
                </c:pt>
              </c:numCache>
            </c:numRef>
          </c:val>
          <c:extLst>
            <c:ext xmlns:c16="http://schemas.microsoft.com/office/drawing/2014/chart" uri="{C3380CC4-5D6E-409C-BE32-E72D297353CC}">
              <c16:uniqueId val="{0000000A-631F-4469-AA37-CC2A8B8FBEEA}"/>
            </c:ext>
          </c:extLst>
        </c:ser>
        <c:ser>
          <c:idx val="2"/>
          <c:order val="2"/>
          <c:tx>
            <c:strRef>
              <c:f>'Pivot-Charter-obsolete'!$R$4:$R$5</c:f>
              <c:strCache>
                <c:ptCount val="1"/>
                <c:pt idx="0">
                  <c:v>Delayed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'Pivot-Charter-obsolete'!$O$6:$O$14</c:f>
              <c:strCache>
                <c:ptCount val="8"/>
                <c:pt idx="0">
                  <c:v>Marketing/Sales</c:v>
                </c:pt>
                <c:pt idx="1">
                  <c:v>PD</c:v>
                </c:pt>
                <c:pt idx="2">
                  <c:v>Central Procurement Group</c:v>
                </c:pt>
                <c:pt idx="3">
                  <c:v>Quality</c:v>
                </c:pt>
                <c:pt idx="4">
                  <c:v>Service</c:v>
                </c:pt>
                <c:pt idx="5">
                  <c:v>(blank)</c:v>
                </c:pt>
                <c:pt idx="6">
                  <c:v>Central R&amp;PD</c:v>
                </c:pt>
                <c:pt idx="7">
                  <c:v>Central Supply Chain</c:v>
                </c:pt>
              </c:strCache>
            </c:strRef>
          </c:cat>
          <c:val>
            <c:numRef>
              <c:f>'Pivot-Charter-obsolete'!$R$6:$R$14</c:f>
              <c:numCache>
                <c:formatCode>General</c:formatCode>
                <c:ptCount val="8"/>
                <c:pt idx="0">
                  <c:v>9</c:v>
                </c:pt>
                <c:pt idx="1">
                  <c:v>2</c:v>
                </c:pt>
                <c:pt idx="3">
                  <c:v>1</c:v>
                </c:pt>
              </c:numCache>
            </c:numRef>
          </c:val>
          <c:extLst>
            <c:ext xmlns:c16="http://schemas.microsoft.com/office/drawing/2014/chart" uri="{C3380CC4-5D6E-409C-BE32-E72D297353CC}">
              <c16:uniqueId val="{0000000B-631F-4469-AA37-CC2A8B8FBEEA}"/>
            </c:ext>
          </c:extLst>
        </c:ser>
        <c:ser>
          <c:idx val="3"/>
          <c:order val="3"/>
          <c:tx>
            <c:strRef>
              <c:f>'Pivot-Charter-obsolete'!$S$4:$S$5</c:f>
              <c:strCache>
                <c:ptCount val="1"/>
                <c:pt idx="0">
                  <c:v>In Que</c:v>
                </c:pt>
              </c:strCache>
            </c:strRef>
          </c:tx>
          <c:spPr>
            <a:solidFill>
              <a:schemeClr val="accent4"/>
            </a:solidFill>
            <a:ln>
              <a:noFill/>
            </a:ln>
            <a:effectLst/>
          </c:spPr>
          <c:invertIfNegative val="0"/>
          <c:dPt>
            <c:idx val="3"/>
            <c:invertIfNegative val="0"/>
            <c:bubble3D val="0"/>
            <c:extLst>
              <c:ext xmlns:c16="http://schemas.microsoft.com/office/drawing/2014/chart" uri="{C3380CC4-5D6E-409C-BE32-E72D297353CC}">
                <c16:uniqueId val="{00000014-631F-4469-AA37-CC2A8B8FBEEA}"/>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7-9395-4611-B4D4-B71FE9F9742F}"/>
              </c:ext>
            </c:extLst>
          </c:dPt>
          <c:dPt>
            <c:idx val="5"/>
            <c:invertIfNegative val="0"/>
            <c:bubble3D val="0"/>
            <c:extLst>
              <c:ext xmlns:c16="http://schemas.microsoft.com/office/drawing/2014/chart" uri="{C3380CC4-5D6E-409C-BE32-E72D297353CC}">
                <c16:uniqueId val="{00000016-631F-4469-AA37-CC2A8B8FBEEA}"/>
              </c:ext>
            </c:extLst>
          </c:dPt>
          <c:dPt>
            <c:idx val="7"/>
            <c:invertIfNegative val="0"/>
            <c:bubble3D val="0"/>
            <c:extLst>
              <c:ext xmlns:c16="http://schemas.microsoft.com/office/drawing/2014/chart" uri="{C3380CC4-5D6E-409C-BE32-E72D297353CC}">
                <c16:uniqueId val="{00000018-631F-4469-AA37-CC2A8B8FBEEA}"/>
              </c:ext>
            </c:extLst>
          </c:dPt>
          <c:dLbls>
            <c:dLbl>
              <c:idx val="4"/>
              <c:layout>
                <c:manualLayout>
                  <c:x val="-3.7936890339983244E-2"/>
                  <c:y val="-1.821715711939416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95-4611-B4D4-B71FE9F974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'Pivot-Charter-obsolete'!$O$6:$O$14</c:f>
              <c:strCache>
                <c:ptCount val="8"/>
                <c:pt idx="0">
                  <c:v>Marketing/Sales</c:v>
                </c:pt>
                <c:pt idx="1">
                  <c:v>PD</c:v>
                </c:pt>
                <c:pt idx="2">
                  <c:v>Central Procurement Group</c:v>
                </c:pt>
                <c:pt idx="3">
                  <c:v>Quality</c:v>
                </c:pt>
                <c:pt idx="4">
                  <c:v>Service</c:v>
                </c:pt>
                <c:pt idx="5">
                  <c:v>(blank)</c:v>
                </c:pt>
                <c:pt idx="6">
                  <c:v>Central R&amp;PD</c:v>
                </c:pt>
                <c:pt idx="7">
                  <c:v>Central Supply Chain</c:v>
                </c:pt>
              </c:strCache>
            </c:strRef>
          </c:cat>
          <c:val>
            <c:numRef>
              <c:f>'Pivot-Charter-obsolete'!$S$6:$S$14</c:f>
              <c:numCache>
                <c:formatCode>General</c:formatCode>
                <c:ptCount val="8"/>
                <c:pt idx="0">
                  <c:v>54</c:v>
                </c:pt>
                <c:pt idx="1">
                  <c:v>24</c:v>
                </c:pt>
                <c:pt idx="2">
                  <c:v>34</c:v>
                </c:pt>
                <c:pt idx="4">
                  <c:v>3</c:v>
                </c:pt>
                <c:pt idx="6">
                  <c:v>2</c:v>
                </c:pt>
                <c:pt idx="7">
                  <c:v>13</c:v>
                </c:pt>
              </c:numCache>
            </c:numRef>
          </c:val>
          <c:extLst>
            <c:ext xmlns:c16="http://schemas.microsoft.com/office/drawing/2014/chart" uri="{C3380CC4-5D6E-409C-BE32-E72D297353CC}">
              <c16:uniqueId val="{0000000C-631F-4469-AA37-CC2A8B8FBEEA}"/>
            </c:ext>
          </c:extLst>
        </c:ser>
        <c:ser>
          <c:idx val="4"/>
          <c:order val="4"/>
          <c:tx>
            <c:strRef>
              <c:f>'Pivot-Charter-obsolete'!$T$4:$T$5</c:f>
              <c:strCache>
                <c:ptCount val="1"/>
                <c:pt idx="0">
                  <c:v>Cancelled</c:v>
                </c:pt>
              </c:strCache>
            </c:strRef>
          </c:tx>
          <c:spPr>
            <a:solidFill>
              <a:schemeClr val="accent5"/>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13-631F-4469-AA37-CC2A8B8FBEE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D-9395-4611-B4D4-B71FE9F9742F}"/>
              </c:ext>
            </c:extLst>
          </c:dPt>
          <c:dPt>
            <c:idx val="7"/>
            <c:invertIfNegative val="0"/>
            <c:bubble3D val="0"/>
            <c:extLst>
              <c:ext xmlns:c16="http://schemas.microsoft.com/office/drawing/2014/chart" uri="{C3380CC4-5D6E-409C-BE32-E72D297353CC}">
                <c16:uniqueId val="{00000017-631F-4469-AA37-CC2A8B8FBEEA}"/>
              </c:ext>
            </c:extLst>
          </c:dPt>
          <c:dLbls>
            <c:dLbl>
              <c:idx val="1"/>
              <c:layout>
                <c:manualLayout>
                  <c:x val="3.372168030220732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31F-4469-AA37-CC2A8B8FBEEA}"/>
                </c:ext>
              </c:extLst>
            </c:dLbl>
            <c:dLbl>
              <c:idx val="4"/>
              <c:layout>
                <c:manualLayout>
                  <c:x val="-4.2152100377759157E-3"/>
                  <c:y val="-6.92251970536976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95-4611-B4D4-B71FE9F974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'Pivot-Charter-obsolete'!$O$6:$O$14</c:f>
              <c:strCache>
                <c:ptCount val="8"/>
                <c:pt idx="0">
                  <c:v>Marketing/Sales</c:v>
                </c:pt>
                <c:pt idx="1">
                  <c:v>PD</c:v>
                </c:pt>
                <c:pt idx="2">
                  <c:v>Central Procurement Group</c:v>
                </c:pt>
                <c:pt idx="3">
                  <c:v>Quality</c:v>
                </c:pt>
                <c:pt idx="4">
                  <c:v>Service</c:v>
                </c:pt>
                <c:pt idx="5">
                  <c:v>(blank)</c:v>
                </c:pt>
                <c:pt idx="6">
                  <c:v>Central R&amp;PD</c:v>
                </c:pt>
                <c:pt idx="7">
                  <c:v>Central Supply Chain</c:v>
                </c:pt>
              </c:strCache>
            </c:strRef>
          </c:cat>
          <c:val>
            <c:numRef>
              <c:f>'Pivot-Charter-obsolete'!$T$6:$T$14</c:f>
              <c:numCache>
                <c:formatCode>General</c:formatCode>
                <c:ptCount val="8"/>
                <c:pt idx="0">
                  <c:v>4</c:v>
                </c:pt>
                <c:pt idx="1">
                  <c:v>1</c:v>
                </c:pt>
                <c:pt idx="4">
                  <c:v>1</c:v>
                </c:pt>
              </c:numCache>
            </c:numRef>
          </c:val>
          <c:extLst>
            <c:ext xmlns:c16="http://schemas.microsoft.com/office/drawing/2014/chart" uri="{C3380CC4-5D6E-409C-BE32-E72D297353CC}">
              <c16:uniqueId val="{0000000D-631F-4469-AA37-CC2A8B8FBEEA}"/>
            </c:ext>
          </c:extLst>
        </c:ser>
        <c:ser>
          <c:idx val="5"/>
          <c:order val="5"/>
          <c:tx>
            <c:strRef>
              <c:f>'Pivot-Charter-obsolete'!$U$4:$U$5</c:f>
              <c:strCache>
                <c:ptCount val="1"/>
                <c:pt idx="0">
                  <c:v>On hold</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10-631F-4469-AA37-CC2A8B8FBEEA}"/>
              </c:ext>
            </c:extLst>
          </c:dPt>
          <c:dPt>
            <c:idx val="1"/>
            <c:invertIfNegative val="0"/>
            <c:bubble3D val="0"/>
            <c:spPr>
              <a:solidFill>
                <a:schemeClr val="accent6"/>
              </a:solidFill>
              <a:ln>
                <a:noFill/>
              </a:ln>
              <a:effectLst/>
            </c:spPr>
            <c:extLst>
              <c:ext xmlns:c16="http://schemas.microsoft.com/office/drawing/2014/chart" uri="{C3380CC4-5D6E-409C-BE32-E72D297353CC}">
                <c16:uniqueId val="{00000012-631F-4469-AA37-CC2A8B8FBEEA}"/>
              </c:ext>
            </c:extLst>
          </c:dPt>
          <c:dPt>
            <c:idx val="2"/>
            <c:invertIfNegative val="0"/>
            <c:bubble3D val="0"/>
            <c:extLst>
              <c:ext xmlns:c16="http://schemas.microsoft.com/office/drawing/2014/chart" uri="{C3380CC4-5D6E-409C-BE32-E72D297353CC}">
                <c16:uniqueId val="{00000011-631F-4469-AA37-CC2A8B8FBEEA}"/>
              </c:ext>
            </c:extLst>
          </c:dPt>
          <c:dLbls>
            <c:dLbl>
              <c:idx val="0"/>
              <c:layout>
                <c:manualLayout>
                  <c:x val="2.9506470264431411E-2"/>
                  <c:y val="-1.4573725695515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1F-4469-AA37-CC2A8B8FBEEA}"/>
                </c:ext>
              </c:extLst>
            </c:dLbl>
            <c:dLbl>
              <c:idx val="1"/>
              <c:layout>
                <c:manualLayout>
                  <c:x val="1.0538025094439789E-2"/>
                  <c:y val="-4.736460851042466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1F-4469-AA37-CC2A8B8FBE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'Pivot-Charter-obsolete'!$O$6:$O$14</c:f>
              <c:strCache>
                <c:ptCount val="8"/>
                <c:pt idx="0">
                  <c:v>Marketing/Sales</c:v>
                </c:pt>
                <c:pt idx="1">
                  <c:v>PD</c:v>
                </c:pt>
                <c:pt idx="2">
                  <c:v>Central Procurement Group</c:v>
                </c:pt>
                <c:pt idx="3">
                  <c:v>Quality</c:v>
                </c:pt>
                <c:pt idx="4">
                  <c:v>Service</c:v>
                </c:pt>
                <c:pt idx="5">
                  <c:v>(blank)</c:v>
                </c:pt>
                <c:pt idx="6">
                  <c:v>Central R&amp;PD</c:v>
                </c:pt>
                <c:pt idx="7">
                  <c:v>Central Supply Chain</c:v>
                </c:pt>
              </c:strCache>
            </c:strRef>
          </c:cat>
          <c:val>
            <c:numRef>
              <c:f>'Pivot-Charter-obsolete'!$U$6:$U$14</c:f>
              <c:numCache>
                <c:formatCode>General</c:formatCode>
                <c:ptCount val="8"/>
                <c:pt idx="0">
                  <c:v>3</c:v>
                </c:pt>
                <c:pt idx="1">
                  <c:v>1</c:v>
                </c:pt>
                <c:pt idx="2">
                  <c:v>7</c:v>
                </c:pt>
              </c:numCache>
            </c:numRef>
          </c:val>
          <c:extLst>
            <c:ext xmlns:c16="http://schemas.microsoft.com/office/drawing/2014/chart" uri="{C3380CC4-5D6E-409C-BE32-E72D297353CC}">
              <c16:uniqueId val="{0000000E-631F-4469-AA37-CC2A8B8FBEEA}"/>
            </c:ext>
          </c:extLst>
        </c:ser>
        <c:dLbls>
          <c:dLblPos val="ctr"/>
          <c:showLegendKey val="0"/>
          <c:showVal val="1"/>
          <c:showCatName val="0"/>
          <c:showSerName val="0"/>
          <c:showPercent val="0"/>
          <c:showBubbleSize val="0"/>
        </c:dLbls>
        <c:gapWidth val="150"/>
        <c:overlap val="100"/>
        <c:axId val="818209839"/>
        <c:axId val="818210319"/>
      </c:barChart>
      <c:catAx>
        <c:axId val="81820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Requesting 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210319"/>
        <c:crosses val="autoZero"/>
        <c:auto val="1"/>
        <c:lblAlgn val="ctr"/>
        <c:lblOffset val="100"/>
        <c:noMultiLvlLbl val="0"/>
      </c:catAx>
      <c:valAx>
        <c:axId val="818210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Projects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20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New Models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'Pivot-Charter-obsolete'!$BF$5:$BF$7</c:f>
              <c:strCache>
                <c:ptCount val="1"/>
                <c:pt idx="0">
                  <c:v>NM -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'Pivot-Charter-obsolete'!$BE$8:$BE$14</c:f>
              <c:strCache>
                <c:ptCount val="6"/>
                <c:pt idx="0">
                  <c:v>ROM</c:v>
                </c:pt>
                <c:pt idx="1">
                  <c:v>IND</c:v>
                </c:pt>
                <c:pt idx="2">
                  <c:v>INN</c:v>
                </c:pt>
                <c:pt idx="3">
                  <c:v>SAF</c:v>
                </c:pt>
                <c:pt idx="4">
                  <c:v>OEM-HCK</c:v>
                </c:pt>
                <c:pt idx="5">
                  <c:v>OEM-Seitek</c:v>
                </c:pt>
              </c:strCache>
            </c:strRef>
          </c:cat>
          <c:val>
            <c:numRef>
              <c:f>'Pivot-Charter-obsolete'!$BF$8:$BF$14</c:f>
              <c:numCache>
                <c:formatCode>General</c:formatCode>
                <c:ptCount val="6"/>
                <c:pt idx="0">
                  <c:v>4</c:v>
                </c:pt>
                <c:pt idx="3">
                  <c:v>1</c:v>
                </c:pt>
              </c:numCache>
            </c:numRef>
          </c:val>
          <c:extLst>
            <c:ext xmlns:c16="http://schemas.microsoft.com/office/drawing/2014/chart" uri="{C3380CC4-5D6E-409C-BE32-E72D297353CC}">
              <c16:uniqueId val="{00000000-DD77-4C05-95F3-73B62820D394}"/>
            </c:ext>
          </c:extLst>
        </c:ser>
        <c:ser>
          <c:idx val="1"/>
          <c:order val="1"/>
          <c:tx>
            <c:strRef>
              <c:f>'Pivot-Charter-obsolete'!$BG$5:$BG$7</c:f>
              <c:strCache>
                <c:ptCount val="1"/>
                <c:pt idx="0">
                  <c:v>NM - 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'Pivot-Charter-obsolete'!$BE$8:$BE$14</c:f>
              <c:strCache>
                <c:ptCount val="6"/>
                <c:pt idx="0">
                  <c:v>ROM</c:v>
                </c:pt>
                <c:pt idx="1">
                  <c:v>IND</c:v>
                </c:pt>
                <c:pt idx="2">
                  <c:v>INN</c:v>
                </c:pt>
                <c:pt idx="3">
                  <c:v>SAF</c:v>
                </c:pt>
                <c:pt idx="4">
                  <c:v>OEM-HCK</c:v>
                </c:pt>
                <c:pt idx="5">
                  <c:v>OEM-Seitek</c:v>
                </c:pt>
              </c:strCache>
            </c:strRef>
          </c:cat>
          <c:val>
            <c:numRef>
              <c:f>'Pivot-Charter-obsolete'!$BG$8:$BG$14</c:f>
              <c:numCache>
                <c:formatCode>General</c:formatCode>
                <c:ptCount val="6"/>
                <c:pt idx="0">
                  <c:v>5</c:v>
                </c:pt>
                <c:pt idx="1">
                  <c:v>4</c:v>
                </c:pt>
                <c:pt idx="2">
                  <c:v>1</c:v>
                </c:pt>
                <c:pt idx="3">
                  <c:v>2</c:v>
                </c:pt>
              </c:numCache>
            </c:numRef>
          </c:val>
          <c:extLst>
            <c:ext xmlns:c16="http://schemas.microsoft.com/office/drawing/2014/chart" uri="{C3380CC4-5D6E-409C-BE32-E72D297353CC}">
              <c16:uniqueId val="{00000001-DD77-4C05-95F3-73B62820D394}"/>
            </c:ext>
          </c:extLst>
        </c:ser>
        <c:ser>
          <c:idx val="2"/>
          <c:order val="2"/>
          <c:tx>
            <c:strRef>
              <c:f>'Pivot-Charter-obsolete'!$BH$5:$BH$7</c:f>
              <c:strCache>
                <c:ptCount val="1"/>
                <c:pt idx="0">
                  <c:v>NM - 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'Pivot-Charter-obsolete'!$BE$8:$BE$14</c:f>
              <c:strCache>
                <c:ptCount val="6"/>
                <c:pt idx="0">
                  <c:v>ROM</c:v>
                </c:pt>
                <c:pt idx="1">
                  <c:v>IND</c:v>
                </c:pt>
                <c:pt idx="2">
                  <c:v>INN</c:v>
                </c:pt>
                <c:pt idx="3">
                  <c:v>SAF</c:v>
                </c:pt>
                <c:pt idx="4">
                  <c:v>OEM-HCK</c:v>
                </c:pt>
                <c:pt idx="5">
                  <c:v>OEM-Seitek</c:v>
                </c:pt>
              </c:strCache>
            </c:strRef>
          </c:cat>
          <c:val>
            <c:numRef>
              <c:f>'Pivot-Charter-obsolete'!$BH$8:$BH$14</c:f>
              <c:numCache>
                <c:formatCode>General</c:formatCode>
                <c:ptCount val="6"/>
                <c:pt idx="0">
                  <c:v>4</c:v>
                </c:pt>
                <c:pt idx="1">
                  <c:v>5</c:v>
                </c:pt>
                <c:pt idx="2">
                  <c:v>1</c:v>
                </c:pt>
              </c:numCache>
            </c:numRef>
          </c:val>
          <c:extLst>
            <c:ext xmlns:c16="http://schemas.microsoft.com/office/drawing/2014/chart" uri="{C3380CC4-5D6E-409C-BE32-E72D297353CC}">
              <c16:uniqueId val="{00000002-DD77-4C05-95F3-73B62820D394}"/>
            </c:ext>
          </c:extLst>
        </c:ser>
        <c:ser>
          <c:idx val="3"/>
          <c:order val="3"/>
          <c:tx>
            <c:strRef>
              <c:f>'Pivot-Charter-obsolete'!$BI$5:$BI$7</c:f>
              <c:strCache>
                <c:ptCount val="1"/>
                <c:pt idx="0">
                  <c:v>NM - 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'Pivot-Charter-obsolete'!$BE$8:$BE$14</c:f>
              <c:strCache>
                <c:ptCount val="6"/>
                <c:pt idx="0">
                  <c:v>ROM</c:v>
                </c:pt>
                <c:pt idx="1">
                  <c:v>IND</c:v>
                </c:pt>
                <c:pt idx="2">
                  <c:v>INN</c:v>
                </c:pt>
                <c:pt idx="3">
                  <c:v>SAF</c:v>
                </c:pt>
                <c:pt idx="4">
                  <c:v>OEM-HCK</c:v>
                </c:pt>
                <c:pt idx="5">
                  <c:v>OEM-Seitek</c:v>
                </c:pt>
              </c:strCache>
            </c:strRef>
          </c:cat>
          <c:val>
            <c:numRef>
              <c:f>'Pivot-Charter-obsolete'!$BI$8:$BI$14</c:f>
              <c:numCache>
                <c:formatCode>General</c:formatCode>
                <c:ptCount val="6"/>
                <c:pt idx="0">
                  <c:v>3</c:v>
                </c:pt>
              </c:numCache>
            </c:numRef>
          </c:val>
          <c:extLst>
            <c:ext xmlns:c16="http://schemas.microsoft.com/office/drawing/2014/chart" uri="{C3380CC4-5D6E-409C-BE32-E72D297353CC}">
              <c16:uniqueId val="{00000003-DD77-4C05-95F3-73B62820D394}"/>
            </c:ext>
          </c:extLst>
        </c:ser>
        <c:ser>
          <c:idx val="4"/>
          <c:order val="4"/>
          <c:tx>
            <c:strRef>
              <c:f>'Pivot-Charter-obsolete'!$BJ$5:$BJ$7</c:f>
              <c:strCache>
                <c:ptCount val="1"/>
                <c:pt idx="0">
                  <c:v>NM - A-OEM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'Pivot-Charter-obsolete'!$BE$8:$BE$14</c:f>
              <c:strCache>
                <c:ptCount val="6"/>
                <c:pt idx="0">
                  <c:v>ROM</c:v>
                </c:pt>
                <c:pt idx="1">
                  <c:v>IND</c:v>
                </c:pt>
                <c:pt idx="2">
                  <c:v>INN</c:v>
                </c:pt>
                <c:pt idx="3">
                  <c:v>SAF</c:v>
                </c:pt>
                <c:pt idx="4">
                  <c:v>OEM-HCK</c:v>
                </c:pt>
                <c:pt idx="5">
                  <c:v>OEM-Seitek</c:v>
                </c:pt>
              </c:strCache>
            </c:strRef>
          </c:cat>
          <c:val>
            <c:numRef>
              <c:f>'Pivot-Charter-obsolete'!$BJ$8:$BJ$14</c:f>
              <c:numCache>
                <c:formatCode>General</c:formatCode>
                <c:ptCount val="6"/>
                <c:pt idx="5">
                  <c:v>3</c:v>
                </c:pt>
              </c:numCache>
            </c:numRef>
          </c:val>
          <c:extLst>
            <c:ext xmlns:c16="http://schemas.microsoft.com/office/drawing/2014/chart" uri="{C3380CC4-5D6E-409C-BE32-E72D297353CC}">
              <c16:uniqueId val="{00000004-DD77-4C05-95F3-73B62820D394}"/>
            </c:ext>
          </c:extLst>
        </c:ser>
        <c:ser>
          <c:idx val="5"/>
          <c:order val="5"/>
          <c:tx>
            <c:strRef>
              <c:f>'Pivot-Charter-obsolete'!$BK$5:$BK$7</c:f>
              <c:strCache>
                <c:ptCount val="1"/>
                <c:pt idx="0">
                  <c:v>NM - B-OEM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'Pivot-Charter-obsolete'!$BE$8:$BE$14</c:f>
              <c:strCache>
                <c:ptCount val="6"/>
                <c:pt idx="0">
                  <c:v>ROM</c:v>
                </c:pt>
                <c:pt idx="1">
                  <c:v>IND</c:v>
                </c:pt>
                <c:pt idx="2">
                  <c:v>INN</c:v>
                </c:pt>
                <c:pt idx="3">
                  <c:v>SAF</c:v>
                </c:pt>
                <c:pt idx="4">
                  <c:v>OEM-HCK</c:v>
                </c:pt>
                <c:pt idx="5">
                  <c:v>OEM-Seitek</c:v>
                </c:pt>
              </c:strCache>
            </c:strRef>
          </c:cat>
          <c:val>
            <c:numRef>
              <c:f>'Pivot-Charter-obsolete'!$BK$8:$BK$14</c:f>
              <c:numCache>
                <c:formatCode>General</c:formatCode>
                <c:ptCount val="6"/>
                <c:pt idx="4">
                  <c:v>7</c:v>
                </c:pt>
                <c:pt idx="5">
                  <c:v>4</c:v>
                </c:pt>
              </c:numCache>
            </c:numRef>
          </c:val>
          <c:extLst>
            <c:ext xmlns:c16="http://schemas.microsoft.com/office/drawing/2014/chart" uri="{C3380CC4-5D6E-409C-BE32-E72D297353CC}">
              <c16:uniqueId val="{00000005-DD77-4C05-95F3-73B62820D394}"/>
            </c:ext>
          </c:extLst>
        </c:ser>
        <c:dLbls>
          <c:dLblPos val="outEnd"/>
          <c:showLegendKey val="0"/>
          <c:showVal val="1"/>
          <c:showCatName val="0"/>
          <c:showSerName val="0"/>
          <c:showPercent val="0"/>
          <c:showBubbleSize val="0"/>
        </c:dLbls>
        <c:gapWidth val="219"/>
        <c:overlap val="-27"/>
        <c:axId val="1080331199"/>
        <c:axId val="1080316319"/>
      </c:barChart>
      <c:catAx>
        <c:axId val="108033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Plant/OEM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16319"/>
        <c:crosses val="autoZero"/>
        <c:auto val="1"/>
        <c:lblAlgn val="ctr"/>
        <c:lblOffset val="100"/>
        <c:noMultiLvlLbl val="0"/>
      </c:catAx>
      <c:valAx>
        <c:axId val="1080316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a:t>
                </a:r>
                <a:r>
                  <a:rPr lang="en-IN" baseline="0"/>
                  <a:t> Projects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3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[Formual-2025-26 Global RPD Project Pipeline.xlsx]Pivot-Charter-obsolete!PivotTable7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56922046096552E-2"/>
          <c:y val="6.3884438623462769E-2"/>
          <c:w val="0.7553463063309076"/>
          <c:h val="0.79379642714550958"/>
        </c:manualLayout>
      </c:layout>
      <c:barChart>
        <c:barDir val="col"/>
        <c:grouping val="stacked"/>
        <c:varyColors val="0"/>
        <c:ser>
          <c:idx val="0"/>
          <c:order val="0"/>
          <c:tx>
            <c:strRef>
              <c:f>'Pivot-Charter-obsolete'!$CU$4:$CU$5</c:f>
              <c:strCache>
                <c:ptCount val="1"/>
                <c:pt idx="0">
                  <c:v>ROM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'Pivot-Charter-obsolete'!$CU$6:$CU$23</c:f>
              <c:numCache>
                <c:formatCode>General</c:formatCode>
                <c:ptCount val="17"/>
                <c:pt idx="2">
                  <c:v>8</c:v>
                </c:pt>
                <c:pt idx="3">
                  <c:v>6</c:v>
                </c:pt>
                <c:pt idx="4">
                  <c:v>13</c:v>
                </c:pt>
                <c:pt idx="5">
                  <c:v>20</c:v>
                </c:pt>
                <c:pt idx="6">
                  <c:v>9</c:v>
                </c:pt>
                <c:pt idx="7">
                  <c:v>3</c:v>
                </c:pt>
                <c:pt idx="8">
                  <c:v>7</c:v>
                </c:pt>
                <c:pt idx="15">
                  <c:v>28</c:v>
                </c:pt>
                <c:pt idx="16">
                  <c:v>9</c:v>
                </c:pt>
              </c:numCache>
            </c:numRef>
          </c:val>
          <c:extLst>
            <c:ext xmlns:c16="http://schemas.microsoft.com/office/drawing/2014/chart" uri="{C3380CC4-5D6E-409C-BE32-E72D297353CC}">
              <c16:uniqueId val="{00000000-B5C2-42F4-897A-14E659898271}"/>
            </c:ext>
          </c:extLst>
        </c:ser>
        <c:ser>
          <c:idx val="1"/>
          <c:order val="1"/>
          <c:tx>
            <c:strRef>
              <c:f>'Pivot-Charter-obsolete'!$CV$4:$CV$5</c:f>
              <c:strCache>
                <c:ptCount val="1"/>
                <c:pt idx="0">
                  <c:v>IND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'Pivot-Charter-obsolete'!$CV$6:$CV$23</c:f>
              <c:numCache>
                <c:formatCode>General</c:formatCode>
                <c:ptCount val="17"/>
                <c:pt idx="0">
                  <c:v>1</c:v>
                </c:pt>
                <c:pt idx="1">
                  <c:v>2</c:v>
                </c:pt>
                <c:pt idx="2">
                  <c:v>1</c:v>
                </c:pt>
                <c:pt idx="3">
                  <c:v>3</c:v>
                </c:pt>
                <c:pt idx="4">
                  <c:v>11</c:v>
                </c:pt>
                <c:pt idx="5">
                  <c:v>22</c:v>
                </c:pt>
                <c:pt idx="6">
                  <c:v>29</c:v>
                </c:pt>
                <c:pt idx="15">
                  <c:v>3</c:v>
                </c:pt>
                <c:pt idx="16">
                  <c:v>37</c:v>
                </c:pt>
              </c:numCache>
            </c:numRef>
          </c:val>
          <c:extLst>
            <c:ext xmlns:c16="http://schemas.microsoft.com/office/drawing/2014/chart" uri="{C3380CC4-5D6E-409C-BE32-E72D297353CC}">
              <c16:uniqueId val="{00000001-B5C2-42F4-897A-14E659898271}"/>
            </c:ext>
          </c:extLst>
        </c:ser>
        <c:ser>
          <c:idx val="2"/>
          <c:order val="2"/>
          <c:tx>
            <c:strRef>
              <c:f>'Pivot-Charter-obsolete'!$CW$4:$CW$5</c:f>
              <c:strCache>
                <c:ptCount val="1"/>
                <c:pt idx="0">
                  <c:v>INN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'Pivot-Charter-obsolete'!$CW$6:$CW$23</c:f>
              <c:numCache>
                <c:formatCode>General</c:formatCode>
                <c:ptCount val="17"/>
                <c:pt idx="0">
                  <c:v>2</c:v>
                </c:pt>
                <c:pt idx="3">
                  <c:v>1</c:v>
                </c:pt>
                <c:pt idx="4">
                  <c:v>2</c:v>
                </c:pt>
                <c:pt idx="5">
                  <c:v>1</c:v>
                </c:pt>
                <c:pt idx="16">
                  <c:v>2</c:v>
                </c:pt>
              </c:numCache>
            </c:numRef>
          </c:val>
          <c:extLst>
            <c:ext xmlns:c16="http://schemas.microsoft.com/office/drawing/2014/chart" uri="{C3380CC4-5D6E-409C-BE32-E72D297353CC}">
              <c16:uniqueId val="{00000002-B5C2-42F4-897A-14E659898271}"/>
            </c:ext>
          </c:extLst>
        </c:ser>
        <c:ser>
          <c:idx val="3"/>
          <c:order val="3"/>
          <c:tx>
            <c:strRef>
              <c:f>'Pivot-Charter-obsolete'!$CX$4:$CX$5</c:f>
              <c:strCache>
                <c:ptCount val="1"/>
                <c:pt idx="0">
                  <c:v>SAF</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'Pivot-Charter-obsolete'!$CX$6:$CX$23</c:f>
              <c:numCache>
                <c:formatCode>General</c:formatCode>
                <c:ptCount val="17"/>
                <c:pt idx="0">
                  <c:v>1</c:v>
                </c:pt>
                <c:pt idx="1">
                  <c:v>1</c:v>
                </c:pt>
                <c:pt idx="2">
                  <c:v>1</c:v>
                </c:pt>
                <c:pt idx="3">
                  <c:v>2</c:v>
                </c:pt>
                <c:pt idx="5">
                  <c:v>5</c:v>
                </c:pt>
                <c:pt idx="6">
                  <c:v>2</c:v>
                </c:pt>
                <c:pt idx="8">
                  <c:v>4</c:v>
                </c:pt>
                <c:pt idx="16">
                  <c:v>6</c:v>
                </c:pt>
              </c:numCache>
            </c:numRef>
          </c:val>
          <c:extLst>
            <c:ext xmlns:c16="http://schemas.microsoft.com/office/drawing/2014/chart" uri="{C3380CC4-5D6E-409C-BE32-E72D297353CC}">
              <c16:uniqueId val="{00000003-B5C2-42F4-897A-14E659898271}"/>
            </c:ext>
          </c:extLst>
        </c:ser>
        <c:ser>
          <c:idx val="4"/>
          <c:order val="4"/>
          <c:tx>
            <c:strRef>
              <c:f>'Pivot-Charter-obsolete'!$CY$4:$CY$5</c:f>
              <c:strCache>
                <c:ptCount val="1"/>
                <c:pt idx="0">
                  <c:v>Multiplant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'Pivot-Charter-obsolete'!$CY$6:$CY$23</c:f>
              <c:numCache>
                <c:formatCode>General</c:formatCode>
                <c:ptCount val="17"/>
                <c:pt idx="4">
                  <c:v>7</c:v>
                </c:pt>
                <c:pt idx="5">
                  <c:v>2</c:v>
                </c:pt>
                <c:pt idx="8">
                  <c:v>4</c:v>
                </c:pt>
              </c:numCache>
            </c:numRef>
          </c:val>
          <c:extLst>
            <c:ext xmlns:c16="http://schemas.microsoft.com/office/drawing/2014/chart" uri="{C3380CC4-5D6E-409C-BE32-E72D297353CC}">
              <c16:uniqueId val="{00000004-B5C2-42F4-897A-14E659898271}"/>
            </c:ext>
          </c:extLst>
        </c:ser>
        <c:ser>
          <c:idx val="5"/>
          <c:order val="5"/>
          <c:tx>
            <c:strRef>
              <c:f>'Pivot-Charter-obsolete'!$CZ$4:$CZ$5</c:f>
              <c:strCache>
                <c:ptCount val="1"/>
                <c:pt idx="0">
                  <c:v>OEM-HCK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'Pivot-Charter-obsolete'!$CZ$6:$CZ$23</c:f>
              <c:numCache>
                <c:formatCode>General</c:formatCode>
                <c:ptCount val="17"/>
                <c:pt idx="10">
                  <c:v>4</c:v>
                </c:pt>
                <c:pt idx="11">
                  <c:v>1</c:v>
                </c:pt>
                <c:pt idx="12">
                  <c:v>1</c:v>
                </c:pt>
                <c:pt idx="13">
                  <c:v>2</c:v>
                </c:pt>
                <c:pt idx="16">
                  <c:v>5</c:v>
                </c:pt>
              </c:numCache>
            </c:numRef>
          </c:val>
          <c:extLst>
            <c:ext xmlns:c16="http://schemas.microsoft.com/office/drawing/2014/chart" uri="{C3380CC4-5D6E-409C-BE32-E72D297353CC}">
              <c16:uniqueId val="{00000005-B5C2-42F4-897A-14E659898271}"/>
            </c:ext>
          </c:extLst>
        </c:ser>
        <c:ser>
          <c:idx val="6"/>
          <c:order val="6"/>
          <c:tx>
            <c:strRef>
              <c:f>'Pivot-Charter-obsolete'!$DA$4:$DA$5</c:f>
              <c:strCache>
                <c:ptCount val="1"/>
                <c:pt idx="0">
                  <c:v>OEM-Seitek</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'Pivot-Charter-obsolete'!$CT$6:$CT$23</c:f>
              <c:strCache>
                <c:ptCount val="17"/>
                <c:pt idx="0">
                  <c:v>PDD-A</c:v>
                </c:pt>
                <c:pt idx="1">
                  <c:v>PDD-B</c:v>
                </c:pt>
                <c:pt idx="2">
                  <c:v>PDD-E</c:v>
                </c:pt>
                <c:pt idx="3">
                  <c:v>PDD-F</c:v>
                </c:pt>
                <c:pt idx="4">
                  <c:v>PDD-H</c:v>
                </c:pt>
                <c:pt idx="5">
                  <c:v>PDD-I</c:v>
                </c:pt>
                <c:pt idx="6">
                  <c:v>PDD-J</c:v>
                </c:pt>
                <c:pt idx="7">
                  <c:v>PDD-K</c:v>
                </c:pt>
                <c:pt idx="8">
                  <c:v>PDD-N</c:v>
                </c:pt>
                <c:pt idx="9">
                  <c:v>OEM-A</c:v>
                </c:pt>
                <c:pt idx="10">
                  <c:v>OEM-B</c:v>
                </c:pt>
                <c:pt idx="11">
                  <c:v>OEM-G</c:v>
                </c:pt>
                <c:pt idx="12">
                  <c:v>OEM-H</c:v>
                </c:pt>
                <c:pt idx="13">
                  <c:v>OEM-J</c:v>
                </c:pt>
                <c:pt idx="14">
                  <c:v>OEM-N</c:v>
                </c:pt>
                <c:pt idx="15">
                  <c:v>(blank)</c:v>
                </c:pt>
                <c:pt idx="16">
                  <c:v>Not Started</c:v>
                </c:pt>
              </c:strCache>
            </c:strRef>
          </c:cat>
          <c:val>
            <c:numRef>
              <c:f>'Pivot-Charter-obsolete'!$DA$6:$DA$23</c:f>
              <c:numCache>
                <c:formatCode>General</c:formatCode>
                <c:ptCount val="17"/>
                <c:pt idx="4">
                  <c:v>1</c:v>
                </c:pt>
                <c:pt idx="9">
                  <c:v>1</c:v>
                </c:pt>
                <c:pt idx="11">
                  <c:v>1</c:v>
                </c:pt>
                <c:pt idx="12">
                  <c:v>5</c:v>
                </c:pt>
                <c:pt idx="13">
                  <c:v>2</c:v>
                </c:pt>
                <c:pt idx="14">
                  <c:v>1</c:v>
                </c:pt>
                <c:pt idx="16">
                  <c:v>3</c:v>
                </c:pt>
              </c:numCache>
            </c:numRef>
          </c:val>
          <c:extLst>
            <c:ext xmlns:c16="http://schemas.microsoft.com/office/drawing/2014/chart" uri="{C3380CC4-5D6E-409C-BE32-E72D297353CC}">
              <c16:uniqueId val="{00000006-B5C2-42F4-897A-14E659898271}"/>
            </c:ext>
          </c:extLst>
        </c:ser>
        <c:dLbls>
          <c:dLblPos val="ctr"/>
          <c:showLegendKey val="0"/>
          <c:showVal val="1"/>
          <c:showCatName val="0"/>
          <c:showSerName val="0"/>
          <c:showPercent val="0"/>
          <c:showBubbleSize val="0"/>
        </c:dLbls>
        <c:gapWidth val="150"/>
        <c:overlap val="100"/>
        <c:axId val="692474879"/>
        <c:axId val="692475359"/>
      </c:barChart>
      <c:catAx>
        <c:axId val="69247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75359"/>
        <c:crosses val="autoZero"/>
        <c:auto val="1"/>
        <c:lblAlgn val="ctr"/>
        <c:lblOffset val="100"/>
        <c:noMultiLvlLbl val="0"/>
      </c:catAx>
      <c:valAx>
        <c:axId val="69247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7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Saving</a:t>
            </a:r>
            <a:r>
              <a:rPr lang="en-US" baseline="0"/>
              <a:t>s Projects: </a:t>
            </a:r>
            <a:r>
              <a:rPr lang="en-US"/>
              <a:t>v14 &amp; v12b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'14 Vs. 12b'!$B$4</c:f>
              <c:strCache>
                <c:ptCount val="1"/>
                <c:pt idx="0">
                  <c:v>v12B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 Vs. 12b'!$C$3:$F$3</c:f>
              <c:strCache>
                <c:ptCount val="4"/>
                <c:pt idx="0">
                  <c:v>2024 Spillover</c:v>
                </c:pt>
                <c:pt idx="1">
                  <c:v>2025 Within</c:v>
                </c:pt>
                <c:pt idx="2">
                  <c:v>2025 Spillover</c:v>
                </c:pt>
                <c:pt idx="3">
                  <c:v>Total</c:v>
                </c:pt>
              </c:strCache>
            </c:strRef>
          </c:cat>
          <c:val>
            <c:numRef>
              <c:f>'14 Vs. 12b'!$C$4:$F$4</c:f>
              <c:numCache>
                <c:formatCode>"€"#,##0_);\("€"#,##0\)</c:formatCode>
                <c:ptCount val="4"/>
                <c:pt idx="0">
                  <c:v>804.75504843017097</c:v>
                </c:pt>
                <c:pt idx="1">
                  <c:v>3902.712520314331</c:v>
                </c:pt>
                <c:pt idx="2">
                  <c:v>1407.7854651642581</c:v>
                </c:pt>
                <c:pt idx="3">
                  <c:v>6115.2530339087598</c:v>
                </c:pt>
              </c:numCache>
            </c:numRef>
          </c:val>
          <c:extLst>
            <c:ext xmlns:c16="http://schemas.microsoft.com/office/drawing/2014/chart" uri="{C3380CC4-5D6E-409C-BE32-E72D297353CC}">
              <c16:uniqueId val="{00000000-7FE6-4407-9D5F-1E2413CF92AF}"/>
            </c:ext>
          </c:extLst>
        </c:ser>
        <c:ser>
          <c:idx val="1"/>
          <c:order val="1"/>
          <c:tx>
            <c:strRef>
              <c:f>'14 Vs. 12b'!$B$5</c:f>
              <c:strCache>
                <c:ptCount val="1"/>
                <c:pt idx="0">
                  <c:v>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 Vs. 12b'!$C$3:$F$3</c:f>
              <c:strCache>
                <c:ptCount val="4"/>
                <c:pt idx="0">
                  <c:v>2024 Spillover</c:v>
                </c:pt>
                <c:pt idx="1">
                  <c:v>2025 Within</c:v>
                </c:pt>
                <c:pt idx="2">
                  <c:v>2025 Spillover</c:v>
                </c:pt>
                <c:pt idx="3">
                  <c:v>Total</c:v>
                </c:pt>
              </c:strCache>
            </c:strRef>
          </c:cat>
          <c:val>
            <c:numRef>
              <c:f>'14 Vs. 12b'!$C$5:$F$5</c:f>
              <c:numCache>
                <c:formatCode>"€"#,##0_);\("€"#,##0\)</c:formatCode>
                <c:ptCount val="4"/>
                <c:pt idx="0">
                  <c:v>0</c:v>
                </c:pt>
                <c:pt idx="1">
                  <c:v>0</c:v>
                </c:pt>
                <c:pt idx="2">
                  <c:v>0</c:v>
                </c:pt>
                <c:pt idx="3">
                  <c:v>0</c:v>
                </c:pt>
              </c:numCache>
            </c:numRef>
          </c:val>
          <c:extLst>
            <c:ext xmlns:c16="http://schemas.microsoft.com/office/drawing/2014/chart" uri="{C3380CC4-5D6E-409C-BE32-E72D297353CC}">
              <c16:uniqueId val="{00000001-7FE6-4407-9D5F-1E2413CF92AF}"/>
            </c:ext>
          </c:extLst>
        </c:ser>
        <c:ser>
          <c:idx val="2"/>
          <c:order val="2"/>
          <c:tx>
            <c:strRef>
              <c:f>'14 Vs. 12b'!$B$6</c:f>
              <c:strCache>
                <c:ptCount val="1"/>
                <c:pt idx="0">
                  <c:v>Δ</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 Vs. 12b'!$C$3:$F$3</c:f>
              <c:strCache>
                <c:ptCount val="4"/>
                <c:pt idx="0">
                  <c:v>2024 Spillover</c:v>
                </c:pt>
                <c:pt idx="1">
                  <c:v>2025 Within</c:v>
                </c:pt>
                <c:pt idx="2">
                  <c:v>2025 Spillover</c:v>
                </c:pt>
                <c:pt idx="3">
                  <c:v>Total</c:v>
                </c:pt>
              </c:strCache>
            </c:strRef>
          </c:cat>
          <c:val>
            <c:numRef>
              <c:f>'14 Vs. 12b'!$C$6:$F$6</c:f>
              <c:numCache>
                <c:formatCode>"€"#,##0_);\("€"#,##0\)</c:formatCode>
                <c:ptCount val="4"/>
                <c:pt idx="0">
                  <c:v>0</c:v>
                </c:pt>
                <c:pt idx="1">
                  <c:v>0</c:v>
                </c:pt>
                <c:pt idx="2">
                  <c:v>0</c:v>
                </c:pt>
                <c:pt idx="3">
                  <c:v>0</c:v>
                </c:pt>
              </c:numCache>
            </c:numRef>
          </c:val>
          <c:extLst>
            <c:ext xmlns:c16="http://schemas.microsoft.com/office/drawing/2014/chart" uri="{C3380CC4-5D6E-409C-BE32-E72D297353CC}">
              <c16:uniqueId val="{00000002-7FE6-4407-9D5F-1E2413CF92AF}"/>
            </c:ext>
          </c:extLst>
        </c:ser>
        <c:dLbls>
          <c:dLblPos val="outEnd"/>
          <c:showLegendKey val="0"/>
          <c:showVal val="1"/>
          <c:showCatName val="0"/>
          <c:showSerName val="0"/>
          <c:showPercent val="0"/>
          <c:showBubbleSize val="0"/>
        </c:dLbls>
        <c:gapWidth val="219"/>
        <c:overlap val="-27"/>
        <c:axId val="220916240"/>
        <c:axId val="220902800"/>
      </c:barChart>
      <c:catAx>
        <c:axId val="22091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2800"/>
        <c:crosses val="autoZero"/>
        <c:auto val="1"/>
        <c:lblAlgn val="ctr"/>
        <c:lblOffset val="100"/>
        <c:noMultiLvlLbl val="0"/>
      </c:catAx>
      <c:valAx>
        <c:axId val="220902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 EUR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16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AEE00A9-91E9-46B2-B931-E97F5697D9BB}">
          <cx:tx>
            <cx:txData>
              <cx:f>_xlchart.v1.1</cx:f>
              <cx:v>6 78 50 60 3</cx:v>
            </cx:txData>
          </cx:tx>
          <cx:dataPt idx="0">
            <cx:spPr>
              <a:solidFill>
                <a:srgbClr val="0F9ED5">
                  <a:lumMod val="50000"/>
                </a:srgbClr>
              </a:solidFill>
            </cx:spPr>
          </cx:dataPt>
          <cx:dataPt idx="1">
            <cx:spPr>
              <a:solidFill>
                <a:prstClr val="black"/>
              </a:solidFill>
            </cx:spPr>
          </cx:dataPt>
          <cx:dataPt idx="2">
            <cx:spPr>
              <a:ln w="25400">
                <a:noFill/>
              </a:ln>
            </cx:spPr>
          </cx:dataPt>
          <cx:dataPt idx="3">
            <cx:spPr>
              <a:solidFill>
                <a:sysClr val="window" lastClr="FFFFFF">
                  <a:lumMod val="65000"/>
                </a:sysClr>
              </a:solidFill>
            </cx:spPr>
          </cx:dataPt>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none"/>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microsoft.com/office/2014/relationships/chartEx" Target="../charts/chartEx1.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10</xdr:col>
      <xdr:colOff>800793</xdr:colOff>
      <xdr:row>12</xdr:row>
      <xdr:rowOff>257349</xdr:rowOff>
    </xdr:from>
    <xdr:to>
      <xdr:col>15</xdr:col>
      <xdr:colOff>2715490</xdr:colOff>
      <xdr:row>30</xdr:row>
      <xdr:rowOff>69273</xdr:rowOff>
    </xdr:to>
    <xdr:graphicFrame macro="">
      <xdr:nvGraphicFramePr>
        <xdr:cNvPr id="2" name="Chart 1">
          <a:extLst>
            <a:ext uri="{FF2B5EF4-FFF2-40B4-BE49-F238E27FC236}">
              <a16:creationId xmlns:a16="http://schemas.microsoft.com/office/drawing/2014/main" id="{CCEBA343-036E-44E5-B165-75984D5F5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983672</xdr:colOff>
      <xdr:row>55</xdr:row>
      <xdr:rowOff>132312</xdr:rowOff>
    </xdr:from>
    <xdr:to>
      <xdr:col>7</xdr:col>
      <xdr:colOff>789709</xdr:colOff>
      <xdr:row>60</xdr:row>
      <xdr:rowOff>459279</xdr:rowOff>
    </xdr:to>
    <xdr:graphicFrame macro="">
      <xdr:nvGraphicFramePr>
        <xdr:cNvPr id="6" name="Chart 2">
          <a:extLst>
            <a:ext uri="{FF2B5EF4-FFF2-40B4-BE49-F238E27FC236}">
              <a16:creationId xmlns:a16="http://schemas.microsoft.com/office/drawing/2014/main" id="{5A610E14-D425-47D4-A798-4879A5E3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468085</xdr:colOff>
      <xdr:row>68</xdr:row>
      <xdr:rowOff>130629</xdr:rowOff>
    </xdr:from>
    <xdr:to>
      <xdr:col>4</xdr:col>
      <xdr:colOff>914400</xdr:colOff>
      <xdr:row>74</xdr:row>
      <xdr:rowOff>1431472</xdr:rowOff>
    </xdr:to>
    <xdr:graphicFrame macro="">
      <xdr:nvGraphicFramePr>
        <xdr:cNvPr id="4" name="Chart 3">
          <a:extLst>
            <a:ext uri="{FF2B5EF4-FFF2-40B4-BE49-F238E27FC236}">
              <a16:creationId xmlns:a16="http://schemas.microsoft.com/office/drawing/2014/main" id="{619FACE8-0E97-4298-9ACC-E0F1C8A58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13161</xdr:colOff>
      <xdr:row>42</xdr:row>
      <xdr:rowOff>138544</xdr:rowOff>
    </xdr:from>
    <xdr:to>
      <xdr:col>4</xdr:col>
      <xdr:colOff>484909</xdr:colOff>
      <xdr:row>49</xdr:row>
      <xdr:rowOff>138545</xdr:rowOff>
    </xdr:to>
    <xdr:graphicFrame macro="">
      <xdr:nvGraphicFramePr>
        <xdr:cNvPr id="5" name="Chart 4">
          <a:extLst>
            <a:ext uri="{FF2B5EF4-FFF2-40B4-BE49-F238E27FC236}">
              <a16:creationId xmlns:a16="http://schemas.microsoft.com/office/drawing/2014/main" id="{F3388E42-3486-4E43-9F42-036FB4371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104775</xdr:colOff>
      <xdr:row>4</xdr:row>
      <xdr:rowOff>185737</xdr:rowOff>
    </xdr:from>
    <xdr:to>
      <xdr:col>25</xdr:col>
      <xdr:colOff>447675</xdr:colOff>
      <xdr:row>24</xdr:row>
      <xdr:rowOff>38101</xdr:rowOff>
    </xdr:to>
    <xdr:graphicFrame macro="">
      <xdr:nvGraphicFramePr>
        <xdr:cNvPr id="2" name="Chart 1">
          <a:extLst>
            <a:ext uri="{FF2B5EF4-FFF2-40B4-BE49-F238E27FC236}">
              <a16:creationId xmlns:a16="http://schemas.microsoft.com/office/drawing/2014/main" id="{54203E2C-1934-0E58-D742-B1876EE1D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414274</xdr:colOff>
      <xdr:row>140</xdr:row>
      <xdr:rowOff>41440</xdr:rowOff>
    </xdr:from>
    <xdr:to>
      <xdr:col>20</xdr:col>
      <xdr:colOff>606137</xdr:colOff>
      <xdr:row>157</xdr:row>
      <xdr:rowOff>103909</xdr:rowOff>
    </xdr:to>
    <xdr:graphicFrame macro="">
      <xdr:nvGraphicFramePr>
        <xdr:cNvPr id="2" name="Chart 1">
          <a:extLst>
            <a:ext uri="{FF2B5EF4-FFF2-40B4-BE49-F238E27FC236}">
              <a16:creationId xmlns:a16="http://schemas.microsoft.com/office/drawing/2014/main" id="{A4B5081C-D3EE-5A37-194B-1F4B77BC8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547105</xdr:colOff>
      <xdr:row>145</xdr:row>
      <xdr:rowOff>148843</xdr:rowOff>
    </xdr:from>
    <xdr:to>
      <xdr:col>39</xdr:col>
      <xdr:colOff>358588</xdr:colOff>
      <xdr:row>181</xdr:row>
      <xdr:rowOff>179294</xdr:rowOff>
    </xdr:to>
    <xdr:graphicFrame macro="">
      <xdr:nvGraphicFramePr>
        <xdr:cNvPr id="3" name="Chart 2">
          <a:extLst>
            <a:ext uri="{FF2B5EF4-FFF2-40B4-BE49-F238E27FC236}">
              <a16:creationId xmlns:a16="http://schemas.microsoft.com/office/drawing/2014/main" id="{16569BFA-2494-DE59-4F30-84540BD2C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128867</xdr:colOff>
      <xdr:row>187</xdr:row>
      <xdr:rowOff>158001</xdr:rowOff>
    </xdr:from>
    <xdr:to>
      <xdr:col>27</xdr:col>
      <xdr:colOff>190499</xdr:colOff>
      <xdr:row>206</xdr:row>
      <xdr:rowOff>11204</xdr:rowOff>
    </xdr:to>
    <xdr:graphicFrame macro="">
      <xdr:nvGraphicFramePr>
        <xdr:cNvPr id="4" name="Chart 3">
          <a:extLst>
            <a:ext uri="{FF2B5EF4-FFF2-40B4-BE49-F238E27FC236}">
              <a16:creationId xmlns:a16="http://schemas.microsoft.com/office/drawing/2014/main" id="{C03AE004-9900-CE44-8BF3-8874F36CB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746760</xdr:colOff>
      <xdr:row>1</xdr:row>
      <xdr:rowOff>133350</xdr:rowOff>
    </xdr:from>
    <xdr:to>
      <xdr:col>18</xdr:col>
      <xdr:colOff>342900</xdr:colOff>
      <xdr:row>23</xdr:row>
      <xdr:rowOff>15240</xdr:rowOff>
    </xdr:to>
    <xdr:graphicFrame macro="">
      <xdr:nvGraphicFramePr>
        <xdr:cNvPr id="2" name="Chart 1">
          <a:extLst>
            <a:ext uri="{FF2B5EF4-FFF2-40B4-BE49-F238E27FC236}">
              <a16:creationId xmlns:a16="http://schemas.microsoft.com/office/drawing/2014/main" id="{CF672AA4-F561-3276-F928-4B3302F03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23</xdr:row>
      <xdr:rowOff>49530</xdr:rowOff>
    </xdr:from>
    <xdr:to>
      <xdr:col>16</xdr:col>
      <xdr:colOff>487680</xdr:colOff>
      <xdr:row>38</xdr:row>
      <xdr:rowOff>49530</xdr:rowOff>
    </xdr:to>
    <xdr:graphicFrame macro="">
      <xdr:nvGraphicFramePr>
        <xdr:cNvPr id="3" name="Chart 2">
          <a:extLst>
            <a:ext uri="{FF2B5EF4-FFF2-40B4-BE49-F238E27FC236}">
              <a16:creationId xmlns:a16="http://schemas.microsoft.com/office/drawing/2014/main" id="{C2BCC71F-5E25-83F1-4A64-65F02132B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7621</xdr:colOff>
      <xdr:row>5</xdr:row>
      <xdr:rowOff>106681</xdr:rowOff>
    </xdr:from>
    <xdr:to>
      <xdr:col>5</xdr:col>
      <xdr:colOff>251460</xdr:colOff>
      <xdr:row>25</xdr:row>
      <xdr:rowOff>42454</xdr:rowOff>
    </xdr:to>
    <xdr:graphicFrame macro="">
      <xdr:nvGraphicFramePr>
        <xdr:cNvPr id="2" name="Chart 1">
          <a:extLst>
            <a:ext uri="{FF2B5EF4-FFF2-40B4-BE49-F238E27FC236}">
              <a16:creationId xmlns:a16="http://schemas.microsoft.com/office/drawing/2014/main" id="{3A9DDE36-E1B8-41D8-9E4F-D7CF27EF6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283920</xdr:colOff>
      <xdr:row>8</xdr:row>
      <xdr:rowOff>66364</xdr:rowOff>
    </xdr:from>
    <xdr:to>
      <xdr:col>25</xdr:col>
      <xdr:colOff>340194</xdr:colOff>
      <xdr:row>28</xdr:row>
      <xdr:rowOff>121624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AB62C50-CD9F-4B65-B52B-91E3A40CD0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050980" y="2367604"/>
              <a:ext cx="5154054" cy="3750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512616</xdr:colOff>
      <xdr:row>9</xdr:row>
      <xdr:rowOff>13855</xdr:rowOff>
    </xdr:from>
    <xdr:to>
      <xdr:col>16</xdr:col>
      <xdr:colOff>332509</xdr:colOff>
      <xdr:row>36</xdr:row>
      <xdr:rowOff>110836</xdr:rowOff>
    </xdr:to>
    <xdr:graphicFrame macro="">
      <xdr:nvGraphicFramePr>
        <xdr:cNvPr id="6" name="Chart 5">
          <a:extLst>
            <a:ext uri="{FF2B5EF4-FFF2-40B4-BE49-F238E27FC236}">
              <a16:creationId xmlns:a16="http://schemas.microsoft.com/office/drawing/2014/main" id="{29E00DBB-DE23-F11D-833D-09CDD3438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80</xdr:col>
      <xdr:colOff>304800</xdr:colOff>
      <xdr:row>12</xdr:row>
      <xdr:rowOff>98306</xdr:rowOff>
    </xdr:from>
    <xdr:to>
      <xdr:col>81</xdr:col>
      <xdr:colOff>6741523</xdr:colOff>
      <xdr:row>35</xdr:row>
      <xdr:rowOff>1571065</xdr:rowOff>
    </xdr:to>
    <xdr:graphicFrame macro="">
      <xdr:nvGraphicFramePr>
        <xdr:cNvPr id="3" name="Chart 2">
          <a:extLst>
            <a:ext uri="{FF2B5EF4-FFF2-40B4-BE49-F238E27FC236}">
              <a16:creationId xmlns:a16="http://schemas.microsoft.com/office/drawing/2014/main" id="{A0EE8479-0A9A-459D-9D33-8E1B773F4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597478</xdr:colOff>
      <xdr:row>15</xdr:row>
      <xdr:rowOff>13855</xdr:rowOff>
    </xdr:from>
    <xdr:to>
      <xdr:col>11</xdr:col>
      <xdr:colOff>50569</xdr:colOff>
      <xdr:row>35</xdr:row>
      <xdr:rowOff>1721427</xdr:rowOff>
    </xdr:to>
    <xdr:graphicFrame macro="">
      <xdr:nvGraphicFramePr>
        <xdr:cNvPr id="4" name="Chart 3">
          <a:extLst>
            <a:ext uri="{FF2B5EF4-FFF2-40B4-BE49-F238E27FC236}">
              <a16:creationId xmlns:a16="http://schemas.microsoft.com/office/drawing/2014/main" id="{C962C9C3-58DF-4338-9349-F5E6EA49B4E1}"/>
            </a:ext>
            <a:ext uri="{147F2762-F138-4A5C-976F-8EAC2B608ADB}">
              <a16:predDERef xmlns:a16="http://schemas.microsoft.com/office/drawing/2014/main" pred="{A0EE8479-0A9A-459D-9D33-8E1B773F4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93</xdr:col>
      <xdr:colOff>25928</xdr:colOff>
      <xdr:row>3</xdr:row>
      <xdr:rowOff>3</xdr:rowOff>
    </xdr:from>
    <xdr:to>
      <xdr:col>93</xdr:col>
      <xdr:colOff>6877050</xdr:colOff>
      <xdr:row>32</xdr:row>
      <xdr:rowOff>133350</xdr:rowOff>
    </xdr:to>
    <xdr:graphicFrame macro="">
      <xdr:nvGraphicFramePr>
        <xdr:cNvPr id="7" name="Chart 6">
          <a:extLst>
            <a:ext uri="{FF2B5EF4-FFF2-40B4-BE49-F238E27FC236}">
              <a16:creationId xmlns:a16="http://schemas.microsoft.com/office/drawing/2014/main" id="{CB6B64E4-8287-4163-ACA4-AF23CE039A2C}"/>
            </a:ext>
            <a:ext uri="{147F2762-F138-4A5C-976F-8EAC2B608ADB}">
              <a16:predDERef xmlns:a16="http://schemas.microsoft.com/office/drawing/2014/main" pred="{C962C9C3-58DF-4338-9349-F5E6EA49B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44822</xdr:colOff>
      <xdr:row>13</xdr:row>
      <xdr:rowOff>76200</xdr:rowOff>
    </xdr:from>
    <xdr:to>
      <xdr:col>40</xdr:col>
      <xdr:colOff>757518</xdr:colOff>
      <xdr:row>35</xdr:row>
      <xdr:rowOff>1822077</xdr:rowOff>
    </xdr:to>
    <xdr:graphicFrame macro="">
      <xdr:nvGraphicFramePr>
        <xdr:cNvPr id="12" name="Chart 11">
          <a:extLst>
            <a:ext uri="{FF2B5EF4-FFF2-40B4-BE49-F238E27FC236}">
              <a16:creationId xmlns:a16="http://schemas.microsoft.com/office/drawing/2014/main" id="{2D4EC209-FEAA-2C72-05C8-E8DEAF0E4FBE}"/>
            </a:ext>
            <a:ext uri="{147F2762-F138-4A5C-976F-8EAC2B608ADB}">
              <a16:predDERef xmlns:a16="http://schemas.microsoft.com/office/drawing/2014/main" pred="{CB6B64E4-8287-4163-ACA4-AF23CE03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50</xdr:col>
      <xdr:colOff>358683</xdr:colOff>
      <xdr:row>7</xdr:row>
      <xdr:rowOff>372304</xdr:rowOff>
    </xdr:from>
    <xdr:to>
      <xdr:col>53</xdr:col>
      <xdr:colOff>2828752</xdr:colOff>
      <xdr:row>39</xdr:row>
      <xdr:rowOff>121920</xdr:rowOff>
    </xdr:to>
    <xdr:graphicFrame macro="">
      <xdr:nvGraphicFramePr>
        <xdr:cNvPr id="11" name="Chart 10">
          <a:extLst>
            <a:ext uri="{FF2B5EF4-FFF2-40B4-BE49-F238E27FC236}">
              <a16:creationId xmlns:a16="http://schemas.microsoft.com/office/drawing/2014/main" id="{15ADC404-D620-B898-7360-93AE1C03ACA0}"/>
            </a:ext>
            <a:ext uri="{147F2762-F138-4A5C-976F-8EAC2B608ADB}">
              <a16:predDERef xmlns:a16="http://schemas.microsoft.com/office/drawing/2014/main" pred="{2D4EC209-FEAA-2C72-05C8-E8DEAF0E4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67</xdr:col>
      <xdr:colOff>305248</xdr:colOff>
      <xdr:row>2</xdr:row>
      <xdr:rowOff>123062</xdr:rowOff>
    </xdr:from>
    <xdr:to>
      <xdr:col>69</xdr:col>
      <xdr:colOff>1610143</xdr:colOff>
      <xdr:row>16</xdr:row>
      <xdr:rowOff>143435</xdr:rowOff>
    </xdr:to>
    <xdr:graphicFrame macro="">
      <xdr:nvGraphicFramePr>
        <xdr:cNvPr id="15" name="Chart 14">
          <a:extLst>
            <a:ext uri="{FF2B5EF4-FFF2-40B4-BE49-F238E27FC236}">
              <a16:creationId xmlns:a16="http://schemas.microsoft.com/office/drawing/2014/main" id="{C05C61CC-2424-0747-B825-38E3982CC359}"/>
            </a:ext>
            <a:ext uri="{147F2762-F138-4A5C-976F-8EAC2B608ADB}">
              <a16:predDERef xmlns:a16="http://schemas.microsoft.com/office/drawing/2014/main" pred="{15ADC404-D620-B898-7360-93AE1C03A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80235</xdr:colOff>
      <xdr:row>17</xdr:row>
      <xdr:rowOff>159572</xdr:rowOff>
    </xdr:from>
    <xdr:to>
      <xdr:col>26</xdr:col>
      <xdr:colOff>3651324</xdr:colOff>
      <xdr:row>35</xdr:row>
      <xdr:rowOff>1924050</xdr:rowOff>
    </xdr:to>
    <xdr:graphicFrame macro="">
      <xdr:nvGraphicFramePr>
        <xdr:cNvPr id="16" name="Chart 15">
          <a:extLst>
            <a:ext uri="{FF2B5EF4-FFF2-40B4-BE49-F238E27FC236}">
              <a16:creationId xmlns:a16="http://schemas.microsoft.com/office/drawing/2014/main" id="{FC4CB0A3-7E94-3D78-BE13-9A3DFD80037D}"/>
            </a:ext>
            <a:ext uri="{147F2762-F138-4A5C-976F-8EAC2B608ADB}">
              <a16:predDERef xmlns:a16="http://schemas.microsoft.com/office/drawing/2014/main" pred="{C05C61CC-2424-0747-B825-38E3982CC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65</xdr:col>
      <xdr:colOff>13446</xdr:colOff>
      <xdr:row>17</xdr:row>
      <xdr:rowOff>26892</xdr:rowOff>
    </xdr:from>
    <xdr:to>
      <xdr:col>69</xdr:col>
      <xdr:colOff>3783105</xdr:colOff>
      <xdr:row>35</xdr:row>
      <xdr:rowOff>116540</xdr:rowOff>
    </xdr:to>
    <xdr:graphicFrame macro="">
      <xdr:nvGraphicFramePr>
        <xdr:cNvPr id="17" name="Chart 16">
          <a:extLst>
            <a:ext uri="{FF2B5EF4-FFF2-40B4-BE49-F238E27FC236}">
              <a16:creationId xmlns:a16="http://schemas.microsoft.com/office/drawing/2014/main" id="{0887334F-2171-2DDF-A020-85D71D82F0F1}"/>
            </a:ext>
            <a:ext uri="{147F2762-F138-4A5C-976F-8EAC2B608ADB}">
              <a16:predDERef xmlns:a16="http://schemas.microsoft.com/office/drawing/2014/main" pred="{FC4CB0A3-7E94-3D78-BE13-9A3DFD80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108</xdr:col>
      <xdr:colOff>534375</xdr:colOff>
      <xdr:row>4</xdr:row>
      <xdr:rowOff>592118</xdr:rowOff>
    </xdr:from>
    <xdr:to>
      <xdr:col>118</xdr:col>
      <xdr:colOff>425376</xdr:colOff>
      <xdr:row>32</xdr:row>
      <xdr:rowOff>47065</xdr:rowOff>
    </xdr:to>
    <xdr:graphicFrame macro="">
      <xdr:nvGraphicFramePr>
        <xdr:cNvPr id="18" name="Chart 17">
          <a:extLst>
            <a:ext uri="{FF2B5EF4-FFF2-40B4-BE49-F238E27FC236}">
              <a16:creationId xmlns:a16="http://schemas.microsoft.com/office/drawing/2014/main" id="{120D54D4-9693-9ECD-B96D-A30D4F57F8A9}"/>
            </a:ext>
            <a:ext uri="{147F2762-F138-4A5C-976F-8EAC2B608ADB}">
              <a16:predDERef xmlns:a16="http://schemas.microsoft.com/office/drawing/2014/main" pred="{0887334F-2171-2DDF-A020-85D71D82F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0.44218</cdr:x>
      <cdr:y>0.1277</cdr:y>
    </cdr:from>
    <cdr:to>
      <cdr:x>0.55705</cdr:x>
      <cdr:y>0.19265</cdr:y>
    </cdr:to>
    <cdr:sp macro="" textlink="">
      <cdr:nvSpPr>
        <cdr:cNvPr id="2" name="TextBox 1">
          <a:extLst xmlns:a="http://schemas.openxmlformats.org/drawingml/2006/main">
            <a:ext uri="{FF2B5EF4-FFF2-40B4-BE49-F238E27FC236}">
              <a16:creationId xmlns:a16="http://schemas.microsoft.com/office/drawing/2014/main" id="{241D6E7B-5A0F-4BA9-3811-15CB4F6C0420}"/>
            </a:ext>
          </a:extLst>
        </cdr:cNvPr>
        <cdr:cNvSpPr txBox="1"/>
      </cdr:nvSpPr>
      <cdr:spPr>
        <a:xfrm xmlns:a="http://schemas.openxmlformats.org/drawingml/2006/main">
          <a:off x="5534208" y="880763"/>
          <a:ext cx="1437720" cy="4479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i="0" u="none" strike="noStrike" kern="1200" spc="0" baseline="0">
              <a:solidFill>
                <a:sysClr val="windowText" lastClr="000000">
                  <a:lumMod val="65000"/>
                  <a:lumOff val="35000"/>
                </a:sysClr>
              </a:solidFill>
              <a:latin typeface="+mn-lt"/>
              <a:ea typeface="+mn-ea"/>
              <a:cs typeface="+mn-cs"/>
            </a:rPr>
            <a:t>Total Projects= 255</a:t>
          </a:r>
        </a:p>
      </cdr:txBody>
    </cdr:sp>
  </cdr:relSizeAnchor>
</c:userShapes>
</file>

<file path=xl/drawings/drawing8.xml><?xml version="1.0" encoding="utf-8"?>
<xdr:wsDr xmlns:xdr="http://schemas.openxmlformats.org/drawingml/2006/spreadsheetDrawing" xmlns:a="http://schemas.openxmlformats.org/drawingml/2006/main">
  <xdr:twoCellAnchor>
    <xdr:from>
      <xdr:col>7</xdr:col>
      <xdr:colOff>85724</xdr:colOff>
      <xdr:row>1</xdr:row>
      <xdr:rowOff>166687</xdr:rowOff>
    </xdr:from>
    <xdr:to>
      <xdr:col>17</xdr:col>
      <xdr:colOff>133349</xdr:colOff>
      <xdr:row>23</xdr:row>
      <xdr:rowOff>104775</xdr:rowOff>
    </xdr:to>
    <xdr:graphicFrame macro="">
      <xdr:nvGraphicFramePr>
        <xdr:cNvPr id="2" name="Chart 1">
          <a:extLst>
            <a:ext uri="{FF2B5EF4-FFF2-40B4-BE49-F238E27FC236}">
              <a16:creationId xmlns:a16="http://schemas.microsoft.com/office/drawing/2014/main" id="{2394B2F7-B7F9-A903-C8B5-26FEFCDE2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Gahlot Sachin" id="{9803E538-D713-4053-A397-908AD10454D4}" userId="S::sgahlot@frigoglass.com::e960ace2-d410-4a35-82d0-7abedde7c652" providerId="AD"/>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3"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hlot Sachin" refreshedDate="45772.446063194446" createdVersion="8" refreshedVersion="8" minRefreshableVersion="3" recordCount="282" xr:uid="{0C79E01F-DCCB-4904-B259-FE54B05C02BD}">
  <cacheSource type="worksheet">
    <worksheetSource ref="A35:AP305" sheet="2024-25-26 Projects" r:id="rId2"/>
  </cacheSource>
  <cacheFields count="40">
    <cacheField name="S No." numFmtId="0">
      <sharedItems containsSemiMixedTypes="0" containsString="0" containsNumber="1" containsInteger="1" minValue="1" maxValue="282"/>
    </cacheField>
    <cacheField name="Project Initiation year" numFmtId="17">
      <sharedItems containsNonDate="0" containsDate="1" containsString="0" containsBlank="1" minDate="2024-01-01T00:00:00" maxDate="2025-12-25T00:00:00"/>
    </cacheField>
    <cacheField name="Priority" numFmtId="0">
      <sharedItems containsString="0" containsBlank="1" containsNumber="1" containsInteger="1" minValue="1" maxValue="23"/>
    </cacheField>
    <cacheField name="Project Category" numFmtId="0">
      <sharedItems containsBlank="1" count="7">
        <s v="B"/>
        <s v="C"/>
        <s v="A"/>
        <s v="A+"/>
        <m/>
        <s v="A-OEM"/>
        <s v="B-OEM"/>
      </sharedItems>
    </cacheField>
    <cacheField name="Project Type" numFmtId="0">
      <sharedItems containsBlank="1" count="7">
        <s v="CO"/>
        <s v="IMP"/>
        <s v="NO"/>
        <s v="NM"/>
        <s v="BC"/>
        <s v="SER"/>
        <m u="1"/>
      </sharedItems>
    </cacheField>
    <cacheField name="Online PD Database Project Code" numFmtId="0">
      <sharedItems containsBlank="1"/>
    </cacheField>
    <cacheField name="RM Saving  Project Codes" numFmtId="0">
      <sharedItems containsBlank="1" count="118">
        <s v="25SRC008-1"/>
        <s v="25SRC006-1"/>
        <s v="25SRC004-1"/>
        <s v="25SRC006-2"/>
        <s v="25SRC017-1"/>
        <s v="25SRC004-2"/>
        <s v="25SRC019-3"/>
        <s v="25SRC019-1"/>
        <s v="25SRC019-2"/>
        <s v="25SRC008-2"/>
        <s v="25SRC010-1"/>
        <s v="25SRC010-2"/>
        <s v="25SRC010-3"/>
        <s v="25SRC010-4"/>
        <s v="25INN008-1"/>
        <s v="25INN008-2"/>
        <s v="24SAF008-1"/>
        <s v="24IND024"/>
        <s v="25IND013-1"/>
        <s v="25IND013-2"/>
        <s v="25IND013-3"/>
        <s v="25IND013-4"/>
        <s v="25IND013-5"/>
        <s v="25IND013-6"/>
        <s v="25IND013-7"/>
        <s v="25IND013-8"/>
        <s v="N/A"/>
        <s v="25INN009"/>
        <s v="24SAF017"/>
        <s v="25SAF001"/>
        <s v="24SAF020"/>
        <s v="24SAF024"/>
        <s v="24SAF023"/>
        <s v="24SAF004"/>
        <s v="25IND026"/>
        <s v="24SRC006"/>
        <s v="24SRC009"/>
        <s v="24SRC005"/>
        <s v="24SRC010"/>
        <s v="24IND001"/>
        <s v="24SRC036"/>
        <s v="24SRC037"/>
        <s v="24SRC033"/>
        <s v="24SRC034"/>
        <s v="24SRC035"/>
        <s v="25SRC043"/>
        <s v="25SRC044"/>
        <s v="25IND012"/>
        <s v="25IND016-1"/>
        <s v="25IND016-2"/>
        <s v="25IND016-3"/>
        <s v="25IND016-4"/>
        <s v="25IND016-5"/>
        <s v="25IND022"/>
        <s v="25IND019-1"/>
        <s v="25IND019-2"/>
        <s v="25IND019-3"/>
        <s v="25IND019-4"/>
        <s v="25IND019-5"/>
        <s v="25IND010-1"/>
        <s v="25IND010-2"/>
        <s v="25IND010-3"/>
        <s v="25IND014"/>
        <s v="24IND016"/>
        <s v="25IND001"/>
        <s v="25IND005"/>
        <s v="25IND017"/>
        <s v="25IND020"/>
        <s v="25IND025"/>
        <s v="25INN007-1"/>
        <s v="25INN007-3"/>
        <s v="25SRC011-1"/>
        <s v="25SRC032"/>
        <s v="25SAF005"/>
        <s v="25SRC012_2"/>
        <s v="24ROM002_7"/>
        <s v="24ROM002_6"/>
        <s v="24ROM002_4"/>
        <s v="24ROM002_3"/>
        <s v="Missing"/>
        <s v="24ROM002"/>
        <s v="24ROM002_1"/>
        <s v="24ROM002_2"/>
        <s v="Missing_1"/>
        <s v="24SRC035-2"/>
        <s v="24SRC034-1"/>
        <s v="24SRC033-2"/>
        <s v="25ROM004_2"/>
        <s v="25ROM004_3"/>
        <s v="25ROM004_4"/>
        <s v="25ROM004_5"/>
        <s v="25ROM006"/>
        <s v="25ROM007"/>
        <s v="25ROM008"/>
        <s v="25ROM009"/>
        <s v="25ROM014"/>
        <s v="25ROM016"/>
        <s v="25ROM017"/>
        <s v="25SRC029/30"/>
        <s v="25ROM011"/>
        <s v="25SRC013"/>
        <s v="25SRC013_2"/>
        <s v="25SRC059"/>
        <m/>
        <s v="25ROM015"/>
        <s v="25SRC054/56"/>
        <s v="25SRC021/27"/>
        <s v="24SRC005-1"/>
        <s v="25SRC027"/>
        <s v="25SRC009"/>
        <s v="25SRC009_0"/>
        <s v="25SRC009_1"/>
        <s v="25SRC012"/>
        <s v="25SRC009_H2"/>
        <s v="25SRC007"/>
        <s v="25SRC007_H1"/>
        <s v="25ROM004"/>
        <s v="25ROM004_1"/>
      </sharedItems>
    </cacheField>
    <cacheField name="Project Name" numFmtId="0">
      <sharedItems containsBlank="1" count="296">
        <s v="Compressor Donper L76WU1 as alternative to Tecumseh TCW415U-C3B SP-600 R290 Pepsi"/>
        <s v="Compressor Donper L58WU1 as alternative to Wanbao FTA55L→SP-400 R290 (Pepsi)"/>
        <s v="Compressor Donper L58WU1 as alternative to Wanbao TCW410→SP-500 R290 (Pepsi)"/>
        <s v="Compressor Donper L58WU1 as alternative to Wanbao FTA55L→S-35 R290 (Coke)"/>
        <s v="Compressor Donper L58WU1 as alternative to Huayi NUS70NA →S-450 (Coke Africa)"/>
        <s v="Compressor Donper L58WU1 as alternative to Tecumseh TCW410-CE3B→S45 Coke"/>
        <s v="Compressor Donper  L58WU1 as alternative to Huayi NUS70NA  →VG-450 [R290]"/>
        <s v="Compressor Donper L68WU1 as alternative to Huayi NUS70NA→S-45 SZ [R290] (Heineken/ABI)"/>
        <s v="Compressor Donper L68WU1 as alternative to Huayi NUS70NA  →S-600 [R290](Coke Africa)"/>
        <s v="Compressor Donper L76WU1 as alternative to Tecumseh TCW415U-C3B S-60 R290 "/>
        <s v="Compressor Donper L76WU1 as alternative to Huayi NUS70NA→FV-1000  C [R290] FFD (Coke Africa)"/>
        <s v="Compressor Donper L76WU1 as alternative to Huayi NUS70NA→FV-650  C [R290] FFD (Coke Africa)"/>
        <s v="Compressor Donper L76WU1 as alternative to Huayi NUS70NA→SL-640  C [R290]  (Coke Africa)"/>
        <s v="Compressor Donper L76WU1 as alternative to Huayi NUS70NA→SL-1140 C [R290] HNKN"/>
        <s v="Compressor Donper L76WU1 as alternative to Huayi NUY80RAA →FV-650 D [R290] FFD (Coke Indo)"/>
        <s v="Compressor Donper L76WU1 as alternative to Huayi NUY80RAA →SLP-650 D [R290] with Canopy (Coke Indo)"/>
        <s v="Compressor Donper K480WU1 as alternative to Huayi NUY120NA →FV-1000SZ C [R290] (Coke Africa)"/>
        <s v="WOT Localization - 6R/7R/8R (All applicable models-Cooling update)"/>
        <s v="LED: LED cable from Bottom side of cabinet  E47  &amp; Variants"/>
        <s v="LED: LED cable from Bottom side of cabinet S35  &amp; Variants"/>
        <s v="LED: LED cable from Bottom side of cabinet S45  &amp; Variants"/>
        <s v="LED: LED cable from Bottom side of cabinet S60  &amp; Variants"/>
        <s v="LED: LED cable from Bottom side of cabinet SP800/Super-800  &amp; Variants"/>
        <s v="LED: LED cable from Bottom side of cabinet Super-1100  &amp; Variants"/>
        <s v="LED: LED cable from Bottom side of cabinet S40  &amp; Variants"/>
        <s v="LED: LED cable from Bottom side of cabinet S50  &amp; Variants"/>
        <s v="S1100 250ml Bottle falling - Shelf design Change"/>
        <s v="Change P/S type from I Series to L series"/>
        <s v="Aesthetical uplift in Visi-coolers- Applicable to All India Range - Development of Design in S35 &amp; S45 model"/>
        <s v="GMC device in S-35*"/>
        <s v="FDE32 field trials in S-35*"/>
        <s v="Door Top Hinge Design Change and trials for Less closing force"/>
        <s v="FV1000-FFD CCBSA Improvement points cover"/>
        <s v="Cable Kit Optimization Project - FV650"/>
        <s v="Condenser fan motor cable optimization"/>
        <s v="Introduction of Π Condenser motor bracket - FV650"/>
        <s v="Introduction of Π Condenser motor bracket - FV1000"/>
        <s v="Rear Column Support change thickness from 1mm to 0.8mm - FV1000/FV1000 SZ/SL1140"/>
        <s v="1/4&quot; Copper tube thickness reduction from 0.76 to 0.65mm"/>
        <s v="Robertshaw → Jiujiang Hengtong Thermostat"/>
        <s v="Jinjiu (China) - AC Block Motors 120X120X38"/>
        <s v="Electronic motor Saiwei NEC4810 as alternative to Weiguang ECM7112"/>
        <s v="EC block motor Rexnord EC-12038 S0WMP 02 as alternative to Nisiki NIS12038HS2W-EC"/>
        <s v="Electronic motor Saiwei NEC6115 as alternative to Weiguang ECM7120"/>
        <s v="Hicool EC motor evaluation "/>
        <s v="Shaded pole motor Saiwei as altearnative to Weiguang YZF10-20"/>
        <s v="Shaded pole motor Saiwei as alternative to Weiguang YZF16-25"/>
        <s v="PSU Done 8W as alternative to Tauras for 12W (Applicable model)"/>
        <s v="PSU Done as alternative to Tauras for 15/16"/>
        <s v="PSU Done 24W as alternative to Tauras for 24W"/>
        <s v="PSU Done 30W as alternative to Tauras "/>
        <s v="PSU Tauras 12W as alternative supplier for Meanwell 12W"/>
        <s v="PSU Tauras 16W as alternative supplier for Meanwell 16W"/>
        <s v="PSU Tauras 24W as alternative supplier for Meanwell 16W"/>
        <s v="S-60 R290 EG (Coke,)"/>
        <s v="S-1100 R290 EG (Coke)"/>
        <s v="S-60 R290 EG (PepsiCO &amp; Generic customer)"/>
        <s v="S-1100 R290 EG (PepsiCO &amp; Generic customer)"/>
        <s v="Thermostat: Removal of Mechanical Thermostat Back cover"/>
        <s v="Electrical Box: Removal of electrical box for E47 Variants (Nok Coke/Non Pepsi)"/>
        <s v="Electrical Box: Removal of electrical box for S35 Variants (Nok Coke/Non Pepsi)"/>
        <s v="Electrical Box: Removal of electrical box for S40 (Nok Coke/Non Pepsi)"/>
        <s v="Electrical Box: Removal of electrical box for S50 (Nok Coke/Non Pepsi)"/>
        <s v="Electrical Box: Removal of electrical box for Super-1000 (Nok Coke/Non Pepsi)"/>
        <s v="One pager user manual or BAR CODE - All Models"/>
        <s v="Roller Bracket: Redesign to smaller roller Bracket - S-200/250"/>
        <s v="Roller Bracket: Redesign to smaller roller Bracket - E47"/>
        <s v="Roller Bracket: Redesign to smaller roller Bracket-S35"/>
        <s v="Roller Bracket: Redesign to smaller roller Bracket-S40"/>
        <s v="Roller Bracket: Redesign to smaller roller Bracket-S45"/>
        <s v="Plastic Fan casing Inclusion of Plastic Fan Casing in S-45"/>
        <s v="Plastic Fan casing Inclusion of Plastic Fan Casing in S-40"/>
        <s v="Plastic Fan casing Inclusion of Plastic Fan Casing in S-450"/>
        <s v="800L DD→ New Step Cabin design"/>
        <s v="VF 350L"/>
        <s v="S-45 SZ with frameless edgelit door"/>
        <s v="Illuminated top glass frame in VG-400"/>
        <s v="Frameless door +front grid, inetgrated bottlle opener for complete range"/>
        <s v="2026 Energy Target-Coke protocol-S200 in R600"/>
        <s v="2026 Energy Target-Coke protocol-S250 in R600"/>
        <s v="2026 Energy Target-Coke protocol-S500"/>
        <s v="2026 Energy Target-Coke protocol-S35"/>
        <s v="2026 Energy Target-Coke protocol-S45"/>
        <s v="2026 Energy Target-Coke protocol-S60"/>
        <s v="2026 Energy Target-Coke protocol-S800"/>
        <s v="2026 Energy Target-Coke protocol-S1100"/>
        <s v="FV-650 D, EC 26 development - SEA"/>
        <s v="FV-1000 D, EC 26 development - SEA"/>
        <s v="VG 200 R290 - 5 star (All models in cabin)"/>
        <s v="VG 250 R290 - 5 star (All models in cabin)"/>
        <s v="VG 300 R290 - 5 star (All models in cabin)"/>
        <s v="VG 400 R290 - 5 star (All models in cabin)"/>
        <s v="VG 450 R290 - 5 star (All models in cabin)"/>
        <s v="VG500 R290 - 5 star (All models in cabin)"/>
        <s v="VG600 R290 - 5 star (All models in cabin)"/>
        <s v="VG700 R290 - 5 star (All models in cabin)"/>
        <s v="VG950 R290 - 5 star (All models in cabin)"/>
        <s v="VG 1100 R290 - 5 star (All models in cabin)"/>
        <s v="VG 550 R290 - 5 star (All models in cabin)"/>
        <s v="VG 650 R290 - 5 star (All models in cabin)"/>
        <s v="SLF-500 R290 V2-5 star (All models in cabin)"/>
        <s v="350L SLIM COOLER - Indonesia"/>
        <s v="Asthetic improvement- Indonesia"/>
        <s v="Integrated handle in FV 1000 - S. Africa "/>
        <s v="FV650-Future Cooler"/>
        <s v="FV1000- Future Cooler"/>
        <s v="Aesthetic improvement- South Africa- 3 models"/>
        <s v="INOX sheet + caster wheel in E-47, model"/>
        <s v="INOX sheet + caster wheel in S-35  model"/>
        <s v="INOX sheet + caster wheel in S-45 model"/>
        <s v="I-Lock(Blue Star) : New Supplier Development_x000a_Keyman -&gt; Noble Lock"/>
        <s v="ON OFF switch development"/>
        <s v="Aluminium Profiles : New Supplier Development_x000a_MM Metacraft -&gt; Jindal Al."/>
        <s v="Copper Parts : Dual sourcing for Driers and accumulators (SVS -&gt; SVS &amp; KPM)"/>
        <s v="Bottom HINGES : Neg-New supplier add- testing"/>
        <s v="Top Hinge (Single Source) : Alternate Supplier Development- Testing_x000a_DPK -&gt; Under evaluation"/>
        <s v="Wire Shelf : New Supplier Development- Testing_x000a_Secom -&gt; Bedi Wire/SR Fabrication"/>
        <s v="Change compressor WANBAO FTA55L to FTK55X FTK45- E47R290 INDO"/>
        <s v="Change compressor WANBAO FTA55L to FKK35 FTK45-for SLP400"/>
        <s v="Compressor Donper K480WU1 as alternative to TCW420-UZ3B-S-1100 R290"/>
        <s v="Fastenings for S.Africa from China"/>
        <s v="Plastic Evap Fan Grill Localization"/>
        <s v="VG-200, increased plaster length for HELL →2 extra Shelves &amp; Increased Load with smaller Price profile option"/>
        <s v="VG-250, For HELL →2 extra Shelves &amp; Increased Load with smaller Price profile option"/>
        <s v="Integrated handle in DD model - India -SP800/S800/S1100- 3 models"/>
        <s v="Bottle opener &amp; crown catcher"/>
        <s v="Low voltage cooler - S. Africa "/>
        <s v="500L full length glass door for Suntory pepsi"/>
        <s v="SP200 - META certification &amp; TF release"/>
        <s v="Premium slim cooler development - 250L"/>
        <s v="Super-35 Design data synchronization with production (Product file)"/>
        <s v="Super-45 Design data synchronization with production (Product file)"/>
        <s v="Super-60 Design data synchronization with production (Product file)"/>
        <s v="Super-800 Design data synchronization with production (Product file)"/>
        <s v="Super-1100 Design data synchronization with production (Product file)"/>
        <s v="E-47 Design data synchronization with production (Product file)"/>
        <s v="FV650 Sub-Zero for breweries"/>
        <s v="Easyreach connectivity device "/>
        <s v="Heineiken FDE controller sample implementation"/>
        <s v="Castor wheel in S-600 model"/>
        <s v="Illuminated Taxi canopy option in VG 200"/>
        <s v="Illuminated Taxi canopy option in S-35 model"/>
        <s v="S-45SZ development in S. Africa"/>
        <s v="SM Updates-10 SM"/>
        <s v="India Plant Support"/>
        <s v="Bidding Files, Customer technical Data Sheet, Customer presentation"/>
        <s v="NABL &amp; ACCAB-ISO 17025, ISO9001, IS14001,45001,ORMA Audit,SGP Audit, Calibration"/>
        <s v="PLM Administration"/>
        <s v="50L Counter - top model development from OEM"/>
        <s v="Plus-450 Vending cooler"/>
        <s v="Max-450[R290]  C "/>
        <s v="Max-1200 B "/>
        <s v="Max 1000 B_  META Certification "/>
        <s v="Max 900 B _Meta Certification with VFTZ72 Compressor "/>
        <s v="Max 700 B _Meta Certification with VFTZ72 Compressor "/>
        <s v="Max-450[R290]  C _  Meta Certification "/>
        <s v="Alternative compressor to Wanbao FTB45"/>
        <s v="NINGBO Combine Refrigeration Equipment HEXs"/>
        <s v="Wanbao VFTZ72"/>
        <s v="Icool 2 Eco 800 [R290] B"/>
        <s v="Icool 2 Eco 1000 [R290] B"/>
        <s v="iPixel LEDs as alternative to Refond"/>
        <s v="Hengtong LEDs as alternative to Refond"/>
        <s v="Tauras new cost reduced 3kV series"/>
        <s v="Saiwei 5W EC compact motor"/>
        <s v="Honker controller"/>
        <s v="BMR HEXs"/>
        <s v="Retekool HEX"/>
        <s v="Condenser Retekool  as alternative to  Konveyor Max 700 C "/>
        <s v="PSU Done 24W"/>
        <s v="PSU Done 16W"/>
        <s v="PSU Done 12W"/>
        <s v="Max-300 [R290] C and 1/4 return line pipe "/>
        <s v="Max-1000 [R290] C and 1/4 return line pipe "/>
        <s v="Max-450 [R290] C and 1/4 return line pipe "/>
        <s v="Max-900 [R290] C and 1/4 return line pipe "/>
        <s v="Change argon with air for Plus/MAX doors"/>
        <s v="Change inner glass pane from tempered to floating for IC2 doors "/>
        <s v="Eliminate evaporator compartment spacers ( plastic supports)"/>
        <s v="Eliminate RCCB tap and FFXY cover"/>
        <s v="3mm glass pane vs 4mm pane for all models"/>
        <s v="Cable kit wire cross section optimization"/>
        <s v="Power cable wire cross sections optimization"/>
        <s v="Reed switch Ease MC37-C"/>
        <s v="Optional EM lock for MAX-750 [R290] B &amp; MAX-750 [R290] C "/>
        <s v="450 Lt model with New Monster branding"/>
        <s v="New pilaster"/>
        <s v="New plastic reinforcements"/>
        <s v="IC 2 300 Eco with New Monster branding"/>
        <s v="Optional L-R door for Plus 450 with LED including new production with left hand hinged door"/>
        <s v="ICOOL2 Door with Neon LED  for Max 450 - 700 -1000"/>
        <s v="Frameless &amp; ICOOL2 Spring type doors for Max B range"/>
        <s v="Monster aesthetics for ICOOL2ECO-300 B"/>
        <s v="Kerong lock instruction for MAX450"/>
        <s v="ICOOL2ECO-450 [R290] B with Monster aesthetics"/>
        <s v="ICOOL2ECO door with 3D illuminated Hell logo for MAX-450 C"/>
        <s v="ICOOL2ECO door with 3D illuminated HELL logo for MAX-700 C"/>
        <s v="New Coca-Cola branding for CCEP Europe"/>
        <s v="MAX-1200 HD [R290] B commercialization ex Romania "/>
        <s v="MAX-750 [R290] B commercialization ex Romania"/>
        <s v="L- Shape handle new design to Max, Plus &amp; ICOOL2 models  "/>
        <s v="3 Retrofit kit FCR22 by JEA or Carel"/>
        <s v="Retrofit kit from FCR22 for MAX1000"/>
        <s v="Qingda Reed Switch"/>
        <s v="Compressor Huayi NUF45NA as alternative to Wanbao FTB45"/>
        <s v="Max-450 [R290] B Meta Certification "/>
        <s v="Compressor Donper SZ43CU1  as alternative to Huayi NUF45NA"/>
        <s v="Max 450 C _x000a_Donper SK43CU1_x000a_Su 50 DU1  "/>
        <s v="Max 1000 B _x000a_ Donper VFLJ070  _x000a_huaiy  NVT70FSC "/>
        <s v="IC2 ECO 1000 B with EUR 1 to export to Algeria"/>
        <s v="IC2-500 &amp; IC2-800 D Condition : Feasibility Study"/>
        <s v="Small electrical box for Plus/Max/IC2"/>
        <s v="Yongxing Switch"/>
        <s v="Bubujing Electronic Switch"/>
        <s v="Coolwell TCB"/>
        <s v="Qingda TCB"/>
        <s v="Oxvardar Glass"/>
        <s v="LUK LEDs LRB B/S/G Series"/>
        <s v="Conrun LEDs LRB B/S/G series"/>
        <s v="Wanbao VFTB72 / VFTB60"/>
        <s v="MAX-1200 B   VFTB72 "/>
        <s v="Weiguang 5W EC Block Motor ECM12038"/>
        <s v="XRL 5W EC Block Motor RJM1238S2"/>
        <s v="Hicool 5W EC Block Motor 12P230HSEC"/>
        <s v="Rexnord 5W EC Block Motor"/>
        <s v="MAX-750B  VFTB 60"/>
        <s v="Hero 750 B"/>
        <s v="IC2-40 CC Certification"/>
        <s v="SM-Updates Romania"/>
        <s v="ICOOL2ECO-900 HD [R290] B with Monster Aesthetics"/>
        <s v="Keepthink controller"/>
        <s v="Alternative compressor to Huayi NUY90RAb - Wanbao Icool 2 1000 C _FTK95ML"/>
        <s v="META Certification Max 1000 C "/>
        <s v="META Certification Max- 900C "/>
        <s v="Alternative compressor to Wanbao FTA45L - GMCC PA50EME  "/>
        <s v="MAX-1200 [R290] A"/>
        <s v="MAX-1200 [R290] B"/>
        <s v="MAX-1200 [R290] Freezer"/>
        <s v="MAX-1200 [R290] Super Market Version"/>
        <s v="EasyPick [R290] for US market"/>
        <s v="HERO Project B rating"/>
        <s v="NGC 450 Project A rating"/>
        <s v="MAX-750 [R290] Freezer"/>
        <s v="MAX-750 [R290] Super Market Version"/>
        <s v="MAX-750 [R290] A"/>
        <s v="MAX-750 [R290] B"/>
        <s v="PLUS-450 Vending-Cantaloupe/Shekel"/>
        <s v="Corner Fridge"/>
        <s v="Family Fridge"/>
        <s v="CU-350 re-design"/>
        <s v="MONSTER 2.0 40"/>
        <s v="MONSTER 2.0 130"/>
        <s v="MONSTER EREX3.0"/>
        <s v="MONSTER 2.0 290"/>
        <s v="IC2-150 WITH GMC CONNECTIVITY DEVICE_x000a_"/>
        <s v="FLEX-130 GMC CONNECTIVITY DEVICE_x000a_"/>
        <s v="EREX3.0 WITH GMC CONNECTIVITY DEVICE_x000a_"/>
        <s v="IC2-40 WITH GMC CONNECTIVITY DEVICE_x000a_"/>
        <s v="BR208 for Kazakhstan"/>
        <s v="ERE3.0 voltage stabilizer  and SONCAP"/>
        <s v="SD 605 Kazakhstan"/>
        <s v="FLEX-400 @ K2 (HEINEKEN PROTOCOL)"/>
        <s v="Flex 35 Tall EER Improvement (@K1, EEI&lt;20)"/>
        <s v="IC2-40 EER Improvement (@K4, EEI&lt;20)"/>
        <s v="Flex 60 Tall EER improvement"/>
        <s v="EREX3.0 META CERTIFICATION "/>
        <s v="EREX3.0 [R600a] C WIITH DANFOSS CONTROLLER AND PROSA "/>
        <s v="DD Kazakshtan"/>
        <s v="BAR-150 HEINEKEN"/>
        <s v="BAR-250 HEINEKEN"/>
        <s v="Flex 290 Heineken"/>
        <s v="Flex-290 HELL"/>
        <s v="SM Updates-6 SM"/>
        <s v="SM Revision Polyurethane"/>
        <s v="SM Revision Harnesses/Cables"/>
        <s v="SM Revision Outsourced doors"/>
        <s v="Huaiy NUM90RAa"/>
        <s v="Alternative compressor to Huayi NUY80RAa - Wanbao FTK80X "/>
        <s v="Huaiy NFG80Ra"/>
        <s v="Migration to small suction line 5/16 &gt; Ø6mm for 300/700/800/900/1000 coolers range "/>
        <s v="Max-700 [R290] C and 1/4 return line pipe &amp; Meta Certification"/>
        <m u="1"/>
        <s v="Integrated handle in DD model - India -SP800/S800/S1100" u="1"/>
        <s v="SM Updates-" u="1"/>
        <s v="India Plant Projects" u="1"/>
        <s v="Bidding Files, Customer technical Data Sheet" u="1"/>
        <s v="PLUS-450 Vending-Cantaloupe" u="1"/>
        <s v="Aesthetical uplift in Visi-coolers" u="1"/>
        <s v="Aesthetic improvement- South Africa" u="1"/>
        <s v="Easy reach connectivity device " u="1"/>
        <s v="BSD Hero Prject A rating" u="1"/>
        <s v="PSU Done as alternative to Tauras for 12W" u="1"/>
        <s v="PSU Done as alternative to Tauras for 15/16W" u="1"/>
        <s v="PSU Done as alternative to Tauras for 20W" u="1"/>
        <s v="PSU Tauras as alternative supplier for Meanwell 12W" u="1"/>
        <s v="PSU Tauras as alternative supplier for Meanwell 16W" u="1"/>
      </sharedItems>
    </cacheField>
    <cacheField name="Plant/OEM" numFmtId="0">
      <sharedItems containsBlank="1" count="8">
        <s v="IND"/>
        <s v="SAF"/>
        <s v="INN"/>
        <s v="Multiplant"/>
        <s v="OEM-HCK"/>
        <s v="ROM"/>
        <s v="OEM-Seitek"/>
        <m u="1"/>
      </sharedItems>
    </cacheField>
    <cacheField name="RPDO hub" numFmtId="0">
      <sharedItems containsBlank="1" count="6">
        <s v="PD-India"/>
        <s v="PD-Romania"/>
        <s v="R&amp;D-Greece"/>
        <s v="OEM-SEITEK"/>
        <s v="OEM-HCK"/>
        <m u="1"/>
      </sharedItems>
    </cacheField>
    <cacheField name="Product Type" numFmtId="0">
      <sharedItems containsBlank="1" count="5">
        <s v="ICM"/>
        <s v="Other"/>
        <m/>
        <s v="VF"/>
        <s v="HA"/>
      </sharedItems>
    </cacheField>
    <cacheField name="Requesting Department" numFmtId="0">
      <sharedItems containsBlank="1" count="11">
        <s v="Central Procurement Group"/>
        <s v="PD"/>
        <s v="Service"/>
        <s v="Marketing/Sales"/>
        <s v="Central R&amp;PD"/>
        <s v="Central Supply Chain"/>
        <m/>
        <s v="Quality"/>
        <s v="Sourcing" u="1"/>
        <s v="Central Sourcing" u="1"/>
        <s v="Procurement" u="1"/>
      </sharedItems>
    </cacheField>
    <cacheField name="Functional Group" numFmtId="0">
      <sharedItems containsBlank="1"/>
    </cacheField>
    <cacheField name="Component Group- For RM saving Project only" numFmtId="0">
      <sharedItems containsBlank="1" count="8">
        <s v="Cooling Components"/>
        <s v="Electrical Components"/>
        <s v="Steel &amp; Parts"/>
        <s v="N/A"/>
        <s v="Door Components &amp; Acc."/>
        <s v="Plastics"/>
        <s v="Other"/>
        <m/>
      </sharedItems>
    </cacheField>
    <cacheField name="RM Category" numFmtId="0">
      <sharedItems containsBlank="1"/>
    </cacheField>
    <cacheField name="Development Status" numFmtId="0">
      <sharedItems containsBlank="1" count="7">
        <s v="Completed"/>
        <s v="In progress"/>
        <s v="On hold"/>
        <s v="Cancelled"/>
        <s v="In Que"/>
        <m/>
        <s v="Delayed"/>
      </sharedItems>
    </cacheField>
    <cacheField name="General Status" numFmtId="0">
      <sharedItems containsBlank="1"/>
    </cacheField>
    <cacheField name="Development Step" numFmtId="0">
      <sharedItems containsBlank="1" count="19">
        <s v="PDD-J"/>
        <s v="PDD-F"/>
        <s v="PDD-I"/>
        <s v="PDD-H"/>
        <s v="PDD-B"/>
        <s v="PDD-E"/>
        <s v="PDD-N"/>
        <s v="Not Started"/>
        <s v="PDD-A"/>
        <m/>
        <s v="PDD-K"/>
        <s v="OEM-N"/>
        <s v="OEM-A"/>
        <s v="OEM-H"/>
        <s v="OEM-J"/>
        <s v="OEM-G"/>
        <s v="OEM-B"/>
        <s v="PDD-D" u="1"/>
        <s v="ICM" u="1"/>
      </sharedItems>
    </cacheField>
    <cacheField name="Development Step Remarks" numFmtId="0">
      <sharedItems containsBlank="1"/>
    </cacheField>
    <cacheField name="Project Start Date- PLAN" numFmtId="0">
      <sharedItems containsDate="1" containsBlank="1" containsMixedTypes="1" minDate="2024-01-01T00:00:00" maxDate="2025-04-11T00:00:00"/>
    </cacheField>
    <cacheField name="Project End Date - PLAN" numFmtId="0">
      <sharedItems containsDate="1" containsBlank="1" containsMixedTypes="1" minDate="2024-03-31T00:00:00" maxDate="2054-04-15T00:00:00"/>
    </cacheField>
    <cacheField name="OEM  Test report review Time" numFmtId="0">
      <sharedItems containsString="0" containsBlank="1" containsNumber="1" containsInteger="1" minValue="1" maxValue="3"/>
    </cacheField>
    <cacheField name=" Certification Testing  Required" numFmtId="0">
      <sharedItems containsBlank="1"/>
    </cacheField>
    <cacheField name="Lab Man Weeks- Process Derived" numFmtId="0">
      <sharedItems containsString="0" containsBlank="1" containsNumber="1" minValue="0" maxValue="10"/>
    </cacheField>
    <cacheField name="Actual Testing Time " numFmtId="0">
      <sharedItems containsSemiMixedTypes="0" containsString="0" containsNumber="1" containsInteger="1" minValue="0" maxValue="16"/>
    </cacheField>
    <cacheField name="Testing Status" numFmtId="0">
      <sharedItems containsBlank="1" containsMixedTypes="1" containsNumber="1" containsInteger="1" minValue="4" maxValue="6"/>
    </cacheField>
    <cacheField name="Testing Remarks" numFmtId="0">
      <sharedItems containsBlank="1"/>
    </cacheField>
    <cacheField name="Safety Certification Required" numFmtId="0">
      <sharedItems containsBlank="1"/>
    </cacheField>
    <cacheField name="Actual Safety Timelines Frigo Manweeks " numFmtId="0">
      <sharedItems containsString="0" containsBlank="1" containsNumber="1" minValue="0" maxValue="30"/>
    </cacheField>
    <cacheField name="Safety Certification Timelines" numFmtId="0">
      <sharedItems containsBlank="1"/>
    </cacheField>
    <cacheField name="Safety Status/Remarks" numFmtId="0">
      <sharedItems containsBlank="1"/>
    </cacheField>
    <cacheField name="Reliability Testing Need" numFmtId="0">
      <sharedItems containsBlank="1"/>
    </cacheField>
    <cacheField name="Reliability Testing Time" numFmtId="0">
      <sharedItems containsBlank="1"/>
    </cacheField>
    <cacheField name="Type of reliability Testing" numFmtId="0">
      <sharedItems containsNonDate="0" containsString="0" containsBlank="1"/>
    </cacheField>
    <cacheField name="Actual Design Man Week" numFmtId="0">
      <sharedItems containsSemiMixedTypes="0" containsString="0" containsNumber="1" minValue="0" maxValue="19"/>
    </cacheField>
    <cacheField name="Design Man Week" numFmtId="0">
      <sharedItems containsString="0" containsBlank="1" containsNumber="1" minValue="0" maxValue="15"/>
    </cacheField>
    <cacheField name="TF Status" numFmtId="0">
      <sharedItems containsBlank="1"/>
    </cacheField>
    <cacheField name="TF Remarks" numFmtId="0">
      <sharedItems containsBlank="1" longText="1"/>
    </cacheField>
    <cacheField name="Resources" numFmtId="0">
      <sharedItems containsBlank="1" count="20">
        <s v="Lokesh"/>
        <s v="Ashwin"/>
        <s v="Pawan"/>
        <s v="Rishi"/>
        <s v="Nikhil"/>
        <s v="Zakir"/>
        <s v="Atul"/>
        <s v="Rahul"/>
        <s v="Sailesh"/>
        <s v="Sachin"/>
        <s v="Ritu"/>
        <m/>
        <s v="Stef"/>
        <s v="Elena Micu"/>
        <s v="Adrian"/>
        <s v="Alin"/>
        <s v="Catalin"/>
        <s v="Antonis"/>
        <s v="Vaggelis"/>
        <s v="Theoni"/>
      </sharedItems>
    </cacheField>
    <cacheField name="Project End Date - LATEST" numFmtId="0">
      <sharedItems containsDate="1" containsBlank="1" containsMixedTypes="1" minDate="2024-11-01T00:00:00" maxDate="2025-12-3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Rishi" refreshedDate="46202.640278935185" createdVersion="8" refreshedVersion="8" minRefreshableVersion="3" recordCount="58" xr:uid="{C85A8348-5270-4582-85C1-65A4BE143B71}">
  <cacheSource type="worksheet">
    <worksheetSource ref="A4:N62" sheet="2026 Project-Delete"/>
  </cacheSource>
  <cacheFields count="14">
    <cacheField name="No." numFmtId="0">
      <sharedItems containsSemiMixedTypes="0" containsString="0" containsNumber="1" containsInteger="1" minValue="1" maxValue="59"/>
    </cacheField>
    <cacheField name="Project Request (MM/YY)" numFmtId="17">
      <sharedItems containsSemiMixedTypes="0" containsNonDate="0" containsDate="1" containsString="0" minDate="2024-08-01T00:00:00" maxDate="2026-01-02T00:00:00"/>
    </cacheField>
    <cacheField name="Project Category" numFmtId="0">
      <sharedItems count="3">
        <s v="A"/>
        <s v="B"/>
        <s v="C"/>
      </sharedItems>
    </cacheField>
    <cacheField name="Project Type" numFmtId="0">
      <sharedItems/>
    </cacheField>
    <cacheField name="Online PD Database Project Code" numFmtId="0">
      <sharedItems/>
    </cacheField>
    <cacheField name="Project Name" numFmtId="0">
      <sharedItems/>
    </cacheField>
    <cacheField name="Status (Spill over/New)" numFmtId="0">
      <sharedItems count="2">
        <s v="New"/>
        <s v="Spill Over"/>
      </sharedItems>
    </cacheField>
    <cacheField name="Plant/OEM" numFmtId="0">
      <sharedItems count="5">
        <s v="IND"/>
        <s v="SAF"/>
        <s v="Multiplant"/>
        <s v="INN"/>
        <s v="Egypt"/>
      </sharedItems>
    </cacheField>
    <cacheField name="RPDO hub" numFmtId="0">
      <sharedItems/>
    </cacheField>
    <cacheField name="Product Type" numFmtId="0">
      <sharedItems/>
    </cacheField>
    <cacheField name="Requesting Department" numFmtId="0">
      <sharedItems count="4">
        <s v="Marketing/Sales"/>
        <s v="Central Procurement Group"/>
        <s v="PD"/>
        <s v="Central R&amp;PD" u="1"/>
      </sharedItems>
    </cacheField>
    <cacheField name="Customer" numFmtId="0">
      <sharedItems/>
    </cacheField>
    <cacheField name="Status/2025/2026 Spillover" numFmtId="0">
      <sharedItems containsBlank="1"/>
    </cacheField>
    <cacheField name="Project 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Rishi" refreshedDate="46202.640279282408" createdVersion="8" refreshedVersion="8" minRefreshableVersion="3" recordCount="98" xr:uid="{FBBBD222-76A1-4C22-BD81-22093A426BF3}">
  <cacheSource type="worksheet">
    <worksheetSource ref="A4:S102" sheet="2026 Project-Delete"/>
  </cacheSource>
  <cacheFields count="19">
    <cacheField name="No." numFmtId="0">
      <sharedItems containsSemiMixedTypes="0" containsString="0" containsNumber="1" containsInteger="1" minValue="1" maxValue="99"/>
    </cacheField>
    <cacheField name="Project Request (MM/YY)" numFmtId="0">
      <sharedItems containsDate="1" containsString="0" containsBlank="1" containsMixedTypes="1" minDate="2024-08-01T00:00:00" maxDate="1900-01-04T20:51:04"/>
    </cacheField>
    <cacheField name="Project Category" numFmtId="0">
      <sharedItems containsBlank="1" count="5">
        <s v="A"/>
        <s v="B"/>
        <s v="C"/>
        <s v="A-OEM"/>
        <m u="1"/>
      </sharedItems>
    </cacheField>
    <cacheField name="Project Type" numFmtId="0">
      <sharedItems/>
    </cacheField>
    <cacheField name="Online PD Database Project Code" numFmtId="0">
      <sharedItems/>
    </cacheField>
    <cacheField name="Project Name" numFmtId="0">
      <sharedItems/>
    </cacheField>
    <cacheField name="Status (Spill over/New)" numFmtId="0">
      <sharedItems count="2">
        <s v="New"/>
        <s v="Spill Over"/>
      </sharedItems>
    </cacheField>
    <cacheField name="Plant/OEM" numFmtId="0">
      <sharedItems/>
    </cacheField>
    <cacheField name="RPDO hub" numFmtId="0">
      <sharedItems count="4">
        <s v="PD-India"/>
        <s v="PD-Romania"/>
        <s v="R&amp;D-Greece"/>
        <s v="OEM-SEITEK"/>
      </sharedItems>
    </cacheField>
    <cacheField name="Product Type" numFmtId="0">
      <sharedItems/>
    </cacheField>
    <cacheField name="Requesting Department" numFmtId="0">
      <sharedItems containsBlank="1" count="5">
        <s v="Marketing/Sales"/>
        <s v="Central Procurement Group"/>
        <s v="PD"/>
        <s v="Central Supply Chain" u="1"/>
        <m u="1"/>
      </sharedItems>
    </cacheField>
    <cacheField name="Customer" numFmtId="0">
      <sharedItems containsBlank="1"/>
    </cacheField>
    <cacheField name="Status/2025/2026 Spillover" numFmtId="0">
      <sharedItems containsBlank="1"/>
    </cacheField>
    <cacheField name="Project Status" numFmtId="0">
      <sharedItems/>
    </cacheField>
    <cacheField name="Project Review Remarks" numFmtId="0">
      <sharedItems containsNonDate="0" containsString="0" containsBlank="1"/>
    </cacheField>
    <cacheField name="Project Leader " numFmtId="0">
      <sharedItems containsBlank="1"/>
    </cacheField>
    <cacheField name="Project End Date - LATEST" numFmtId="0">
      <sharedItems containsNonDate="0" containsString="0" containsBlank="1"/>
    </cacheField>
    <cacheField name="Part of &quot;IMPACT&quot;" numFmtId="0">
      <sharedItems containsNonDate="0" containsString="0" containsBlank="1"/>
    </cacheField>
    <cacheField name="Marketing Brief _x000a_Yes/N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Rishi" refreshedDate="46202.640279513886" createdVersion="8" refreshedVersion="8" minRefreshableVersion="3" recordCount="124" xr:uid="{F6C080C4-0265-48D6-AFA3-7BEBF0471699}">
  <cacheSource type="worksheet">
    <worksheetSource ref="A4:N128" sheet="2026 Project-Delete"/>
  </cacheSource>
  <cacheFields count="14">
    <cacheField name="No." numFmtId="0">
      <sharedItems containsSemiMixedTypes="0" containsString="0" containsNumber="1" containsInteger="1" minValue="1" maxValue="125"/>
    </cacheField>
    <cacheField name="Project Request (MM/YY)" numFmtId="0">
      <sharedItems containsDate="1" containsString="0" containsBlank="1" containsMixedTypes="1" minDate="2024-08-01T00:00:00" maxDate="1900-01-05T00:51:04"/>
    </cacheField>
    <cacheField name="Project Category" numFmtId="0">
      <sharedItems count="5">
        <s v="A"/>
        <s v="B"/>
        <s v="C"/>
        <s v="A-OEM"/>
        <s v="B-OEM"/>
      </sharedItems>
    </cacheField>
    <cacheField name="Project Type" numFmtId="0">
      <sharedItems/>
    </cacheField>
    <cacheField name="Online PD Database Project Code" numFmtId="0">
      <sharedItems/>
    </cacheField>
    <cacheField name="Project Name" numFmtId="0">
      <sharedItems/>
    </cacheField>
    <cacheField name="Status (Spill over/New)" numFmtId="0">
      <sharedItems count="2">
        <s v="New"/>
        <s v="Spill Over"/>
      </sharedItems>
    </cacheField>
    <cacheField name="Plant/OEM" numFmtId="0">
      <sharedItems containsBlank="1" count="9">
        <s v="IND"/>
        <s v="SAF"/>
        <s v="Multiplant"/>
        <s v="INN"/>
        <s v="Egypt"/>
        <s v="ROM"/>
        <s v="OEM-Seitek"/>
        <s v="OEM-HCK"/>
        <m u="1"/>
      </sharedItems>
    </cacheField>
    <cacheField name="RPDO hub" numFmtId="0">
      <sharedItems containsBlank="1"/>
    </cacheField>
    <cacheField name="Product Type" numFmtId="0">
      <sharedItems/>
    </cacheField>
    <cacheField name="Requesting Department" numFmtId="0">
      <sharedItems count="3">
        <s v="Marketing/Sales"/>
        <s v="Central Procurement Group"/>
        <s v="PD"/>
      </sharedItems>
    </cacheField>
    <cacheField name="Customer" numFmtId="0">
      <sharedItems containsBlank="1"/>
    </cacheField>
    <cacheField name="Status/2025/2026 Spillover" numFmtId="0">
      <sharedItems containsBlank="1"/>
    </cacheField>
    <cacheField name="Project Statu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Rishi" refreshedDate="46202.64027974537" createdVersion="8" refreshedVersion="8" minRefreshableVersion="3" recordCount="124" xr:uid="{54844A3E-4438-4005-839F-C5DE3892E237}">
  <cacheSource type="worksheet">
    <worksheetSource ref="A4:S128" sheet="2026 Project-Delete"/>
  </cacheSource>
  <cacheFields count="19">
    <cacheField name="No." numFmtId="0">
      <sharedItems containsSemiMixedTypes="0" containsString="0" containsNumber="1" containsInteger="1" minValue="1" maxValue="125"/>
    </cacheField>
    <cacheField name="Project Request (MM/YY)" numFmtId="0">
      <sharedItems containsDate="1" containsString="0" containsBlank="1" containsMixedTypes="1" minDate="2024-08-01T00:00:00" maxDate="1900-01-05T00:51:04"/>
    </cacheField>
    <cacheField name="Project Category" numFmtId="0">
      <sharedItems count="5">
        <s v="A"/>
        <s v="B"/>
        <s v="C"/>
        <s v="A-OEM"/>
        <s v="B-OEM"/>
      </sharedItems>
    </cacheField>
    <cacheField name="Project Type" numFmtId="0">
      <sharedItems/>
    </cacheField>
    <cacheField name="Online PD Database Project Code" numFmtId="0">
      <sharedItems/>
    </cacheField>
    <cacheField name="Project Name" numFmtId="0">
      <sharedItems/>
    </cacheField>
    <cacheField name="Status (Spill over/New)" numFmtId="0">
      <sharedItems count="2">
        <s v="New"/>
        <s v="Spill Over"/>
      </sharedItems>
    </cacheField>
    <cacheField name="Plant/OEM" numFmtId="0">
      <sharedItems count="8">
        <s v="IND"/>
        <s v="SAF"/>
        <s v="Multiplant"/>
        <s v="INN"/>
        <s v="Egypt"/>
        <s v="ROM"/>
        <s v="OEM-Seitek"/>
        <s v="OEM-HCK"/>
      </sharedItems>
    </cacheField>
    <cacheField name="RPDO hub" numFmtId="0">
      <sharedItems containsBlank="1" count="6">
        <s v="PD-India"/>
        <s v="PD-Romania"/>
        <s v="R&amp;D-Greece"/>
        <s v="OEM-SEITEK"/>
        <s v="OEM-HCK"/>
        <m/>
      </sharedItems>
    </cacheField>
    <cacheField name="Product Type" numFmtId="0">
      <sharedItems/>
    </cacheField>
    <cacheField name="Requesting Department" numFmtId="0">
      <sharedItems count="3">
        <s v="Marketing/Sales"/>
        <s v="Central Procurement Group"/>
        <s v="PD"/>
      </sharedItems>
    </cacheField>
    <cacheField name="Customer" numFmtId="0">
      <sharedItems containsBlank="1"/>
    </cacheField>
    <cacheField name="Status/2025/2026 Spillover" numFmtId="0">
      <sharedItems containsBlank="1"/>
    </cacheField>
    <cacheField name="Project Status" numFmtId="0">
      <sharedItems/>
    </cacheField>
    <cacheField name="Project Review Remarks" numFmtId="0">
      <sharedItems containsNonDate="0" containsString="0" containsBlank="1"/>
    </cacheField>
    <cacheField name="Project Leader " numFmtId="0">
      <sharedItems containsBlank="1"/>
    </cacheField>
    <cacheField name="Project End Date - LATEST" numFmtId="0">
      <sharedItems containsNonDate="0" containsString="0" containsBlank="1"/>
    </cacheField>
    <cacheField name="Part of &quot;IMPACT&quot;" numFmtId="0">
      <sharedItems containsNonDate="0" containsString="0" containsBlank="1"/>
    </cacheField>
    <cacheField name="Marketing Brief _x000a_Yes/N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Rishi" refreshedDate="46202.640280092593" createdVersion="8" refreshedVersion="8" minRefreshableVersion="3" recordCount="595" xr:uid="{E869A8E5-AF13-41D2-910F-8777A24287A2}">
  <cacheSource type="worksheet">
    <worksheetSource ref="A5:AI628" sheet="2024-25-26 Projects"/>
  </cacheSource>
  <cacheFields count="35">
    <cacheField name="S.No." numFmtId="0">
      <sharedItems containsString="0" containsBlank="1" containsNumber="1" containsInteger="1" minValue="1" maxValue="577"/>
    </cacheField>
    <cacheField name="Project Request (MM/YY)" numFmtId="0">
      <sharedItems containsNonDate="0" containsDate="1" containsString="0" containsBlank="1" minDate="2024-01-01T00:00:00" maxDate="2026-11-26T00:00:00" count="56">
        <d v="2025-01-01T00:00:00"/>
        <d v="2024-06-01T00:00:00"/>
        <d v="2024-12-01T00:00:00"/>
        <d v="2025-03-01T00:00:00"/>
        <d v="2025-02-01T00:00:00"/>
        <d v="2025-06-01T00:00:00"/>
        <d v="2026-01-01T00:00:00"/>
        <d v="2025-04-01T00:00:00"/>
        <d v="2024-08-01T00:00:00"/>
        <d v="2025-06-26T00:00:00"/>
        <d v="2025-07-01T00:00:00"/>
        <d v="2025-09-01T00:00:00"/>
        <d v="2024-08-06T00:00:00"/>
        <d v="2025-05-01T00:00:00"/>
        <d v="2025-12-01T00:00:00"/>
        <d v="2026-02-27T00:00:00"/>
        <d v="2026-02-18T00:00:00"/>
        <d v="2026-01-05T00:00:00"/>
        <d v="2026-03-26T00:00:00"/>
        <d v="2026-04-26T00:00:00"/>
        <d v="2026-06-01T00:00:00"/>
        <d v="2026-06-16T00:00:00"/>
        <d v="2025-02-10T00:00:00"/>
        <d v="2025-10-25T00:00:00"/>
        <d v="2025-08-01T00:00:00"/>
        <d v="2025-11-01T00:00:00"/>
        <d v="2025-10-01T00:00:00"/>
        <d v="2026-02-01T00:00:00"/>
        <d v="2025-03-05T00:00:00"/>
        <d v="2024-09-01T00:00:00"/>
        <d v="2025-12-24T00:00:00"/>
        <d v="2024-07-01T00:00:00"/>
        <d v="2024-04-01T00:00:00"/>
        <d v="2024-11-01T00:00:00"/>
        <d v="2024-01-01T00:00:00"/>
        <d v="2025-09-25T00:00:00"/>
        <d v="2025-03-25T00:00:00"/>
        <d v="2025-04-20T00:00:00"/>
        <d v="2025-07-07T00:00:00"/>
        <d v="2025-05-25T00:00:00"/>
        <d v="2025-11-10T00:00:00"/>
        <d v="2025-05-20T00:00:00"/>
        <d v="2025-09-10T00:00:00"/>
        <d v="2025-11-20T00:00:00"/>
        <d v="2026-01-09T00:00:00"/>
        <d v="2026-02-24T00:00:00"/>
        <d v="2026-02-02T00:00:00"/>
        <d v="2025-10-05T00:00:00"/>
        <d v="2026-02-10T00:00:00"/>
        <d v="2025-07-25T00:00:00"/>
        <d v="2026-11-25T00:00:00"/>
        <d v="2026-01-26T00:00:00"/>
        <d v="2025-11-25T00:00:00"/>
        <d v="2026-04-09T00:00:00"/>
        <d v="2026-06-26T00:00:00"/>
        <m/>
      </sharedItems>
    </cacheField>
    <cacheField name="Marketing Priority" numFmtId="0">
      <sharedItems containsBlank="1" containsMixedTypes="1" containsNumber="1" containsInteger="1" minValue="1" maxValue="18"/>
    </cacheField>
    <cacheField name="Project to be considered for Capacity Calculation" numFmtId="0">
      <sharedItems containsBlank="1" containsMixedTypes="1" containsNumber="1" containsInteger="1" minValue="2" maxValue="6" count="6">
        <m/>
        <s v="Y"/>
        <n v="2" u="1"/>
        <n v="3" u="1"/>
        <n v="4" u="1"/>
        <n v="6" u="1"/>
      </sharedItems>
    </cacheField>
    <cacheField name="Project Category" numFmtId="0">
      <sharedItems containsBlank="1" count="7">
        <s v="B"/>
        <s v="A"/>
        <s v="C"/>
        <s v="A+"/>
        <s v="A-OEM"/>
        <s v="B-OEM"/>
        <m/>
      </sharedItems>
    </cacheField>
    <cacheField name="Project Type" numFmtId="0">
      <sharedItems containsBlank="1"/>
    </cacheField>
    <cacheField name="Online PD Database Project Code" numFmtId="0">
      <sharedItems containsBlank="1"/>
    </cacheField>
    <cacheField name="RM Saving  Project Codes" numFmtId="0">
      <sharedItems containsBlank="1"/>
    </cacheField>
    <cacheField name="Project Name" numFmtId="0">
      <sharedItems containsBlank="1"/>
    </cacheField>
    <cacheField name="Plant/OEM" numFmtId="0">
      <sharedItems containsBlank="1"/>
    </cacheField>
    <cacheField name="RPDO hub" numFmtId="0">
      <sharedItems containsBlank="1" count="7">
        <s v="PD-India"/>
        <s v="R&amp;D-India"/>
        <s v="PD-Romania"/>
        <s v="R&amp;D-Greece"/>
        <s v="OEM-SEITEK"/>
        <s v="OEM-HCK"/>
        <m/>
      </sharedItems>
    </cacheField>
    <cacheField name="Product Type" numFmtId="0">
      <sharedItems containsBlank="1"/>
    </cacheField>
    <cacheField name="Requesting Department" numFmtId="0">
      <sharedItems containsBlank="1"/>
    </cacheField>
    <cacheField name="Functional Group" numFmtId="0">
      <sharedItems containsBlank="1"/>
    </cacheField>
    <cacheField name="Component Group- For RM saving Project only" numFmtId="0">
      <sharedItems containsBlank="1"/>
    </cacheField>
    <cacheField name="RM Category" numFmtId="0">
      <sharedItems containsDate="1" containsBlank="1" containsMixedTypes="1" minDate="2025-04-25T00:00:00" maxDate="2025-04-26T00:00:00"/>
    </cacheField>
    <cacheField name="Process Design Man Week" numFmtId="0">
      <sharedItems containsString="0" containsBlank="1" containsNumber="1" minValue="0" maxValue="40"/>
    </cacheField>
    <cacheField name="Actual Design Man Week" numFmtId="0">
      <sharedItems containsString="0" containsBlank="1" containsNumber="1" minValue="0" maxValue="145"/>
    </cacheField>
    <cacheField name=" Certification Testing  Required" numFmtId="0">
      <sharedItems containsBlank="1"/>
    </cacheField>
    <cacheField name="POC- Applicable for Greece R&amp;D" numFmtId="0">
      <sharedItems containsString="0" containsBlank="1" containsNumber="1" containsInteger="1" minValue="20" maxValue="70"/>
    </cacheField>
    <cacheField name="Certification and Prto- Applicable for Romania" numFmtId="0">
      <sharedItems containsNonDate="0" containsString="0" containsBlank="1"/>
    </cacheField>
    <cacheField name="Lab Weeks- Process Derived" numFmtId="0">
      <sharedItems containsString="0" containsBlank="1" containsNumber="1" minValue="0" maxValue="80"/>
    </cacheField>
    <cacheField name="Lab Week for Safety testing" numFmtId="0">
      <sharedItems containsString="0" containsBlank="1" containsNumber="1" containsInteger="1" minValue="0" maxValue="20"/>
    </cacheField>
    <cacheField name="Actual Testing Time " numFmtId="0">
      <sharedItems containsString="0" containsBlank="1" containsNumber="1" containsInteger="1" minValue="0" maxValue="90"/>
    </cacheField>
    <cacheField name="Safety Certification Required" numFmtId="0">
      <sharedItems containsBlank="1"/>
    </cacheField>
    <cacheField name="Safety Certification Timelines- Derived" numFmtId="0">
      <sharedItems containsBlank="1"/>
    </cacheField>
    <cacheField name="Actual Safety Timelines Frigo Manweeks " numFmtId="0">
      <sharedItems containsString="0" containsBlank="1" containsNumber="1" minValue="0" maxValue="30"/>
    </cacheField>
    <cacheField name="Safety Status/Remarks" numFmtId="0">
      <sharedItems containsBlank="1"/>
    </cacheField>
    <cacheField name="Reliability Testing Need" numFmtId="0">
      <sharedItems containsBlank="1"/>
    </cacheField>
    <cacheField name="Reliability Testing Time" numFmtId="0">
      <sharedItems containsBlank="1"/>
    </cacheField>
    <cacheField name="Type of reliability Testing" numFmtId="0">
      <sharedItems containsNonDate="0" containsString="0" containsBlank="1"/>
    </cacheField>
    <cacheField name="OEM  Test report review Time" numFmtId="0">
      <sharedItems containsString="0" containsBlank="1" containsNumber="1" containsInteger="1" minValue="1" maxValue="3"/>
    </cacheField>
    <cacheField name="Project Status" numFmtId="0">
      <sharedItems containsBlank="1"/>
    </cacheField>
    <cacheField name="Project Review Remarks" numFmtId="0">
      <sharedItems containsBlank="1" longText="1"/>
    </cacheField>
    <cacheField name="Project Leader "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Rishi" refreshedDate="46202.758508449071" createdVersion="8" refreshedVersion="8" minRefreshableVersion="3" recordCount="602" xr:uid="{FFB56FC2-D245-476D-8409-69953F2CED73}">
  <cacheSource type="worksheet">
    <worksheetSource ref="A5:AG619" sheet="2024-25-26 Projects"/>
  </cacheSource>
  <cacheFields count="36">
    <cacheField name="S.No." numFmtId="0">
      <sharedItems containsString="0" containsBlank="1" containsNumber="1" containsInteger="1" minValue="1" maxValue="591"/>
    </cacheField>
    <cacheField name="Project Request (MM/YY)" numFmtId="17">
      <sharedItems containsSemiMixedTypes="0" containsNonDate="0" containsDate="1" containsString="0" minDate="2024-01-01T00:00:00" maxDate="2026-11-26T00:00:00" count="68">
        <d v="2025-01-01T00:00:00"/>
        <d v="2024-06-01T00:00:00"/>
        <d v="2024-12-01T00:00:00"/>
        <d v="2025-03-01T00:00:00"/>
        <d v="2025-02-01T00:00:00"/>
        <d v="2025-06-01T00:00:00"/>
        <d v="2026-01-01T00:00:00"/>
        <d v="2025-04-01T00:00:00"/>
        <d v="2024-08-01T00:00:00"/>
        <d v="2025-06-26T00:00:00"/>
        <d v="2025-07-01T00:00:00"/>
        <d v="2025-09-01T00:00:00"/>
        <d v="2024-08-06T00:00:00"/>
        <d v="2025-05-01T00:00:00"/>
        <d v="2025-12-01T00:00:00"/>
        <d v="2026-02-27T00:00:00"/>
        <d v="2026-02-18T00:00:00"/>
        <d v="2026-01-05T00:00:00"/>
        <d v="2026-03-26T00:00:00"/>
        <d v="2026-04-26T00:00:00"/>
        <d v="2026-06-01T00:00:00"/>
        <d v="2026-06-16T00:00:00"/>
        <d v="2025-02-10T00:00:00"/>
        <d v="2025-10-25T00:00:00"/>
        <d v="2025-12-25T00:00:00"/>
        <d v="2025-08-01T00:00:00"/>
        <d v="2025-11-01T00:00:00"/>
        <d v="2025-10-01T00:00:00"/>
        <d v="2026-02-01T00:00:00"/>
        <d v="2025-03-05T00:00:00"/>
        <d v="2024-09-01T00:00:00"/>
        <d v="2025-12-24T00:00:00"/>
        <d v="2024-07-01T00:00:00"/>
        <d v="2024-04-01T00:00:00"/>
        <d v="2024-11-01T00:00:00"/>
        <d v="2024-01-01T00:00:00"/>
        <d v="2025-09-25T00:00:00"/>
        <d v="2025-03-25T00:00:00"/>
        <d v="2025-04-20T00:00:00"/>
        <d v="2025-07-07T00:00:00"/>
        <d v="2025-05-25T00:00:00"/>
        <d v="2025-11-10T00:00:00"/>
        <d v="2025-05-20T00:00:00"/>
        <d v="2025-09-10T00:00:00"/>
        <d v="2025-11-20T00:00:00"/>
        <d v="2026-01-09T00:00:00"/>
        <d v="2026-02-24T00:00:00"/>
        <d v="2026-02-02T00:00:00"/>
        <d v="2025-10-05T00:00:00"/>
        <d v="2026-02-10T00:00:00"/>
        <d v="2025-07-25T00:00:00"/>
        <d v="2026-11-25T00:00:00"/>
        <d v="2026-01-26T00:00:00"/>
        <d v="2025-11-25T00:00:00"/>
        <d v="2026-04-09T00:00:00"/>
        <d v="2026-06-26T00:00:00"/>
        <d v="2026-05-26T00:00:00"/>
        <d v="2026-02-26T00:00:00"/>
        <d v="2025-06-26T06:56:35" u="1"/>
        <d v="2025-06-26T06:57:14" u="1"/>
        <d v="2024-08-06T08:07:37" u="1"/>
        <d v="2025-06-26T06:55:03" u="1"/>
        <d v="2025-06-26T06:55:48" u="1"/>
        <d v="2025-06-26T06:57:57" u="1"/>
        <d v="2025-06-26T06:58:42" u="1"/>
        <d v="2025-06-26T07:02:51" u="1"/>
        <d v="2024-08-06T08:16:17" u="1"/>
        <d v="2024-10-01T00:00:00" u="1"/>
      </sharedItems>
      <fieldGroup par="35"/>
    </cacheField>
    <cacheField name="Marketing Priority" numFmtId="0">
      <sharedItems containsBlank="1" containsMixedTypes="1" containsNumber="1" containsInteger="1" minValue="1" maxValue="18"/>
    </cacheField>
    <cacheField name="Project to be considered for Capacity Calculation" numFmtId="0">
      <sharedItems containsBlank="1"/>
    </cacheField>
    <cacheField name="Project Category" numFmtId="0">
      <sharedItems containsBlank="1" count="7">
        <s v="B"/>
        <s v="A"/>
        <s v="C"/>
        <s v="A+"/>
        <s v="A-OEM"/>
        <s v="B-OEM"/>
        <m u="1"/>
      </sharedItems>
    </cacheField>
    <cacheField name="Project Type" numFmtId="0">
      <sharedItems containsBlank="1" count="10">
        <s v="CO"/>
        <s v="NM"/>
        <s v="NO"/>
        <s v="IMP"/>
        <s v="BC"/>
        <s v="TCO"/>
        <s v="SER"/>
        <s v="AC"/>
        <s v="CER"/>
        <m u="1"/>
      </sharedItems>
    </cacheField>
    <cacheField name="Online PD Database Project Code" numFmtId="0">
      <sharedItems containsBlank="1"/>
    </cacheField>
    <cacheField name="RM Saving  Project Codes" numFmtId="0">
      <sharedItems containsBlank="1"/>
    </cacheField>
    <cacheField name="Project Name" numFmtId="0">
      <sharedItems/>
    </cacheField>
    <cacheField name="Plant/OEM" numFmtId="0">
      <sharedItems containsBlank="1" count="11">
        <s v="IND"/>
        <s v="INN"/>
        <s v="Egypt"/>
        <s v="SAF"/>
        <s v="Multiplant"/>
        <s v="OEM-VEELINE"/>
        <s v="ROM"/>
        <s v="OEM-Seitek"/>
        <s v="OEM-HCK"/>
        <s v="OEM-NEW STAR"/>
        <m u="1"/>
      </sharedItems>
    </cacheField>
    <cacheField name="RPDO hub" numFmtId="0">
      <sharedItems containsBlank="1" count="7">
        <s v="PD-India"/>
        <s v="R&amp;D-India"/>
        <s v="PD-Romania"/>
        <s v="R&amp;D-Greece"/>
        <s v="OEM-SEITEK"/>
        <s v="OEM-HCK"/>
        <m u="1"/>
      </sharedItems>
    </cacheField>
    <cacheField name="Product Type" numFmtId="0">
      <sharedItems containsBlank="1"/>
    </cacheField>
    <cacheField name="Requesting Department" numFmtId="0">
      <sharedItems containsBlank="1" count="11">
        <s v="Central Procurement Group"/>
        <s v="Marketing/Sales"/>
        <s v="PD"/>
        <s v="Service"/>
        <s v="Central R&amp;PD"/>
        <m/>
        <s v="Central Supply Chain"/>
        <s v="Local Supply Chain"/>
        <s v="Quality"/>
        <s v="Development"/>
        <s v="In Que" u="1"/>
      </sharedItems>
    </cacheField>
    <cacheField name="Functional Group" numFmtId="0">
      <sharedItems containsBlank="1"/>
    </cacheField>
    <cacheField name="Component Group- For RM saving Project only" numFmtId="0">
      <sharedItems containsBlank="1"/>
    </cacheField>
    <cacheField name="RM Category" numFmtId="0">
      <sharedItems containsDate="1" containsBlank="1" containsMixedTypes="1" minDate="2025-04-25T00:00:00" maxDate="2025-04-26T00:00:00"/>
    </cacheField>
    <cacheField name="Process Design Man Week" numFmtId="0">
      <sharedItems containsString="0" containsBlank="1" containsNumber="1" minValue="0" maxValue="40"/>
    </cacheField>
    <cacheField name="Actual Design Man Week" numFmtId="0">
      <sharedItems containsString="0" containsBlank="1" containsNumber="1" minValue="0" maxValue="145"/>
    </cacheField>
    <cacheField name=" Certification Testing  Required" numFmtId="0">
      <sharedItems containsBlank="1"/>
    </cacheField>
    <cacheField name="POC- Applicable for Greece R&amp;D" numFmtId="0">
      <sharedItems containsString="0" containsBlank="1" containsNumber="1" containsInteger="1" minValue="20" maxValue="70"/>
    </cacheField>
    <cacheField name="Certification and Prto- Applicable for Romania" numFmtId="0">
      <sharedItems containsNonDate="0" containsString="0" containsBlank="1"/>
    </cacheField>
    <cacheField name="Lab Weeks- Process Derived" numFmtId="0">
      <sharedItems containsString="0" containsBlank="1" containsNumber="1" minValue="0" maxValue="80"/>
    </cacheField>
    <cacheField name="Lab Week for Safety testing" numFmtId="0">
      <sharedItems containsString="0" containsBlank="1" containsNumber="1" containsInteger="1" minValue="0" maxValue="20"/>
    </cacheField>
    <cacheField name="Actual Testing Time " numFmtId="0">
      <sharedItems containsString="0" containsBlank="1" containsNumber="1" containsInteger="1" minValue="0" maxValue="90"/>
    </cacheField>
    <cacheField name="Safety Certification Required" numFmtId="0">
      <sharedItems containsBlank="1"/>
    </cacheField>
    <cacheField name="Safety Certification Timelines- Derived" numFmtId="0">
      <sharedItems containsBlank="1"/>
    </cacheField>
    <cacheField name="Actual Safety Timelines Frigo Manweeks " numFmtId="0">
      <sharedItems containsString="0" containsBlank="1" containsNumber="1" minValue="0" maxValue="30"/>
    </cacheField>
    <cacheField name="Safety Status/Remarks" numFmtId="0">
      <sharedItems containsBlank="1"/>
    </cacheField>
    <cacheField name="Reliability Testing Need" numFmtId="0">
      <sharedItems containsBlank="1"/>
    </cacheField>
    <cacheField name="Reliability Testing Time" numFmtId="0">
      <sharedItems containsBlank="1"/>
    </cacheField>
    <cacheField name="Type of reliability Testing" numFmtId="0">
      <sharedItems containsNonDate="0" containsString="0" containsBlank="1"/>
    </cacheField>
    <cacheField name="OEM  Test report review Time" numFmtId="0">
      <sharedItems containsString="0" containsBlank="1" containsNumber="1" containsInteger="1" minValue="1" maxValue="3"/>
    </cacheField>
    <cacheField name="Project Status" numFmtId="0">
      <sharedItems containsBlank="1" count="7">
        <s v="Commercialized"/>
        <s v="On Hold"/>
        <s v="Industrialization"/>
        <s v="Development"/>
        <s v="In Que"/>
        <s v="Cancelled"/>
        <m u="1"/>
      </sharedItems>
    </cacheField>
    <cacheField name="Months (Project Request (MM/YY))" numFmtId="0" databaseField="0">
      <fieldGroup base="1">
        <rangePr groupBy="months" startDate="2024-01-01T00:00:00" endDate="2026-11-26T00:00:00"/>
        <groupItems count="14">
          <s v="&lt;01-01-2024"/>
          <s v="Jan"/>
          <s v="Feb"/>
          <s v="Mar"/>
          <s v="Apr"/>
          <s v="May"/>
          <s v="Jun"/>
          <s v="Jul"/>
          <s v="Aug"/>
          <s v="Sep"/>
          <s v="Oct"/>
          <s v="Nov"/>
          <s v="Dec"/>
          <s v="&gt;26-11-2026"/>
        </groupItems>
      </fieldGroup>
    </cacheField>
    <cacheField name="Quarters (Project Request (MM/YY))" numFmtId="0" databaseField="0">
      <fieldGroup base="1">
        <rangePr groupBy="quarters" startDate="2024-01-01T00:00:00" endDate="2026-11-26T00:00:00"/>
        <groupItems count="6">
          <s v="&lt;01-01-2024"/>
          <s v="Qtr1"/>
          <s v="Qtr2"/>
          <s v="Qtr3"/>
          <s v="Qtr4"/>
          <s v="&gt;26-11-2026"/>
        </groupItems>
      </fieldGroup>
    </cacheField>
    <cacheField name="Years (Project Request (MM/YY))" numFmtId="0" databaseField="0">
      <fieldGroup base="1">
        <rangePr groupBy="years" startDate="2024-01-01T00:00:00" endDate="2026-11-26T00:00:00"/>
        <groupItems count="5">
          <s v="&lt;01-01-2024"/>
          <s v="2024"/>
          <s v="2025"/>
          <s v="2026"/>
          <s v="&gt;26-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n v="1"/>
    <d v="2024-12-01T00:00:00"/>
    <m/>
    <x v="0"/>
    <x v="0"/>
    <s v="25-00259"/>
    <x v="0"/>
    <x v="0"/>
    <x v="0"/>
    <x v="0"/>
    <x v="0"/>
    <x v="0"/>
    <s v="Cooling Mechanism"/>
    <x v="0"/>
    <s v="Compressors"/>
    <x v="0"/>
    <s v="On Time"/>
    <x v="0"/>
    <m/>
    <m/>
    <m/>
    <m/>
    <s v="Yes"/>
    <n v="6"/>
    <n v="0"/>
    <s v="POC &amp; Reliability→1-10/18-10_x000a_Certification→ 18-10/10-11_x000a_Report Submission→ 18-11_x000a_Approval→ 12-02"/>
    <s v="Completed"/>
    <s v="Yes"/>
    <n v="0"/>
    <s v="Start Date→ 29-10-24_x000a_End Date→ 18-12-24"/>
    <s v="Safety completed"/>
    <m/>
    <m/>
    <m/>
    <n v="3"/>
    <n v="3"/>
    <s v="Long Lead→ With TF release_x000a_TF→ 26/02/2025_x000a_Prod. Proto TF-→ On Hold_x000a_Pilot TF→_x000a_Commercilaization→"/>
    <s v="Industrialization on Hold-To be implemented after alignment with PepsiCo"/>
    <x v="0"/>
    <d v="2025-06-01T00:00:00"/>
  </r>
  <r>
    <n v="2"/>
    <d v="2024-12-01T00:00:00"/>
    <m/>
    <x v="0"/>
    <x v="0"/>
    <s v="25-00257"/>
    <x v="1"/>
    <x v="1"/>
    <x v="0"/>
    <x v="0"/>
    <x v="0"/>
    <x v="0"/>
    <s v="Cooling Mechanism"/>
    <x v="0"/>
    <s v="Compressors"/>
    <x v="0"/>
    <s v="On Time"/>
    <x v="0"/>
    <m/>
    <m/>
    <m/>
    <m/>
    <s v="Yes"/>
    <n v="6"/>
    <n v="0"/>
    <s v="POC &amp; Reliability→20-09/10-10_x000a_Certification→ 15-10 / 04-11_x000a_Report Submission→ 11-11_x000a_Approval→ 07-02"/>
    <m/>
    <s v="Yes"/>
    <n v="0"/>
    <s v="Start Date→  28-10-24_x000a_End Date→ 30-11-24"/>
    <s v="Safety completed"/>
    <m/>
    <m/>
    <m/>
    <n v="1"/>
    <n v="3"/>
    <s v="Long Lead→With TF release_x000a_TF→ 14/02/2025_x000a_Prod. Proto TF→On Hold_x000a_Pilot TF→_x000a_Commercilaization→"/>
    <s v="Industrialization on Hold-To be implemented after alignment with PepsiCo"/>
    <x v="0"/>
    <d v="2025-04-01T00:00:00"/>
  </r>
  <r>
    <n v="3"/>
    <d v="2024-12-01T00:00:00"/>
    <m/>
    <x v="0"/>
    <x v="0"/>
    <s v="25-00254"/>
    <x v="2"/>
    <x v="2"/>
    <x v="0"/>
    <x v="0"/>
    <x v="0"/>
    <x v="0"/>
    <s v="Cooling Mechanism"/>
    <x v="0"/>
    <s v="Compressors"/>
    <x v="0"/>
    <s v="On Time"/>
    <x v="0"/>
    <m/>
    <m/>
    <m/>
    <m/>
    <s v="Yes"/>
    <n v="6"/>
    <n v="0"/>
    <s v="POC &amp; Reliability→15- 09 / 05-10_x000a_Certification → 10-10 / 01-11_x000a_Report Submission→ 08-11_x000a_Approval→ 07-02"/>
    <m/>
    <s v="Yes"/>
    <n v="0"/>
    <s v="Start Date→09-11-24_x000a_End Date→20-12-24"/>
    <s v="Safety completed"/>
    <m/>
    <m/>
    <m/>
    <n v="1"/>
    <n v="3"/>
    <s v="Long Lead→ With TF release_x000a_TF→ 26/02/2025_x000a_Prod. Proto-TF→On Hold_x000a_Pilot TF→_x000a_Commercilaization→"/>
    <s v="Industrialization on Hold-To be implemented after alignment with PepsiCo"/>
    <x v="0"/>
    <d v="2025-04-01T00:00:00"/>
  </r>
  <r>
    <n v="4"/>
    <d v="2025-01-01T00:00:00"/>
    <m/>
    <x v="0"/>
    <x v="0"/>
    <s v="25-00258"/>
    <x v="3"/>
    <x v="3"/>
    <x v="0"/>
    <x v="0"/>
    <x v="0"/>
    <x v="0"/>
    <s v="Cooling Mechanism"/>
    <x v="0"/>
    <s v="Compressors"/>
    <x v="0"/>
    <s v="On Time"/>
    <x v="0"/>
    <m/>
    <m/>
    <m/>
    <m/>
    <s v="Yes"/>
    <n v="6"/>
    <n v="2"/>
    <s v="POC &amp; Reliability→10-12 / 31-12_x000a_Certification→ 02-01/ 23-01_x000a_Report Submission→ 11-02_x000a_Approval→ 11-03"/>
    <m/>
    <s v="Yes"/>
    <n v="0"/>
    <s v="Start Date→  28-10-24_x000a_End Date→ 30-11-24"/>
    <s v="Safety completed"/>
    <m/>
    <m/>
    <m/>
    <n v="2"/>
    <n v="3"/>
    <s v="Long Lead→14/01/2025_x000a_TF→ 14/02/2025_x000a_Prod. Proto-TF→_x000a_Pilot TF→_x000a_Commercilaization→"/>
    <s v="Testing →TCC Report submitted, Approval Received_x000a_Safety→completed_x000a_TF →Released_x000a_Proto→Completed.Testing on proto sample -to be planned"/>
    <x v="0"/>
    <d v="2025-04-01T00:00:00"/>
  </r>
  <r>
    <n v="5"/>
    <d v="2025-01-01T00:00:00"/>
    <m/>
    <x v="0"/>
    <x v="0"/>
    <s v="25-00308"/>
    <x v="4"/>
    <x v="4"/>
    <x v="0"/>
    <x v="0"/>
    <x v="0"/>
    <x v="0"/>
    <s v="Cooling Mechanism"/>
    <x v="0"/>
    <s v="Compressors"/>
    <x v="0"/>
    <s v="On Time"/>
    <x v="0"/>
    <m/>
    <m/>
    <m/>
    <m/>
    <s v="Yes"/>
    <n v="6"/>
    <n v="2"/>
    <s v="POC &amp; Reliability→10-01/20-01_x000a_Certification→ 27-01 / 15-02_x000a_Report Submission→ 06-03_x000a_Approval→ 06-04"/>
    <m/>
    <s v="Yes"/>
    <n v="0"/>
    <s v="Start Date→09-11-24_x000a_End Date→20-12-24"/>
    <s v="Safety completed"/>
    <m/>
    <m/>
    <m/>
    <n v="1"/>
    <n v="3"/>
    <s v="Long Lead→ 31/01/2025_x000a_TF→ 07/03/2025_x000a_Prod. Proto-TF→_x000a_Pilot TF→_x000a_Commercilaization→"/>
    <s v="Testing →TCC Report submitted, Approval Received_x000a_Safety→completed_x000a_TF →Released_x000a_Proto→WK18"/>
    <x v="0"/>
    <d v="2025-04-01T00:00:00"/>
  </r>
  <r>
    <n v="6"/>
    <d v="2025-01-01T00:00:00"/>
    <m/>
    <x v="0"/>
    <x v="0"/>
    <s v="25-00256"/>
    <x v="5"/>
    <x v="5"/>
    <x v="0"/>
    <x v="0"/>
    <x v="0"/>
    <x v="0"/>
    <s v="Cooling Mechanism"/>
    <x v="0"/>
    <s v="Compressors"/>
    <x v="0"/>
    <s v="On Time"/>
    <x v="0"/>
    <m/>
    <m/>
    <m/>
    <m/>
    <s v="Yes"/>
    <n v="6"/>
    <n v="2"/>
    <s v="POC &amp; Reliability→ 18-12 / 04-01_x000a_Certification→ 07-01/28-01_x000a_Report Submission→ 20-02_x000a_Approval→ 20-03"/>
    <m/>
    <s v="Yes"/>
    <n v="0"/>
    <s v="Start Date→09-11-24_x000a_End Date→20-12-24"/>
    <s v="Safety completed"/>
    <m/>
    <m/>
    <m/>
    <n v="2"/>
    <n v="3"/>
    <s v="Long Lead→ 31/01/2025_x000a_TF→ 07/03/2025_x000a_Prod. Proto-TF→ In progress_x000a_Pilot TF→_x000a_Commercilaization→"/>
    <s v="Testing →TCC Report submitted, Approval Received_x000a_Safety→completed_x000a_TF →Released_x000a_Proto→Completed.Testing to be completed by Week16"/>
    <x v="0"/>
    <d v="2025-04-01T00:00:00"/>
  </r>
  <r>
    <n v="7"/>
    <d v="2025-01-01T00:00:00"/>
    <m/>
    <x v="0"/>
    <x v="0"/>
    <s v="25-00310"/>
    <x v="6"/>
    <x v="6"/>
    <x v="0"/>
    <x v="0"/>
    <x v="0"/>
    <x v="0"/>
    <s v="Cooling Mechanism"/>
    <x v="0"/>
    <s v="Compressors"/>
    <x v="1"/>
    <s v="On Time"/>
    <x v="1"/>
    <m/>
    <m/>
    <m/>
    <m/>
    <s v="Yes"/>
    <n v="6"/>
    <n v="0"/>
    <m/>
    <m/>
    <s v="Yes"/>
    <n v="0"/>
    <s v="Start Date→09-11-24_x000a_End Date→20-12-24"/>
    <s v="Safety completed"/>
    <m/>
    <m/>
    <m/>
    <n v="3"/>
    <n v="3"/>
    <s v="Long Lead→ Not Released_x000a_TF→_x000a_Prod. Proto-TF→_x000a_Pilot TF→_x000a_Commercilaization→"/>
    <s v="TF to be released : To be decided"/>
    <x v="1"/>
    <d v="2025-05-01T00:00:00"/>
  </r>
  <r>
    <n v="8"/>
    <d v="2025-01-01T00:00:00"/>
    <m/>
    <x v="0"/>
    <x v="0"/>
    <s v="25-00311"/>
    <x v="7"/>
    <x v="7"/>
    <x v="0"/>
    <x v="0"/>
    <x v="0"/>
    <x v="0"/>
    <s v="Cooling Mechanism"/>
    <x v="0"/>
    <s v="Compressors"/>
    <x v="1"/>
    <s v="On Time"/>
    <x v="2"/>
    <m/>
    <m/>
    <m/>
    <m/>
    <s v="Yes"/>
    <n v="6"/>
    <n v="6"/>
    <s v="POC &amp; Reliability→25-12/15-01_x000a_Certification→ 01-02 / 21-02_x000a_Report Submission→ 16-04_x000a_Approval→ 16-05"/>
    <s v="ABI cert. pending"/>
    <s v="Yes"/>
    <n v="0"/>
    <s v="Start Date→ 20-02-25_x000a_End Date→Week 15"/>
    <s v="Safety completed"/>
    <m/>
    <m/>
    <m/>
    <n v="3"/>
    <n v="3"/>
    <s v="Long Lead→ 14/01/2025_x000a_TF→ Not released_x000a_Prod. Proto-TF→_x000a_Pilot TF→_x000a_Commercilaization→"/>
    <s v="Testing →HNKN:Certification completed/Abinbev:Certification to be started_x000a_Safety→ Completed_x000a_TF →To be released by Week-18"/>
    <x v="0"/>
    <d v="2025-05-01T00:00:00"/>
  </r>
  <r>
    <n v="9"/>
    <d v="2025-01-01T00:00:00"/>
    <m/>
    <x v="0"/>
    <x v="0"/>
    <s v="25-00310"/>
    <x v="8"/>
    <x v="8"/>
    <x v="0"/>
    <x v="0"/>
    <x v="0"/>
    <x v="0"/>
    <s v="Cooling Mechanism"/>
    <x v="0"/>
    <s v="Compressors"/>
    <x v="1"/>
    <s v="On Time"/>
    <x v="0"/>
    <m/>
    <m/>
    <m/>
    <m/>
    <s v="Yes"/>
    <n v="6"/>
    <n v="2"/>
    <s v="POC &amp; Reliability→10-01/20-01_x000a_Certification→ 27-01 / 15-02_x000a_Report Submission→ 05-04_x000a_Approval→ 05-05"/>
    <m/>
    <s v="Yes"/>
    <n v="0"/>
    <s v="Start Date→ 13-02-25_x000a_End Date→ 27-03-25"/>
    <s v="Safety completed"/>
    <m/>
    <m/>
    <m/>
    <n v="1"/>
    <n v="3"/>
    <s v="Long Lead→ 31/01/2025_x000a_TF→ 14/04/25_x000a_Prod. Proto-TF→_x000a_Pilot TF→_x000a_Commercilaization→"/>
    <s v="Testing →TCCC Report submitted, Approval expected by May mid_x000a_Safety→Completed_x000a_TF→To be released by Week16"/>
    <x v="0"/>
    <d v="2025-05-01T00:00:00"/>
  </r>
  <r>
    <n v="10"/>
    <d v="2024-12-01T00:00:00"/>
    <m/>
    <x v="0"/>
    <x v="0"/>
    <s v="25-00259"/>
    <x v="9"/>
    <x v="9"/>
    <x v="0"/>
    <x v="0"/>
    <x v="0"/>
    <x v="0"/>
    <s v="Cooling Mechanism"/>
    <x v="0"/>
    <s v="Compressors"/>
    <x v="0"/>
    <s v="On Time"/>
    <x v="0"/>
    <m/>
    <m/>
    <m/>
    <m/>
    <s v="Yes"/>
    <n v="6"/>
    <n v="2"/>
    <s v="POC &amp; Reliability→15-11 / 05-12_x000a_Certification→ 10-12 / 30-12_x000a_Report Submission→ 10-01_x000a_Approval→ 16-01"/>
    <m/>
    <s v="Yes"/>
    <n v="0"/>
    <s v="Start Date→ 29-10-24_x000a_End Date→ 18-12-24"/>
    <s v="Safety completed"/>
    <m/>
    <m/>
    <m/>
    <n v="1"/>
    <n v="3"/>
    <s v="Long Lead→ 07/02/2025_x000a_TF→ 18/04/2025_x000a_Prod. Proto-TF→_x000a_Pilot TF→_x000a_Commercilaization→"/>
    <s v="Testing →TCCC Report submitted &amp; Approval Received_x000a_Safety →Completed_x000a_TF→To be released by Week16"/>
    <x v="0"/>
    <d v="2025-04-01T00:00:00"/>
  </r>
  <r>
    <n v="11"/>
    <d v="2025-01-01T00:00:00"/>
    <m/>
    <x v="0"/>
    <x v="0"/>
    <s v="25-00265"/>
    <x v="10"/>
    <x v="10"/>
    <x v="1"/>
    <x v="0"/>
    <x v="0"/>
    <x v="0"/>
    <s v="Cooling Mechanism"/>
    <x v="0"/>
    <s v="Compressors"/>
    <x v="1"/>
    <s v="On Time"/>
    <x v="2"/>
    <m/>
    <m/>
    <m/>
    <m/>
    <s v="Yes"/>
    <n v="6"/>
    <n v="1"/>
    <s v="POC &amp; Reliability→ 15-12/05-01_x000a_Certification→ 07-01 / 21-01_x000a_Report Submission→ 04-03_x000a_Approval→ 04-04"/>
    <m/>
    <s v="Yes"/>
    <n v="0"/>
    <s v="Start Date→ 11-01-25_x000a_End Date→ 10-02-25"/>
    <s v="Safety completed"/>
    <m/>
    <m/>
    <m/>
    <n v="3"/>
    <n v="3"/>
    <s v="Long Lead→11/04_x000a_TF→??_x000a_Prod. Proto-TF→_x000a_Pilot TF→_x000a_Commercilaization→"/>
    <s v="Testing →TCCC Report submitted/Approval received_x000a_Safety→Completed_x000a_TF→ To be released by Week18"/>
    <x v="2"/>
    <d v="2025-07-01T00:00:00"/>
  </r>
  <r>
    <n v="12"/>
    <d v="2025-01-01T00:00:00"/>
    <m/>
    <x v="0"/>
    <x v="0"/>
    <s v="25-00291"/>
    <x v="11"/>
    <x v="11"/>
    <x v="1"/>
    <x v="0"/>
    <x v="0"/>
    <x v="0"/>
    <s v="Cooling Mechanism"/>
    <x v="0"/>
    <s v="Compressors"/>
    <x v="1"/>
    <s v="On Time"/>
    <x v="2"/>
    <m/>
    <m/>
    <m/>
    <m/>
    <s v="Yes"/>
    <n v="6"/>
    <n v="1"/>
    <s v="POC &amp; Reliability→ 15-12/05-01_x000a_Certification→ 07-01 / 21-01_x000a_Report Submission→ 16-03_x000a_Approval→16-04"/>
    <m/>
    <s v="Yes"/>
    <n v="0"/>
    <s v="Start Date→ 25-01-25_x000a_End Date→ 13-03-25"/>
    <s v="Safety completed"/>
    <m/>
    <m/>
    <m/>
    <n v="4"/>
    <n v="3"/>
    <s v="Long Lead→28/04_x000a_TF→_x000a_Prod. Proto-TF→_x000a_Pilot TF→_x000a_Commercilaization→"/>
    <s v="Testing →TCCC Report submitted/Approval received_x000a_Safety→Completed_x000a_TF→ To be released by Week20"/>
    <x v="2"/>
    <d v="2025-07-01T00:00:00"/>
  </r>
  <r>
    <n v="13"/>
    <d v="2025-01-01T00:00:00"/>
    <m/>
    <x v="0"/>
    <x v="0"/>
    <s v="25-00297"/>
    <x v="12"/>
    <x v="12"/>
    <x v="1"/>
    <x v="0"/>
    <x v="0"/>
    <x v="0"/>
    <s v="Cooling Mechanism"/>
    <x v="0"/>
    <s v="Compressors"/>
    <x v="1"/>
    <s v="On Time"/>
    <x v="1"/>
    <m/>
    <m/>
    <m/>
    <m/>
    <s v="Yes"/>
    <n v="6"/>
    <n v="0"/>
    <m/>
    <m/>
    <s v="Yes"/>
    <n v="0"/>
    <s v="Start Date→ 25-01-25_x000a_End Date→ 13-03-25"/>
    <s v="Safety completed"/>
    <m/>
    <m/>
    <m/>
    <n v="3"/>
    <n v="3"/>
    <s v="Long Lead→09/05_x000a_TF→??_x000a_Prod. Proto-TF→_x000a_Pilot TF→_x000a_Commercilaization→"/>
    <s v="Testing→POC completed, Certification to be planned_x000a_Safety→Completed_x000a_TF→WK21"/>
    <x v="2"/>
    <d v="2025-07-01T00:00:00"/>
  </r>
  <r>
    <n v="14"/>
    <d v="2025-01-01T00:00:00"/>
    <m/>
    <x v="0"/>
    <x v="0"/>
    <s v="25-00299"/>
    <x v="13"/>
    <x v="13"/>
    <x v="1"/>
    <x v="0"/>
    <x v="0"/>
    <x v="0"/>
    <s v="Cooling Mechanism"/>
    <x v="0"/>
    <s v="Compressors"/>
    <x v="1"/>
    <s v="On Time"/>
    <x v="2"/>
    <m/>
    <m/>
    <m/>
    <m/>
    <s v="Yes"/>
    <n v="6"/>
    <n v="0"/>
    <s v="POC &amp; Reliability→15-12/05-01_x000a_Certification→ 06-04 / 26-04_x000a_Report Submission→ 30-04_x000a_Approval→ 31-05"/>
    <m/>
    <s v="Yes"/>
    <n v="0"/>
    <s v="Start Date→ 11-01-25_x000a_End Date→ 10-02-25"/>
    <s v="Safety completed, model name covered in safety report - SL-1140 [R290] FFD"/>
    <m/>
    <m/>
    <m/>
    <n v="0"/>
    <n v="0"/>
    <s v="Long Lead→17/05_x000a_TF→_x000a_Prod. Proto-TF→_x000a_Pilot TF→_x000a_Commercilaization→"/>
    <s v="Testing →POC  &amp; reliability in progress_x000a_Safety→Completed_x000a_TF→Long lead item list released, TF by WK19_x000a_Project Cancelled"/>
    <x v="2"/>
    <d v="2025-07-01T00:00:00"/>
  </r>
  <r>
    <n v="15"/>
    <d v="2025-01-01T00:00:00"/>
    <m/>
    <x v="0"/>
    <x v="0"/>
    <s v="25-00253"/>
    <x v="14"/>
    <x v="14"/>
    <x v="2"/>
    <x v="0"/>
    <x v="0"/>
    <x v="0"/>
    <s v="Cooling Mechanism"/>
    <x v="0"/>
    <s v="Compressors"/>
    <x v="1"/>
    <s v="On Time"/>
    <x v="2"/>
    <m/>
    <m/>
    <m/>
    <m/>
    <s v="Yes"/>
    <n v="6"/>
    <n v="1"/>
    <s v="POC &amp; Reliability→15-02/07-03_x000a_Certification→ 14-03 / 04-04_x000a_Report Submission→ 11-04_x000a_Approval→ 11-05"/>
    <m/>
    <s v="Yes"/>
    <n v="0"/>
    <s v="Start Date→ 25-01-25_x000a_End Date→ 13-03-25"/>
    <s v="Safety completed"/>
    <m/>
    <m/>
    <m/>
    <n v="3"/>
    <n v="3"/>
    <s v="Long Lead→ 17/03/2025_x000a_TF→_x000a_Prod. Proto-TF→_x000a_Pilot TF→_x000a_Commercilaization→"/>
    <s v="Tsting→Certification completed, Report to be submitted by  this week, _x000a_Safety→completed_x000a_TF→ To be released in WK18"/>
    <x v="0"/>
    <d v="2025-05-01T00:00:00"/>
  </r>
  <r>
    <n v="16"/>
    <d v="2025-01-01T00:00:00"/>
    <m/>
    <x v="0"/>
    <x v="0"/>
    <s v="25-00253"/>
    <x v="15"/>
    <x v="15"/>
    <x v="2"/>
    <x v="0"/>
    <x v="0"/>
    <x v="0"/>
    <s v="Cooling Mechanism"/>
    <x v="0"/>
    <s v="Compressors"/>
    <x v="1"/>
    <s v="On Time"/>
    <x v="3"/>
    <m/>
    <m/>
    <m/>
    <m/>
    <s v="Yes"/>
    <n v="6"/>
    <n v="0"/>
    <m/>
    <m/>
    <s v="Yes"/>
    <n v="0"/>
    <s v="Start Date→ 25-01-25_x000a_End Date→ 13-03-25"/>
    <s v="Safety completed"/>
    <m/>
    <m/>
    <m/>
    <n v="2"/>
    <n v="1"/>
    <s v="Long Lead→ 26/03/2025_x000a_TF→_x000a_Prod. Proto-TF→_x000a_Pilot TF→_x000a_Commercilaization→"/>
    <s v="POC completed, Certification to be planned_x000a_Safety→Completed_x000a_Long lead item list released in WK19"/>
    <x v="0"/>
    <d v="2025-05-01T00:00:00"/>
  </r>
  <r>
    <n v="17"/>
    <d v="2025-01-01T00:00:00"/>
    <n v="7"/>
    <x v="0"/>
    <x v="0"/>
    <s v="25-00251"/>
    <x v="16"/>
    <x v="16"/>
    <x v="1"/>
    <x v="0"/>
    <x v="0"/>
    <x v="0"/>
    <s v="Cooling Mechanism"/>
    <x v="0"/>
    <s v="Compressors"/>
    <x v="1"/>
    <s v="Not Started"/>
    <x v="1"/>
    <m/>
    <m/>
    <m/>
    <m/>
    <s v="Yes"/>
    <n v="6"/>
    <n v="10"/>
    <s v="POC &amp; Reliability→20-02/31-03-Compressor failed_x000a_Certification→ 15-04 / 06-05_x000a_Report Submission→ 07-06_x000a_Approval→ 07-07"/>
    <s v="Compressor Fail in Reliability Testing"/>
    <s v="Yes"/>
    <n v="1.5"/>
    <s v="Not Started"/>
    <s v="to be initiated."/>
    <m/>
    <m/>
    <m/>
    <n v="3"/>
    <n v="2"/>
    <s v="Compressor Failed, TF dates to be communicate by next week"/>
    <s v="Testing →POC in progress, Compressor failed_x000a_Safety→To be started_x000a_TF→to be released by WK23"/>
    <x v="2"/>
    <d v="2025-07-01T00:00:00"/>
  </r>
  <r>
    <n v="18"/>
    <d v="2025-01-01T00:00:00"/>
    <m/>
    <x v="0"/>
    <x v="0"/>
    <s v="25-00263"/>
    <x v="17"/>
    <x v="17"/>
    <x v="0"/>
    <x v="0"/>
    <x v="0"/>
    <x v="0"/>
    <s v="Cooling Mechanism"/>
    <x v="0"/>
    <s v="HEX"/>
    <x v="0"/>
    <s v="On Time"/>
    <x v="0"/>
    <m/>
    <m/>
    <m/>
    <m/>
    <s v="Yes"/>
    <n v="2"/>
    <n v="1"/>
    <m/>
    <m/>
    <s v="No"/>
    <n v="0"/>
    <s v="N/A"/>
    <m/>
    <m/>
    <m/>
    <m/>
    <n v="1"/>
    <n v="1"/>
    <s v="Drawing released, to be included in upcoming TF"/>
    <s v="Drawing released, to be included in upcoming TF"/>
    <x v="1"/>
    <d v="2025-01-01T00:00:00"/>
  </r>
  <r>
    <n v="19"/>
    <d v="2025-01-01T00:00:00"/>
    <m/>
    <x v="1"/>
    <x v="0"/>
    <s v="25-00264"/>
    <x v="18"/>
    <x v="18"/>
    <x v="0"/>
    <x v="0"/>
    <x v="0"/>
    <x v="1"/>
    <s v="Illumination"/>
    <x v="1"/>
    <s v="Cable Harnesses"/>
    <x v="1"/>
    <s v="On Time"/>
    <x v="2"/>
    <m/>
    <m/>
    <m/>
    <m/>
    <s v="No"/>
    <n v="0"/>
    <n v="0"/>
    <m/>
    <m/>
    <s v="No"/>
    <n v="0"/>
    <s v="N/A"/>
    <m/>
    <s v="No"/>
    <s v="No"/>
    <m/>
    <n v="2"/>
    <n v="1"/>
    <s v="Drawing to be shared first, TF to be rleased after production prototype"/>
    <s v="Drawing to be released after receiving Prod. Proto comments"/>
    <x v="3"/>
    <d v="2025-05-01T00:00:00"/>
  </r>
  <r>
    <n v="20"/>
    <d v="2025-01-01T00:00:00"/>
    <m/>
    <x v="1"/>
    <x v="0"/>
    <s v="25-00264"/>
    <x v="19"/>
    <x v="19"/>
    <x v="0"/>
    <x v="0"/>
    <x v="0"/>
    <x v="1"/>
    <s v="Illumination"/>
    <x v="1"/>
    <s v="Cable Harnesses"/>
    <x v="0"/>
    <s v="On Time"/>
    <x v="0"/>
    <m/>
    <m/>
    <m/>
    <m/>
    <s v="No"/>
    <n v="0"/>
    <n v="0"/>
    <m/>
    <m/>
    <s v="No"/>
    <n v="0"/>
    <s v="N/A"/>
    <m/>
    <s v="No"/>
    <s v="No"/>
    <m/>
    <n v="3"/>
    <n v="3"/>
    <s v="Drawing to be shared first, TF to be rleased after production prototype"/>
    <s v="TF released→WK13,_x000a_Proto→ In Progress_x000a_Tooling drawing CER pending for approval"/>
    <x v="3"/>
    <d v="2025-05-01T00:00:00"/>
  </r>
  <r>
    <n v="21"/>
    <d v="2025-01-01T00:00:00"/>
    <m/>
    <x v="1"/>
    <x v="0"/>
    <s v="25-00264"/>
    <x v="20"/>
    <x v="20"/>
    <x v="0"/>
    <x v="0"/>
    <x v="0"/>
    <x v="1"/>
    <s v="Illumination"/>
    <x v="1"/>
    <s v="Cable Harnesses"/>
    <x v="1"/>
    <s v="On Time"/>
    <x v="2"/>
    <m/>
    <m/>
    <m/>
    <m/>
    <s v="No"/>
    <n v="0"/>
    <n v="0"/>
    <m/>
    <m/>
    <s v="No"/>
    <n v="0"/>
    <s v="N/A"/>
    <m/>
    <s v="No"/>
    <s v="No"/>
    <m/>
    <n v="2"/>
    <n v="1"/>
    <s v="Drawing to be shared first, TF to be rleased after production prototype"/>
    <s v="Drawing to be released after receiving Prod. Proto comments"/>
    <x v="3"/>
    <d v="2025-05-01T00:00:00"/>
  </r>
  <r>
    <n v="22"/>
    <d v="2025-01-01T00:00:00"/>
    <m/>
    <x v="1"/>
    <x v="0"/>
    <s v="25-00264"/>
    <x v="21"/>
    <x v="21"/>
    <x v="0"/>
    <x v="0"/>
    <x v="0"/>
    <x v="1"/>
    <s v="Illumination"/>
    <x v="1"/>
    <s v="Cable Harnesses"/>
    <x v="1"/>
    <s v="On Time"/>
    <x v="2"/>
    <m/>
    <m/>
    <m/>
    <m/>
    <s v="No"/>
    <n v="0"/>
    <n v="0"/>
    <m/>
    <m/>
    <s v="No"/>
    <n v="0"/>
    <s v="N/A"/>
    <m/>
    <s v="No"/>
    <s v="No"/>
    <m/>
    <n v="2"/>
    <n v="2"/>
    <s v="Drawing to be shared first, TF to be rleased after production prototype"/>
    <s v="Drawing to be released after receiving Prod. Proto comments"/>
    <x v="3"/>
    <d v="2025-05-01T00:00:00"/>
  </r>
  <r>
    <n v="23"/>
    <d v="2025-01-01T00:00:00"/>
    <m/>
    <x v="1"/>
    <x v="0"/>
    <s v="25-00264"/>
    <x v="22"/>
    <x v="22"/>
    <x v="0"/>
    <x v="0"/>
    <x v="0"/>
    <x v="1"/>
    <s v="Illumination"/>
    <x v="1"/>
    <s v="Cable Harnesses"/>
    <x v="1"/>
    <s v="On Time"/>
    <x v="2"/>
    <m/>
    <m/>
    <m/>
    <m/>
    <s v="No"/>
    <n v="0"/>
    <n v="0"/>
    <m/>
    <m/>
    <s v="No"/>
    <n v="0"/>
    <s v="N/A"/>
    <m/>
    <s v="No"/>
    <s v="No"/>
    <m/>
    <n v="2"/>
    <n v="2"/>
    <s v="Drawing to be shared first, TF to be rleased after production prototype"/>
    <s v="Drawing to be released after receiving Prod. Proto comments"/>
    <x v="3"/>
    <d v="2025-05-01T00:00:00"/>
  </r>
  <r>
    <n v="24"/>
    <d v="2025-01-01T00:00:00"/>
    <m/>
    <x v="1"/>
    <x v="0"/>
    <s v="25-00264"/>
    <x v="23"/>
    <x v="23"/>
    <x v="0"/>
    <x v="0"/>
    <x v="0"/>
    <x v="1"/>
    <s v="Illumination"/>
    <x v="1"/>
    <s v="Cable Harnesses"/>
    <x v="1"/>
    <s v="On Time"/>
    <x v="2"/>
    <m/>
    <m/>
    <m/>
    <m/>
    <s v="No"/>
    <n v="0"/>
    <n v="0"/>
    <m/>
    <m/>
    <s v="No"/>
    <n v="0"/>
    <s v="N/A"/>
    <m/>
    <s v="No"/>
    <s v="No"/>
    <m/>
    <n v="2"/>
    <n v="2"/>
    <s v="Drawing to be shared first, TF to be rleased after production prototype"/>
    <s v="Drawing to be released after receiving Prod. Proto comments"/>
    <x v="3"/>
    <d v="2025-05-01T00:00:00"/>
  </r>
  <r>
    <n v="25"/>
    <d v="2025-01-01T00:00:00"/>
    <m/>
    <x v="1"/>
    <x v="0"/>
    <s v="25-00264"/>
    <x v="24"/>
    <x v="24"/>
    <x v="0"/>
    <x v="0"/>
    <x v="0"/>
    <x v="1"/>
    <s v="Illumination"/>
    <x v="1"/>
    <s v="Cable Harnesses"/>
    <x v="1"/>
    <s v="On Time"/>
    <x v="2"/>
    <m/>
    <m/>
    <m/>
    <m/>
    <s v="No"/>
    <n v="0"/>
    <n v="0"/>
    <m/>
    <m/>
    <s v="No"/>
    <n v="0"/>
    <s v="N/A"/>
    <m/>
    <s v="No"/>
    <s v="No"/>
    <m/>
    <n v="2"/>
    <n v="2"/>
    <s v="Drawing to be shared first, TF to be rleased after production prototype"/>
    <s v="Drawing to be released after receiving Prod. Proto comments"/>
    <x v="3"/>
    <d v="2025-05-01T00:00:00"/>
  </r>
  <r>
    <n v="26"/>
    <d v="2025-01-01T00:00:00"/>
    <m/>
    <x v="1"/>
    <x v="0"/>
    <s v="25-00264"/>
    <x v="25"/>
    <x v="25"/>
    <x v="0"/>
    <x v="0"/>
    <x v="0"/>
    <x v="1"/>
    <s v="Illumination"/>
    <x v="1"/>
    <s v="Cable Harnesses"/>
    <x v="1"/>
    <s v="On Time"/>
    <x v="2"/>
    <m/>
    <m/>
    <m/>
    <m/>
    <s v="No"/>
    <n v="0"/>
    <n v="0"/>
    <m/>
    <m/>
    <s v="No"/>
    <n v="0"/>
    <s v="N/A"/>
    <m/>
    <s v="No"/>
    <s v="No"/>
    <m/>
    <n v="2"/>
    <n v="2"/>
    <s v="Drawing to be shared first, TF to be rleased after production prototype"/>
    <s v="Drawing to be released after receiving Prod. Proto comments"/>
    <x v="3"/>
    <d v="2025-05-01T00:00:00"/>
  </r>
  <r>
    <n v="27"/>
    <d v="2024-12-01T00:00:00"/>
    <m/>
    <x v="1"/>
    <x v="1"/>
    <s v="25-00266"/>
    <x v="26"/>
    <x v="26"/>
    <x v="0"/>
    <x v="0"/>
    <x v="0"/>
    <x v="2"/>
    <s v="Insulated Cabin"/>
    <x v="2"/>
    <s v="Shelves"/>
    <x v="0"/>
    <s v="On Time"/>
    <x v="0"/>
    <m/>
    <m/>
    <m/>
    <m/>
    <s v="No"/>
    <n v="0"/>
    <n v="0"/>
    <m/>
    <m/>
    <s v="No"/>
    <n v="0"/>
    <s v="N/A"/>
    <m/>
    <s v="Yes"/>
    <s v="Yes"/>
    <m/>
    <n v="1"/>
    <n v="2"/>
    <s v="TF released, Followup for indutrialization to be done"/>
    <m/>
    <x v="1"/>
    <e v="#N/A"/>
  </r>
  <r>
    <n v="28"/>
    <d v="2025-04-01T00:00:00"/>
    <m/>
    <x v="1"/>
    <x v="0"/>
    <s v="25-00267"/>
    <x v="27"/>
    <x v="27"/>
    <x v="1"/>
    <x v="0"/>
    <x v="0"/>
    <x v="1"/>
    <s v="Electrical Parts"/>
    <x v="1"/>
    <s v="Protector - Stabilizer"/>
    <x v="1"/>
    <s v="Not Started"/>
    <x v="2"/>
    <m/>
    <m/>
    <m/>
    <m/>
    <s v="Yes"/>
    <n v="1"/>
    <n v="0"/>
    <m/>
    <m/>
    <s v="Yes"/>
    <n v="1.5"/>
    <s v="Completed"/>
    <m/>
    <m/>
    <m/>
    <m/>
    <n v="1"/>
    <n v="1"/>
    <s v="TF to be released"/>
    <m/>
    <x v="2"/>
    <d v="2025-07-01T00:00:00"/>
  </r>
  <r>
    <n v="29"/>
    <d v="2025-01-01T00:00:00"/>
    <n v="10"/>
    <x v="0"/>
    <x v="2"/>
    <s v="24-00197"/>
    <x v="26"/>
    <x v="28"/>
    <x v="0"/>
    <x v="0"/>
    <x v="0"/>
    <x v="3"/>
    <s v="Complete Cooler"/>
    <x v="3"/>
    <s v="N/A"/>
    <x v="1"/>
    <s v="On Time"/>
    <x v="4"/>
    <m/>
    <m/>
    <m/>
    <m/>
    <s v="Yes"/>
    <n v="2"/>
    <n v="3"/>
    <m/>
    <m/>
    <s v="No"/>
    <n v="1.5"/>
    <s v="N/A"/>
    <s v="In progress with 3rd Party consultant- Renders creation in Progress, After finalization of renders costing to be done for go ahead of project, Detailing and development to be done by consultant. Project moved to B category- Need to do this for all models."/>
    <m/>
    <m/>
    <m/>
    <n v="6"/>
    <n v="8"/>
    <s v="Tonmoy to provide dates on Concept/costing and design finalization"/>
    <s v="TF dates to be communicated after Finalization of Design from consultant"/>
    <x v="4"/>
    <d v="2025-12-01T00:00:00"/>
  </r>
  <r>
    <n v="30"/>
    <d v="2025-01-01T00:00:00"/>
    <m/>
    <x v="1"/>
    <x v="2"/>
    <s v="24-00229"/>
    <x v="26"/>
    <x v="29"/>
    <x v="0"/>
    <x v="0"/>
    <x v="0"/>
    <x v="3"/>
    <s v="Cabin Electronics"/>
    <x v="3"/>
    <s v="N/A"/>
    <x v="2"/>
    <s v="Not Started"/>
    <x v="0"/>
    <m/>
    <m/>
    <m/>
    <m/>
    <s v="Yes"/>
    <n v="1"/>
    <n v="0"/>
    <m/>
    <m/>
    <s v="No"/>
    <n v="0"/>
    <s v="N/A"/>
    <m/>
    <m/>
    <m/>
    <m/>
    <n v="0"/>
    <n v="2"/>
    <s v="TF released, hold from Marketing"/>
    <m/>
    <x v="0"/>
    <e v="#N/A"/>
  </r>
  <r>
    <n v="31"/>
    <d v="2025-01-01T00:00:00"/>
    <m/>
    <x v="0"/>
    <x v="2"/>
    <s v="24-00231"/>
    <x v="26"/>
    <x v="30"/>
    <x v="0"/>
    <x v="0"/>
    <x v="0"/>
    <x v="3"/>
    <s v="Cabin Electronics"/>
    <x v="3"/>
    <s v="N/A"/>
    <x v="2"/>
    <s v="On Time"/>
    <x v="2"/>
    <m/>
    <m/>
    <m/>
    <m/>
    <s v="Yes"/>
    <n v="1"/>
    <n v="0"/>
    <m/>
    <m/>
    <s v="No"/>
    <n v="0"/>
    <s v="N/A"/>
    <m/>
    <m/>
    <m/>
    <m/>
    <n v="0"/>
    <n v="3"/>
    <s v="TF released, hold from Marketing"/>
    <m/>
    <x v="0"/>
    <e v="#N/A"/>
  </r>
  <r>
    <n v="32"/>
    <d v="2025-01-01T00:00:00"/>
    <m/>
    <x v="1"/>
    <x v="1"/>
    <s v="25-00269"/>
    <x v="26"/>
    <x v="31"/>
    <x v="0"/>
    <x v="0"/>
    <x v="0"/>
    <x v="2"/>
    <s v="Door"/>
    <x v="4"/>
    <s v="Metal Processing &amp; Components"/>
    <x v="3"/>
    <s v="On Time"/>
    <x v="5"/>
    <m/>
    <m/>
    <m/>
    <m/>
    <s v="No"/>
    <n v="0"/>
    <n v="0"/>
    <m/>
    <m/>
    <s v="No"/>
    <n v="0"/>
    <s v="N/A"/>
    <m/>
    <s v="Yes"/>
    <s v="Yes"/>
    <m/>
    <n v="1"/>
    <n v="1"/>
    <s v="Trails done, but not concluded"/>
    <m/>
    <x v="5"/>
    <e v="#N/A"/>
  </r>
  <r>
    <n v="33"/>
    <d v="2025-01-01T00:00:00"/>
    <m/>
    <x v="0"/>
    <x v="1"/>
    <s v="25-00270"/>
    <x v="26"/>
    <x v="32"/>
    <x v="1"/>
    <x v="0"/>
    <x v="0"/>
    <x v="3"/>
    <s v="Insulated Cabin"/>
    <x v="2"/>
    <s v="Metal Processing &amp; Components"/>
    <x v="1"/>
    <s v="On Time"/>
    <x v="2"/>
    <m/>
    <m/>
    <m/>
    <m/>
    <s v="No"/>
    <n v="0"/>
    <n v="1"/>
    <m/>
    <m/>
    <s v="No"/>
    <n v="0"/>
    <s v="N/A"/>
    <m/>
    <s v="Yes"/>
    <s v="Yes"/>
    <m/>
    <n v="4"/>
    <n v="6"/>
    <s v="Drawing rleased, TF to be rleased after sucessful trails"/>
    <m/>
    <x v="2"/>
    <d v="2025-06-30T00:00:00"/>
  </r>
  <r>
    <n v="34"/>
    <d v="2025-01-01T00:00:00"/>
    <m/>
    <x v="1"/>
    <x v="0"/>
    <s v="25-00272"/>
    <x v="28"/>
    <x v="33"/>
    <x v="1"/>
    <x v="0"/>
    <x v="0"/>
    <x v="1"/>
    <s v="Electrical Parts"/>
    <x v="1"/>
    <s v="Cable Harnesses"/>
    <x v="4"/>
    <s v="Not Started"/>
    <x v="6"/>
    <m/>
    <m/>
    <m/>
    <m/>
    <s v="No"/>
    <n v="0"/>
    <n v="0"/>
    <m/>
    <m/>
    <s v="No"/>
    <n v="0"/>
    <s v="N/A"/>
    <m/>
    <s v="No"/>
    <s v="No"/>
    <m/>
    <n v="1"/>
    <n v="0.5"/>
    <s v="Not covered in TF, TF to be released- Check with quentin"/>
    <m/>
    <x v="2"/>
    <d v="2025-04-01T00:00:00"/>
  </r>
  <r>
    <n v="35"/>
    <d v="2025-01-01T00:00:00"/>
    <m/>
    <x v="1"/>
    <x v="0"/>
    <s v="TBA"/>
    <x v="29"/>
    <x v="34"/>
    <x v="1"/>
    <x v="0"/>
    <x v="0"/>
    <x v="1"/>
    <s v="Cooling Mechanism"/>
    <x v="1"/>
    <s v="Cable Harnesses"/>
    <x v="4"/>
    <s v="Not Started"/>
    <x v="0"/>
    <m/>
    <m/>
    <m/>
    <m/>
    <s v="No"/>
    <n v="0"/>
    <n v="0"/>
    <m/>
    <m/>
    <s v="No"/>
    <n v="0"/>
    <s v="N/A"/>
    <m/>
    <s v="No"/>
    <s v="No"/>
    <m/>
    <n v="0.5"/>
    <n v="0.5"/>
    <s v="Not covered in TF, TF to be released-Ask details from Quentin"/>
    <m/>
    <x v="2"/>
    <d v="2025-07-01T00:00:00"/>
  </r>
  <r>
    <n v="36"/>
    <d v="2024-12-01T00:00:00"/>
    <m/>
    <x v="1"/>
    <x v="0"/>
    <s v="TBA"/>
    <x v="30"/>
    <x v="35"/>
    <x v="1"/>
    <x v="0"/>
    <x v="0"/>
    <x v="1"/>
    <s v="Cooling Mechanism"/>
    <x v="2"/>
    <s v="Steel-GI"/>
    <x v="4"/>
    <s v="Not Started"/>
    <x v="6"/>
    <m/>
    <m/>
    <m/>
    <m/>
    <s v="No"/>
    <n v="0"/>
    <n v="0"/>
    <m/>
    <m/>
    <s v="No"/>
    <n v="0"/>
    <s v="N/A"/>
    <m/>
    <s v="No"/>
    <s v="No"/>
    <m/>
    <n v="0.5"/>
    <n v="0.5"/>
    <s v="Not covered in TF, TF to be released-Ask details from Quentin"/>
    <m/>
    <x v="2"/>
    <d v="2025-04-01T00:00:00"/>
  </r>
  <r>
    <n v="37"/>
    <d v="2024-12-01T00:00:00"/>
    <m/>
    <x v="1"/>
    <x v="0"/>
    <s v="TBA"/>
    <x v="31"/>
    <x v="36"/>
    <x v="1"/>
    <x v="0"/>
    <x v="0"/>
    <x v="1"/>
    <s v="Cooling Mechanism"/>
    <x v="2"/>
    <s v="Steel-GI"/>
    <x v="4"/>
    <s v="Not Started"/>
    <x v="6"/>
    <m/>
    <m/>
    <m/>
    <m/>
    <s v="No"/>
    <n v="0"/>
    <n v="0"/>
    <m/>
    <m/>
    <s v="No"/>
    <n v="0"/>
    <s v="N/A"/>
    <m/>
    <s v="No"/>
    <s v="No"/>
    <m/>
    <n v="0.5"/>
    <n v="0.5"/>
    <s v="TF  released- Ask details/Images from Quentin"/>
    <m/>
    <x v="2"/>
    <d v="2025-04-01T00:00:00"/>
  </r>
  <r>
    <n v="38"/>
    <d v="2024-12-01T00:00:00"/>
    <m/>
    <x v="1"/>
    <x v="0"/>
    <s v="TBA"/>
    <x v="32"/>
    <x v="37"/>
    <x v="1"/>
    <x v="0"/>
    <x v="0"/>
    <x v="1"/>
    <s v="Insulated Cabin"/>
    <x v="2"/>
    <s v="Steel-GI"/>
    <x v="4"/>
    <s v="Not Started"/>
    <x v="6"/>
    <m/>
    <m/>
    <m/>
    <m/>
    <s v="No"/>
    <n v="0"/>
    <n v="0"/>
    <m/>
    <m/>
    <s v="No"/>
    <n v="0"/>
    <s v="N/A"/>
    <m/>
    <s v="No"/>
    <s v="No"/>
    <m/>
    <n v="0.5"/>
    <n v="0.5"/>
    <s v="Not covered in TF, TF to be released- Ask details/Images from Quentin"/>
    <m/>
    <x v="2"/>
    <d v="2024-11-01T00:00:00"/>
  </r>
  <r>
    <n v="39"/>
    <d v="2024-12-01T00:00:00"/>
    <m/>
    <x v="1"/>
    <x v="0"/>
    <s v="25-00276"/>
    <x v="33"/>
    <x v="38"/>
    <x v="0"/>
    <x v="0"/>
    <x v="0"/>
    <x v="0"/>
    <s v="Cooling Mechanism"/>
    <x v="0"/>
    <s v="Copper Tubes"/>
    <x v="1"/>
    <s v="On Time"/>
    <x v="0"/>
    <m/>
    <m/>
    <m/>
    <m/>
    <s v="No"/>
    <n v="1"/>
    <n v="0"/>
    <m/>
    <m/>
    <s v="No"/>
    <n v="0"/>
    <s v="N/A"/>
    <s v="N/A"/>
    <m/>
    <m/>
    <m/>
    <n v="0.5"/>
    <n v="0.5"/>
    <m/>
    <s v="Not covered in TF, TF to be released"/>
    <x v="5"/>
    <d v="2025-07-01T00:00:00"/>
  </r>
  <r>
    <n v="40"/>
    <d v="2024-12-01T00:00:00"/>
    <m/>
    <x v="1"/>
    <x v="0"/>
    <s v="25-00277"/>
    <x v="34"/>
    <x v="39"/>
    <x v="0"/>
    <x v="0"/>
    <x v="0"/>
    <x v="0"/>
    <s v="Electrical Parts"/>
    <x v="5"/>
    <s v="Thermostats"/>
    <x v="0"/>
    <s v="On Time"/>
    <x v="0"/>
    <m/>
    <m/>
    <m/>
    <m/>
    <s v="Yes"/>
    <n v="1"/>
    <n v="0"/>
    <m/>
    <m/>
    <s v="Yes"/>
    <n v="0"/>
    <s v="Start Date→  28-10-24_x000a_End Date→ 30-11-24"/>
    <s v="5th March-Thermostat ordering for 2000 PCS. Expected to ship by March end"/>
    <m/>
    <m/>
    <m/>
    <n v="0.5"/>
    <n v="0.5"/>
    <s v="Memo released → 24/01/2025"/>
    <m/>
    <x v="0"/>
    <d v="2025-04-01T00:00:00"/>
  </r>
  <r>
    <n v="41"/>
    <d v="2024-12-01T00:00:00"/>
    <m/>
    <x v="0"/>
    <x v="0"/>
    <s v="25-00278"/>
    <x v="35"/>
    <x v="40"/>
    <x v="0"/>
    <x v="0"/>
    <x v="0"/>
    <x v="0"/>
    <s v="Electrical Parts"/>
    <x v="1"/>
    <s v="Block Motors"/>
    <x v="1"/>
    <s v="On Time"/>
    <x v="3"/>
    <m/>
    <m/>
    <m/>
    <m/>
    <s v="Yes"/>
    <n v="1"/>
    <n v="1"/>
    <m/>
    <m/>
    <s v="Yes"/>
    <n v="0"/>
    <s v="Start Date→ 11-01-25_x000a_End Date→ 10-02-25"/>
    <s v="Added in Super 1100 R290 and its variants"/>
    <m/>
    <m/>
    <m/>
    <n v="0.5"/>
    <n v="0.5"/>
    <s v="TF Memo to be released "/>
    <m/>
    <x v="0"/>
    <d v="2025-07-01T00:00:00"/>
  </r>
  <r>
    <n v="42"/>
    <d v="2024-12-01T00:00:00"/>
    <m/>
    <x v="0"/>
    <x v="0"/>
    <s v="25-00279"/>
    <x v="36"/>
    <x v="41"/>
    <x v="3"/>
    <x v="0"/>
    <x v="0"/>
    <x v="0"/>
    <s v="Electrical Parts"/>
    <x v="1"/>
    <s v="Electronic Motors"/>
    <x v="4"/>
    <s v="Not Started"/>
    <x v="2"/>
    <m/>
    <m/>
    <m/>
    <m/>
    <s v="Yes"/>
    <n v="1"/>
    <n v="1"/>
    <m/>
    <m/>
    <s v="Yes"/>
    <n v="0"/>
    <s v="Start Date→  28-10-24_x000a_End Date→ 30-11-24"/>
    <s v="Safety completed"/>
    <m/>
    <m/>
    <m/>
    <n v="1"/>
    <n v="1"/>
    <s v="Memo released → 14/02/2025, TF needs to be released as Start washer and bracket need to changed"/>
    <s v="Discussion on different length of motor Casing from existing ECM7112 version, supplier proposed new motor hub (on which fan blade is getting mounted) from 9mm →23mm. Sample is expected to be dispatched by 25th of April This will be applicable for all  Frigoglass plants. Action Items: _x000a_-Reliability testing to be done again to avoid new bracket. _x000a_-TF to be released for S45 SZ "/>
    <x v="0"/>
    <d v="2025-06-01T00:00:00"/>
  </r>
  <r>
    <n v="43"/>
    <d v="2024-12-01T00:00:00"/>
    <m/>
    <x v="0"/>
    <x v="0"/>
    <s v="24-00188"/>
    <x v="37"/>
    <x v="42"/>
    <x v="3"/>
    <x v="0"/>
    <x v="0"/>
    <x v="0"/>
    <s v="Electrical Parts"/>
    <x v="1"/>
    <s v="Block Motors"/>
    <x v="1"/>
    <s v="On Time"/>
    <x v="3"/>
    <m/>
    <m/>
    <m/>
    <m/>
    <s v="Yes"/>
    <n v="1"/>
    <n v="0"/>
    <m/>
    <m/>
    <s v="Yes"/>
    <m/>
    <s v="Start Date→  28-10-24_x000a_End Date→ 30-11-24"/>
    <s v="Rexnord motor rejected in field simulation."/>
    <m/>
    <m/>
    <m/>
    <n v="0"/>
    <n v="0"/>
    <s v=" "/>
    <m/>
    <x v="0"/>
    <d v="2025-05-01T00:00:00"/>
  </r>
  <r>
    <n v="44"/>
    <d v="2024-12-01T00:00:00"/>
    <m/>
    <x v="0"/>
    <x v="0"/>
    <s v="25-00280"/>
    <x v="38"/>
    <x v="43"/>
    <x v="3"/>
    <x v="0"/>
    <x v="0"/>
    <x v="0"/>
    <s v="Electrical Parts"/>
    <x v="1"/>
    <s v="Electronic Motors"/>
    <x v="4"/>
    <s v="Not Started"/>
    <x v="2"/>
    <m/>
    <m/>
    <m/>
    <m/>
    <s v="Yes"/>
    <n v="1"/>
    <n v="1"/>
    <m/>
    <m/>
    <s v="Yes"/>
    <m/>
    <s v="Start Date→  28-10-24_x000a_End Date→ 30-11-24"/>
    <s v="Safety completed"/>
    <m/>
    <m/>
    <m/>
    <n v="1"/>
    <n v="2"/>
    <s v="Memo released → 14/02/2025"/>
    <s v="TF to be released for  S1100 (2026 EC target version)"/>
    <x v="0"/>
    <d v="2025-06-01T00:00:00"/>
  </r>
  <r>
    <n v="45"/>
    <d v="2024-12-01T00:00:00"/>
    <m/>
    <x v="0"/>
    <x v="0"/>
    <s v="22-00019"/>
    <x v="39"/>
    <x v="44"/>
    <x v="0"/>
    <x v="0"/>
    <x v="0"/>
    <x v="0"/>
    <s v="Electrical Parts"/>
    <x v="1"/>
    <s v="Electronic Motors"/>
    <x v="1"/>
    <s v="On Time"/>
    <x v="3"/>
    <m/>
    <m/>
    <m/>
    <m/>
    <s v="Yes"/>
    <n v="1"/>
    <n v="1"/>
    <m/>
    <m/>
    <s v="Yes"/>
    <n v="0"/>
    <s v="Start Date→  28-10-24_x000a_End Date→ 30-11-24"/>
    <s v="Safety completed"/>
    <m/>
    <m/>
    <m/>
    <n v="0.5"/>
    <n v="0.5"/>
    <s v="TF Memo to be released "/>
    <m/>
    <x v="0"/>
    <d v="2025-07-01T00:00:00"/>
  </r>
  <r>
    <n v="46"/>
    <d v="2024-12-01T00:00:00"/>
    <m/>
    <x v="0"/>
    <x v="0"/>
    <s v="25-00281"/>
    <x v="40"/>
    <x v="45"/>
    <x v="3"/>
    <x v="0"/>
    <x v="0"/>
    <x v="0"/>
    <s v="Electrical Parts"/>
    <x v="1"/>
    <s v="Shaded Pole Motors &amp; Blades"/>
    <x v="1"/>
    <s v="On Time"/>
    <x v="3"/>
    <m/>
    <m/>
    <m/>
    <m/>
    <s v="Yes"/>
    <n v="1"/>
    <n v="1"/>
    <m/>
    <m/>
    <s v="Yes"/>
    <m/>
    <s v="Start Date→ 29-10-24_x000a_End Date→ 18-12-24"/>
    <s v="Safety completed, new samples will be received from supplier with correct dimension."/>
    <m/>
    <m/>
    <m/>
    <n v="0.5"/>
    <m/>
    <m/>
    <m/>
    <x v="0"/>
    <d v="2025-06-01T00:00:00"/>
  </r>
  <r>
    <n v="47"/>
    <d v="2024-12-01T00:00:00"/>
    <m/>
    <x v="0"/>
    <x v="0"/>
    <s v="25-00283"/>
    <x v="41"/>
    <x v="46"/>
    <x v="3"/>
    <x v="0"/>
    <x v="0"/>
    <x v="0"/>
    <s v="Electrical Parts"/>
    <x v="1"/>
    <s v="Shaded Pole Motors &amp; Blades"/>
    <x v="1"/>
    <s v="On Time"/>
    <x v="3"/>
    <m/>
    <m/>
    <m/>
    <m/>
    <s v="Yes"/>
    <n v="1"/>
    <n v="1"/>
    <m/>
    <m/>
    <s v="Yes"/>
    <m/>
    <s v="Start Date→ 11-01-25_x000a_End Date→ 10-02-25"/>
    <s v="Safety completed, new samples will be received from supplier with correct dimension."/>
    <m/>
    <m/>
    <m/>
    <n v="0.5"/>
    <m/>
    <s v=" "/>
    <m/>
    <x v="0"/>
    <s v="Jun'25"/>
  </r>
  <r>
    <n v="48"/>
    <d v="2024-12-01T00:00:00"/>
    <m/>
    <x v="0"/>
    <x v="0"/>
    <s v="25-00284"/>
    <x v="42"/>
    <x v="47"/>
    <x v="3"/>
    <x v="0"/>
    <x v="0"/>
    <x v="0"/>
    <s v="Electrical Parts"/>
    <x v="1"/>
    <s v="PSU"/>
    <x v="1"/>
    <s v="On Time"/>
    <x v="3"/>
    <m/>
    <m/>
    <m/>
    <m/>
    <s v="No"/>
    <n v="0"/>
    <n v="0"/>
    <m/>
    <m/>
    <s v="Yes"/>
    <m/>
    <s v="Not Started"/>
    <m/>
    <m/>
    <m/>
    <m/>
    <n v="0.5"/>
    <m/>
    <s v=" "/>
    <m/>
    <x v="6"/>
    <d v="2025-08-01T00:00:00"/>
  </r>
  <r>
    <n v="49"/>
    <d v="2024-12-01T00:00:00"/>
    <m/>
    <x v="0"/>
    <x v="0"/>
    <s v="25-00286"/>
    <x v="43"/>
    <x v="48"/>
    <x v="3"/>
    <x v="0"/>
    <x v="0"/>
    <x v="0"/>
    <s v="Electrical Parts"/>
    <x v="1"/>
    <s v="PSU"/>
    <x v="1"/>
    <s v="On Time"/>
    <x v="3"/>
    <m/>
    <m/>
    <m/>
    <m/>
    <s v="No"/>
    <n v="1"/>
    <n v="0"/>
    <m/>
    <m/>
    <s v="Yes"/>
    <m/>
    <s v="Not Started"/>
    <m/>
    <m/>
    <m/>
    <m/>
    <n v="0.5"/>
    <m/>
    <s v=" "/>
    <m/>
    <x v="6"/>
    <d v="2025-08-01T00:00:00"/>
  </r>
  <r>
    <n v="50"/>
    <d v="2024-12-01T00:00:00"/>
    <m/>
    <x v="0"/>
    <x v="0"/>
    <s v="25-00288"/>
    <x v="44"/>
    <x v="49"/>
    <x v="3"/>
    <x v="0"/>
    <x v="0"/>
    <x v="0"/>
    <s v="Electrical Parts"/>
    <x v="1"/>
    <s v="PSU"/>
    <x v="1"/>
    <s v="On Time"/>
    <x v="3"/>
    <m/>
    <m/>
    <m/>
    <m/>
    <s v="No"/>
    <n v="1"/>
    <n v="0"/>
    <m/>
    <m/>
    <s v="Yes"/>
    <m/>
    <s v="Not Started"/>
    <m/>
    <m/>
    <m/>
    <m/>
    <n v="0.5"/>
    <m/>
    <s v=" "/>
    <m/>
    <x v="6"/>
    <d v="2025-08-01T00:00:00"/>
  </r>
  <r>
    <n v="51"/>
    <d v="2024-12-01T00:00:00"/>
    <m/>
    <x v="0"/>
    <x v="0"/>
    <s v="25-00288"/>
    <x v="44"/>
    <x v="50"/>
    <x v="3"/>
    <x v="0"/>
    <x v="0"/>
    <x v="0"/>
    <s v="Electrical Parts"/>
    <x v="1"/>
    <s v="PSU"/>
    <x v="1"/>
    <s v="On Time"/>
    <x v="3"/>
    <m/>
    <m/>
    <m/>
    <m/>
    <s v="No"/>
    <n v="1"/>
    <n v="0"/>
    <m/>
    <m/>
    <s v="Yes"/>
    <m/>
    <s v="Not Started"/>
    <m/>
    <m/>
    <m/>
    <m/>
    <n v="0.5"/>
    <m/>
    <s v=" "/>
    <m/>
    <x v="6"/>
    <d v="2025-08-01T00:00:00"/>
  </r>
  <r>
    <n v="52"/>
    <d v="2024-12-01T00:00:00"/>
    <m/>
    <x v="1"/>
    <x v="0"/>
    <s v="24-00221_1"/>
    <x v="45"/>
    <x v="51"/>
    <x v="0"/>
    <x v="0"/>
    <x v="0"/>
    <x v="0"/>
    <s v="Electrical Parts"/>
    <x v="1"/>
    <s v="PSU"/>
    <x v="1"/>
    <s v="On Time"/>
    <x v="3"/>
    <m/>
    <m/>
    <m/>
    <m/>
    <s v="No"/>
    <n v="1"/>
    <n v="0"/>
    <m/>
    <m/>
    <s v="Yes"/>
    <n v="0.5"/>
    <s v="Not Started"/>
    <m/>
    <m/>
    <m/>
    <m/>
    <n v="0.5"/>
    <n v="0.5"/>
    <s v=" "/>
    <m/>
    <x v="6"/>
    <d v="2025-08-01T00:00:00"/>
  </r>
  <r>
    <n v="53"/>
    <d v="2024-12-01T00:00:00"/>
    <m/>
    <x v="1"/>
    <x v="0"/>
    <s v="24-00221_2"/>
    <x v="46"/>
    <x v="52"/>
    <x v="0"/>
    <x v="0"/>
    <x v="0"/>
    <x v="0"/>
    <s v="Electrical Parts"/>
    <x v="1"/>
    <s v="PSU"/>
    <x v="1"/>
    <s v="On Time"/>
    <x v="3"/>
    <m/>
    <m/>
    <m/>
    <m/>
    <s v="No"/>
    <n v="1"/>
    <n v="0"/>
    <m/>
    <m/>
    <s v="Yes"/>
    <n v="0.5"/>
    <s v="Not Started"/>
    <m/>
    <m/>
    <m/>
    <m/>
    <n v="0.5"/>
    <n v="0.5"/>
    <s v=" "/>
    <m/>
    <x v="6"/>
    <d v="2025-08-01T00:00:00"/>
  </r>
  <r>
    <n v="54"/>
    <d v="2024-12-01T00:00:00"/>
    <m/>
    <x v="1"/>
    <x v="0"/>
    <s v="24-00221_3"/>
    <x v="46"/>
    <x v="53"/>
    <x v="0"/>
    <x v="0"/>
    <x v="0"/>
    <x v="0"/>
    <s v="Electrical Parts"/>
    <x v="1"/>
    <s v="PSU"/>
    <x v="1"/>
    <s v="On Time"/>
    <x v="3"/>
    <m/>
    <m/>
    <m/>
    <m/>
    <s v="No"/>
    <n v="1"/>
    <n v="0"/>
    <m/>
    <m/>
    <s v="Yes"/>
    <n v="0.5"/>
    <s v="Not Started"/>
    <m/>
    <m/>
    <m/>
    <m/>
    <n v="0.5"/>
    <n v="0.5"/>
    <s v=" "/>
    <m/>
    <x v="6"/>
    <d v="2025-08-01T00:00:00"/>
  </r>
  <r>
    <n v="55"/>
    <d v="2024-06-01T00:00:00"/>
    <m/>
    <x v="2"/>
    <x v="3"/>
    <s v="25-00289"/>
    <x v="26"/>
    <x v="54"/>
    <x v="0"/>
    <x v="0"/>
    <x v="0"/>
    <x v="3"/>
    <s v="Complete Cooler"/>
    <x v="3"/>
    <s v="N/A"/>
    <x v="1"/>
    <s v="On Time"/>
    <x v="0"/>
    <m/>
    <m/>
    <m/>
    <m/>
    <s v="Yes"/>
    <n v="8"/>
    <n v="4"/>
    <m/>
    <m/>
    <s v="Yes"/>
    <n v="0"/>
    <s v="Start Date→ 29-10-24_x000a_End Date→ 18-12-24"/>
    <m/>
    <m/>
    <m/>
    <m/>
    <n v="4"/>
    <n v="4"/>
    <s v="TF-1 released, TF-2 under progress"/>
    <m/>
    <x v="5"/>
    <s v="June'25"/>
  </r>
  <r>
    <n v="56"/>
    <d v="2024-08-01T00:00:00"/>
    <m/>
    <x v="2"/>
    <x v="3"/>
    <s v="25-00292"/>
    <x v="26"/>
    <x v="55"/>
    <x v="0"/>
    <x v="0"/>
    <x v="0"/>
    <x v="3"/>
    <s v="Complete Cooler"/>
    <x v="3"/>
    <s v="N/A"/>
    <x v="1"/>
    <s v="On Time"/>
    <x v="0"/>
    <m/>
    <m/>
    <m/>
    <m/>
    <s v="Yes"/>
    <n v="8"/>
    <n v="4"/>
    <m/>
    <m/>
    <s v="Yes"/>
    <n v="0"/>
    <s v="Start Date→ 11-01-25_x000a_End Date→ 10-02-25"/>
    <m/>
    <m/>
    <m/>
    <m/>
    <n v="4"/>
    <n v="4"/>
    <s v="TF-1 released, TF-2 under progress"/>
    <m/>
    <x v="5"/>
    <s v="June'25"/>
  </r>
  <r>
    <n v="57"/>
    <d v="2024-01-01T00:00:00"/>
    <m/>
    <x v="0"/>
    <x v="3"/>
    <s v="25-00289-1"/>
    <x v="26"/>
    <x v="56"/>
    <x v="0"/>
    <x v="0"/>
    <x v="0"/>
    <x v="3"/>
    <s v="Complete Cooler"/>
    <x v="3"/>
    <s v="N/A"/>
    <x v="1"/>
    <s v="On Time"/>
    <x v="0"/>
    <m/>
    <m/>
    <m/>
    <m/>
    <s v="Yes"/>
    <n v="6"/>
    <n v="0"/>
    <s v="POC &amp; Reliability→ 15-01/31-01_x000a_Certification→ 03-02 / 18-02_x000a_Report Submission→ 16-03_x000a_Approval→16-04"/>
    <m/>
    <s v="Yes"/>
    <n v="0"/>
    <s v="Start Date→ 29-10-24_x000a_End Date→ 18-12-24"/>
    <s v="Safety completed"/>
    <m/>
    <m/>
    <m/>
    <n v="1"/>
    <n v="3"/>
    <s v="TF-1 released, TF-2 under progress"/>
    <s v="TF released, Production proto planned in April end or May First week."/>
    <x v="5"/>
    <s v="June'25"/>
  </r>
  <r>
    <n v="58"/>
    <d v="2025-01-01T00:00:00"/>
    <m/>
    <x v="0"/>
    <x v="3"/>
    <s v="25-00292-1"/>
    <x v="26"/>
    <x v="57"/>
    <x v="0"/>
    <x v="0"/>
    <x v="0"/>
    <x v="3"/>
    <s v="Complete Cooler"/>
    <x v="3"/>
    <s v="N/A"/>
    <x v="1"/>
    <s v="On Time"/>
    <x v="0"/>
    <m/>
    <m/>
    <m/>
    <m/>
    <s v="Yes"/>
    <n v="6"/>
    <n v="0"/>
    <s v="POC &amp; Reliability→ 15-12/05-01_x000a_Certification→ 07-01 / 21-01_x000a_Report Submission→ 16-03_x000a_Approval→16-04"/>
    <m/>
    <s v="Yes"/>
    <n v="0"/>
    <s v="Start Date→ 11-01-25_x000a_End Date→ 10-02-25"/>
    <s v="TF-1 released, TF-2 under progress"/>
    <m/>
    <m/>
    <m/>
    <n v="1"/>
    <n v="3"/>
    <s v="TF-1 released, TF-2 under progress"/>
    <s v="TF released, Production proto planned in April end or May First week."/>
    <x v="5"/>
    <s v="June'25"/>
  </r>
  <r>
    <n v="59"/>
    <d v="2025-01-01T00:00:00"/>
    <m/>
    <x v="1"/>
    <x v="0"/>
    <s v="25-00293"/>
    <x v="47"/>
    <x v="58"/>
    <x v="0"/>
    <x v="0"/>
    <x v="0"/>
    <x v="1"/>
    <s v="Insulated Cabin"/>
    <x v="5"/>
    <s v="Injection Plastics"/>
    <x v="0"/>
    <s v="Not Started"/>
    <x v="0"/>
    <m/>
    <m/>
    <m/>
    <m/>
    <s v="No"/>
    <n v="0"/>
    <n v="0"/>
    <m/>
    <m/>
    <s v="Yes"/>
    <n v="0.5"/>
    <s v="Completed"/>
    <m/>
    <m/>
    <m/>
    <m/>
    <n v="0.5"/>
    <n v="0.5"/>
    <s v="TF released, Bluestar model implementation to be done along with R290 implementation"/>
    <m/>
    <x v="3"/>
    <d v="2025-02-01T00:00:00"/>
  </r>
  <r>
    <n v="60"/>
    <d v="2025-02-01T00:00:00"/>
    <m/>
    <x v="1"/>
    <x v="0"/>
    <s v="25-00295"/>
    <x v="48"/>
    <x v="59"/>
    <x v="0"/>
    <x v="0"/>
    <x v="0"/>
    <x v="1"/>
    <s v="Electrical Parts"/>
    <x v="2"/>
    <s v="Steel-GI"/>
    <x v="1"/>
    <s v="Not Started"/>
    <x v="2"/>
    <m/>
    <m/>
    <m/>
    <m/>
    <s v="No"/>
    <n v="0"/>
    <n v="0"/>
    <m/>
    <m/>
    <s v="No"/>
    <n v="0"/>
    <s v="N/A"/>
    <m/>
    <s v="Yes"/>
    <s v="Yes"/>
    <m/>
    <n v="1"/>
    <n v="1"/>
    <s v=" "/>
    <s v="Drawing to be released after receiving Prod. Proto comments"/>
    <x v="3"/>
    <d v="2025-05-01T00:00:00"/>
  </r>
  <r>
    <n v="61"/>
    <d v="2025-03-01T00:00:00"/>
    <m/>
    <x v="1"/>
    <x v="0"/>
    <s v="25-00295"/>
    <x v="49"/>
    <x v="60"/>
    <x v="0"/>
    <x v="0"/>
    <x v="0"/>
    <x v="1"/>
    <s v="Electrical Parts"/>
    <x v="2"/>
    <s v="Steel-GI"/>
    <x v="1"/>
    <s v="On Time"/>
    <x v="2"/>
    <m/>
    <m/>
    <m/>
    <m/>
    <s v="No"/>
    <n v="0"/>
    <n v="0"/>
    <m/>
    <m/>
    <s v="No"/>
    <n v="0"/>
    <s v="N/A"/>
    <m/>
    <s v="Yes"/>
    <s v="Yes"/>
    <m/>
    <n v="2"/>
    <n v="2"/>
    <s v=" "/>
    <s v="TF released→WK13,_x000a_Proto→ In Progress, Sample awaited_x000a_Tooling drawing CER pending for approval"/>
    <x v="3"/>
    <d v="2025-03-01T00:00:00"/>
  </r>
  <r>
    <n v="62"/>
    <d v="2025-01-01T00:00:00"/>
    <m/>
    <x v="1"/>
    <x v="0"/>
    <s v="25-00295"/>
    <x v="50"/>
    <x v="61"/>
    <x v="0"/>
    <x v="0"/>
    <x v="0"/>
    <x v="1"/>
    <s v="Electrical Parts"/>
    <x v="2"/>
    <s v="Steel-GI"/>
    <x v="1"/>
    <s v="Not Started"/>
    <x v="2"/>
    <m/>
    <m/>
    <m/>
    <m/>
    <s v="No"/>
    <n v="0"/>
    <n v="0"/>
    <m/>
    <m/>
    <s v="No"/>
    <n v="0"/>
    <s v="N/A"/>
    <m/>
    <s v="Yes"/>
    <s v="Yes"/>
    <m/>
    <n v="1"/>
    <n v="1"/>
    <s v=" "/>
    <s v="Drawing to be released after receiving Prod. Proto comments"/>
    <x v="3"/>
    <d v="2025-05-01T00:00:00"/>
  </r>
  <r>
    <n v="63"/>
    <d v="2025-01-01T00:00:00"/>
    <m/>
    <x v="1"/>
    <x v="0"/>
    <s v="25-00295"/>
    <x v="51"/>
    <x v="62"/>
    <x v="0"/>
    <x v="0"/>
    <x v="0"/>
    <x v="1"/>
    <s v="Electrical Parts"/>
    <x v="2"/>
    <s v="Steel-GI"/>
    <x v="1"/>
    <s v="Not Started"/>
    <x v="2"/>
    <m/>
    <m/>
    <m/>
    <m/>
    <s v="No"/>
    <n v="0"/>
    <n v="0"/>
    <m/>
    <m/>
    <s v="No"/>
    <n v="0"/>
    <s v="N/A"/>
    <m/>
    <s v="Yes"/>
    <s v="Yes"/>
    <m/>
    <n v="1"/>
    <n v="1"/>
    <s v=" "/>
    <s v="Drawing to be released after receiving Prod. Proto comments"/>
    <x v="3"/>
    <d v="2025-05-01T00:00:00"/>
  </r>
  <r>
    <n v="64"/>
    <d v="2025-01-01T00:00:00"/>
    <m/>
    <x v="0"/>
    <x v="0"/>
    <s v="25-00295"/>
    <x v="52"/>
    <x v="63"/>
    <x v="0"/>
    <x v="0"/>
    <x v="0"/>
    <x v="1"/>
    <s v="Electrical Parts"/>
    <x v="2"/>
    <s v="Steel-GI"/>
    <x v="1"/>
    <s v="Not Started"/>
    <x v="2"/>
    <m/>
    <m/>
    <m/>
    <m/>
    <s v="No"/>
    <n v="0"/>
    <n v="0"/>
    <m/>
    <m/>
    <s v="No"/>
    <n v="0"/>
    <s v="N/A"/>
    <m/>
    <s v="Yes"/>
    <s v="Yes"/>
    <m/>
    <n v="1"/>
    <n v="1"/>
    <s v=" "/>
    <s v="Drawing to be released after receiving Prod. Proto comments"/>
    <x v="3"/>
    <d v="2025-05-01T00:00:00"/>
  </r>
  <r>
    <n v="65"/>
    <d v="2025-01-01T00:00:00"/>
    <m/>
    <x v="1"/>
    <x v="0"/>
    <s v="25-00261"/>
    <x v="53"/>
    <x v="64"/>
    <x v="0"/>
    <x v="0"/>
    <x v="0"/>
    <x v="1"/>
    <s v="Packaging"/>
    <x v="6"/>
    <s v="Other Materials"/>
    <x v="1"/>
    <s v="Delayed"/>
    <x v="2"/>
    <m/>
    <m/>
    <m/>
    <m/>
    <s v="No"/>
    <n v="0"/>
    <n v="0"/>
    <m/>
    <m/>
    <s v="No"/>
    <n v="0"/>
    <s v="N/A"/>
    <m/>
    <m/>
    <m/>
    <m/>
    <n v="0"/>
    <n v="0"/>
    <s v="Released"/>
    <s v="Sample Received"/>
    <x v="7"/>
    <d v="2025-03-01T00:00:00"/>
  </r>
  <r>
    <n v="66"/>
    <d v="2025-01-01T00:00:00"/>
    <m/>
    <x v="1"/>
    <x v="0"/>
    <s v="25-00262"/>
    <x v="54"/>
    <x v="65"/>
    <x v="0"/>
    <x v="0"/>
    <x v="0"/>
    <x v="1"/>
    <s v="Insulated Cabin"/>
    <x v="2"/>
    <s v="Steel-GI"/>
    <x v="3"/>
    <s v="Not Started"/>
    <x v="2"/>
    <m/>
    <m/>
    <m/>
    <m/>
    <s v="No"/>
    <n v="0"/>
    <n v="0"/>
    <m/>
    <m/>
    <s v="No"/>
    <n v="0"/>
    <s v="N/A"/>
    <m/>
    <s v="Yes"/>
    <s v="Yes"/>
    <m/>
    <n v="0"/>
    <n v="0"/>
    <s v="Project Cancelled"/>
    <s v="No Scope of cost reduction,Already optimized→Project cancelled"/>
    <x v="3"/>
    <d v="2025-06-01T00:00:00"/>
  </r>
  <r>
    <n v="67"/>
    <d v="2025-01-01T00:00:00"/>
    <m/>
    <x v="1"/>
    <x v="0"/>
    <s v="25-00262"/>
    <x v="55"/>
    <x v="66"/>
    <x v="0"/>
    <x v="0"/>
    <x v="0"/>
    <x v="1"/>
    <s v="Insulated Cabin"/>
    <x v="2"/>
    <s v="Steel-GI"/>
    <x v="1"/>
    <s v="Not Started"/>
    <x v="2"/>
    <m/>
    <m/>
    <m/>
    <m/>
    <s v="No"/>
    <n v="0"/>
    <n v="0"/>
    <m/>
    <m/>
    <s v="No"/>
    <n v="0"/>
    <s v="N/A"/>
    <m/>
    <s v="Yes"/>
    <s v="Yes"/>
    <m/>
    <n v="3"/>
    <n v="2"/>
    <s v=" "/>
    <s v="Drawing to be released after receiving Prod. Proto comments"/>
    <x v="3"/>
    <d v="2025-06-01T00:00:00"/>
  </r>
  <r>
    <n v="68"/>
    <d v="2025-01-01T00:00:00"/>
    <m/>
    <x v="0"/>
    <x v="0"/>
    <s v="25-00262"/>
    <x v="56"/>
    <x v="67"/>
    <x v="0"/>
    <x v="0"/>
    <x v="0"/>
    <x v="1"/>
    <s v="Insulated Cabin"/>
    <x v="2"/>
    <s v="Steel-GI"/>
    <x v="1"/>
    <s v="On Time"/>
    <x v="2"/>
    <m/>
    <m/>
    <m/>
    <m/>
    <s v="No"/>
    <n v="0"/>
    <n v="0"/>
    <m/>
    <m/>
    <s v="No"/>
    <n v="0"/>
    <s v="N/A"/>
    <m/>
    <s v="Yes"/>
    <s v="Yes"/>
    <m/>
    <n v="2"/>
    <n v="2"/>
    <s v=" "/>
    <s v="Drawing to be released after receiving Prod. Proto comments"/>
    <x v="3"/>
    <d v="2025-06-01T00:00:00"/>
  </r>
  <r>
    <n v="69"/>
    <d v="2025-01-01T00:00:00"/>
    <m/>
    <x v="1"/>
    <x v="0"/>
    <s v="25-00262"/>
    <x v="57"/>
    <x v="68"/>
    <x v="0"/>
    <x v="0"/>
    <x v="0"/>
    <x v="1"/>
    <s v="Insulated Cabin"/>
    <x v="2"/>
    <s v="Steel-GI"/>
    <x v="1"/>
    <s v="Not Started"/>
    <x v="2"/>
    <m/>
    <m/>
    <m/>
    <m/>
    <s v="No"/>
    <n v="0"/>
    <n v="0"/>
    <m/>
    <m/>
    <s v="No"/>
    <n v="0"/>
    <s v="N/A"/>
    <m/>
    <s v="Yes"/>
    <s v="Yes"/>
    <m/>
    <n v="2"/>
    <n v="2"/>
    <s v=" "/>
    <s v="Drawing to be released after receiving Prod. Proto comments"/>
    <x v="3"/>
    <d v="2025-06-01T00:00:00"/>
  </r>
  <r>
    <n v="70"/>
    <d v="2025-01-01T00:00:00"/>
    <m/>
    <x v="1"/>
    <x v="0"/>
    <s v="25-00262"/>
    <x v="58"/>
    <x v="69"/>
    <x v="0"/>
    <x v="0"/>
    <x v="0"/>
    <x v="1"/>
    <s v="Insulated Cabin"/>
    <x v="2"/>
    <s v="Steel-GI"/>
    <x v="1"/>
    <s v="Not Started"/>
    <x v="2"/>
    <m/>
    <m/>
    <m/>
    <m/>
    <s v="No"/>
    <n v="0"/>
    <n v="0"/>
    <m/>
    <m/>
    <s v="No"/>
    <n v="0"/>
    <s v="N/A"/>
    <m/>
    <s v="Yes"/>
    <s v="Yes"/>
    <m/>
    <n v="3"/>
    <n v="2"/>
    <s v=" "/>
    <s v="Drawing to be released after receiving Prod. Proto comments"/>
    <x v="3"/>
    <d v="2025-06-01T00:00:00"/>
  </r>
  <r>
    <n v="71"/>
    <d v="2025-01-01T00:00:00"/>
    <m/>
    <x v="1"/>
    <x v="0"/>
    <s v="25-00268"/>
    <x v="59"/>
    <x v="70"/>
    <x v="0"/>
    <x v="0"/>
    <x v="0"/>
    <x v="1"/>
    <s v="Cooling Mechanism"/>
    <x v="2"/>
    <s v="Steel-GI"/>
    <x v="4"/>
    <s v="Not Started"/>
    <x v="3"/>
    <m/>
    <m/>
    <m/>
    <m/>
    <s v="Yes"/>
    <n v="0"/>
    <n v="0"/>
    <m/>
    <m/>
    <s v="No"/>
    <n v="0"/>
    <s v="N/A"/>
    <m/>
    <m/>
    <m/>
    <m/>
    <n v="3"/>
    <n v="0"/>
    <m/>
    <m/>
    <x v="1"/>
    <d v="2025-06-01T00:00:00"/>
  </r>
  <r>
    <n v="72"/>
    <d v="2025-01-01T00:00:00"/>
    <m/>
    <x v="1"/>
    <x v="0"/>
    <s v="25-00268"/>
    <x v="60"/>
    <x v="71"/>
    <x v="0"/>
    <x v="0"/>
    <x v="0"/>
    <x v="1"/>
    <s v="Cooling Mechanism"/>
    <x v="2"/>
    <s v="Steel-GI"/>
    <x v="1"/>
    <s v="Not Started"/>
    <x v="3"/>
    <m/>
    <m/>
    <m/>
    <m/>
    <s v="Yes"/>
    <n v="0"/>
    <n v="0"/>
    <m/>
    <m/>
    <s v="No"/>
    <n v="0"/>
    <s v="N/A"/>
    <m/>
    <m/>
    <m/>
    <m/>
    <n v="3"/>
    <n v="0"/>
    <m/>
    <m/>
    <x v="1"/>
    <d v="2025-06-01T00:00:00"/>
  </r>
  <r>
    <n v="73"/>
    <d v="2025-01-01T00:00:00"/>
    <m/>
    <x v="0"/>
    <x v="0"/>
    <s v="25-00268"/>
    <x v="61"/>
    <x v="72"/>
    <x v="0"/>
    <x v="0"/>
    <x v="0"/>
    <x v="1"/>
    <s v="Cooling Mechanism"/>
    <x v="2"/>
    <s v="Steel-GI"/>
    <x v="1"/>
    <s v="Not Started"/>
    <x v="3"/>
    <m/>
    <m/>
    <m/>
    <m/>
    <s v="Yes"/>
    <n v="2"/>
    <n v="1"/>
    <m/>
    <m/>
    <s v="No"/>
    <n v="0"/>
    <s v="N/A"/>
    <m/>
    <m/>
    <m/>
    <m/>
    <n v="3"/>
    <n v="2"/>
    <m/>
    <m/>
    <x v="7"/>
    <d v="2025-06-01T00:00:00"/>
  </r>
  <r>
    <n v="74"/>
    <d v="2025-04-01T00:00:00"/>
    <n v="19"/>
    <x v="2"/>
    <x v="3"/>
    <s v="25-00271"/>
    <x v="26"/>
    <x v="73"/>
    <x v="0"/>
    <x v="0"/>
    <x v="0"/>
    <x v="3"/>
    <s v="Complete Cooler"/>
    <x v="3"/>
    <s v="N/A"/>
    <x v="1"/>
    <s v="On Time"/>
    <x v="4"/>
    <m/>
    <m/>
    <m/>
    <m/>
    <s v="Yes"/>
    <n v="8"/>
    <n v="14"/>
    <s v="POC &amp; Reliability→02-06/30-06_x000a_Certification→ 07-07 / 28-07_x000a_Report Submission→ 04-08_x000a_Approval→ 04-09"/>
    <m/>
    <s v="Yes"/>
    <n v="2"/>
    <s v="Not Started"/>
    <s v="Statement of changes by Mid May._x000a_Safety cooler required by 30th May."/>
    <m/>
    <m/>
    <m/>
    <n v="15"/>
    <n v="15"/>
    <s v="To be started by R&amp;D team from April"/>
    <s v="Feasibility study in Progress, Revised marketing brief to be shared by Tonmoy"/>
    <x v="8"/>
    <s v="Jan'26"/>
  </r>
  <r>
    <n v="75"/>
    <d v="2025-06-01T00:00:00"/>
    <m/>
    <x v="2"/>
    <x v="3"/>
    <s v="25-00282"/>
    <x v="26"/>
    <x v="74"/>
    <x v="0"/>
    <x v="0"/>
    <x v="0"/>
    <x v="3"/>
    <s v="Complete Cooler"/>
    <x v="3"/>
    <s v="N/A"/>
    <x v="4"/>
    <s v="Not Started"/>
    <x v="7"/>
    <m/>
    <m/>
    <m/>
    <m/>
    <s v="Yes"/>
    <n v="8"/>
    <n v="14"/>
    <m/>
    <m/>
    <s v="Yes"/>
    <n v="3"/>
    <s v="Not Started"/>
    <m/>
    <m/>
    <m/>
    <m/>
    <n v="15"/>
    <n v="15"/>
    <s v="No Prority from Marketing/Sales"/>
    <m/>
    <x v="0"/>
    <e v="#N/A"/>
  </r>
  <r>
    <n v="76"/>
    <d v="2025-05-01T00:00:00"/>
    <m/>
    <x v="0"/>
    <x v="2"/>
    <s v="TBA"/>
    <x v="26"/>
    <x v="75"/>
    <x v="0"/>
    <x v="0"/>
    <x v="0"/>
    <x v="3"/>
    <s v="Door"/>
    <x v="3"/>
    <s v="N/A"/>
    <x v="3"/>
    <s v="Not Started"/>
    <x v="7"/>
    <m/>
    <m/>
    <m/>
    <m/>
    <s v="Yes"/>
    <n v="1"/>
    <n v="0"/>
    <m/>
    <m/>
    <s v="No"/>
    <n v="1.5"/>
    <s v="N/A"/>
    <m/>
    <m/>
    <m/>
    <m/>
    <n v="2"/>
    <n v="0"/>
    <s v="No Clarity"/>
    <m/>
    <x v="2"/>
    <e v="#N/A"/>
  </r>
  <r>
    <n v="77"/>
    <d v="2025-01-01T00:00:00"/>
    <m/>
    <x v="1"/>
    <x v="2"/>
    <s v="25-00285"/>
    <x v="26"/>
    <x v="76"/>
    <x v="0"/>
    <x v="0"/>
    <x v="0"/>
    <x v="3"/>
    <s v="Door"/>
    <x v="3"/>
    <s v="N/A"/>
    <x v="4"/>
    <s v="Not Started"/>
    <x v="7"/>
    <m/>
    <m/>
    <m/>
    <m/>
    <s v="No"/>
    <n v="0"/>
    <n v="0"/>
    <m/>
    <m/>
    <s v="No"/>
    <n v="0"/>
    <s v="N/A"/>
    <s v="-Safety requiremnet to be decided after finalization of Design&quot;"/>
    <m/>
    <m/>
    <m/>
    <n v="3"/>
    <n v="3"/>
    <s v="To be started upon resource availability"/>
    <m/>
    <x v="7"/>
    <e v="#N/A"/>
  </r>
  <r>
    <n v="78"/>
    <d v="2025-01-01T00:00:00"/>
    <m/>
    <x v="0"/>
    <x v="2"/>
    <s v="25-00287"/>
    <x v="26"/>
    <x v="77"/>
    <x v="0"/>
    <x v="0"/>
    <x v="0"/>
    <x v="3"/>
    <s v="Door"/>
    <x v="3"/>
    <s v="N/A"/>
    <x v="4"/>
    <s v="Not Started"/>
    <x v="7"/>
    <m/>
    <m/>
    <m/>
    <m/>
    <s v="Yes"/>
    <n v="0.5"/>
    <n v="0"/>
    <m/>
    <m/>
    <s v="No"/>
    <n v="0"/>
    <s v="N/A"/>
    <m/>
    <m/>
    <m/>
    <m/>
    <n v="6"/>
    <n v="0"/>
    <s v="Scope of this project is to released bottle opener only. Front grid and Door to be covered in Aesthetical improvement project (24-00197)- DFM review done, Changes to be incorporated in design and release final drawing by 31st March"/>
    <m/>
    <x v="7"/>
    <e v="#N/A"/>
  </r>
  <r>
    <n v="79"/>
    <d v="2025-06-01T00:00:00"/>
    <n v="20"/>
    <x v="0"/>
    <x v="3"/>
    <s v="23-00134"/>
    <x v="26"/>
    <x v="78"/>
    <x v="0"/>
    <x v="0"/>
    <x v="0"/>
    <x v="3"/>
    <s v="Cooling Mechanism"/>
    <x v="3"/>
    <s v="N/A"/>
    <x v="4"/>
    <s v="Not Started"/>
    <x v="1"/>
    <m/>
    <m/>
    <m/>
    <m/>
    <s v="Yes"/>
    <n v="7"/>
    <n v="10"/>
    <s v="POC &amp; Reliability→18-04/1-05_x000a_Certification→ 20-05 / 10-06_x000a_Report Submission→ 14-07_x000a_Approval→ 14-08"/>
    <m/>
    <s v="Yes"/>
    <n v="1.5"/>
    <s v="Not Started"/>
    <m/>
    <m/>
    <m/>
    <m/>
    <n v="3"/>
    <n v="2"/>
    <s v="TF-1 "/>
    <m/>
    <x v="7"/>
    <d v="2025-12-01T00:00:00"/>
  </r>
  <r>
    <n v="80"/>
    <d v="2025-06-01T00:00:00"/>
    <m/>
    <x v="0"/>
    <x v="3"/>
    <s v="23-00134"/>
    <x v="26"/>
    <x v="79"/>
    <x v="0"/>
    <x v="0"/>
    <x v="0"/>
    <x v="3"/>
    <s v="Cooling Mechanism"/>
    <x v="3"/>
    <s v="N/A"/>
    <x v="4"/>
    <s v="Not Started"/>
    <x v="1"/>
    <m/>
    <m/>
    <m/>
    <m/>
    <s v="Yes"/>
    <n v="6"/>
    <n v="10"/>
    <m/>
    <m/>
    <s v="Yes"/>
    <n v="1.5"/>
    <s v="Not Started"/>
    <m/>
    <m/>
    <m/>
    <m/>
    <n v="3"/>
    <n v="2"/>
    <s v=" "/>
    <m/>
    <x v="1"/>
    <d v="2025-12-01T00:00:00"/>
  </r>
  <r>
    <n v="81"/>
    <d v="2025-06-01T00:00:00"/>
    <n v="21"/>
    <x v="0"/>
    <x v="4"/>
    <s v="23-00134"/>
    <x v="26"/>
    <x v="80"/>
    <x v="0"/>
    <x v="0"/>
    <x v="0"/>
    <x v="3"/>
    <s v="Cooling Mechanism"/>
    <x v="3"/>
    <s v="N/A"/>
    <x v="4"/>
    <s v="Not Started"/>
    <x v="7"/>
    <m/>
    <m/>
    <m/>
    <m/>
    <s v="Yes"/>
    <n v="6"/>
    <n v="8"/>
    <s v="POC &amp; Reliability→30-05/15-06_x000a_Certification→ 25-06 / 15-07_x000a_Report Submission→25-08_x000a_Approval→ 25-09"/>
    <m/>
    <s v="Yes"/>
    <n v="1.5"/>
    <s v="Not Started"/>
    <s v="Safety- To be verified after configuration is finalized"/>
    <m/>
    <m/>
    <m/>
    <n v="3"/>
    <n v="2"/>
    <s v=" "/>
    <m/>
    <x v="1"/>
    <d v="2025-12-01T00:00:00"/>
  </r>
  <r>
    <n v="82"/>
    <d v="2025-06-01T00:00:00"/>
    <n v="13"/>
    <x v="0"/>
    <x v="4"/>
    <s v="23-00134"/>
    <x v="26"/>
    <x v="81"/>
    <x v="0"/>
    <x v="0"/>
    <x v="0"/>
    <x v="3"/>
    <s v="Cooling Mechanism"/>
    <x v="3"/>
    <s v="N/A"/>
    <x v="4"/>
    <s v="Not Started"/>
    <x v="7"/>
    <m/>
    <m/>
    <m/>
    <m/>
    <s v="Yes"/>
    <n v="6"/>
    <n v="8"/>
    <s v="POC &amp; Reliability→18-05/1-06_x000a_Certification→ 20-06 / 10-07_x000a_Report Submission→ 14-08_x000a_Approval→ 14-09"/>
    <m/>
    <s v="Yes"/>
    <n v="1.5"/>
    <s v="Not Started"/>
    <s v="Safety- To be verified after configuration is finalized"/>
    <m/>
    <m/>
    <m/>
    <n v="3"/>
    <n v="2"/>
    <s v=" "/>
    <m/>
    <x v="1"/>
    <d v="2025-12-01T00:00:00"/>
  </r>
  <r>
    <n v="83"/>
    <d v="2025-06-01T00:00:00"/>
    <n v="14"/>
    <x v="0"/>
    <x v="4"/>
    <s v="23-00134"/>
    <x v="26"/>
    <x v="82"/>
    <x v="0"/>
    <x v="0"/>
    <x v="0"/>
    <x v="3"/>
    <s v="Cooling Mechanism"/>
    <x v="3"/>
    <s v="N/A"/>
    <x v="4"/>
    <s v="Not Started"/>
    <x v="7"/>
    <m/>
    <m/>
    <m/>
    <m/>
    <s v="Yes"/>
    <n v="6"/>
    <n v="10"/>
    <s v="POC &amp; Reliability→18-05/1-06_x000a_Certification→ 20-06 / 10-07_x000a_Report Submission→ 14-08_x000a_Approval→ 14-09"/>
    <m/>
    <s v="Yes"/>
    <n v="1.5"/>
    <s v="Not Started"/>
    <s v="Safety- To be verified after configuration is finalized"/>
    <m/>
    <m/>
    <m/>
    <n v="3"/>
    <n v="2"/>
    <s v=" "/>
    <m/>
    <x v="1"/>
    <d v="2025-12-01T00:00:00"/>
  </r>
  <r>
    <n v="84"/>
    <d v="2025-06-01T00:00:00"/>
    <n v="15"/>
    <x v="0"/>
    <x v="4"/>
    <s v="23-00134"/>
    <x v="26"/>
    <x v="83"/>
    <x v="0"/>
    <x v="0"/>
    <x v="0"/>
    <x v="3"/>
    <s v="Cooling Mechanism"/>
    <x v="3"/>
    <s v="N/A"/>
    <x v="4"/>
    <s v="Not Started"/>
    <x v="7"/>
    <m/>
    <m/>
    <m/>
    <m/>
    <s v="Yes"/>
    <n v="6"/>
    <n v="8"/>
    <s v="POC &amp; Reliability→25-05/10-06_x000a_Certification→ 25-06 / 15-07_x000a_Report Submission→ 20-08_x000a_Approval→ 20-09"/>
    <m/>
    <s v="Yes"/>
    <n v="1.5"/>
    <s v="Not Started"/>
    <s v="Safety- To be verified after configuration is finalized"/>
    <m/>
    <m/>
    <m/>
    <n v="3"/>
    <n v="2"/>
    <s v=" "/>
    <m/>
    <x v="3"/>
    <d v="2025-12-01T00:00:00"/>
  </r>
  <r>
    <n v="85"/>
    <d v="2025-06-01T00:00:00"/>
    <n v="17"/>
    <x v="0"/>
    <x v="4"/>
    <s v="23-00134"/>
    <x v="26"/>
    <x v="84"/>
    <x v="0"/>
    <x v="0"/>
    <x v="0"/>
    <x v="3"/>
    <s v="Cooling Mechanism"/>
    <x v="3"/>
    <s v="N/A"/>
    <x v="4"/>
    <s v="Not Started"/>
    <x v="7"/>
    <m/>
    <m/>
    <m/>
    <m/>
    <s v="Yes"/>
    <n v="6"/>
    <n v="10"/>
    <s v="POC &amp; Reliability→16-04/05-05_x000a_Certification→ 10-05 / 25-05_x000a_Report Submission→ 30-05_x000a_Approval→ 30-06"/>
    <m/>
    <s v="Yes"/>
    <n v="1.5"/>
    <s v="Not Started"/>
    <s v="Safety- To be verified after configuration is finalized"/>
    <m/>
    <m/>
    <m/>
    <n v="3"/>
    <n v="2"/>
    <s v=" "/>
    <m/>
    <x v="6"/>
    <d v="2025-12-01T00:00:00"/>
  </r>
  <r>
    <n v="86"/>
    <d v="2025-06-01T00:00:00"/>
    <n v="16"/>
    <x v="0"/>
    <x v="4"/>
    <s v="23-00134"/>
    <x v="26"/>
    <x v="85"/>
    <x v="0"/>
    <x v="0"/>
    <x v="0"/>
    <x v="3"/>
    <s v="Cooling Mechanism"/>
    <x v="3"/>
    <s v="N/A"/>
    <x v="4"/>
    <s v="Not Started"/>
    <x v="7"/>
    <m/>
    <m/>
    <m/>
    <m/>
    <s v="Yes"/>
    <n v="6"/>
    <n v="8"/>
    <s v="POC &amp; Reliability→25-05/10-06_x000a_Certification→ 25-06 / 15-07_x000a_Report Submission→ 20-08_x000a_Approval→ 20-09"/>
    <m/>
    <s v="Yes"/>
    <n v="1.5"/>
    <s v="Not Started"/>
    <s v="Safety- To be verified after configuration is finalized"/>
    <m/>
    <m/>
    <m/>
    <n v="3"/>
    <n v="2"/>
    <s v=" "/>
    <m/>
    <x v="6"/>
    <d v="2025-12-01T00:00:00"/>
  </r>
  <r>
    <n v="87"/>
    <d v="2025-06-01T00:00:00"/>
    <n v="11"/>
    <x v="0"/>
    <x v="4"/>
    <s v="TBR"/>
    <x v="26"/>
    <x v="86"/>
    <x v="0"/>
    <x v="0"/>
    <x v="0"/>
    <x v="3"/>
    <s v="Cooling Mechanism"/>
    <x v="3"/>
    <s v="N/A"/>
    <x v="4"/>
    <s v="Not Started"/>
    <x v="7"/>
    <m/>
    <m/>
    <m/>
    <m/>
    <s v="Yes"/>
    <n v="6"/>
    <n v="0"/>
    <m/>
    <m/>
    <m/>
    <n v="1.5"/>
    <m/>
    <m/>
    <m/>
    <m/>
    <m/>
    <n v="3"/>
    <n v="2"/>
    <m/>
    <m/>
    <x v="5"/>
    <m/>
  </r>
  <r>
    <n v="88"/>
    <d v="2025-06-01T00:00:00"/>
    <n v="12"/>
    <x v="0"/>
    <x v="4"/>
    <s v="TBR"/>
    <x v="26"/>
    <x v="87"/>
    <x v="0"/>
    <x v="0"/>
    <x v="0"/>
    <x v="3"/>
    <s v="Cooling Mechanism"/>
    <x v="3"/>
    <s v="N/A"/>
    <x v="4"/>
    <s v="Not Started"/>
    <x v="7"/>
    <m/>
    <m/>
    <m/>
    <m/>
    <s v="Yes"/>
    <n v="6"/>
    <n v="2"/>
    <m/>
    <s v="Same as India Configuration"/>
    <m/>
    <n v="1.5"/>
    <m/>
    <m/>
    <m/>
    <m/>
    <m/>
    <n v="3"/>
    <n v="2"/>
    <m/>
    <m/>
    <x v="5"/>
    <m/>
  </r>
  <r>
    <n v="89"/>
    <d v="2025-06-01T00:00:00"/>
    <m/>
    <x v="0"/>
    <x v="4"/>
    <s v="24-00218"/>
    <x v="26"/>
    <x v="88"/>
    <x v="0"/>
    <x v="0"/>
    <x v="0"/>
    <x v="3"/>
    <s v="Cooling Mechanism"/>
    <x v="3"/>
    <s v="N/A"/>
    <x v="4"/>
    <s v="Not Started"/>
    <x v="7"/>
    <m/>
    <m/>
    <m/>
    <m/>
    <s v="Yes"/>
    <n v="6"/>
    <n v="2"/>
    <m/>
    <m/>
    <s v="Yes"/>
    <n v="1"/>
    <s v="Not Started"/>
    <s v="Safety- To be verified after configuration is finalized"/>
    <m/>
    <m/>
    <m/>
    <n v="3"/>
    <n v="2"/>
    <s v=" "/>
    <m/>
    <x v="4"/>
    <d v="2025-12-01T00:00:00"/>
  </r>
  <r>
    <n v="90"/>
    <d v="2025-06-01T00:00:00"/>
    <m/>
    <x v="0"/>
    <x v="4"/>
    <s v="24-00220"/>
    <x v="26"/>
    <x v="89"/>
    <x v="0"/>
    <x v="0"/>
    <x v="0"/>
    <x v="3"/>
    <s v="Cooling Mechanism"/>
    <x v="3"/>
    <s v="N/A"/>
    <x v="4"/>
    <s v="Not Started"/>
    <x v="7"/>
    <m/>
    <m/>
    <m/>
    <m/>
    <s v="Yes"/>
    <n v="6"/>
    <n v="2"/>
    <m/>
    <m/>
    <s v="Yes"/>
    <n v="1"/>
    <s v="Not Started"/>
    <s v="Safety- To be verified after configuration is finalized"/>
    <m/>
    <m/>
    <m/>
    <n v="3"/>
    <n v="2"/>
    <s v=" "/>
    <m/>
    <x v="4"/>
    <d v="2025-12-01T00:00:00"/>
  </r>
  <r>
    <n v="91"/>
    <d v="2025-06-01T00:00:00"/>
    <m/>
    <x v="0"/>
    <x v="4"/>
    <s v="24-00209"/>
    <x v="26"/>
    <x v="90"/>
    <x v="0"/>
    <x v="0"/>
    <x v="0"/>
    <x v="3"/>
    <s v="Cooling Mechanism"/>
    <x v="3"/>
    <s v="N/A"/>
    <x v="4"/>
    <s v="Not Started"/>
    <x v="7"/>
    <m/>
    <m/>
    <m/>
    <m/>
    <s v="Yes"/>
    <n v="6"/>
    <n v="2"/>
    <m/>
    <m/>
    <s v="Yes"/>
    <n v="1"/>
    <s v="Not Started"/>
    <s v="Safety- To be verified after configuration is finalized"/>
    <m/>
    <m/>
    <m/>
    <n v="3"/>
    <n v="2"/>
    <s v=" "/>
    <m/>
    <x v="4"/>
    <d v="2025-12-01T00:00:00"/>
  </r>
  <r>
    <n v="92"/>
    <d v="2025-06-01T00:00:00"/>
    <m/>
    <x v="0"/>
    <x v="4"/>
    <s v="24-00208"/>
    <x v="26"/>
    <x v="91"/>
    <x v="0"/>
    <x v="0"/>
    <x v="0"/>
    <x v="3"/>
    <s v="Cooling Mechanism"/>
    <x v="3"/>
    <s v="N/A"/>
    <x v="4"/>
    <s v="Not Started"/>
    <x v="7"/>
    <m/>
    <m/>
    <m/>
    <m/>
    <s v="Yes"/>
    <n v="6"/>
    <n v="2"/>
    <m/>
    <m/>
    <s v="Yes"/>
    <n v="1"/>
    <s v="Not Started"/>
    <s v="Safety- To be verified after configuration is finalized"/>
    <m/>
    <m/>
    <m/>
    <n v="3"/>
    <n v="2"/>
    <s v=" "/>
    <m/>
    <x v="4"/>
    <d v="2025-12-01T00:00:00"/>
  </r>
  <r>
    <n v="93"/>
    <d v="2025-06-01T00:00:00"/>
    <m/>
    <x v="0"/>
    <x v="4"/>
    <s v="24-00210"/>
    <x v="26"/>
    <x v="92"/>
    <x v="0"/>
    <x v="0"/>
    <x v="0"/>
    <x v="3"/>
    <s v="Cooling Mechanism"/>
    <x v="3"/>
    <s v="N/A"/>
    <x v="4"/>
    <s v="Not Started"/>
    <x v="7"/>
    <m/>
    <m/>
    <m/>
    <m/>
    <s v="Yes"/>
    <n v="6"/>
    <n v="2"/>
    <m/>
    <m/>
    <s v="Yes"/>
    <n v="1"/>
    <s v="Not Started"/>
    <s v="Safety- To be verified after configuration is finalized"/>
    <m/>
    <m/>
    <m/>
    <n v="3"/>
    <n v="2"/>
    <s v=" "/>
    <m/>
    <x v="4"/>
    <d v="2025-12-01T00:00:00"/>
  </r>
  <r>
    <n v="94"/>
    <d v="2025-06-01T00:00:00"/>
    <m/>
    <x v="0"/>
    <x v="4"/>
    <s v="24-00213"/>
    <x v="26"/>
    <x v="93"/>
    <x v="0"/>
    <x v="0"/>
    <x v="0"/>
    <x v="3"/>
    <s v="Cooling Mechanism"/>
    <x v="3"/>
    <s v="N/A"/>
    <x v="4"/>
    <s v="Not Started"/>
    <x v="7"/>
    <m/>
    <m/>
    <m/>
    <m/>
    <s v="Yes"/>
    <n v="6"/>
    <n v="2"/>
    <m/>
    <m/>
    <s v="Yes"/>
    <n v="1"/>
    <s v="Not Started"/>
    <s v="Safety- To be verified after configuration is finalized"/>
    <m/>
    <m/>
    <m/>
    <n v="3"/>
    <n v="2"/>
    <s v=" "/>
    <m/>
    <x v="4"/>
    <d v="2025-12-01T00:00:00"/>
  </r>
  <r>
    <n v="95"/>
    <d v="2025-06-01T00:00:00"/>
    <m/>
    <x v="0"/>
    <x v="4"/>
    <s v="24-00211"/>
    <x v="26"/>
    <x v="94"/>
    <x v="0"/>
    <x v="0"/>
    <x v="0"/>
    <x v="3"/>
    <s v="Cooling Mechanism"/>
    <x v="3"/>
    <s v="N/A"/>
    <x v="4"/>
    <s v="Not Started"/>
    <x v="7"/>
    <m/>
    <m/>
    <m/>
    <m/>
    <s v="Yes"/>
    <n v="6"/>
    <n v="2"/>
    <m/>
    <m/>
    <s v="Yes"/>
    <n v="1"/>
    <s v="Not Started"/>
    <s v="Safety- To be verified after configuration is finalized"/>
    <m/>
    <m/>
    <m/>
    <n v="3"/>
    <n v="2"/>
    <s v=" "/>
    <m/>
    <x v="4"/>
    <d v="2025-12-01T00:00:00"/>
  </r>
  <r>
    <n v="96"/>
    <d v="2025-06-01T00:00:00"/>
    <m/>
    <x v="0"/>
    <x v="4"/>
    <s v="24-00215"/>
    <x v="26"/>
    <x v="95"/>
    <x v="0"/>
    <x v="0"/>
    <x v="0"/>
    <x v="3"/>
    <s v="Cooling Mechanism"/>
    <x v="3"/>
    <s v="N/A"/>
    <x v="4"/>
    <s v="Not Started"/>
    <x v="7"/>
    <m/>
    <m/>
    <m/>
    <m/>
    <s v="Yes"/>
    <n v="6"/>
    <n v="2"/>
    <m/>
    <m/>
    <s v="Yes"/>
    <n v="1"/>
    <s v="Not Started"/>
    <s v="Safety- To be verified after configuration is finalized"/>
    <m/>
    <m/>
    <m/>
    <n v="3"/>
    <n v="2"/>
    <s v=" "/>
    <m/>
    <x v="4"/>
    <d v="2025-12-01T00:00:00"/>
  </r>
  <r>
    <n v="97"/>
    <d v="2025-06-01T00:00:00"/>
    <m/>
    <x v="0"/>
    <x v="4"/>
    <s v="24-00212"/>
    <x v="26"/>
    <x v="96"/>
    <x v="0"/>
    <x v="0"/>
    <x v="0"/>
    <x v="3"/>
    <s v="Cooling Mechanism"/>
    <x v="3"/>
    <s v="N/A"/>
    <x v="4"/>
    <s v="Not Started"/>
    <x v="7"/>
    <m/>
    <m/>
    <m/>
    <m/>
    <s v="Yes"/>
    <n v="6"/>
    <n v="2"/>
    <m/>
    <m/>
    <s v="Yes"/>
    <n v="1"/>
    <s v="Not Started"/>
    <s v="Safety- To be verified after configuration is finalized"/>
    <m/>
    <m/>
    <m/>
    <n v="3"/>
    <n v="2"/>
    <s v=" "/>
    <m/>
    <x v="4"/>
    <d v="2025-12-01T00:00:00"/>
  </r>
  <r>
    <n v="98"/>
    <d v="2025-07-01T00:00:00"/>
    <m/>
    <x v="0"/>
    <x v="4"/>
    <s v="24-00219"/>
    <x v="26"/>
    <x v="97"/>
    <x v="0"/>
    <x v="0"/>
    <x v="0"/>
    <x v="3"/>
    <s v="Cooling Mechanism"/>
    <x v="3"/>
    <s v="N/A"/>
    <x v="4"/>
    <s v="Not Started"/>
    <x v="7"/>
    <m/>
    <m/>
    <m/>
    <m/>
    <s v="Yes"/>
    <n v="6"/>
    <n v="2"/>
    <m/>
    <m/>
    <s v="Yes"/>
    <n v="1"/>
    <s v="Not Started"/>
    <s v="Safety- To be verified after configuration is finalized"/>
    <m/>
    <m/>
    <m/>
    <n v="3"/>
    <n v="2"/>
    <s v=" "/>
    <m/>
    <x v="4"/>
    <d v="2025-12-01T00:00:00"/>
  </r>
  <r>
    <n v="99"/>
    <d v="2025-07-01T00:00:00"/>
    <m/>
    <x v="0"/>
    <x v="4"/>
    <s v="24-00216"/>
    <x v="26"/>
    <x v="98"/>
    <x v="0"/>
    <x v="0"/>
    <x v="0"/>
    <x v="3"/>
    <s v="Cooling Mechanism"/>
    <x v="3"/>
    <s v="N/A"/>
    <x v="4"/>
    <s v="Not Started"/>
    <x v="7"/>
    <m/>
    <m/>
    <m/>
    <m/>
    <s v="Yes"/>
    <n v="6"/>
    <n v="2"/>
    <m/>
    <m/>
    <s v="Yes"/>
    <n v="1"/>
    <s v="Not Started"/>
    <s v="Safety- To be verified after configuration is finalized"/>
    <m/>
    <m/>
    <m/>
    <n v="3"/>
    <n v="2"/>
    <s v=" "/>
    <m/>
    <x v="7"/>
    <d v="2025-12-01T00:00:00"/>
  </r>
  <r>
    <n v="100"/>
    <d v="2025-07-01T00:00:00"/>
    <m/>
    <x v="0"/>
    <x v="4"/>
    <s v="24-00217"/>
    <x v="26"/>
    <x v="99"/>
    <x v="0"/>
    <x v="0"/>
    <x v="0"/>
    <x v="3"/>
    <s v="Cooling Mechanism"/>
    <x v="3"/>
    <s v="N/A"/>
    <x v="4"/>
    <s v="Not Started"/>
    <x v="7"/>
    <m/>
    <m/>
    <m/>
    <m/>
    <s v="Yes"/>
    <n v="6"/>
    <n v="2"/>
    <m/>
    <m/>
    <s v="Yes"/>
    <n v="1"/>
    <s v="Not Started"/>
    <s v="Safety- To be verified after configuration is finalized"/>
    <m/>
    <m/>
    <m/>
    <n v="3"/>
    <n v="2"/>
    <s v=" "/>
    <m/>
    <x v="7"/>
    <d v="2025-12-01T00:00:00"/>
  </r>
  <r>
    <n v="101"/>
    <d v="2025-07-01T00:00:00"/>
    <m/>
    <x v="0"/>
    <x v="4"/>
    <s v="25-00290"/>
    <x v="26"/>
    <x v="100"/>
    <x v="0"/>
    <x v="0"/>
    <x v="0"/>
    <x v="3"/>
    <s v="Cooling Mechanism"/>
    <x v="3"/>
    <s v="N/A"/>
    <x v="3"/>
    <s v="Not Started"/>
    <x v="7"/>
    <m/>
    <m/>
    <m/>
    <m/>
    <s v="Yes"/>
    <n v="10"/>
    <n v="2"/>
    <m/>
    <m/>
    <s v="Yes"/>
    <n v="1"/>
    <s v="Not Started"/>
    <s v="Safety- To be verified after configuration is finalized"/>
    <m/>
    <m/>
    <m/>
    <n v="3"/>
    <n v="2"/>
    <s v=" "/>
    <m/>
    <x v="7"/>
    <d v="2025-12-01T00:00:00"/>
  </r>
  <r>
    <n v="102"/>
    <d v="2025-04-01T00:00:00"/>
    <m/>
    <x v="2"/>
    <x v="3"/>
    <s v="25-00294"/>
    <x v="26"/>
    <x v="101"/>
    <x v="2"/>
    <x v="0"/>
    <x v="0"/>
    <x v="3"/>
    <s v="Complete Cooler"/>
    <x v="3"/>
    <s v="N/A"/>
    <x v="4"/>
    <s v="Cancelled"/>
    <x v="7"/>
    <m/>
    <m/>
    <m/>
    <m/>
    <s v="Yes"/>
    <n v="8"/>
    <n v="14"/>
    <s v="In house testing- No OEM, Timeline change if it is from OEM"/>
    <m/>
    <s v="No"/>
    <n v="2"/>
    <s v="N/A"/>
    <s v="Not in priority"/>
    <m/>
    <m/>
    <m/>
    <n v="15"/>
    <n v="15"/>
    <s v=" "/>
    <m/>
    <x v="0"/>
    <s v="Dec'25"/>
  </r>
  <r>
    <n v="103"/>
    <d v="2025-01-01T00:00:00"/>
    <m/>
    <x v="0"/>
    <x v="1"/>
    <s v="25-00296"/>
    <x v="26"/>
    <x v="102"/>
    <x v="2"/>
    <x v="0"/>
    <x v="0"/>
    <x v="3"/>
    <s v="Door"/>
    <x v="3"/>
    <s v="N/A"/>
    <x v="4"/>
    <s v="Not Started"/>
    <x v="7"/>
    <m/>
    <m/>
    <m/>
    <m/>
    <s v="No"/>
    <n v="0"/>
    <n v="0"/>
    <m/>
    <m/>
    <s v="No"/>
    <n v="0"/>
    <s v="N/A"/>
    <s v="_x000a_'-Safety requiremnet to be decided after finalization of Design&quot;"/>
    <m/>
    <m/>
    <m/>
    <n v="3"/>
    <n v="3"/>
    <s v=" "/>
    <s v="-No Marketing Brief Received_x000a_-Safety requiremnet to be decided after finalization of Design"/>
    <x v="0"/>
    <e v="#N/A"/>
  </r>
  <r>
    <n v="104"/>
    <d v="2025-02-01T00:00:00"/>
    <n v="5"/>
    <x v="1"/>
    <x v="2"/>
    <s v="24-00241"/>
    <x v="26"/>
    <x v="103"/>
    <x v="1"/>
    <x v="0"/>
    <x v="0"/>
    <x v="3"/>
    <s v="Door"/>
    <x v="3"/>
    <s v="N/A"/>
    <x v="1"/>
    <s v="On Time"/>
    <x v="0"/>
    <m/>
    <m/>
    <m/>
    <m/>
    <s v="No"/>
    <n v="0"/>
    <n v="1"/>
    <m/>
    <m/>
    <s v="No"/>
    <n v="0"/>
    <s v="Not Started"/>
    <m/>
    <m/>
    <m/>
    <m/>
    <n v="0.5"/>
    <n v="0.5"/>
    <s v="TF released (Drawings) for Red Bull"/>
    <s v="Production prototype comments TF to be  released"/>
    <x v="2"/>
    <d v="2025-04-01T00:00:00"/>
  </r>
  <r>
    <n v="105"/>
    <d v="2025-01-01T00:00:00"/>
    <m/>
    <x v="2"/>
    <x v="3"/>
    <s v="24-00233"/>
    <x v="26"/>
    <x v="104"/>
    <x v="1"/>
    <x v="0"/>
    <x v="0"/>
    <x v="3"/>
    <s v="Complete Cooler"/>
    <x v="3"/>
    <s v="N/A"/>
    <x v="4"/>
    <s v="Not Started"/>
    <x v="7"/>
    <m/>
    <m/>
    <m/>
    <m/>
    <s v="Yes"/>
    <n v="1"/>
    <n v="2"/>
    <m/>
    <m/>
    <s v="No"/>
    <n v="2"/>
    <s v="N/A"/>
    <s v="Saftey-To be decided Later"/>
    <m/>
    <m/>
    <m/>
    <n v="6"/>
    <n v="6"/>
    <s v=" "/>
    <m/>
    <x v="2"/>
    <s v="Dec'25"/>
  </r>
  <r>
    <n v="106"/>
    <d v="2025-01-01T00:00:00"/>
    <m/>
    <x v="2"/>
    <x v="3"/>
    <s v="24-00233"/>
    <x v="26"/>
    <x v="105"/>
    <x v="1"/>
    <x v="0"/>
    <x v="0"/>
    <x v="3"/>
    <s v="Complete Cooler"/>
    <x v="3"/>
    <s v="N/A"/>
    <x v="4"/>
    <s v="Not Started"/>
    <x v="7"/>
    <m/>
    <m/>
    <m/>
    <m/>
    <s v="Yes"/>
    <n v="1"/>
    <n v="2"/>
    <m/>
    <m/>
    <s v="No"/>
    <n v="2"/>
    <s v="N/A"/>
    <s v="Saftey-To be decided Later"/>
    <m/>
    <m/>
    <m/>
    <n v="6"/>
    <n v="6"/>
    <s v=" "/>
    <m/>
    <x v="2"/>
    <s v="Feb'26"/>
  </r>
  <r>
    <n v="107"/>
    <d v="2025-01-01T00:00:00"/>
    <n v="10"/>
    <x v="0"/>
    <x v="1"/>
    <s v="25-00296"/>
    <x v="26"/>
    <x v="106"/>
    <x v="1"/>
    <x v="0"/>
    <x v="0"/>
    <x v="3"/>
    <s v="Door"/>
    <x v="3"/>
    <s v="N/A"/>
    <x v="4"/>
    <s v="Not Started"/>
    <x v="5"/>
    <m/>
    <m/>
    <m/>
    <m/>
    <s v="Yes"/>
    <n v="1"/>
    <n v="0"/>
    <m/>
    <m/>
    <s v="No"/>
    <n v="0"/>
    <s v="N/A"/>
    <s v="Saftey-To be decided Later"/>
    <m/>
    <m/>
    <m/>
    <n v="4"/>
    <n v="2"/>
    <s v=" "/>
    <m/>
    <x v="2"/>
    <e v="#N/A"/>
  </r>
  <r>
    <n v="108"/>
    <d v="2025-01-01T00:00:00"/>
    <m/>
    <x v="1"/>
    <x v="2"/>
    <s v="24-00238"/>
    <x v="26"/>
    <x v="107"/>
    <x v="0"/>
    <x v="0"/>
    <x v="0"/>
    <x v="3"/>
    <s v="Insulated Cabin"/>
    <x v="3"/>
    <s v="N/A"/>
    <x v="0"/>
    <s v="Not Started"/>
    <x v="0"/>
    <m/>
    <m/>
    <m/>
    <m/>
    <s v="No"/>
    <n v="0"/>
    <n v="0"/>
    <m/>
    <m/>
    <s v="No"/>
    <n v="0"/>
    <s v="N/A"/>
    <s v="Drawing Released, Caster wheel can not be implemented as it needs new tooling of roller bracket. To be included in roller bracket RM saving project"/>
    <m/>
    <m/>
    <m/>
    <n v="1"/>
    <n v="0"/>
    <s v="Castor wheel pending"/>
    <m/>
    <x v="1"/>
    <d v="2025-06-01T00:00:00"/>
  </r>
  <r>
    <n v="109"/>
    <d v="2025-01-01T00:00:00"/>
    <m/>
    <x v="1"/>
    <x v="2"/>
    <s v="24-00240"/>
    <x v="26"/>
    <x v="108"/>
    <x v="0"/>
    <x v="0"/>
    <x v="0"/>
    <x v="3"/>
    <s v="Insulated Cabin"/>
    <x v="3"/>
    <s v="N/A"/>
    <x v="0"/>
    <s v="Not Started"/>
    <x v="0"/>
    <m/>
    <m/>
    <m/>
    <m/>
    <s v="No"/>
    <n v="0"/>
    <n v="0"/>
    <m/>
    <m/>
    <s v="No"/>
    <n v="0"/>
    <s v="N/A"/>
    <s v="Drawing Released, Caster wheel can not be implemented as it needs new tooling of roller bracket. To be included in roller bracket RM saving project"/>
    <m/>
    <m/>
    <m/>
    <n v="2"/>
    <n v="0"/>
    <s v="Castor wheel pending"/>
    <m/>
    <x v="1"/>
    <d v="2025-06-01T00:00:00"/>
  </r>
  <r>
    <n v="110"/>
    <d v="2025-01-01T00:00:00"/>
    <m/>
    <x v="1"/>
    <x v="2"/>
    <s v="24-00239"/>
    <x v="26"/>
    <x v="109"/>
    <x v="0"/>
    <x v="0"/>
    <x v="0"/>
    <x v="3"/>
    <s v="Insulated Cabin"/>
    <x v="3"/>
    <s v="N/A"/>
    <x v="0"/>
    <s v="Not Started"/>
    <x v="0"/>
    <m/>
    <m/>
    <m/>
    <m/>
    <s v="No"/>
    <n v="0"/>
    <n v="0"/>
    <m/>
    <m/>
    <s v="No"/>
    <n v="0"/>
    <s v="N/A"/>
    <s v="Drawing Released, Caster wheel can not be implemented as it needs new tooling of roller bracket. To be included in roller bracket RM saving project"/>
    <m/>
    <m/>
    <m/>
    <n v="1"/>
    <n v="0"/>
    <s v="Castor wheel pending"/>
    <m/>
    <x v="1"/>
    <d v="2025-06-01T00:00:00"/>
  </r>
  <r>
    <n v="111"/>
    <d v="2025-01-01T00:00:00"/>
    <m/>
    <x v="1"/>
    <x v="0"/>
    <s v="25-00300"/>
    <x v="62"/>
    <x v="110"/>
    <x v="0"/>
    <x v="0"/>
    <x v="0"/>
    <x v="0"/>
    <s v="Insulated Cabin"/>
    <x v="2"/>
    <s v="Locks"/>
    <x v="4"/>
    <s v="Not Started"/>
    <x v="0"/>
    <m/>
    <m/>
    <m/>
    <m/>
    <s v="No"/>
    <n v="0"/>
    <n v="0"/>
    <m/>
    <m/>
    <s v="No"/>
    <n v="0"/>
    <s v="N/A"/>
    <s v="Sourcing team to submit correct samples."/>
    <m/>
    <m/>
    <m/>
    <n v="0.5"/>
    <n v="0.2"/>
    <s v=" "/>
    <m/>
    <x v="7"/>
    <d v="2025-02-01T00:00:00"/>
  </r>
  <r>
    <n v="112"/>
    <d v="2024-12-01T00:00:00"/>
    <m/>
    <x v="1"/>
    <x v="0"/>
    <s v="22-00060"/>
    <x v="63"/>
    <x v="111"/>
    <x v="0"/>
    <x v="0"/>
    <x v="0"/>
    <x v="0"/>
    <s v="Electrical Parts"/>
    <x v="6"/>
    <s v="Other Materials"/>
    <x v="4"/>
    <s v="Not Started"/>
    <x v="7"/>
    <m/>
    <m/>
    <m/>
    <m/>
    <s v="No"/>
    <n v="0"/>
    <n v="0"/>
    <m/>
    <m/>
    <s v="No"/>
    <n v="0"/>
    <s v="N/A"/>
    <m/>
    <m/>
    <m/>
    <m/>
    <n v="1"/>
    <n v="0.5"/>
    <s v=" "/>
    <m/>
    <x v="7"/>
    <d v="2025-03-01T00:00:00"/>
  </r>
  <r>
    <n v="113"/>
    <d v="2025-01-01T00:00:00"/>
    <m/>
    <x v="0"/>
    <x v="0"/>
    <s v="25-00301"/>
    <x v="64"/>
    <x v="112"/>
    <x v="0"/>
    <x v="0"/>
    <x v="0"/>
    <x v="0"/>
    <s v="Door"/>
    <x v="4"/>
    <s v="Aluminium Profiles"/>
    <x v="4"/>
    <s v="Not Started"/>
    <x v="7"/>
    <m/>
    <m/>
    <m/>
    <m/>
    <s v="No"/>
    <n v="0"/>
    <n v="0"/>
    <m/>
    <m/>
    <s v="No"/>
    <n v="0"/>
    <s v="N/A"/>
    <s v="Plant to Submit/Conduct test in aligneent with PD  for Door opening"/>
    <m/>
    <m/>
    <m/>
    <n v="0"/>
    <n v="0"/>
    <s v=" "/>
    <m/>
    <x v="7"/>
    <d v="2025-02-01T00:00:00"/>
  </r>
  <r>
    <n v="114"/>
    <d v="2025-01-01T00:00:00"/>
    <m/>
    <x v="1"/>
    <x v="0"/>
    <s v="25-00302"/>
    <x v="65"/>
    <x v="113"/>
    <x v="0"/>
    <x v="0"/>
    <x v="0"/>
    <x v="0"/>
    <s v="Cooling Mechanism"/>
    <x v="0"/>
    <s v="Copper Tubes"/>
    <x v="4"/>
    <s v="Not Started"/>
    <x v="0"/>
    <m/>
    <m/>
    <m/>
    <m/>
    <s v="Yes"/>
    <n v="0.5"/>
    <n v="0"/>
    <m/>
    <m/>
    <s v="No"/>
    <n v="0"/>
    <s v="N/A"/>
    <m/>
    <m/>
    <m/>
    <m/>
    <n v="0"/>
    <n v="0"/>
    <s v=" "/>
    <m/>
    <x v="7"/>
    <d v="2025-02-01T00:00:00"/>
  </r>
  <r>
    <n v="115"/>
    <d v="2024-12-01T00:00:00"/>
    <m/>
    <x v="0"/>
    <x v="0"/>
    <s v="25-00304"/>
    <x v="66"/>
    <x v="114"/>
    <x v="0"/>
    <x v="0"/>
    <x v="0"/>
    <x v="0"/>
    <s v="Door"/>
    <x v="2"/>
    <s v="Metal Processing &amp; Components"/>
    <x v="4"/>
    <s v="Not Started"/>
    <x v="0"/>
    <m/>
    <m/>
    <m/>
    <m/>
    <s v="No"/>
    <n v="0"/>
    <n v="0"/>
    <m/>
    <m/>
    <s v="No"/>
    <n v="0"/>
    <s v="N/A"/>
    <s v="Sample recived - Testing to be aligned and planned"/>
    <m/>
    <m/>
    <m/>
    <n v="1"/>
    <n v="1"/>
    <s v=" "/>
    <m/>
    <x v="6"/>
    <d v="2025-04-01T00:00:00"/>
  </r>
  <r>
    <n v="116"/>
    <d v="2025-01-01T00:00:00"/>
    <m/>
    <x v="1"/>
    <x v="0"/>
    <s v="25-00305"/>
    <x v="67"/>
    <x v="115"/>
    <x v="0"/>
    <x v="0"/>
    <x v="0"/>
    <x v="0"/>
    <s v="Insulated Cabin"/>
    <x v="2"/>
    <s v="Metal Processing &amp; Components"/>
    <x v="4"/>
    <s v="Not Started"/>
    <x v="0"/>
    <m/>
    <m/>
    <m/>
    <m/>
    <s v="No"/>
    <n v="0"/>
    <n v="0"/>
    <m/>
    <m/>
    <s v="No"/>
    <n v="0"/>
    <s v="N/A"/>
    <s v="Sourcing team to conduct door opening test on new hinges in colloboration with PD"/>
    <m/>
    <m/>
    <m/>
    <n v="0"/>
    <n v="0"/>
    <s v=" "/>
    <m/>
    <x v="7"/>
    <d v="2025-06-01T00:00:00"/>
  </r>
  <r>
    <n v="117"/>
    <d v="2025-01-01T00:00:00"/>
    <m/>
    <x v="1"/>
    <x v="0"/>
    <s v="25-00306"/>
    <x v="68"/>
    <x v="116"/>
    <x v="0"/>
    <x v="0"/>
    <x v="0"/>
    <x v="0"/>
    <s v="Shelving"/>
    <x v="2"/>
    <s v="Metal Processing &amp; Components"/>
    <x v="4"/>
    <s v="Not Started"/>
    <x v="0"/>
    <m/>
    <m/>
    <m/>
    <m/>
    <s v="No"/>
    <n v="0"/>
    <n v="0"/>
    <m/>
    <m/>
    <s v="No"/>
    <n v="0"/>
    <s v="N/A"/>
    <s v="Sagging test to be done afer receving samples"/>
    <m/>
    <m/>
    <m/>
    <n v="0"/>
    <n v="0"/>
    <s v=" "/>
    <m/>
    <x v="7"/>
    <d v="2025-01-01T00:00:00"/>
  </r>
  <r>
    <n v="118"/>
    <d v="2025-01-01T00:00:00"/>
    <m/>
    <x v="0"/>
    <x v="0"/>
    <s v="25-00252"/>
    <x v="69"/>
    <x v="117"/>
    <x v="2"/>
    <x v="0"/>
    <x v="0"/>
    <x v="0"/>
    <s v="Cooling Mechanism"/>
    <x v="0"/>
    <s v="Compressors"/>
    <x v="4"/>
    <s v="Delayed"/>
    <x v="1"/>
    <s v="POC Planned"/>
    <m/>
    <m/>
    <m/>
    <s v="Yes"/>
    <n v="7"/>
    <n v="6"/>
    <s v="POC &amp; Reliability→31-03/25-04-FTK55 Compressor failed_x000a_Certification→ 05-05 / 25-05_x000a_Report Submission→ 07-07_x000a_Approval→ 07-08"/>
    <s v="POC Failed with FTK55 Compressor, Retesting being done with FTK45X"/>
    <s v="Yes"/>
    <n v="1.5"/>
    <s v="Completed"/>
    <s v="POC failed with FTK55, FTK45 sample ordered- To be started by end of March"/>
    <m/>
    <m/>
    <m/>
    <n v="3"/>
    <n v="2"/>
    <s v="Long Lead→_x000a_TF→_x000a_Prod. Proto-TF→_x000a_Pilot TF→_x000a_Commercilaization→"/>
    <m/>
    <x v="0"/>
    <d v="2025-07-01T00:00:00"/>
  </r>
  <r>
    <n v="119"/>
    <d v="2025-01-01T00:00:00"/>
    <m/>
    <x v="0"/>
    <x v="0"/>
    <s v="25-00252"/>
    <x v="70"/>
    <x v="118"/>
    <x v="2"/>
    <x v="0"/>
    <x v="0"/>
    <x v="0"/>
    <s v="Cooling Mechanism"/>
    <x v="0"/>
    <s v="Compressors"/>
    <x v="4"/>
    <s v="Not Started"/>
    <x v="3"/>
    <s v="POC Planned"/>
    <m/>
    <m/>
    <m/>
    <s v="Yes"/>
    <n v="1"/>
    <n v="3"/>
    <m/>
    <m/>
    <s v="Yes"/>
    <n v="1.5"/>
    <s v="Completed"/>
    <m/>
    <m/>
    <m/>
    <m/>
    <n v="3"/>
    <n v="1"/>
    <s v="Long Lead→_x000a_TF→_x000a_Prod. Proto-TF→_x000a_Pilot TF→_x000a_Commercilaization→"/>
    <m/>
    <x v="0"/>
    <d v="2025-07-01T00:00:00"/>
  </r>
  <r>
    <n v="120"/>
    <d v="2025-01-01T00:00:00"/>
    <m/>
    <x v="0"/>
    <x v="0"/>
    <s v="25-00303"/>
    <x v="71"/>
    <x v="119"/>
    <x v="0"/>
    <x v="0"/>
    <x v="0"/>
    <x v="0"/>
    <s v="Cooling Mechanism"/>
    <x v="0"/>
    <s v="Compressors"/>
    <x v="4"/>
    <s v="Not Started"/>
    <x v="3"/>
    <m/>
    <m/>
    <m/>
    <m/>
    <s v="Yes"/>
    <n v="7"/>
    <n v="6"/>
    <s v="POC &amp; Reliability→20-02/31-03-Compressor failed_x000a_Certification→ 15-04 / 06-05_x000a_Report Submission→ 07-06_x000a_Approval→ 07-07"/>
    <s v="Compressor Failed in Relaibility Testing"/>
    <s v="Yes"/>
    <n v="1.5"/>
    <s v="Completed"/>
    <s v="Need planing date-From Kamal"/>
    <m/>
    <m/>
    <m/>
    <n v="3"/>
    <n v="2"/>
    <s v="Long Lead→_x000a_TF→_x000a_Prod. Proto-TF→_x000a_Pilot TF→_x000a_Commercilaization→"/>
    <m/>
    <x v="0"/>
    <s v="Jul'25"/>
  </r>
  <r>
    <n v="121"/>
    <d v="2025-01-01T00:00:00"/>
    <m/>
    <x v="1"/>
    <x v="0"/>
    <s v="25-00307"/>
    <x v="72"/>
    <x v="120"/>
    <x v="1"/>
    <x v="0"/>
    <x v="0"/>
    <x v="0"/>
    <s v="Other Fastening"/>
    <x v="6"/>
    <s v="Fastening Materials"/>
    <x v="4"/>
    <s v="Not Started"/>
    <x v="7"/>
    <m/>
    <m/>
    <m/>
    <m/>
    <s v="No"/>
    <n v="0"/>
    <n v="0"/>
    <m/>
    <m/>
    <s v="No"/>
    <n v="0"/>
    <s v="N/A"/>
    <m/>
    <m/>
    <m/>
    <m/>
    <n v="0"/>
    <n v="0"/>
    <m/>
    <m/>
    <x v="9"/>
    <d v="2025-06-01T00:00:00"/>
  </r>
  <r>
    <n v="122"/>
    <d v="2025-01-01T00:00:00"/>
    <m/>
    <x v="1"/>
    <x v="0"/>
    <s v="25-00309"/>
    <x v="73"/>
    <x v="121"/>
    <x v="1"/>
    <x v="0"/>
    <x v="0"/>
    <x v="0"/>
    <s v="Cooling Mechanism"/>
    <x v="5"/>
    <s v="Injection Plastics"/>
    <x v="4"/>
    <s v="Not Started"/>
    <x v="7"/>
    <m/>
    <m/>
    <m/>
    <m/>
    <s v="No"/>
    <n v="0"/>
    <n v="0"/>
    <m/>
    <m/>
    <s v="No"/>
    <n v="0"/>
    <s v="N/A"/>
    <s v="Project not needed as plan is to move to 3 motors with Metal fan casing"/>
    <m/>
    <m/>
    <m/>
    <n v="0"/>
    <n v="0"/>
    <m/>
    <m/>
    <x v="10"/>
    <d v="2025-07-30T00:00:00"/>
  </r>
  <r>
    <n v="123"/>
    <d v="2025-03-01T00:00:00"/>
    <n v="2"/>
    <x v="0"/>
    <x v="2"/>
    <s v="25-00320"/>
    <x v="26"/>
    <x v="122"/>
    <x v="0"/>
    <x v="0"/>
    <x v="0"/>
    <x v="3"/>
    <s v="Shelving"/>
    <x v="3"/>
    <s v="N/A"/>
    <x v="1"/>
    <s v="On Time"/>
    <x v="3"/>
    <m/>
    <m/>
    <m/>
    <m/>
    <s v="Yes"/>
    <n v="7"/>
    <n v="3"/>
    <m/>
    <m/>
    <s v="No"/>
    <n v="1.5"/>
    <s v="N/A"/>
    <s v="N/A"/>
    <m/>
    <m/>
    <m/>
    <n v="3"/>
    <n v="2"/>
    <s v="Clarity needed on Marketing Brief- Pillaster &amp; Shelf drawing released"/>
    <s v="Existing compressor TCW330 is not suitable for increased Load. Testing with TCW380 in Progress"/>
    <x v="4"/>
    <d v="2025-03-30T00:00:00"/>
  </r>
  <r>
    <n v="124"/>
    <d v="2025-03-01T00:00:00"/>
    <n v="2"/>
    <x v="0"/>
    <x v="2"/>
    <s v="25-00320"/>
    <x v="26"/>
    <x v="123"/>
    <x v="0"/>
    <x v="0"/>
    <x v="0"/>
    <x v="3"/>
    <s v="Shelving"/>
    <x v="3"/>
    <s v="N/A"/>
    <x v="1"/>
    <s v="On Time"/>
    <x v="3"/>
    <m/>
    <m/>
    <m/>
    <m/>
    <s v="Yes"/>
    <n v="7"/>
    <n v="3"/>
    <m/>
    <m/>
    <s v="No"/>
    <n v="1.5"/>
    <s v="N/A"/>
    <s v="N/A"/>
    <m/>
    <m/>
    <m/>
    <n v="3"/>
    <n v="2"/>
    <s v="Clarity needed on Marketing Brief- Compressor not OK for specified Load"/>
    <s v="Existing compressor TCW330 is not suitable for increased Load. Testing with TCW380 in Progress"/>
    <x v="4"/>
    <d v="2025-03-30T00:00:00"/>
  </r>
  <r>
    <n v="125"/>
    <d v="2025-03-01T00:00:00"/>
    <n v="4"/>
    <x v="1"/>
    <x v="2"/>
    <s v="24-00186"/>
    <x v="26"/>
    <x v="124"/>
    <x v="0"/>
    <x v="0"/>
    <x v="0"/>
    <x v="3"/>
    <s v="Door"/>
    <x v="3"/>
    <s v="N/A"/>
    <x v="1"/>
    <s v="On Time"/>
    <x v="0"/>
    <m/>
    <m/>
    <m/>
    <m/>
    <s v="No"/>
    <n v="0"/>
    <n v="0"/>
    <m/>
    <m/>
    <s v="No"/>
    <n v="0"/>
    <s v="N/A"/>
    <m/>
    <m/>
    <m/>
    <m/>
    <n v="2"/>
    <n v="0"/>
    <s v="TF released for S-800/SP800 and S1100"/>
    <s v="Samples awaited for Production prototype"/>
    <x v="0"/>
    <d v="2025-04-30T00:00:00"/>
  </r>
  <r>
    <n v="126"/>
    <d v="2025-01-01T00:00:00"/>
    <n v="1"/>
    <x v="1"/>
    <x v="2"/>
    <s v="25-00287"/>
    <x v="26"/>
    <x v="125"/>
    <x v="0"/>
    <x v="0"/>
    <x v="0"/>
    <x v="3"/>
    <s v="Door"/>
    <x v="3"/>
    <s v="N/A"/>
    <x v="1"/>
    <s v="On Time"/>
    <x v="0"/>
    <m/>
    <m/>
    <m/>
    <m/>
    <s v="No"/>
    <n v="0"/>
    <n v="0"/>
    <m/>
    <m/>
    <s v="No"/>
    <n v="0"/>
    <s v="N/A"/>
    <m/>
    <m/>
    <m/>
    <m/>
    <n v="3"/>
    <n v="1"/>
    <s v="Need to release TF after incorporating same in all models"/>
    <s v="Tooling drawing released"/>
    <x v="1"/>
    <d v="2025-04-30T00:00:00"/>
  </r>
  <r>
    <n v="127"/>
    <d v="2025-06-01T00:00:00"/>
    <n v="3"/>
    <x v="3"/>
    <x v="3"/>
    <s v="25-00314"/>
    <x v="26"/>
    <x v="126"/>
    <x v="1"/>
    <x v="0"/>
    <x v="0"/>
    <x v="3"/>
    <s v="Complete Cooler"/>
    <x v="3"/>
    <s v="N/A"/>
    <x v="4"/>
    <s v="Not Started"/>
    <x v="4"/>
    <m/>
    <m/>
    <m/>
    <m/>
    <s v="Yes"/>
    <n v="8"/>
    <n v="16"/>
    <s v="POC &amp; Reliability→02-06/30-06_x000a_Certification→ 14-07 / 04-08_x000a_Report Submission→ 11-08_x000a_Approval→ 11-09"/>
    <m/>
    <s v="Yes"/>
    <n v="3"/>
    <s v="Not Started"/>
    <s v="Feasibility study- Project start date to be communicated later"/>
    <m/>
    <m/>
    <m/>
    <n v="8"/>
    <m/>
    <m/>
    <m/>
    <x v="8"/>
    <s v="-"/>
  </r>
  <r>
    <n v="128"/>
    <d v="2025-07-01T00:00:00"/>
    <n v="8"/>
    <x v="0"/>
    <x v="1"/>
    <s v="25-00316"/>
    <x v="26"/>
    <x v="127"/>
    <x v="2"/>
    <x v="0"/>
    <x v="0"/>
    <x v="3"/>
    <s v="Cooling Mechanism"/>
    <x v="3"/>
    <s v="N/A"/>
    <x v="4"/>
    <s v="Not Started"/>
    <x v="8"/>
    <m/>
    <m/>
    <m/>
    <m/>
    <s v="Yes"/>
    <n v="6"/>
    <n v="6"/>
    <s v="POC &amp; Reliability→20-04/05-05_x000a_Certification→ 10-05 / 30-05_x000a_Report Submission→ 07-07_x000a_Approval→07-08"/>
    <m/>
    <s v="Yes"/>
    <n v="1.5"/>
    <s v="Completed"/>
    <s v="SP-550 to be developed in R290- TF dates to be communicated later upon resource availability. Testing to be plannned"/>
    <m/>
    <m/>
    <m/>
    <n v="6"/>
    <n v="4"/>
    <m/>
    <m/>
    <x v="0"/>
    <s v="-"/>
  </r>
  <r>
    <n v="129"/>
    <d v="2025-07-01T00:00:00"/>
    <n v="6"/>
    <x v="0"/>
    <x v="3"/>
    <s v="24-00247"/>
    <x v="26"/>
    <x v="128"/>
    <x v="0"/>
    <x v="0"/>
    <x v="0"/>
    <x v="3"/>
    <s v="Cooling Mechanism"/>
    <x v="3"/>
    <s v="N/A"/>
    <x v="4"/>
    <s v="Not Started"/>
    <x v="8"/>
    <m/>
    <m/>
    <m/>
    <m/>
    <s v="Yes"/>
    <n v="6"/>
    <n v="4"/>
    <m/>
    <m/>
    <s v="Yes"/>
    <n v="1.5"/>
    <s v="Not Started"/>
    <m/>
    <m/>
    <m/>
    <m/>
    <n v="3"/>
    <n v="2"/>
    <m/>
    <m/>
    <x v="4"/>
    <s v="-"/>
  </r>
  <r>
    <n v="130"/>
    <d v="2025-07-01T00:00:00"/>
    <n v="9"/>
    <x v="0"/>
    <x v="3"/>
    <s v="25-00319"/>
    <x v="26"/>
    <x v="129"/>
    <x v="2"/>
    <x v="0"/>
    <x v="0"/>
    <x v="3"/>
    <s v="Complete Cooler"/>
    <x v="3"/>
    <s v="N/A"/>
    <x v="4"/>
    <s v="Not Started"/>
    <x v="8"/>
    <m/>
    <m/>
    <m/>
    <m/>
    <s v="Yes"/>
    <n v="7"/>
    <n v="0"/>
    <m/>
    <m/>
    <s v="Yes"/>
    <n v="1.5"/>
    <s v="Not Started"/>
    <s v="VG250 with Frameless door (from China) and Coke EC2026 "/>
    <m/>
    <m/>
    <m/>
    <n v="3"/>
    <n v="3"/>
    <m/>
    <m/>
    <x v="0"/>
    <s v="-"/>
  </r>
  <r>
    <n v="131"/>
    <d v="2025-04-01T00:00:00"/>
    <m/>
    <x v="0"/>
    <x v="1"/>
    <s v="TBR"/>
    <x v="26"/>
    <x v="130"/>
    <x v="0"/>
    <x v="0"/>
    <x v="0"/>
    <x v="1"/>
    <s v="Complete Cooler"/>
    <x v="3"/>
    <s v="N/A"/>
    <x v="4"/>
    <s v="Not Started"/>
    <x v="2"/>
    <m/>
    <m/>
    <m/>
    <m/>
    <s v="No"/>
    <n v="0"/>
    <n v="0"/>
    <m/>
    <m/>
    <s v="No"/>
    <n v="0"/>
    <s v="N/A"/>
    <m/>
    <m/>
    <m/>
    <m/>
    <n v="4"/>
    <n v="3"/>
    <m/>
    <m/>
    <x v="5"/>
    <d v="2025-07-31T00:00:00"/>
  </r>
  <r>
    <n v="132"/>
    <d v="2025-04-01T00:00:00"/>
    <m/>
    <x v="0"/>
    <x v="1"/>
    <s v="TBR"/>
    <x v="26"/>
    <x v="131"/>
    <x v="0"/>
    <x v="0"/>
    <x v="0"/>
    <x v="1"/>
    <s v="Complete Cooler"/>
    <x v="3"/>
    <s v="N/A"/>
    <x v="4"/>
    <s v="Not Started"/>
    <x v="7"/>
    <m/>
    <m/>
    <m/>
    <m/>
    <s v="No"/>
    <n v="0"/>
    <n v="0"/>
    <m/>
    <m/>
    <s v="No"/>
    <n v="0"/>
    <s v="N/A"/>
    <m/>
    <m/>
    <m/>
    <m/>
    <n v="4"/>
    <n v="3"/>
    <m/>
    <m/>
    <x v="5"/>
    <d v="2025-07-31T00:00:00"/>
  </r>
  <r>
    <n v="133"/>
    <d v="2025-04-01T00:00:00"/>
    <m/>
    <x v="0"/>
    <x v="1"/>
    <s v="TBR"/>
    <x v="26"/>
    <x v="132"/>
    <x v="0"/>
    <x v="0"/>
    <x v="0"/>
    <x v="1"/>
    <s v="Complete Cooler"/>
    <x v="3"/>
    <s v="N/A"/>
    <x v="4"/>
    <s v="Not Started"/>
    <x v="7"/>
    <m/>
    <m/>
    <m/>
    <m/>
    <s v="No"/>
    <n v="0"/>
    <n v="0"/>
    <m/>
    <m/>
    <s v="No"/>
    <n v="0"/>
    <s v="N/A"/>
    <m/>
    <m/>
    <m/>
    <m/>
    <n v="4"/>
    <n v="3"/>
    <m/>
    <m/>
    <x v="5"/>
    <d v="2025-07-31T00:00:00"/>
  </r>
  <r>
    <n v="134"/>
    <d v="2025-04-01T00:00:00"/>
    <m/>
    <x v="0"/>
    <x v="1"/>
    <s v="TBR"/>
    <x v="26"/>
    <x v="133"/>
    <x v="0"/>
    <x v="0"/>
    <x v="0"/>
    <x v="1"/>
    <s v="Complete Cooler"/>
    <x v="3"/>
    <s v="N/A"/>
    <x v="4"/>
    <s v="Not Started"/>
    <x v="7"/>
    <m/>
    <m/>
    <m/>
    <m/>
    <s v="No"/>
    <n v="0"/>
    <n v="0"/>
    <m/>
    <m/>
    <s v="No"/>
    <n v="0"/>
    <s v="N/A"/>
    <m/>
    <m/>
    <m/>
    <m/>
    <n v="4"/>
    <n v="3"/>
    <m/>
    <m/>
    <x v="5"/>
    <d v="2025-07-31T00:00:00"/>
  </r>
  <r>
    <n v="135"/>
    <d v="2025-04-01T00:00:00"/>
    <m/>
    <x v="0"/>
    <x v="1"/>
    <s v="TBR"/>
    <x v="26"/>
    <x v="134"/>
    <x v="0"/>
    <x v="0"/>
    <x v="0"/>
    <x v="1"/>
    <s v="Complete Cooler"/>
    <x v="3"/>
    <s v="N/A"/>
    <x v="4"/>
    <s v="Not Started"/>
    <x v="7"/>
    <m/>
    <m/>
    <m/>
    <m/>
    <s v="No"/>
    <n v="0"/>
    <n v="0"/>
    <m/>
    <m/>
    <s v="No"/>
    <n v="0"/>
    <s v="N/A"/>
    <m/>
    <m/>
    <m/>
    <m/>
    <n v="4"/>
    <n v="3"/>
    <m/>
    <m/>
    <x v="5"/>
    <d v="2025-07-31T00:00:00"/>
  </r>
  <r>
    <n v="136"/>
    <d v="2025-04-01T00:00:00"/>
    <m/>
    <x v="0"/>
    <x v="1"/>
    <s v="TBR"/>
    <x v="26"/>
    <x v="135"/>
    <x v="0"/>
    <x v="0"/>
    <x v="0"/>
    <x v="1"/>
    <s v="Complete Cooler"/>
    <x v="3"/>
    <s v="N/A"/>
    <x v="4"/>
    <s v="Not Started"/>
    <x v="7"/>
    <m/>
    <m/>
    <m/>
    <m/>
    <s v="No"/>
    <n v="0"/>
    <n v="0"/>
    <m/>
    <m/>
    <s v="No"/>
    <n v="0"/>
    <s v="N/A"/>
    <m/>
    <m/>
    <m/>
    <m/>
    <n v="4"/>
    <n v="3"/>
    <m/>
    <m/>
    <x v="5"/>
    <d v="2025-07-31T00:00:00"/>
  </r>
  <r>
    <n v="137"/>
    <d v="2025-04-01T00:00:00"/>
    <m/>
    <x v="0"/>
    <x v="1"/>
    <s v="TBR"/>
    <x v="26"/>
    <x v="136"/>
    <x v="1"/>
    <x v="0"/>
    <x v="0"/>
    <x v="1"/>
    <s v="Complete Cooler"/>
    <x v="3"/>
    <s v="N/A"/>
    <x v="4"/>
    <s v="Not Started"/>
    <x v="7"/>
    <m/>
    <m/>
    <m/>
    <m/>
    <s v="No"/>
    <n v="0"/>
    <n v="10"/>
    <m/>
    <m/>
    <s v="Yes"/>
    <n v="3"/>
    <s v="Not Started"/>
    <m/>
    <m/>
    <m/>
    <m/>
    <n v="4"/>
    <n v="3"/>
    <m/>
    <s v="Marketing Brief awaited"/>
    <x v="2"/>
    <s v="-"/>
  </r>
  <r>
    <n v="138"/>
    <d v="2025-04-01T00:00:00"/>
    <n v="22"/>
    <x v="0"/>
    <x v="1"/>
    <s v="TBR"/>
    <x v="26"/>
    <x v="137"/>
    <x v="0"/>
    <x v="0"/>
    <x v="0"/>
    <x v="1"/>
    <s v="Complete Cooler"/>
    <x v="3"/>
    <s v="N/A"/>
    <x v="4"/>
    <s v="Not Started"/>
    <x v="7"/>
    <m/>
    <m/>
    <m/>
    <m/>
    <s v="No"/>
    <n v="0"/>
    <n v="0"/>
    <m/>
    <m/>
    <s v="Yes"/>
    <n v="1.5"/>
    <s v="Not Started"/>
    <m/>
    <m/>
    <m/>
    <m/>
    <n v="2"/>
    <n v="2"/>
    <m/>
    <s v="Marketing Brief awaited"/>
    <x v="7"/>
    <s v="-"/>
  </r>
  <r>
    <n v="139"/>
    <d v="2025-04-01T00:00:00"/>
    <n v="23"/>
    <x v="0"/>
    <x v="1"/>
    <s v="TBR"/>
    <x v="26"/>
    <x v="138"/>
    <x v="1"/>
    <x v="0"/>
    <x v="0"/>
    <x v="1"/>
    <s v="Complete Cooler"/>
    <x v="3"/>
    <s v="N/A"/>
    <x v="4"/>
    <s v="Not Started"/>
    <x v="7"/>
    <m/>
    <m/>
    <m/>
    <m/>
    <s v="No"/>
    <n v="0"/>
    <n v="0"/>
    <m/>
    <m/>
    <s v="Yes"/>
    <n v="0"/>
    <s v="Not Started"/>
    <m/>
    <m/>
    <m/>
    <m/>
    <n v="3"/>
    <n v="2"/>
    <m/>
    <s v="Marketing Brief awaited"/>
    <x v="2"/>
    <s v="-"/>
  </r>
  <r>
    <n v="140"/>
    <d v="2025-04-01T00:00:00"/>
    <n v="2"/>
    <x v="1"/>
    <x v="2"/>
    <s v="TBR"/>
    <x v="26"/>
    <x v="139"/>
    <x v="0"/>
    <x v="0"/>
    <x v="0"/>
    <x v="3"/>
    <s v="Shelving"/>
    <x v="3"/>
    <s v="N/A"/>
    <x v="1"/>
    <s v="On Time"/>
    <x v="2"/>
    <m/>
    <m/>
    <m/>
    <m/>
    <s v="No"/>
    <n v="0"/>
    <n v="0"/>
    <m/>
    <m/>
    <s v="No"/>
    <n v="0"/>
    <s v="N/A"/>
    <s v="N/A"/>
    <m/>
    <m/>
    <m/>
    <n v="1"/>
    <n v="1"/>
    <s v="Clarity needed on Marketing Brief- Compressor not OK for specified Load"/>
    <s v="New compressor to be considered for this"/>
    <x v="1"/>
    <d v="2025-03-30T00:00:00"/>
  </r>
  <r>
    <n v="141"/>
    <d v="2025-04-01T00:00:00"/>
    <n v="2"/>
    <x v="0"/>
    <x v="2"/>
    <s v="TBR"/>
    <x v="26"/>
    <x v="140"/>
    <x v="0"/>
    <x v="0"/>
    <x v="0"/>
    <x v="3"/>
    <s v="Cabin Electronics"/>
    <x v="3"/>
    <s v="N/A"/>
    <x v="4"/>
    <s v="On Time"/>
    <x v="7"/>
    <m/>
    <m/>
    <m/>
    <m/>
    <s v="No"/>
    <n v="0.5"/>
    <n v="0"/>
    <m/>
    <m/>
    <s v="No"/>
    <n v="0"/>
    <s v="N/A"/>
    <s v="N/A"/>
    <m/>
    <m/>
    <m/>
    <n v="3"/>
    <n v="2"/>
    <s v="Clarity needed on Marketing Brief- Compressor not OK for specified Load"/>
    <s v="New compressor to be considered for this"/>
    <x v="6"/>
    <d v="2025-03-30T00:00:00"/>
  </r>
  <r>
    <n v="142"/>
    <d v="2025-04-01T00:00:00"/>
    <n v="2"/>
    <x v="0"/>
    <x v="2"/>
    <s v="TBR"/>
    <x v="26"/>
    <x v="141"/>
    <x v="0"/>
    <x v="0"/>
    <x v="0"/>
    <x v="3"/>
    <s v="Shelving"/>
    <x v="3"/>
    <s v="N/A"/>
    <x v="4"/>
    <s v="On Time"/>
    <x v="7"/>
    <m/>
    <m/>
    <m/>
    <m/>
    <s v="Yes"/>
    <n v="0"/>
    <n v="0"/>
    <m/>
    <m/>
    <m/>
    <n v="0"/>
    <m/>
    <m/>
    <m/>
    <m/>
    <m/>
    <n v="3"/>
    <n v="2"/>
    <m/>
    <m/>
    <x v="1"/>
    <d v="2025-12-30T00:00:00"/>
  </r>
  <r>
    <n v="143"/>
    <d v="2025-04-01T00:00:00"/>
    <m/>
    <x v="0"/>
    <x v="1"/>
    <s v="TBR"/>
    <x v="26"/>
    <x v="142"/>
    <x v="1"/>
    <x v="0"/>
    <x v="0"/>
    <x v="1"/>
    <s v="Complete Cooler"/>
    <x v="3"/>
    <s v="N/A"/>
    <x v="4"/>
    <s v="Not Started"/>
    <x v="8"/>
    <m/>
    <m/>
    <m/>
    <m/>
    <s v="Yes"/>
    <n v="8"/>
    <n v="0"/>
    <m/>
    <m/>
    <s v="Yes"/>
    <n v="0"/>
    <s v="Not Started"/>
    <m/>
    <m/>
    <m/>
    <m/>
    <n v="3"/>
    <n v="3"/>
    <m/>
    <s v="Marketing Brief awaited"/>
    <x v="2"/>
    <s v="-"/>
  </r>
  <r>
    <n v="144"/>
    <d v="2025-04-01T00:00:00"/>
    <m/>
    <x v="0"/>
    <x v="1"/>
    <s v="TBR"/>
    <x v="26"/>
    <x v="143"/>
    <x v="0"/>
    <x v="0"/>
    <x v="1"/>
    <x v="4"/>
    <s v="Complete Cooler"/>
    <x v="3"/>
    <s v="N/A"/>
    <x v="4"/>
    <s v="Cancelled"/>
    <x v="7"/>
    <m/>
    <m/>
    <m/>
    <m/>
    <s v="No"/>
    <m/>
    <n v="0"/>
    <m/>
    <m/>
    <m/>
    <n v="0"/>
    <m/>
    <m/>
    <m/>
    <m/>
    <m/>
    <n v="15"/>
    <m/>
    <m/>
    <m/>
    <x v="5"/>
    <d v="2025-12-30T00:00:00"/>
  </r>
  <r>
    <n v="145"/>
    <d v="2025-04-01T00:00:00"/>
    <m/>
    <x v="0"/>
    <x v="1"/>
    <s v="TBR"/>
    <x v="26"/>
    <x v="144"/>
    <x v="0"/>
    <x v="0"/>
    <x v="1"/>
    <x v="1"/>
    <m/>
    <x v="7"/>
    <m/>
    <x v="5"/>
    <m/>
    <x v="9"/>
    <m/>
    <m/>
    <m/>
    <m/>
    <s v="Yes"/>
    <m/>
    <n v="10"/>
    <m/>
    <m/>
    <m/>
    <n v="1"/>
    <m/>
    <m/>
    <m/>
    <m/>
    <m/>
    <n v="16"/>
    <m/>
    <m/>
    <m/>
    <x v="6"/>
    <s v="Dec'25"/>
  </r>
  <r>
    <n v="146"/>
    <d v="2025-04-01T00:00:00"/>
    <m/>
    <x v="1"/>
    <x v="1"/>
    <s v="TBR"/>
    <x v="26"/>
    <x v="145"/>
    <x v="0"/>
    <x v="0"/>
    <x v="1"/>
    <x v="1"/>
    <m/>
    <x v="7"/>
    <m/>
    <x v="5"/>
    <m/>
    <x v="9"/>
    <m/>
    <m/>
    <m/>
    <m/>
    <m/>
    <m/>
    <n v="5"/>
    <m/>
    <m/>
    <m/>
    <n v="1"/>
    <m/>
    <m/>
    <m/>
    <m/>
    <m/>
    <n v="5"/>
    <m/>
    <m/>
    <m/>
    <x v="0"/>
    <m/>
  </r>
  <r>
    <n v="147"/>
    <d v="2025-04-01T00:00:00"/>
    <m/>
    <x v="0"/>
    <x v="1"/>
    <s v="TBR"/>
    <x v="26"/>
    <x v="146"/>
    <x v="0"/>
    <x v="0"/>
    <x v="0"/>
    <x v="1"/>
    <m/>
    <x v="7"/>
    <m/>
    <x v="5"/>
    <m/>
    <x v="9"/>
    <m/>
    <m/>
    <m/>
    <m/>
    <s v="Yes"/>
    <m/>
    <n v="10"/>
    <m/>
    <m/>
    <m/>
    <n v="30"/>
    <m/>
    <m/>
    <m/>
    <m/>
    <m/>
    <n v="0"/>
    <m/>
    <m/>
    <m/>
    <x v="11"/>
    <m/>
  </r>
  <r>
    <n v="148"/>
    <d v="2025-01-01T00:00:00"/>
    <m/>
    <x v="0"/>
    <x v="1"/>
    <s v="TBR"/>
    <x v="26"/>
    <x v="147"/>
    <x v="0"/>
    <x v="0"/>
    <x v="0"/>
    <x v="4"/>
    <s v="Complete Cooler"/>
    <x v="3"/>
    <s v="N/A"/>
    <x v="4"/>
    <s v="Cancelled"/>
    <x v="7"/>
    <m/>
    <m/>
    <m/>
    <m/>
    <s v="No"/>
    <m/>
    <n v="0"/>
    <m/>
    <m/>
    <m/>
    <m/>
    <m/>
    <m/>
    <m/>
    <m/>
    <m/>
    <n v="5"/>
    <m/>
    <m/>
    <m/>
    <x v="3"/>
    <m/>
  </r>
  <r>
    <n v="149"/>
    <d v="2025-04-01T00:00:00"/>
    <n v="2"/>
    <x v="2"/>
    <x v="2"/>
    <s v="TBR"/>
    <x v="26"/>
    <x v="148"/>
    <x v="4"/>
    <x v="0"/>
    <x v="0"/>
    <x v="3"/>
    <s v="Complete Cooler"/>
    <x v="3"/>
    <s v="N/A"/>
    <x v="1"/>
    <s v="On Time"/>
    <x v="7"/>
    <m/>
    <m/>
    <m/>
    <m/>
    <s v="Yes"/>
    <n v="4"/>
    <n v="2"/>
    <m/>
    <s v="India"/>
    <m/>
    <n v="1"/>
    <m/>
    <m/>
    <m/>
    <m/>
    <m/>
    <n v="2"/>
    <m/>
    <m/>
    <m/>
    <x v="3"/>
    <m/>
  </r>
  <r>
    <n v="150"/>
    <d v="2024-08-01T00:00:00"/>
    <m/>
    <x v="0"/>
    <x v="2"/>
    <s v="24-00523"/>
    <x v="26"/>
    <x v="149"/>
    <x v="5"/>
    <x v="1"/>
    <x v="0"/>
    <x v="3"/>
    <s v="Electrical Parts"/>
    <x v="1"/>
    <s v="Other Materials"/>
    <x v="1"/>
    <s v="On Time"/>
    <x v="5"/>
    <s v="Collaboration study with VisionIOT for lock inside cabin"/>
    <s v="Aug.24"/>
    <s v="wk24"/>
    <m/>
    <s v="No"/>
    <m/>
    <n v="0"/>
    <m/>
    <m/>
    <s v="Yes"/>
    <m/>
    <m/>
    <s v="12.04.25 Pending quotation from Nemko"/>
    <m/>
    <m/>
    <m/>
    <n v="7"/>
    <n v="4"/>
    <m/>
    <s v="12.04.25 New development considering now also Nayax payment system. For the 5 prototype units we use current outside lock"/>
    <x v="12"/>
    <d v="2025-06-16T00:00:00"/>
  </r>
  <r>
    <n v="151"/>
    <d v="2024-09-01T00:00:00"/>
    <m/>
    <x v="0"/>
    <x v="0"/>
    <s v="24-00551"/>
    <x v="74"/>
    <x v="150"/>
    <x v="5"/>
    <x v="1"/>
    <x v="0"/>
    <x v="5"/>
    <s v="Cooling Mechanism"/>
    <x v="6"/>
    <m/>
    <x v="1"/>
    <m/>
    <x v="9"/>
    <m/>
    <m/>
    <m/>
    <m/>
    <s v="Yes"/>
    <m/>
    <n v="2"/>
    <m/>
    <m/>
    <m/>
    <m/>
    <m/>
    <m/>
    <m/>
    <m/>
    <m/>
    <n v="0"/>
    <m/>
    <m/>
    <m/>
    <x v="13"/>
    <d v="2025-04-25T00:00:00"/>
  </r>
  <r>
    <n v="152"/>
    <d v="2025-03-05T00:00:00"/>
    <m/>
    <x v="0"/>
    <x v="0"/>
    <s v="25-00610"/>
    <x v="75"/>
    <x v="151"/>
    <x v="5"/>
    <x v="1"/>
    <x v="0"/>
    <x v="5"/>
    <s v="Cooling Mechanism"/>
    <x v="0"/>
    <m/>
    <x v="1"/>
    <m/>
    <x v="9"/>
    <m/>
    <m/>
    <m/>
    <m/>
    <s v="Yes"/>
    <m/>
    <n v="3"/>
    <m/>
    <m/>
    <m/>
    <m/>
    <m/>
    <m/>
    <m/>
    <m/>
    <m/>
    <n v="0"/>
    <m/>
    <m/>
    <m/>
    <x v="13"/>
    <d v="2025-05-25T00:00:00"/>
  </r>
  <r>
    <n v="153"/>
    <d v="2025-03-05T00:00:00"/>
    <m/>
    <x v="0"/>
    <x v="0"/>
    <s v="25-00610"/>
    <x v="76"/>
    <x v="152"/>
    <x v="5"/>
    <x v="1"/>
    <x v="0"/>
    <x v="5"/>
    <s v="Cooling Mechanism"/>
    <x v="0"/>
    <m/>
    <x v="4"/>
    <m/>
    <x v="9"/>
    <m/>
    <m/>
    <m/>
    <m/>
    <s v="Yes"/>
    <m/>
    <n v="6"/>
    <m/>
    <m/>
    <m/>
    <m/>
    <m/>
    <m/>
    <m/>
    <m/>
    <m/>
    <n v="0"/>
    <m/>
    <m/>
    <m/>
    <x v="13"/>
    <d v="2025-07-25T00:00:00"/>
  </r>
  <r>
    <n v="154"/>
    <d v="2025-03-05T00:00:00"/>
    <m/>
    <x v="0"/>
    <x v="0"/>
    <s v="25-00610"/>
    <x v="77"/>
    <x v="153"/>
    <x v="5"/>
    <x v="1"/>
    <x v="0"/>
    <x v="5"/>
    <s v="Cooling Mechanism"/>
    <x v="0"/>
    <m/>
    <x v="4"/>
    <m/>
    <x v="9"/>
    <m/>
    <m/>
    <m/>
    <m/>
    <s v="Yes"/>
    <m/>
    <n v="6"/>
    <m/>
    <m/>
    <m/>
    <m/>
    <m/>
    <m/>
    <m/>
    <m/>
    <m/>
    <n v="0"/>
    <m/>
    <m/>
    <m/>
    <x v="13"/>
    <d v="2025-08-25T00:00:00"/>
  </r>
  <r>
    <n v="155"/>
    <d v="2025-03-05T00:00:00"/>
    <m/>
    <x v="0"/>
    <x v="0"/>
    <s v="25-00610"/>
    <x v="78"/>
    <x v="154"/>
    <x v="5"/>
    <x v="1"/>
    <x v="0"/>
    <x v="5"/>
    <s v="Cooling Mechanism"/>
    <x v="0"/>
    <m/>
    <x v="4"/>
    <m/>
    <x v="9"/>
    <m/>
    <m/>
    <m/>
    <m/>
    <s v="Yes"/>
    <m/>
    <n v="6"/>
    <m/>
    <m/>
    <m/>
    <m/>
    <m/>
    <m/>
    <m/>
    <m/>
    <m/>
    <n v="0"/>
    <m/>
    <m/>
    <m/>
    <x v="13"/>
    <d v="2025-08-25T00:00:00"/>
  </r>
  <r>
    <n v="156"/>
    <d v="2024-09-01T00:00:00"/>
    <m/>
    <x v="0"/>
    <x v="0"/>
    <s v="24-00551"/>
    <x v="74"/>
    <x v="155"/>
    <x v="5"/>
    <x v="1"/>
    <x v="0"/>
    <x v="5"/>
    <s v="Cooling Mechanism"/>
    <x v="0"/>
    <m/>
    <x v="4"/>
    <m/>
    <x v="9"/>
    <m/>
    <m/>
    <m/>
    <m/>
    <s v="Yes"/>
    <m/>
    <n v="6"/>
    <m/>
    <m/>
    <m/>
    <m/>
    <m/>
    <m/>
    <m/>
    <m/>
    <m/>
    <n v="0"/>
    <m/>
    <m/>
    <m/>
    <x v="13"/>
    <d v="2025-07-25T00:00:00"/>
  </r>
  <r>
    <n v="157"/>
    <d v="2024-09-01T00:00:00"/>
    <m/>
    <x v="0"/>
    <x v="0"/>
    <s v="24-00550"/>
    <x v="79"/>
    <x v="156"/>
    <x v="5"/>
    <x v="1"/>
    <x v="0"/>
    <x v="0"/>
    <s v="Cooling Mechanism"/>
    <x v="0"/>
    <s v="Compressors"/>
    <x v="4"/>
    <s v="Not Started"/>
    <x v="1"/>
    <m/>
    <m/>
    <m/>
    <m/>
    <s v="Yes"/>
    <m/>
    <n v="0"/>
    <m/>
    <m/>
    <m/>
    <m/>
    <m/>
    <m/>
    <m/>
    <m/>
    <m/>
    <n v="2"/>
    <n v="4"/>
    <m/>
    <m/>
    <x v="12"/>
    <m/>
  </r>
  <r>
    <n v="158"/>
    <d v="2024-06-01T00:00:00"/>
    <m/>
    <x v="0"/>
    <x v="0"/>
    <s v="24-00526"/>
    <x v="79"/>
    <x v="157"/>
    <x v="5"/>
    <x v="1"/>
    <x v="0"/>
    <x v="0"/>
    <s v="Cooling Mechanism"/>
    <x v="0"/>
    <s v="HEX"/>
    <x v="4"/>
    <s v="On Time"/>
    <x v="2"/>
    <s v="Pending supplier FPAP reevaluation of 2nd samples"/>
    <s v="wk7"/>
    <s v="wk8"/>
    <m/>
    <s v="Yes"/>
    <m/>
    <n v="0"/>
    <m/>
    <m/>
    <s v="N/A"/>
    <m/>
    <m/>
    <m/>
    <m/>
    <m/>
    <m/>
    <n v="0"/>
    <n v="4"/>
    <m/>
    <m/>
    <x v="14"/>
    <d v="2025-06-25T00:00:00"/>
  </r>
  <r>
    <n v="159"/>
    <d v="2025-03-05T00:00:00"/>
    <m/>
    <x v="0"/>
    <x v="0"/>
    <s v="25-00610"/>
    <x v="80"/>
    <x v="158"/>
    <x v="5"/>
    <x v="1"/>
    <x v="0"/>
    <x v="0"/>
    <s v="Cooling Mechanism"/>
    <x v="0"/>
    <s v="Compressors"/>
    <x v="1"/>
    <s v="On Time"/>
    <x v="0"/>
    <m/>
    <s v="wk2"/>
    <s v="wk21"/>
    <m/>
    <s v="Yes"/>
    <m/>
    <n v="0"/>
    <m/>
    <s v="12.04.25 Performance testing needed for MAX-1200 for Redbull order"/>
    <s v="Yes"/>
    <m/>
    <m/>
    <m/>
    <m/>
    <m/>
    <m/>
    <n v="2"/>
    <n v="4"/>
    <s v="TF's released for 700,800,900,1000 B rating models"/>
    <s v="TF needed also for MAX 1200 for Redbull order, planned for week 17"/>
    <x v="12"/>
    <d v="2025-06-02T00:00:00"/>
  </r>
  <r>
    <n v="160"/>
    <d v="2025-03-05T00:00:00"/>
    <m/>
    <x v="0"/>
    <x v="0"/>
    <s v="25-00610"/>
    <x v="81"/>
    <x v="159"/>
    <x v="5"/>
    <x v="1"/>
    <x v="0"/>
    <x v="5"/>
    <s v="Cooling Mechanism"/>
    <x v="0"/>
    <m/>
    <x v="1"/>
    <m/>
    <x v="9"/>
    <m/>
    <m/>
    <m/>
    <m/>
    <s v="Yes"/>
    <m/>
    <n v="1"/>
    <m/>
    <m/>
    <m/>
    <m/>
    <m/>
    <m/>
    <m/>
    <m/>
    <m/>
    <n v="0"/>
    <m/>
    <m/>
    <m/>
    <x v="13"/>
    <d v="2025-04-25T00:00:00"/>
  </r>
  <r>
    <n v="161"/>
    <d v="2025-03-05T00:00:00"/>
    <m/>
    <x v="0"/>
    <x v="0"/>
    <s v="25-00610"/>
    <x v="82"/>
    <x v="160"/>
    <x v="5"/>
    <x v="1"/>
    <x v="0"/>
    <x v="5"/>
    <s v="Cooling Mechanism"/>
    <x v="0"/>
    <m/>
    <x v="4"/>
    <m/>
    <x v="9"/>
    <m/>
    <m/>
    <m/>
    <m/>
    <s v="Yes"/>
    <m/>
    <n v="3"/>
    <m/>
    <m/>
    <m/>
    <m/>
    <m/>
    <m/>
    <m/>
    <m/>
    <m/>
    <n v="0"/>
    <m/>
    <m/>
    <m/>
    <x v="13"/>
    <d v="2025-05-25T00:00:00"/>
  </r>
  <r>
    <n v="162"/>
    <d v="2025-02-10T00:00:00"/>
    <m/>
    <x v="1"/>
    <x v="0"/>
    <s v="25-00586"/>
    <x v="79"/>
    <x v="161"/>
    <x v="5"/>
    <x v="1"/>
    <x v="0"/>
    <x v="0"/>
    <s v="Illumination"/>
    <x v="1"/>
    <s v="LED"/>
    <x v="2"/>
    <s v="On Time"/>
    <x v="3"/>
    <s v="New samples expected, LED taps fall of. No safety certificate"/>
    <s v="wk7"/>
    <m/>
    <m/>
    <s v="No"/>
    <m/>
    <n v="0"/>
    <m/>
    <m/>
    <s v="Yes"/>
    <m/>
    <m/>
    <m/>
    <m/>
    <m/>
    <m/>
    <n v="1.5"/>
    <n v="2"/>
    <m/>
    <m/>
    <x v="14"/>
    <m/>
  </r>
  <r>
    <n v="163"/>
    <d v="2025-02-10T00:00:00"/>
    <m/>
    <x v="1"/>
    <x v="0"/>
    <s v="25-00587"/>
    <x v="79"/>
    <x v="162"/>
    <x v="5"/>
    <x v="1"/>
    <x v="0"/>
    <x v="0"/>
    <s v="Illumination"/>
    <x v="1"/>
    <s v="LED"/>
    <x v="2"/>
    <s v="On Time"/>
    <x v="3"/>
    <s v="New samples expected,led strip from 2 parts. No safety certificate"/>
    <s v="Dec.24"/>
    <m/>
    <m/>
    <s v="No"/>
    <m/>
    <n v="0"/>
    <m/>
    <m/>
    <s v="Yes"/>
    <m/>
    <m/>
    <m/>
    <m/>
    <m/>
    <m/>
    <n v="1.5"/>
    <n v="2"/>
    <m/>
    <m/>
    <x v="14"/>
    <m/>
  </r>
  <r>
    <n v="164"/>
    <d v="2025-02-10T00:00:00"/>
    <m/>
    <x v="0"/>
    <x v="0"/>
    <s v="25-00588"/>
    <x v="79"/>
    <x v="163"/>
    <x v="5"/>
    <x v="1"/>
    <x v="0"/>
    <x v="0"/>
    <s v="Electrical Parts"/>
    <x v="1"/>
    <s v="PSU"/>
    <x v="4"/>
    <s v="On Time"/>
    <x v="2"/>
    <s v="Field trial under discussion"/>
    <m/>
    <m/>
    <m/>
    <s v="No"/>
    <m/>
    <n v="0"/>
    <m/>
    <m/>
    <s v="Yes"/>
    <m/>
    <m/>
    <s v="Certification available "/>
    <m/>
    <m/>
    <m/>
    <n v="2"/>
    <n v="4"/>
    <m/>
    <m/>
    <x v="14"/>
    <d v="2025-06-25T00:00:00"/>
  </r>
  <r>
    <n v="165"/>
    <d v="2025-02-10T00:00:00"/>
    <m/>
    <x v="0"/>
    <x v="0"/>
    <s v="25-00589"/>
    <x v="79"/>
    <x v="164"/>
    <x v="5"/>
    <x v="1"/>
    <x v="0"/>
    <x v="0"/>
    <s v="Cooling Mechanism"/>
    <x v="1"/>
    <s v="Block Motors"/>
    <x v="4"/>
    <s v="Not Started"/>
    <x v="7"/>
    <m/>
    <m/>
    <m/>
    <m/>
    <s v="Yes"/>
    <m/>
    <n v="2"/>
    <m/>
    <m/>
    <m/>
    <m/>
    <m/>
    <m/>
    <m/>
    <m/>
    <m/>
    <n v="1.5"/>
    <n v="4"/>
    <m/>
    <m/>
    <x v="12"/>
    <m/>
  </r>
  <r>
    <n v="166"/>
    <d v="2025-02-10T00:00:00"/>
    <m/>
    <x v="0"/>
    <x v="0"/>
    <s v="25-00591"/>
    <x v="79"/>
    <x v="165"/>
    <x v="5"/>
    <x v="1"/>
    <x v="0"/>
    <x v="0"/>
    <s v="Electrical Parts"/>
    <x v="1"/>
    <s v="Electronic Motors"/>
    <x v="4"/>
    <s v="On Time"/>
    <x v="3"/>
    <s v="Field trial under discussion"/>
    <m/>
    <m/>
    <m/>
    <s v="Yes"/>
    <m/>
    <n v="0"/>
    <m/>
    <m/>
    <s v="Yes"/>
    <m/>
    <m/>
    <m/>
    <m/>
    <m/>
    <m/>
    <n v="2.5"/>
    <n v="4"/>
    <m/>
    <m/>
    <x v="14"/>
    <d v="2025-07-01T00:00:00"/>
  </r>
  <r>
    <n v="167"/>
    <d v="2024-06-01T00:00:00"/>
    <m/>
    <x v="0"/>
    <x v="0"/>
    <s v="24-00531"/>
    <x v="79"/>
    <x v="166"/>
    <x v="5"/>
    <x v="1"/>
    <x v="0"/>
    <x v="0"/>
    <s v="Cooling Mechanism"/>
    <x v="0"/>
    <s v="HEX"/>
    <x v="4"/>
    <s v="On Time"/>
    <x v="2"/>
    <m/>
    <m/>
    <m/>
    <m/>
    <s v="Yes"/>
    <m/>
    <n v="0"/>
    <m/>
    <m/>
    <s v="N/A"/>
    <m/>
    <m/>
    <m/>
    <m/>
    <m/>
    <m/>
    <n v="0.5"/>
    <n v="4"/>
    <m/>
    <m/>
    <x v="14"/>
    <d v="2025-05-25T00:00:00"/>
  </r>
  <r>
    <n v="168"/>
    <d v="2025-12-24T00:00:00"/>
    <m/>
    <x v="0"/>
    <x v="0"/>
    <s v="25-00585"/>
    <x v="79"/>
    <x v="167"/>
    <x v="5"/>
    <x v="1"/>
    <x v="0"/>
    <x v="0"/>
    <s v="Cooling Mechanism"/>
    <x v="0"/>
    <s v="HEX"/>
    <x v="4"/>
    <s v="On Time"/>
    <x v="2"/>
    <m/>
    <m/>
    <m/>
    <m/>
    <s v="Yes"/>
    <m/>
    <n v="0"/>
    <m/>
    <m/>
    <s v="N/A"/>
    <m/>
    <m/>
    <m/>
    <m/>
    <m/>
    <m/>
    <n v="0.5"/>
    <n v="4"/>
    <m/>
    <m/>
    <x v="14"/>
    <d v="2025-05-25T00:00:00"/>
  </r>
  <r>
    <n v="169"/>
    <d v="2025-12-24T00:00:00"/>
    <m/>
    <x v="0"/>
    <x v="0"/>
    <s v="25-00585"/>
    <x v="83"/>
    <x v="168"/>
    <x v="5"/>
    <x v="1"/>
    <x v="0"/>
    <x v="5"/>
    <s v="Cooling Mechanism"/>
    <x v="0"/>
    <m/>
    <x v="1"/>
    <m/>
    <x v="9"/>
    <m/>
    <m/>
    <m/>
    <m/>
    <s v="Yes"/>
    <m/>
    <n v="1"/>
    <m/>
    <m/>
    <m/>
    <m/>
    <m/>
    <m/>
    <m/>
    <m/>
    <m/>
    <n v="0"/>
    <m/>
    <m/>
    <m/>
    <x v="13"/>
    <d v="2025-04-25T00:00:00"/>
  </r>
  <r>
    <n v="170"/>
    <d v="2024-09-01T00:00:00"/>
    <m/>
    <x v="0"/>
    <x v="0"/>
    <s v="24-00557"/>
    <x v="84"/>
    <x v="169"/>
    <x v="5"/>
    <x v="1"/>
    <x v="0"/>
    <x v="0"/>
    <s v="Electrical Parts"/>
    <x v="1"/>
    <s v="PSU"/>
    <x v="2"/>
    <s v="Delayed"/>
    <x v="3"/>
    <s v="Samples with new resistor needed. Field test needs to be planned"/>
    <s v="wk6"/>
    <s v="wk17"/>
    <m/>
    <s v="No"/>
    <m/>
    <n v="0"/>
    <m/>
    <m/>
    <s v="Yes"/>
    <m/>
    <m/>
    <s v="12.04.25 Pending new samples for component testing"/>
    <m/>
    <m/>
    <m/>
    <n v="0.75"/>
    <n v="4"/>
    <m/>
    <m/>
    <x v="12"/>
    <m/>
  </r>
  <r>
    <n v="171"/>
    <d v="2024-09-01T00:00:00"/>
    <m/>
    <x v="0"/>
    <x v="0"/>
    <s v="24-00556"/>
    <x v="85"/>
    <x v="170"/>
    <x v="5"/>
    <x v="1"/>
    <x v="0"/>
    <x v="0"/>
    <s v="Electrical Parts"/>
    <x v="1"/>
    <s v="PSU"/>
    <x v="2"/>
    <s v="Delayed"/>
    <x v="3"/>
    <s v="Samples with new resistor needed. Field test needs to be planned"/>
    <s v="wk6"/>
    <s v="wk17"/>
    <m/>
    <s v="No"/>
    <m/>
    <n v="0"/>
    <m/>
    <m/>
    <s v="Yes"/>
    <m/>
    <m/>
    <s v="12.04.25 Pending new samples for component testing"/>
    <m/>
    <m/>
    <m/>
    <n v="0.75"/>
    <n v="4"/>
    <m/>
    <m/>
    <x v="12"/>
    <m/>
  </r>
  <r>
    <n v="172"/>
    <d v="2024-09-01T00:00:00"/>
    <m/>
    <x v="0"/>
    <x v="0"/>
    <s v="24-00555"/>
    <x v="86"/>
    <x v="171"/>
    <x v="5"/>
    <x v="1"/>
    <x v="0"/>
    <x v="0"/>
    <s v="Electrical Parts"/>
    <x v="1"/>
    <s v="PSU"/>
    <x v="2"/>
    <s v="Delayed"/>
    <x v="3"/>
    <s v="Samples with new resistor needed. Field test needs to be planned"/>
    <s v="wk6"/>
    <s v="wk17"/>
    <m/>
    <s v="No"/>
    <m/>
    <n v="0"/>
    <m/>
    <m/>
    <s v="Yes"/>
    <m/>
    <m/>
    <s v="12.04.25 Pending new samples for component testing"/>
    <m/>
    <m/>
    <m/>
    <n v="0.75"/>
    <n v="4"/>
    <m/>
    <m/>
    <x v="12"/>
    <m/>
  </r>
  <r>
    <n v="173"/>
    <d v="2024-12-01T00:00:00"/>
    <m/>
    <x v="0"/>
    <x v="0"/>
    <s v="25-00605"/>
    <x v="87"/>
    <x v="172"/>
    <x v="5"/>
    <x v="1"/>
    <x v="0"/>
    <x v="5"/>
    <s v="Cooling Mechanism"/>
    <x v="0"/>
    <m/>
    <x v="1"/>
    <m/>
    <x v="9"/>
    <m/>
    <m/>
    <m/>
    <m/>
    <s v="Yes"/>
    <m/>
    <n v="3"/>
    <m/>
    <m/>
    <m/>
    <m/>
    <m/>
    <m/>
    <m/>
    <m/>
    <m/>
    <n v="0"/>
    <m/>
    <m/>
    <m/>
    <x v="13"/>
    <d v="2025-05-25T00:00:00"/>
  </r>
  <r>
    <n v="174"/>
    <d v="2024-12-01T00:00:00"/>
    <m/>
    <x v="0"/>
    <x v="0"/>
    <s v="25-00605"/>
    <x v="88"/>
    <x v="173"/>
    <x v="5"/>
    <x v="1"/>
    <x v="0"/>
    <x v="5"/>
    <s v="Cooling Mechanism"/>
    <x v="0"/>
    <m/>
    <x v="4"/>
    <m/>
    <x v="9"/>
    <m/>
    <m/>
    <m/>
    <m/>
    <s v="Yes"/>
    <m/>
    <n v="4"/>
    <m/>
    <m/>
    <m/>
    <m/>
    <m/>
    <m/>
    <m/>
    <m/>
    <m/>
    <n v="0"/>
    <m/>
    <m/>
    <m/>
    <x v="13"/>
    <d v="2025-05-25T00:00:00"/>
  </r>
  <r>
    <n v="175"/>
    <d v="2024-12-01T00:00:00"/>
    <m/>
    <x v="0"/>
    <x v="0"/>
    <s v="25-00605"/>
    <x v="89"/>
    <x v="174"/>
    <x v="5"/>
    <x v="1"/>
    <x v="0"/>
    <x v="5"/>
    <s v="Cooling Mechanism"/>
    <x v="0"/>
    <m/>
    <x v="4"/>
    <m/>
    <x v="9"/>
    <m/>
    <m/>
    <m/>
    <m/>
    <s v="Yes"/>
    <m/>
    <n v="4"/>
    <m/>
    <m/>
    <m/>
    <m/>
    <m/>
    <m/>
    <m/>
    <m/>
    <m/>
    <n v="0"/>
    <m/>
    <m/>
    <m/>
    <x v="13"/>
    <m/>
  </r>
  <r>
    <n v="176"/>
    <d v="2024-12-01T00:00:00"/>
    <m/>
    <x v="0"/>
    <x v="0"/>
    <s v="25-00605"/>
    <x v="90"/>
    <x v="175"/>
    <x v="5"/>
    <x v="1"/>
    <x v="0"/>
    <x v="5"/>
    <s v="Cooling Mechanism"/>
    <x v="0"/>
    <m/>
    <x v="4"/>
    <m/>
    <x v="9"/>
    <m/>
    <m/>
    <m/>
    <m/>
    <s v="Yes"/>
    <m/>
    <n v="4"/>
    <m/>
    <m/>
    <m/>
    <m/>
    <m/>
    <m/>
    <m/>
    <m/>
    <m/>
    <n v="0"/>
    <m/>
    <m/>
    <m/>
    <x v="13"/>
    <m/>
  </r>
  <r>
    <n v="177"/>
    <d v="2024-12-01T00:00:00"/>
    <m/>
    <x v="1"/>
    <x v="0"/>
    <s v="25-00601"/>
    <x v="91"/>
    <x v="176"/>
    <x v="5"/>
    <x v="1"/>
    <x v="0"/>
    <x v="1"/>
    <s v="Door"/>
    <x v="4"/>
    <s v="Glass"/>
    <x v="4"/>
    <s v="Delayed"/>
    <x v="2"/>
    <m/>
    <s v="wk5"/>
    <s v="wk8"/>
    <m/>
    <s v="Yes"/>
    <m/>
    <n v="0"/>
    <m/>
    <s v="12.04.25 Pending alignment with Marketing for increased EC by 2%. In conflict with increasing EI rating for 450 with NUF45, to be confirmed. Change not be considered for Max-1200. To be confirmed for 750"/>
    <s v="N/A"/>
    <m/>
    <m/>
    <m/>
    <m/>
    <m/>
    <m/>
    <n v="1"/>
    <n v="2"/>
    <m/>
    <m/>
    <x v="14"/>
    <d v="2025-09-25T00:00:00"/>
  </r>
  <r>
    <n v="178"/>
    <d v="2024-12-01T00:00:00"/>
    <m/>
    <x v="1"/>
    <x v="0"/>
    <s v="25-00602"/>
    <x v="92"/>
    <x v="177"/>
    <x v="5"/>
    <x v="1"/>
    <x v="0"/>
    <x v="1"/>
    <s v="Door"/>
    <x v="4"/>
    <s v="Assembled Door"/>
    <x v="4"/>
    <s v="On Time"/>
    <x v="2"/>
    <m/>
    <s v="wk7"/>
    <s v="wk8"/>
    <m/>
    <s v="No"/>
    <m/>
    <n v="0"/>
    <m/>
    <m/>
    <s v="Yes"/>
    <m/>
    <m/>
    <m/>
    <m/>
    <m/>
    <m/>
    <n v="2"/>
    <n v="2"/>
    <s v="Already implemented in production"/>
    <s v="Low priority just for TF update"/>
    <x v="14"/>
    <d v="2025-09-25T00:00:00"/>
  </r>
  <r>
    <n v="179"/>
    <d v="2024-12-01T00:00:00"/>
    <m/>
    <x v="1"/>
    <x v="0"/>
    <s v="Combined with other TF"/>
    <x v="93"/>
    <x v="178"/>
    <x v="5"/>
    <x v="1"/>
    <x v="0"/>
    <x v="1"/>
    <s v="Insulated Cabin"/>
    <x v="6"/>
    <s v="Other Materials"/>
    <x v="4"/>
    <s v="On Time"/>
    <x v="2"/>
    <m/>
    <s v="wk6"/>
    <s v="wk8"/>
    <m/>
    <s v="No"/>
    <m/>
    <n v="0"/>
    <m/>
    <m/>
    <s v="N/A"/>
    <m/>
    <m/>
    <m/>
    <m/>
    <m/>
    <m/>
    <n v="1"/>
    <n v="2"/>
    <s v="Already implemented in production for 500/450/300"/>
    <s v="Low priority just for TF update"/>
    <x v="14"/>
    <d v="2025-05-01T00:00:00"/>
  </r>
  <r>
    <n v="180"/>
    <d v="2024-12-01T00:00:00"/>
    <m/>
    <x v="1"/>
    <x v="0"/>
    <s v="25-00603"/>
    <x v="94"/>
    <x v="179"/>
    <x v="5"/>
    <x v="1"/>
    <x v="0"/>
    <x v="1"/>
    <s v="Electrical Parts"/>
    <x v="5"/>
    <s v="Injection Plastics"/>
    <x v="1"/>
    <s v="On Time"/>
    <x v="2"/>
    <m/>
    <s v="wk5"/>
    <s v="wk22"/>
    <m/>
    <s v="No"/>
    <m/>
    <n v="0"/>
    <m/>
    <m/>
    <s v="No"/>
    <m/>
    <m/>
    <m/>
    <m/>
    <m/>
    <m/>
    <n v="1"/>
    <n v="2"/>
    <m/>
    <m/>
    <x v="15"/>
    <d v="2025-06-25T00:00:00"/>
  </r>
  <r>
    <n v="181"/>
    <d v="2024-12-01T00:00:00"/>
    <m/>
    <x v="1"/>
    <x v="0"/>
    <s v="_x0009_25-00604"/>
    <x v="95"/>
    <x v="180"/>
    <x v="5"/>
    <x v="1"/>
    <x v="0"/>
    <x v="1"/>
    <s v="Door"/>
    <x v="4"/>
    <s v="Assembled Door"/>
    <x v="4"/>
    <s v="On Time"/>
    <x v="3"/>
    <m/>
    <s v="wk12"/>
    <s v="wk28"/>
    <m/>
    <s v="No"/>
    <m/>
    <n v="6"/>
    <m/>
    <s v="12.04.25 To decide for performance testing. New U values? In discussions with Jichen for clarifications and samples"/>
    <s v="Yes"/>
    <m/>
    <m/>
    <m/>
    <m/>
    <m/>
    <m/>
    <n v="3"/>
    <n v="2"/>
    <m/>
    <m/>
    <x v="12"/>
    <d v="2025-06-25T00:00:00"/>
  </r>
  <r>
    <n v="182"/>
    <d v="2024-12-01T00:00:00"/>
    <m/>
    <x v="1"/>
    <x v="0"/>
    <s v="25-00607"/>
    <x v="96"/>
    <x v="181"/>
    <x v="5"/>
    <x v="1"/>
    <x v="0"/>
    <x v="1"/>
    <s v="Electrical Parts"/>
    <x v="1"/>
    <s v="Cable Harnesses"/>
    <x v="6"/>
    <s v="On Time"/>
    <x v="5"/>
    <m/>
    <s v="wk6"/>
    <s v="wk26"/>
    <m/>
    <s v="No"/>
    <m/>
    <n v="1"/>
    <m/>
    <m/>
    <s v="Yes"/>
    <m/>
    <m/>
    <m/>
    <m/>
    <m/>
    <m/>
    <n v="3"/>
    <n v="2"/>
    <m/>
    <m/>
    <x v="12"/>
    <d v="2025-06-20T00:00:00"/>
  </r>
  <r>
    <n v="183"/>
    <d v="2024-12-01T00:00:00"/>
    <m/>
    <x v="1"/>
    <x v="0"/>
    <s v="25-00607"/>
    <x v="97"/>
    <x v="182"/>
    <x v="5"/>
    <x v="1"/>
    <x v="0"/>
    <x v="1"/>
    <s v="Electrical Parts"/>
    <x v="1"/>
    <s v="Power Cables"/>
    <x v="6"/>
    <s v="On Time"/>
    <x v="5"/>
    <m/>
    <s v="wk6"/>
    <s v="wk22"/>
    <m/>
    <s v="No"/>
    <m/>
    <n v="0"/>
    <m/>
    <m/>
    <s v="Yes"/>
    <m/>
    <m/>
    <m/>
    <m/>
    <m/>
    <m/>
    <n v="2"/>
    <n v="2"/>
    <m/>
    <m/>
    <x v="12"/>
    <d v="2025-05-30T00:00:00"/>
  </r>
  <r>
    <n v="184"/>
    <d v="2024-09-01T00:00:00"/>
    <m/>
    <x v="1"/>
    <x v="0"/>
    <s v="24-00554"/>
    <x v="98"/>
    <x v="183"/>
    <x v="5"/>
    <x v="1"/>
    <x v="0"/>
    <x v="0"/>
    <s v="Electrical Parts"/>
    <x v="1"/>
    <s v="Electrical Components"/>
    <x v="4"/>
    <s v="On Time"/>
    <x v="2"/>
    <s v="Only TF update. Safety certificate available"/>
    <s v="wk7"/>
    <s v="wk8"/>
    <m/>
    <s v="No"/>
    <m/>
    <n v="0"/>
    <m/>
    <m/>
    <s v="Yes"/>
    <m/>
    <m/>
    <m/>
    <m/>
    <m/>
    <m/>
    <n v="0.5"/>
    <n v="2"/>
    <m/>
    <m/>
    <x v="14"/>
    <d v="2025-06-25T00:00:00"/>
  </r>
  <r>
    <n v="185"/>
    <d v="2025-01-01T00:00:00"/>
    <m/>
    <x v="1"/>
    <x v="2"/>
    <s v="24-00574"/>
    <x v="26"/>
    <x v="184"/>
    <x v="5"/>
    <x v="1"/>
    <x v="0"/>
    <x v="3"/>
    <s v="Electrical Parts"/>
    <x v="1"/>
    <s v="Locks"/>
    <x v="0"/>
    <s v="On Time"/>
    <x v="6"/>
    <s v="Project completed"/>
    <s v="Jan.25"/>
    <s v="wk7"/>
    <m/>
    <s v="No"/>
    <m/>
    <n v="0"/>
    <m/>
    <m/>
    <s v="Yes"/>
    <m/>
    <m/>
    <m/>
    <m/>
    <m/>
    <m/>
    <n v="0"/>
    <m/>
    <m/>
    <m/>
    <x v="12"/>
    <d v="2025-02-21T00:00:00"/>
  </r>
  <r>
    <n v="186"/>
    <d v="2024-08-01T00:00:00"/>
    <m/>
    <x v="0"/>
    <x v="2"/>
    <s v="24-00540"/>
    <x v="26"/>
    <x v="185"/>
    <x v="5"/>
    <x v="1"/>
    <x v="0"/>
    <x v="3"/>
    <s v="Door"/>
    <x v="4"/>
    <s v="Assembled Door"/>
    <x v="3"/>
    <s v="Cancelled"/>
    <x v="7"/>
    <s v="Project dropped"/>
    <s v="Aug.24"/>
    <m/>
    <m/>
    <s v="No"/>
    <m/>
    <n v="0"/>
    <m/>
    <m/>
    <m/>
    <m/>
    <m/>
    <m/>
    <m/>
    <m/>
    <m/>
    <n v="0"/>
    <m/>
    <m/>
    <m/>
    <x v="11"/>
    <m/>
  </r>
  <r>
    <n v="187"/>
    <d v="2024-07-01T00:00:00"/>
    <m/>
    <x v="0"/>
    <x v="0"/>
    <s v="24-00536"/>
    <x v="79"/>
    <x v="186"/>
    <x v="5"/>
    <x v="1"/>
    <x v="0"/>
    <x v="1"/>
    <s v="Insulated Cabin"/>
    <x v="2"/>
    <s v="Metal Processing &amp; Components"/>
    <x v="2"/>
    <s v="Delayed"/>
    <x v="0"/>
    <s v="On hold"/>
    <s v="Jul.24"/>
    <s v="wk18"/>
    <m/>
    <s v="No"/>
    <m/>
    <n v="0"/>
    <m/>
    <m/>
    <s v="N/A"/>
    <m/>
    <m/>
    <m/>
    <m/>
    <m/>
    <m/>
    <n v="0"/>
    <m/>
    <m/>
    <m/>
    <x v="16"/>
    <d v="2025-04-11T00:00:00"/>
  </r>
  <r>
    <n v="188"/>
    <d v="2024-04-01T00:00:00"/>
    <m/>
    <x v="1"/>
    <x v="0"/>
    <s v="24-00507"/>
    <x v="79"/>
    <x v="187"/>
    <x v="5"/>
    <x v="1"/>
    <x v="0"/>
    <x v="1"/>
    <s v="Insulated Cabin"/>
    <x v="6"/>
    <s v="Other Materials"/>
    <x v="4"/>
    <s v="On Time"/>
    <x v="6"/>
    <s v="Small TF corrections pending"/>
    <s v="Apr.24"/>
    <s v="wk6"/>
    <m/>
    <s v="No"/>
    <m/>
    <n v="0"/>
    <m/>
    <m/>
    <s v="N/A"/>
    <m/>
    <m/>
    <m/>
    <m/>
    <m/>
    <m/>
    <n v="0.5"/>
    <n v="2"/>
    <m/>
    <m/>
    <x v="14"/>
    <m/>
  </r>
  <r>
    <n v="189"/>
    <d v="2024-08-01T00:00:00"/>
    <m/>
    <x v="0"/>
    <x v="2"/>
    <s v="24-00542"/>
    <x v="26"/>
    <x v="188"/>
    <x v="5"/>
    <x v="1"/>
    <x v="0"/>
    <x v="3"/>
    <s v="Door"/>
    <x v="4"/>
    <s v="Assembled Door"/>
    <x v="3"/>
    <s v="Cancelled"/>
    <x v="7"/>
    <s v="Project dropped"/>
    <s v="Aug.24"/>
    <m/>
    <m/>
    <s v="No"/>
    <m/>
    <n v="0"/>
    <m/>
    <m/>
    <m/>
    <m/>
    <m/>
    <m/>
    <m/>
    <m/>
    <m/>
    <n v="0"/>
    <m/>
    <m/>
    <m/>
    <x v="11"/>
    <m/>
  </r>
  <r>
    <n v="190"/>
    <d v="2024-12-01T00:00:00"/>
    <m/>
    <x v="0"/>
    <x v="2"/>
    <s v="24-00569"/>
    <x v="26"/>
    <x v="189"/>
    <x v="5"/>
    <x v="1"/>
    <x v="0"/>
    <x v="3"/>
    <s v="Door"/>
    <x v="4"/>
    <s v="Assembled Door"/>
    <x v="0"/>
    <s v="On Time"/>
    <x v="6"/>
    <s v="Completed"/>
    <s v="Dec.24"/>
    <s v="wk7"/>
    <m/>
    <s v="No"/>
    <m/>
    <n v="0"/>
    <m/>
    <m/>
    <s v="Yes"/>
    <m/>
    <m/>
    <m/>
    <m/>
    <m/>
    <m/>
    <n v="0"/>
    <m/>
    <m/>
    <m/>
    <x v="16"/>
    <d v="2025-02-09T00:00:00"/>
  </r>
  <r>
    <n v="191"/>
    <d v="2024-11-01T00:00:00"/>
    <m/>
    <x v="1"/>
    <x v="2"/>
    <s v="24-00565"/>
    <x v="26"/>
    <x v="190"/>
    <x v="5"/>
    <x v="1"/>
    <x v="0"/>
    <x v="3"/>
    <s v="Door"/>
    <x v="4"/>
    <s v="Assembled Door"/>
    <x v="1"/>
    <s v="On Time"/>
    <x v="0"/>
    <m/>
    <s v="Nov.24"/>
    <s v="wk12"/>
    <m/>
    <s v="No"/>
    <m/>
    <n v="0"/>
    <m/>
    <m/>
    <s v="Yes"/>
    <m/>
    <m/>
    <m/>
    <m/>
    <m/>
    <m/>
    <n v="1"/>
    <n v="2"/>
    <m/>
    <m/>
    <x v="14"/>
    <d v="2025-03-03T00:00:00"/>
  </r>
  <r>
    <n v="192"/>
    <d v="2024-12-01T00:00:00"/>
    <m/>
    <x v="1"/>
    <x v="2"/>
    <s v="24-00576"/>
    <x v="26"/>
    <x v="191"/>
    <x v="5"/>
    <x v="1"/>
    <x v="0"/>
    <x v="3"/>
    <s v="Door"/>
    <x v="4"/>
    <s v="Assembled Door"/>
    <x v="1"/>
    <s v="Delayed"/>
    <x v="2"/>
    <m/>
    <s v="wk5"/>
    <s v="wk19"/>
    <m/>
    <s v="No"/>
    <m/>
    <n v="0"/>
    <m/>
    <m/>
    <s v="Yes"/>
    <m/>
    <m/>
    <m/>
    <m/>
    <m/>
    <m/>
    <n v="2.5"/>
    <n v="2"/>
    <m/>
    <m/>
    <x v="14"/>
    <d v="2025-06-25T00:00:00"/>
  </r>
  <r>
    <n v="193"/>
    <d v="2025-01-01T00:00:00"/>
    <m/>
    <x v="1"/>
    <x v="2"/>
    <s v="25-00578"/>
    <x v="26"/>
    <x v="192"/>
    <x v="5"/>
    <x v="1"/>
    <x v="0"/>
    <x v="3"/>
    <s v="Door"/>
    <x v="4"/>
    <s v="Assembled Door"/>
    <x v="1"/>
    <s v="On Time"/>
    <x v="0"/>
    <m/>
    <s v="wk3"/>
    <s v="wk13"/>
    <m/>
    <s v="No"/>
    <m/>
    <n v="0"/>
    <m/>
    <m/>
    <s v="Yes"/>
    <m/>
    <m/>
    <m/>
    <m/>
    <m/>
    <m/>
    <n v="0"/>
    <n v="2"/>
    <m/>
    <m/>
    <x v="15"/>
    <d v="2025-03-21T00:00:00"/>
  </r>
  <r>
    <n v="194"/>
    <d v="2024-01-01T00:00:00"/>
    <m/>
    <x v="1"/>
    <x v="5"/>
    <s v="24-00525"/>
    <x v="26"/>
    <x v="193"/>
    <x v="5"/>
    <x v="1"/>
    <x v="0"/>
    <x v="2"/>
    <s v="Electrical Parts"/>
    <x v="1"/>
    <s v="Locks"/>
    <x v="4"/>
    <s v="Not Started"/>
    <x v="5"/>
    <m/>
    <m/>
    <m/>
    <m/>
    <s v="No"/>
    <m/>
    <n v="0"/>
    <m/>
    <m/>
    <m/>
    <m/>
    <m/>
    <m/>
    <m/>
    <m/>
    <m/>
    <n v="2"/>
    <n v="2"/>
    <m/>
    <m/>
    <x v="15"/>
    <m/>
  </r>
  <r>
    <n v="195"/>
    <d v="2025-01-01T00:00:00"/>
    <m/>
    <x v="1"/>
    <x v="2"/>
    <s v="25-00579"/>
    <x v="26"/>
    <x v="194"/>
    <x v="5"/>
    <x v="1"/>
    <x v="0"/>
    <x v="3"/>
    <s v="Door"/>
    <x v="4"/>
    <s v="Assembled Door"/>
    <x v="1"/>
    <s v="On Time"/>
    <x v="0"/>
    <m/>
    <s v="wk4"/>
    <s v="wk13"/>
    <m/>
    <s v="No"/>
    <m/>
    <n v="0"/>
    <m/>
    <m/>
    <s v="Yes"/>
    <m/>
    <m/>
    <m/>
    <m/>
    <m/>
    <m/>
    <n v="0.5"/>
    <n v="2"/>
    <m/>
    <m/>
    <x v="15"/>
    <d v="2025-03-21T00:00:00"/>
  </r>
  <r>
    <n v="196"/>
    <d v="2025-01-01T00:00:00"/>
    <m/>
    <x v="1"/>
    <x v="2"/>
    <s v="25-00581"/>
    <x v="26"/>
    <x v="195"/>
    <x v="5"/>
    <x v="1"/>
    <x v="0"/>
    <x v="3"/>
    <s v="Door"/>
    <x v="4"/>
    <s v="Assembled Door"/>
    <x v="1"/>
    <s v="On Time"/>
    <x v="0"/>
    <m/>
    <s v="wk4"/>
    <s v="wk13"/>
    <m/>
    <s v="No"/>
    <m/>
    <n v="0"/>
    <m/>
    <m/>
    <s v="Yes"/>
    <m/>
    <m/>
    <m/>
    <m/>
    <m/>
    <m/>
    <n v="0.5"/>
    <n v="2"/>
    <m/>
    <m/>
    <x v="14"/>
    <d v="2025-04-25T00:00:00"/>
  </r>
  <r>
    <n v="197"/>
    <d v="2025-01-01T00:00:00"/>
    <m/>
    <x v="0"/>
    <x v="2"/>
    <s v="25-00582"/>
    <x v="26"/>
    <x v="196"/>
    <x v="5"/>
    <x v="1"/>
    <x v="0"/>
    <x v="3"/>
    <s v="Door"/>
    <x v="4"/>
    <s v="Assembled Door"/>
    <x v="1"/>
    <s v="On Time"/>
    <x v="0"/>
    <m/>
    <s v="wk4"/>
    <s v="wk13"/>
    <m/>
    <s v="No"/>
    <m/>
    <n v="0"/>
    <m/>
    <m/>
    <s v="Yes"/>
    <m/>
    <m/>
    <m/>
    <m/>
    <m/>
    <m/>
    <n v="0.5"/>
    <n v="4"/>
    <m/>
    <m/>
    <x v="14"/>
    <d v="2025-04-25T00:00:00"/>
  </r>
  <r>
    <n v="198"/>
    <d v="2024-12-01T00:00:00"/>
    <m/>
    <x v="1"/>
    <x v="2"/>
    <s v="24-00564"/>
    <x v="26"/>
    <x v="197"/>
    <x v="5"/>
    <x v="1"/>
    <x v="0"/>
    <x v="3"/>
    <s v="Insulated Cabin"/>
    <x v="6"/>
    <s v="Printing Materials"/>
    <x v="2"/>
    <s v="On Time"/>
    <x v="0"/>
    <s v="TF released, pending production decisions for inhouse printing our outsourced"/>
    <s v="Dec.24"/>
    <s v="wk7"/>
    <m/>
    <s v="No"/>
    <m/>
    <n v="0"/>
    <m/>
    <m/>
    <s v="N/A"/>
    <m/>
    <m/>
    <m/>
    <m/>
    <m/>
    <m/>
    <n v="0"/>
    <m/>
    <m/>
    <m/>
    <x v="12"/>
    <d v="2025-02-14T00:00:00"/>
  </r>
  <r>
    <n v="199"/>
    <d v="2024-01-01T00:00:00"/>
    <m/>
    <x v="2"/>
    <x v="3"/>
    <s v="24-00548"/>
    <x v="26"/>
    <x v="198"/>
    <x v="5"/>
    <x v="1"/>
    <x v="0"/>
    <x v="3"/>
    <s v="Complete Cooler"/>
    <x v="3"/>
    <s v="N/A"/>
    <x v="1"/>
    <s v="On Time"/>
    <x v="6"/>
    <m/>
    <s v="Jan.24"/>
    <s v="wk11"/>
    <m/>
    <s v="Yes"/>
    <m/>
    <n v="0"/>
    <m/>
    <m/>
    <s v="Yes"/>
    <m/>
    <m/>
    <m/>
    <m/>
    <m/>
    <m/>
    <n v="2"/>
    <n v="2"/>
    <m/>
    <s v="Released in time without night cover option which will be adressed in separate TF"/>
    <x v="15"/>
    <d v="2025-04-25T00:00:00"/>
  </r>
  <r>
    <n v="200"/>
    <d v="2024-01-01T00:00:00"/>
    <m/>
    <x v="2"/>
    <x v="3"/>
    <s v="24-00547"/>
    <x v="26"/>
    <x v="199"/>
    <x v="5"/>
    <x v="1"/>
    <x v="0"/>
    <x v="3"/>
    <s v="Complete Cooler"/>
    <x v="3"/>
    <s v="N/A"/>
    <x v="4"/>
    <s v="On Time"/>
    <x v="6"/>
    <m/>
    <s v="Jan.24"/>
    <s v="wk13"/>
    <m/>
    <s v="Yes"/>
    <m/>
    <n v="0"/>
    <m/>
    <m/>
    <s v="Yes"/>
    <m/>
    <m/>
    <m/>
    <m/>
    <m/>
    <m/>
    <n v="2"/>
    <n v="2"/>
    <m/>
    <s v="Released in time without night cover option which will be adressed in separate TF"/>
    <x v="15"/>
    <d v="2025-05-25T00:00:00"/>
  </r>
  <r>
    <n v="201"/>
    <d v="2024-12-01T00:00:00"/>
    <m/>
    <x v="1"/>
    <x v="0"/>
    <s v="24-00572"/>
    <x v="99"/>
    <x v="200"/>
    <x v="5"/>
    <x v="1"/>
    <x v="0"/>
    <x v="3"/>
    <s v="Door"/>
    <x v="2"/>
    <s v="Metal Processing &amp; Components"/>
    <x v="0"/>
    <s v="On Time"/>
    <x v="6"/>
    <m/>
    <s v="Dec.24"/>
    <s v="wk10"/>
    <m/>
    <s v="No"/>
    <m/>
    <n v="0"/>
    <m/>
    <m/>
    <s v="N/A"/>
    <m/>
    <m/>
    <m/>
    <m/>
    <m/>
    <m/>
    <n v="0"/>
    <n v="2"/>
    <m/>
    <m/>
    <x v="15"/>
    <d v="2025-03-07T00:00:00"/>
  </r>
  <r>
    <n v="202"/>
    <d v="2024-01-01T00:00:00"/>
    <m/>
    <x v="1"/>
    <x v="5"/>
    <s v="24-00513"/>
    <x v="26"/>
    <x v="201"/>
    <x v="5"/>
    <x v="1"/>
    <x v="0"/>
    <x v="2"/>
    <s v="Electrical Parts"/>
    <x v="1"/>
    <s v="Electronic Controllers &amp; Acces"/>
    <x v="4"/>
    <s v="Not Started"/>
    <x v="5"/>
    <m/>
    <m/>
    <m/>
    <m/>
    <s v="No"/>
    <m/>
    <n v="0"/>
    <m/>
    <m/>
    <m/>
    <m/>
    <m/>
    <m/>
    <m/>
    <m/>
    <m/>
    <n v="2"/>
    <n v="2"/>
    <m/>
    <m/>
    <x v="15"/>
    <m/>
  </r>
  <r>
    <n v="203"/>
    <d v="2024-01-01T00:00:00"/>
    <m/>
    <x v="1"/>
    <x v="5"/>
    <s v="24-00508"/>
    <x v="26"/>
    <x v="202"/>
    <x v="5"/>
    <x v="1"/>
    <x v="0"/>
    <x v="2"/>
    <s v="Electrical Parts"/>
    <x v="1"/>
    <s v="Thermostats"/>
    <x v="4"/>
    <s v="Not Started"/>
    <x v="5"/>
    <m/>
    <m/>
    <m/>
    <m/>
    <s v="No"/>
    <m/>
    <n v="0"/>
    <m/>
    <m/>
    <m/>
    <m/>
    <m/>
    <m/>
    <m/>
    <m/>
    <m/>
    <n v="2"/>
    <n v="2"/>
    <m/>
    <m/>
    <x v="15"/>
    <m/>
  </r>
  <r>
    <n v="204"/>
    <d v="2025-02-10T00:00:00"/>
    <m/>
    <x v="1"/>
    <x v="0"/>
    <s v="25-00593"/>
    <x v="79"/>
    <x v="203"/>
    <x v="5"/>
    <x v="1"/>
    <x v="0"/>
    <x v="0"/>
    <s v="Electrical Parts"/>
    <x v="1"/>
    <s v="Electrical Components"/>
    <x v="4"/>
    <s v="On Time"/>
    <x v="2"/>
    <s v="No safety certificate"/>
    <s v="Dec.24"/>
    <m/>
    <m/>
    <s v="No"/>
    <m/>
    <n v="0"/>
    <m/>
    <m/>
    <s v="Yes"/>
    <m/>
    <m/>
    <m/>
    <m/>
    <m/>
    <m/>
    <n v="0.5"/>
    <n v="2"/>
    <m/>
    <m/>
    <x v="14"/>
    <d v="2025-06-25T00:00:00"/>
  </r>
  <r>
    <n v="205"/>
    <d v="2024-11-01T00:00:00"/>
    <m/>
    <x v="0"/>
    <x v="0"/>
    <s v="24-00568"/>
    <x v="100"/>
    <x v="204"/>
    <x v="5"/>
    <x v="1"/>
    <x v="0"/>
    <x v="0"/>
    <s v="Cooling Mechanism"/>
    <x v="0"/>
    <s v="Compressors"/>
    <x v="1"/>
    <s v="On Time"/>
    <x v="0"/>
    <m/>
    <s v="wk4"/>
    <s v="wk17"/>
    <m/>
    <s v="Yes"/>
    <m/>
    <n v="0"/>
    <m/>
    <m/>
    <s v="Yes"/>
    <m/>
    <m/>
    <m/>
    <m/>
    <m/>
    <m/>
    <n v="0.5"/>
    <n v="4"/>
    <m/>
    <m/>
    <x v="14"/>
    <d v="2025-05-01T00:00:00"/>
  </r>
  <r>
    <n v="206"/>
    <d v="2024-11-01T00:00:00"/>
    <m/>
    <x v="0"/>
    <x v="0"/>
    <s v="24-00568"/>
    <x v="101"/>
    <x v="205"/>
    <x v="5"/>
    <x v="1"/>
    <x v="0"/>
    <x v="5"/>
    <s v="Cooling Mechanism"/>
    <x v="0"/>
    <m/>
    <x v="4"/>
    <m/>
    <x v="9"/>
    <m/>
    <m/>
    <m/>
    <m/>
    <s v="Yes"/>
    <m/>
    <n v="6"/>
    <m/>
    <m/>
    <m/>
    <m/>
    <m/>
    <m/>
    <m/>
    <m/>
    <m/>
    <n v="0"/>
    <m/>
    <m/>
    <m/>
    <x v="13"/>
    <d v="2025-06-25T00:00:00"/>
  </r>
  <r>
    <n v="207"/>
    <d v="2024-11-01T00:00:00"/>
    <m/>
    <x v="0"/>
    <x v="2"/>
    <s v="Missing"/>
    <x v="102"/>
    <x v="206"/>
    <x v="5"/>
    <x v="1"/>
    <x v="0"/>
    <x v="6"/>
    <m/>
    <x v="7"/>
    <m/>
    <x v="4"/>
    <m/>
    <x v="9"/>
    <m/>
    <m/>
    <m/>
    <m/>
    <s v="Yes"/>
    <m/>
    <n v="7"/>
    <m/>
    <m/>
    <m/>
    <m/>
    <m/>
    <m/>
    <m/>
    <m/>
    <m/>
    <n v="0"/>
    <m/>
    <m/>
    <m/>
    <x v="13"/>
    <d v="2025-06-25T00:00:00"/>
  </r>
  <r>
    <n v="208"/>
    <m/>
    <m/>
    <x v="4"/>
    <x v="2"/>
    <m/>
    <x v="103"/>
    <x v="207"/>
    <x v="5"/>
    <x v="1"/>
    <x v="0"/>
    <x v="6"/>
    <m/>
    <x v="7"/>
    <m/>
    <x v="4"/>
    <m/>
    <x v="9"/>
    <m/>
    <m/>
    <m/>
    <m/>
    <s v="Yes"/>
    <m/>
    <n v="10"/>
    <m/>
    <m/>
    <m/>
    <m/>
    <m/>
    <m/>
    <m/>
    <m/>
    <m/>
    <n v="0"/>
    <m/>
    <m/>
    <m/>
    <x v="13"/>
    <m/>
  </r>
  <r>
    <n v="209"/>
    <m/>
    <m/>
    <x v="4"/>
    <x v="2"/>
    <m/>
    <x v="103"/>
    <x v="208"/>
    <x v="5"/>
    <x v="1"/>
    <x v="0"/>
    <x v="6"/>
    <m/>
    <x v="7"/>
    <m/>
    <x v="4"/>
    <m/>
    <x v="9"/>
    <m/>
    <m/>
    <m/>
    <m/>
    <s v="Yes"/>
    <m/>
    <n v="10"/>
    <m/>
    <m/>
    <m/>
    <m/>
    <m/>
    <m/>
    <m/>
    <m/>
    <m/>
    <n v="0"/>
    <m/>
    <m/>
    <m/>
    <x v="13"/>
    <m/>
  </r>
  <r>
    <n v="210"/>
    <d v="2024-01-01T00:00:00"/>
    <m/>
    <x v="1"/>
    <x v="2"/>
    <s v="24-00504"/>
    <x v="26"/>
    <x v="209"/>
    <x v="5"/>
    <x v="1"/>
    <x v="0"/>
    <x v="3"/>
    <s v="Door"/>
    <x v="4"/>
    <s v="Assembled Door"/>
    <x v="4"/>
    <s v="Not Started"/>
    <x v="5"/>
    <m/>
    <m/>
    <m/>
    <m/>
    <s v="No"/>
    <m/>
    <n v="0"/>
    <m/>
    <m/>
    <m/>
    <m/>
    <m/>
    <m/>
    <m/>
    <m/>
    <m/>
    <n v="2"/>
    <n v="2"/>
    <m/>
    <m/>
    <x v="15"/>
    <m/>
  </r>
  <r>
    <n v="211"/>
    <d v="2024-01-01T00:00:00"/>
    <m/>
    <x v="0"/>
    <x v="2"/>
    <s v="24-00563"/>
    <x v="26"/>
    <x v="210"/>
    <x v="5"/>
    <x v="1"/>
    <x v="0"/>
    <x v="3"/>
    <s v="Cooling Mechanism"/>
    <x v="6"/>
    <s v="Other Materials"/>
    <x v="4"/>
    <s v="Not Started"/>
    <x v="1"/>
    <m/>
    <m/>
    <m/>
    <m/>
    <s v="Yes"/>
    <m/>
    <n v="8"/>
    <m/>
    <m/>
    <m/>
    <m/>
    <m/>
    <m/>
    <m/>
    <m/>
    <m/>
    <n v="3"/>
    <n v="4"/>
    <m/>
    <m/>
    <x v="15"/>
    <m/>
  </r>
  <r>
    <n v="212"/>
    <d v="2025-03-25T00:00:00"/>
    <m/>
    <x v="0"/>
    <x v="0"/>
    <s v="25-00606"/>
    <x v="104"/>
    <x v="211"/>
    <x v="5"/>
    <x v="1"/>
    <x v="0"/>
    <x v="1"/>
    <s v="Electrical Parts"/>
    <x v="1"/>
    <s v="Injection Plastics"/>
    <x v="4"/>
    <s v="Not Started"/>
    <x v="5"/>
    <m/>
    <s v="wk14"/>
    <s v="wk28"/>
    <m/>
    <s v="Yes"/>
    <m/>
    <n v="1"/>
    <m/>
    <m/>
    <s v="Yes"/>
    <m/>
    <m/>
    <m/>
    <m/>
    <m/>
    <m/>
    <n v="4"/>
    <n v="4"/>
    <m/>
    <m/>
    <x v="15"/>
    <d v="2025-08-25T00:00:00"/>
  </r>
  <r>
    <n v="213"/>
    <d v="2025-02-10T00:00:00"/>
    <m/>
    <x v="1"/>
    <x v="0"/>
    <s v="25-00594"/>
    <x v="79"/>
    <x v="212"/>
    <x v="5"/>
    <x v="1"/>
    <x v="0"/>
    <x v="0"/>
    <s v="Electrical Parts"/>
    <x v="1"/>
    <s v="Electrical Components"/>
    <x v="4"/>
    <s v="On Time"/>
    <x v="2"/>
    <s v="Safety certificate available"/>
    <m/>
    <m/>
    <m/>
    <s v="No"/>
    <m/>
    <n v="0"/>
    <m/>
    <m/>
    <s v="Yes"/>
    <m/>
    <m/>
    <m/>
    <m/>
    <m/>
    <m/>
    <n v="0.5"/>
    <n v="2"/>
    <m/>
    <m/>
    <x v="14"/>
    <d v="2025-06-25T00:00:00"/>
  </r>
  <r>
    <n v="214"/>
    <d v="2025-02-10T00:00:00"/>
    <m/>
    <x v="1"/>
    <x v="0"/>
    <s v="25-00596"/>
    <x v="79"/>
    <x v="213"/>
    <x v="5"/>
    <x v="1"/>
    <x v="0"/>
    <x v="0"/>
    <s v="Electrical Parts"/>
    <x v="1"/>
    <s v="Electrical Components"/>
    <x v="4"/>
    <s v="On Time"/>
    <x v="2"/>
    <s v="Expecting new samples. Fitment test failed. No safety certificate"/>
    <m/>
    <m/>
    <m/>
    <s v="No"/>
    <m/>
    <n v="0"/>
    <m/>
    <m/>
    <s v="Yes"/>
    <m/>
    <m/>
    <m/>
    <m/>
    <m/>
    <m/>
    <n v="0.5"/>
    <n v="2"/>
    <m/>
    <m/>
    <x v="14"/>
    <d v="2025-06-25T00:00:00"/>
  </r>
  <r>
    <n v="215"/>
    <d v="2025-02-10T00:00:00"/>
    <m/>
    <x v="1"/>
    <x v="0"/>
    <s v="25-00597"/>
    <x v="79"/>
    <x v="214"/>
    <x v="5"/>
    <x v="1"/>
    <x v="0"/>
    <x v="0"/>
    <s v="Electrical Parts"/>
    <x v="1"/>
    <s v="Electrical Components"/>
    <x v="4"/>
    <s v="On Time"/>
    <x v="2"/>
    <s v="Safety certificate available"/>
    <m/>
    <m/>
    <m/>
    <s v="No"/>
    <m/>
    <n v="0"/>
    <m/>
    <m/>
    <s v="Yes"/>
    <m/>
    <m/>
    <m/>
    <m/>
    <m/>
    <m/>
    <n v="0.5"/>
    <n v="2"/>
    <m/>
    <m/>
    <x v="14"/>
    <d v="2025-07-25T00:00:00"/>
  </r>
  <r>
    <n v="216"/>
    <d v="2025-02-10T00:00:00"/>
    <m/>
    <x v="1"/>
    <x v="0"/>
    <s v="25-00598"/>
    <x v="79"/>
    <x v="215"/>
    <x v="5"/>
    <x v="1"/>
    <x v="0"/>
    <x v="0"/>
    <s v="Electrical Parts"/>
    <x v="1"/>
    <s v="Electrical Components"/>
    <x v="4"/>
    <s v="On Time"/>
    <x v="2"/>
    <s v="Safety certificate available"/>
    <m/>
    <m/>
    <m/>
    <s v="No"/>
    <m/>
    <n v="0"/>
    <m/>
    <m/>
    <s v="Yes"/>
    <m/>
    <m/>
    <m/>
    <m/>
    <m/>
    <m/>
    <n v="0.5"/>
    <n v="2"/>
    <m/>
    <m/>
    <x v="14"/>
    <d v="2025-07-25T00:00:00"/>
  </r>
  <r>
    <n v="217"/>
    <d v="2025-02-10T00:00:00"/>
    <m/>
    <x v="1"/>
    <x v="0"/>
    <s v="25-00599"/>
    <x v="79"/>
    <x v="216"/>
    <x v="5"/>
    <x v="1"/>
    <x v="0"/>
    <x v="0"/>
    <s v="Door"/>
    <x v="4"/>
    <s v="Glass"/>
    <x v="4"/>
    <s v="On Time"/>
    <x v="6"/>
    <m/>
    <m/>
    <m/>
    <m/>
    <s v="No"/>
    <m/>
    <n v="0"/>
    <m/>
    <s v="Performance testing needed?"/>
    <s v="Yes"/>
    <m/>
    <m/>
    <s v="12.04.25 Safety test PASS"/>
    <m/>
    <m/>
    <m/>
    <n v="0"/>
    <n v="2"/>
    <s v="NO TF needed"/>
    <m/>
    <x v="14"/>
    <d v="2025-07-25T00:00:00"/>
  </r>
  <r>
    <n v="218"/>
    <d v="2024-07-01T00:00:00"/>
    <m/>
    <x v="1"/>
    <x v="0"/>
    <s v="24-00535"/>
    <x v="105"/>
    <x v="217"/>
    <x v="5"/>
    <x v="1"/>
    <x v="0"/>
    <x v="0"/>
    <s v="Illumination"/>
    <x v="1"/>
    <s v="LED"/>
    <x v="4"/>
    <s v="On Time"/>
    <x v="2"/>
    <s v="No safety certificate"/>
    <s v="wk9"/>
    <s v="wk10"/>
    <m/>
    <s v="No"/>
    <m/>
    <n v="0"/>
    <m/>
    <m/>
    <s v="Yes"/>
    <m/>
    <m/>
    <m/>
    <m/>
    <m/>
    <m/>
    <n v="1.5"/>
    <n v="2"/>
    <m/>
    <m/>
    <x v="14"/>
    <d v="2025-05-18T00:00:00"/>
  </r>
  <r>
    <n v="219"/>
    <d v="2024-07-01T00:00:00"/>
    <m/>
    <x v="1"/>
    <x v="0"/>
    <s v="24-00534"/>
    <x v="106"/>
    <x v="218"/>
    <x v="5"/>
    <x v="1"/>
    <x v="0"/>
    <x v="0"/>
    <s v="Illumination"/>
    <x v="1"/>
    <s v="LED"/>
    <x v="2"/>
    <s v="Delayed"/>
    <x v="2"/>
    <s v="3rd samples expected for FPAP approval, No safety certificate"/>
    <s v="wk9"/>
    <s v="wk10"/>
    <m/>
    <s v="No"/>
    <m/>
    <n v="0"/>
    <m/>
    <m/>
    <s v="Yes"/>
    <m/>
    <m/>
    <m/>
    <m/>
    <m/>
    <m/>
    <n v="1.5"/>
    <n v="2"/>
    <m/>
    <m/>
    <x v="14"/>
    <d v="2025-05-18T00:00:00"/>
  </r>
  <r>
    <n v="220"/>
    <d v="2025-04-20T00:00:00"/>
    <m/>
    <x v="0"/>
    <x v="2"/>
    <s v="TBA"/>
    <x v="26"/>
    <x v="219"/>
    <x v="5"/>
    <x v="1"/>
    <x v="0"/>
    <x v="6"/>
    <m/>
    <x v="7"/>
    <m/>
    <x v="1"/>
    <m/>
    <x v="9"/>
    <m/>
    <m/>
    <m/>
    <m/>
    <s v="Yes"/>
    <m/>
    <n v="0"/>
    <m/>
    <m/>
    <m/>
    <m/>
    <m/>
    <m/>
    <m/>
    <m/>
    <m/>
    <n v="4"/>
    <n v="8"/>
    <m/>
    <m/>
    <x v="13"/>
    <m/>
  </r>
  <r>
    <n v="221"/>
    <d v="2025-04-20T00:00:00"/>
    <m/>
    <x v="0"/>
    <x v="2"/>
    <s v="TBA"/>
    <x v="26"/>
    <x v="220"/>
    <x v="5"/>
    <x v="1"/>
    <x v="0"/>
    <x v="6"/>
    <m/>
    <x v="7"/>
    <m/>
    <x v="1"/>
    <m/>
    <x v="9"/>
    <m/>
    <m/>
    <m/>
    <m/>
    <s v="Yes"/>
    <m/>
    <n v="11"/>
    <m/>
    <m/>
    <m/>
    <m/>
    <m/>
    <m/>
    <m/>
    <m/>
    <m/>
    <n v="0"/>
    <m/>
    <m/>
    <m/>
    <x v="13"/>
    <d v="2025-06-25T00:00:00"/>
  </r>
  <r>
    <n v="222"/>
    <d v="2024-06-01T00:00:00"/>
    <m/>
    <x v="0"/>
    <x v="0"/>
    <s v="24-00530"/>
    <x v="79"/>
    <x v="221"/>
    <x v="5"/>
    <x v="1"/>
    <x v="0"/>
    <x v="0"/>
    <s v="Cooling Mechanism"/>
    <x v="1"/>
    <s v="Block Motors"/>
    <x v="4"/>
    <s v="Not Started"/>
    <x v="3"/>
    <m/>
    <m/>
    <m/>
    <m/>
    <s v="Yes"/>
    <m/>
    <n v="0"/>
    <m/>
    <m/>
    <s v="Yes"/>
    <m/>
    <m/>
    <m/>
    <m/>
    <m/>
    <m/>
    <n v="1.5"/>
    <n v="4"/>
    <m/>
    <m/>
    <x v="12"/>
    <m/>
  </r>
  <r>
    <n v="223"/>
    <d v="2024-06-01T00:00:00"/>
    <m/>
    <x v="0"/>
    <x v="0"/>
    <s v="24-00529"/>
    <x v="79"/>
    <x v="222"/>
    <x v="5"/>
    <x v="1"/>
    <x v="0"/>
    <x v="0"/>
    <s v="Cooling Mechanism"/>
    <x v="1"/>
    <s v="Block Motors"/>
    <x v="4"/>
    <s v="Not Started"/>
    <x v="3"/>
    <m/>
    <m/>
    <m/>
    <m/>
    <s v="Yes"/>
    <m/>
    <n v="0"/>
    <m/>
    <m/>
    <s v="Yes"/>
    <m/>
    <m/>
    <m/>
    <m/>
    <m/>
    <m/>
    <n v="1.5"/>
    <n v="4"/>
    <m/>
    <m/>
    <x v="12"/>
    <m/>
  </r>
  <r>
    <n v="224"/>
    <d v="2024-06-01T00:00:00"/>
    <m/>
    <x v="0"/>
    <x v="0"/>
    <s v="24-00528"/>
    <x v="79"/>
    <x v="223"/>
    <x v="5"/>
    <x v="1"/>
    <x v="0"/>
    <x v="0"/>
    <s v="Cooling Mechanism"/>
    <x v="1"/>
    <s v="Block Motors"/>
    <x v="4"/>
    <s v="On Time"/>
    <x v="3"/>
    <s v="Safety testing in progress in India"/>
    <m/>
    <m/>
    <m/>
    <s v="Yes"/>
    <m/>
    <n v="0"/>
    <m/>
    <s v="12.04.25 Waiting for samples for field test in Greece"/>
    <s v="Yes"/>
    <m/>
    <m/>
    <m/>
    <m/>
    <m/>
    <m/>
    <n v="1.5"/>
    <n v="4"/>
    <m/>
    <m/>
    <x v="12"/>
    <d v="2025-08-25T00:00:00"/>
  </r>
  <r>
    <n v="225"/>
    <d v="2024-06-01T00:00:00"/>
    <m/>
    <x v="0"/>
    <x v="0"/>
    <s v="24-00527"/>
    <x v="107"/>
    <x v="224"/>
    <x v="5"/>
    <x v="1"/>
    <x v="0"/>
    <x v="0"/>
    <s v="Cooling Mechanism"/>
    <x v="1"/>
    <s v="Block Motors"/>
    <x v="2"/>
    <s v="Delayed"/>
    <x v="3"/>
    <s v="Latest safety testing FAIL"/>
    <s v="wk6"/>
    <s v="wk22"/>
    <m/>
    <s v="Yes"/>
    <m/>
    <n v="0"/>
    <m/>
    <s v="12.04.25 Pending new version for testing "/>
    <s v="Yes"/>
    <m/>
    <m/>
    <m/>
    <m/>
    <m/>
    <m/>
    <n v="1.5"/>
    <n v="4"/>
    <m/>
    <m/>
    <x v="12"/>
    <m/>
  </r>
  <r>
    <n v="226"/>
    <d v="2025-04-20T00:00:00"/>
    <m/>
    <x v="0"/>
    <x v="2"/>
    <s v="TBA"/>
    <x v="26"/>
    <x v="225"/>
    <x v="5"/>
    <x v="1"/>
    <x v="0"/>
    <x v="6"/>
    <m/>
    <x v="7"/>
    <m/>
    <x v="1"/>
    <m/>
    <x v="9"/>
    <m/>
    <m/>
    <m/>
    <m/>
    <s v="Yes"/>
    <m/>
    <n v="11"/>
    <m/>
    <m/>
    <m/>
    <m/>
    <m/>
    <m/>
    <m/>
    <m/>
    <m/>
    <n v="0"/>
    <m/>
    <m/>
    <m/>
    <x v="13"/>
    <d v="2025-06-25T00:00:00"/>
  </r>
  <r>
    <n v="227"/>
    <m/>
    <m/>
    <x v="0"/>
    <x v="3"/>
    <s v="TBA"/>
    <x v="26"/>
    <x v="226"/>
    <x v="5"/>
    <x v="1"/>
    <x v="0"/>
    <x v="3"/>
    <s v="Complete Cooler"/>
    <x v="7"/>
    <m/>
    <x v="4"/>
    <m/>
    <x v="9"/>
    <m/>
    <m/>
    <m/>
    <m/>
    <s v="Yes"/>
    <m/>
    <n v="1"/>
    <m/>
    <m/>
    <m/>
    <m/>
    <m/>
    <m/>
    <m/>
    <m/>
    <m/>
    <n v="0"/>
    <m/>
    <m/>
    <m/>
    <x v="13"/>
    <d v="2025-05-25T00:00:00"/>
  </r>
  <r>
    <n v="228"/>
    <m/>
    <m/>
    <x v="4"/>
    <x v="1"/>
    <s v="TBA"/>
    <x v="26"/>
    <x v="227"/>
    <x v="5"/>
    <x v="1"/>
    <x v="2"/>
    <x v="1"/>
    <m/>
    <x v="7"/>
    <m/>
    <x v="4"/>
    <m/>
    <x v="9"/>
    <m/>
    <m/>
    <m/>
    <m/>
    <s v="Yes"/>
    <m/>
    <n v="4"/>
    <m/>
    <m/>
    <m/>
    <m/>
    <m/>
    <m/>
    <m/>
    <m/>
    <m/>
    <n v="0"/>
    <m/>
    <m/>
    <m/>
    <x v="13"/>
    <m/>
  </r>
  <r>
    <n v="229"/>
    <m/>
    <m/>
    <x v="4"/>
    <x v="1"/>
    <s v="TBA"/>
    <x v="26"/>
    <x v="228"/>
    <x v="5"/>
    <x v="1"/>
    <x v="2"/>
    <x v="1"/>
    <m/>
    <x v="7"/>
    <m/>
    <x v="4"/>
    <m/>
    <x v="9"/>
    <m/>
    <m/>
    <m/>
    <m/>
    <s v="No"/>
    <m/>
    <n v="0"/>
    <m/>
    <m/>
    <m/>
    <m/>
    <m/>
    <m/>
    <m/>
    <m/>
    <m/>
    <n v="12"/>
    <m/>
    <m/>
    <m/>
    <x v="11"/>
    <m/>
  </r>
  <r>
    <n v="230"/>
    <d v="2025-02-10T00:00:00"/>
    <m/>
    <x v="1"/>
    <x v="3"/>
    <s v="25-00600"/>
    <x v="26"/>
    <x v="229"/>
    <x v="5"/>
    <x v="1"/>
    <x v="0"/>
    <x v="3"/>
    <s v="Door"/>
    <x v="4"/>
    <s v="Assembled Door"/>
    <x v="1"/>
    <s v="On Time"/>
    <x v="2"/>
    <m/>
    <m/>
    <m/>
    <m/>
    <s v="No"/>
    <m/>
    <n v="0"/>
    <m/>
    <m/>
    <s v="Yes"/>
    <m/>
    <m/>
    <m/>
    <m/>
    <m/>
    <m/>
    <n v="0.5"/>
    <n v="2"/>
    <m/>
    <m/>
    <x v="14"/>
    <d v="2025-06-25T00:00:00"/>
  </r>
  <r>
    <n v="231"/>
    <d v="2024-12-01T00:00:00"/>
    <m/>
    <x v="0"/>
    <x v="0"/>
    <s v="25-00590"/>
    <x v="108"/>
    <x v="230"/>
    <x v="5"/>
    <x v="1"/>
    <x v="0"/>
    <x v="0"/>
    <s v="Electrical Parts"/>
    <x v="1"/>
    <s v="Electronic Controllers &amp; Acces"/>
    <x v="1"/>
    <s v="On Time"/>
    <x v="3"/>
    <s v="Field test has not been planned. Russia already using. FPAP in progress. New samples received for checking one parameter which was not available"/>
    <s v="wk6"/>
    <s v="wk22"/>
    <m/>
    <s v="Yes"/>
    <m/>
    <n v="1"/>
    <m/>
    <s v="12.04.25 To decide if field test is needed since Russia is already using this controller"/>
    <s v="Yes"/>
    <m/>
    <m/>
    <m/>
    <m/>
    <m/>
    <m/>
    <n v="2.5"/>
    <n v="4"/>
    <m/>
    <m/>
    <x v="12"/>
    <d v="2025-07-25T00:00:00"/>
  </r>
  <r>
    <n v="232"/>
    <d v="2024-09-01T00:00:00"/>
    <m/>
    <x v="0"/>
    <x v="0"/>
    <s v="24-00553"/>
    <x v="109"/>
    <x v="231"/>
    <x v="5"/>
    <x v="1"/>
    <x v="0"/>
    <x v="0"/>
    <s v="Cooling Mechanism"/>
    <x v="0"/>
    <s v="Compressors"/>
    <x v="1"/>
    <s v="On Time"/>
    <x v="2"/>
    <m/>
    <s v="wk3"/>
    <s v="wk26"/>
    <m/>
    <s v="Yes"/>
    <m/>
    <n v="0"/>
    <m/>
    <m/>
    <s v="Yes"/>
    <m/>
    <m/>
    <m/>
    <m/>
    <m/>
    <m/>
    <n v="2"/>
    <n v="4"/>
    <m/>
    <m/>
    <x v="12"/>
    <d v="2025-06-15T00:00:00"/>
  </r>
  <r>
    <n v="233"/>
    <d v="2024-09-01T00:00:00"/>
    <m/>
    <x v="0"/>
    <x v="0"/>
    <s v="24-00553"/>
    <x v="110"/>
    <x v="232"/>
    <x v="5"/>
    <x v="1"/>
    <x v="0"/>
    <x v="5"/>
    <s v="Cooling Mechanism"/>
    <x v="0"/>
    <m/>
    <x v="4"/>
    <m/>
    <x v="9"/>
    <m/>
    <m/>
    <m/>
    <m/>
    <s v="Yes"/>
    <m/>
    <n v="6"/>
    <m/>
    <m/>
    <m/>
    <m/>
    <m/>
    <m/>
    <m/>
    <m/>
    <m/>
    <n v="0"/>
    <m/>
    <m/>
    <m/>
    <x v="13"/>
    <d v="2025-08-25T00:00:00"/>
  </r>
  <r>
    <n v="234"/>
    <d v="2024-09-01T00:00:00"/>
    <m/>
    <x v="0"/>
    <x v="0"/>
    <s v="24-00553"/>
    <x v="111"/>
    <x v="233"/>
    <x v="5"/>
    <x v="1"/>
    <x v="0"/>
    <x v="5"/>
    <s v="Cooling Mechanism"/>
    <x v="0"/>
    <m/>
    <x v="4"/>
    <m/>
    <x v="9"/>
    <m/>
    <m/>
    <m/>
    <m/>
    <s v="Yes"/>
    <m/>
    <n v="6"/>
    <m/>
    <m/>
    <m/>
    <m/>
    <m/>
    <m/>
    <m/>
    <m/>
    <m/>
    <n v="0"/>
    <m/>
    <m/>
    <m/>
    <x v="13"/>
    <d v="2025-06-25T00:00:00"/>
  </r>
  <r>
    <n v="235"/>
    <d v="2024-09-01T00:00:00"/>
    <m/>
    <x v="0"/>
    <x v="0"/>
    <s v="24-00551"/>
    <x v="112"/>
    <x v="234"/>
    <x v="5"/>
    <x v="1"/>
    <x v="0"/>
    <x v="0"/>
    <s v="Cooling Mechanism"/>
    <x v="0"/>
    <s v="Compressors"/>
    <x v="1"/>
    <s v="On Time"/>
    <x v="3"/>
    <m/>
    <s v="wk3"/>
    <s v="wk27"/>
    <m/>
    <s v="Yes"/>
    <m/>
    <n v="0"/>
    <s v="12.04 Compressor reliability testing delayed, OLP issues"/>
    <m/>
    <s v="Yes"/>
    <m/>
    <m/>
    <m/>
    <m/>
    <m/>
    <m/>
    <n v="2"/>
    <n v="4"/>
    <m/>
    <m/>
    <x v="12"/>
    <d v="2025-06-30T00:00:00"/>
  </r>
  <r>
    <n v="236"/>
    <d v="2024-01-01T00:00:00"/>
    <n v="2"/>
    <x v="3"/>
    <x v="3"/>
    <m/>
    <x v="26"/>
    <x v="235"/>
    <x v="5"/>
    <x v="2"/>
    <x v="0"/>
    <x v="3"/>
    <s v="Complete Cooler"/>
    <x v="3"/>
    <s v="N/A"/>
    <x v="1"/>
    <s v="On Time"/>
    <x v="1"/>
    <m/>
    <d v="2024-01-30T00:00:00"/>
    <s v="30-0425"/>
    <m/>
    <s v="Yes"/>
    <n v="5"/>
    <n v="5"/>
    <m/>
    <m/>
    <m/>
    <m/>
    <m/>
    <m/>
    <m/>
    <m/>
    <m/>
    <n v="4"/>
    <m/>
    <m/>
    <m/>
    <x v="17"/>
    <m/>
  </r>
  <r>
    <n v="237"/>
    <d v="2024-06-01T00:00:00"/>
    <n v="1"/>
    <x v="0"/>
    <x v="3"/>
    <s v="24-00548"/>
    <x v="26"/>
    <x v="236"/>
    <x v="5"/>
    <x v="2"/>
    <x v="0"/>
    <x v="3"/>
    <s v="Complete Cooler"/>
    <x v="3"/>
    <s v="N/A"/>
    <x v="1"/>
    <s v="On Time"/>
    <x v="10"/>
    <m/>
    <d v="2024-07-31T00:00:00"/>
    <d v="2024-03-31T00:00:00"/>
    <m/>
    <s v="Yes"/>
    <m/>
    <n v="2"/>
    <m/>
    <m/>
    <m/>
    <m/>
    <m/>
    <m/>
    <m/>
    <m/>
    <m/>
    <n v="1"/>
    <m/>
    <m/>
    <m/>
    <x v="17"/>
    <m/>
  </r>
  <r>
    <n v="238"/>
    <m/>
    <m/>
    <x v="2"/>
    <x v="3"/>
    <m/>
    <x v="26"/>
    <x v="237"/>
    <x v="5"/>
    <x v="2"/>
    <x v="3"/>
    <x v="3"/>
    <s v="Complete Cooler"/>
    <x v="3"/>
    <s v="N/A"/>
    <x v="4"/>
    <s v="Not Started"/>
    <x v="7"/>
    <m/>
    <m/>
    <d v="2025-12-15T00:00:00"/>
    <m/>
    <s v="Yes"/>
    <n v="8"/>
    <n v="7"/>
    <m/>
    <m/>
    <m/>
    <m/>
    <m/>
    <m/>
    <m/>
    <m/>
    <m/>
    <n v="15"/>
    <m/>
    <m/>
    <m/>
    <x v="17"/>
    <m/>
  </r>
  <r>
    <n v="239"/>
    <m/>
    <m/>
    <x v="1"/>
    <x v="3"/>
    <m/>
    <x v="26"/>
    <x v="238"/>
    <x v="5"/>
    <x v="2"/>
    <x v="0"/>
    <x v="3"/>
    <s v="Complete Cooler"/>
    <x v="3"/>
    <s v="N/A"/>
    <x v="4"/>
    <s v="Not Started"/>
    <x v="7"/>
    <m/>
    <d v="2025-03-10T00:00:00"/>
    <d v="2025-05-19T00:00:00"/>
    <m/>
    <s v="Yes"/>
    <m/>
    <n v="2"/>
    <m/>
    <m/>
    <m/>
    <m/>
    <m/>
    <m/>
    <m/>
    <m/>
    <m/>
    <n v="3"/>
    <m/>
    <m/>
    <m/>
    <x v="17"/>
    <m/>
  </r>
  <r>
    <n v="240"/>
    <m/>
    <m/>
    <x v="2"/>
    <x v="3"/>
    <m/>
    <x v="26"/>
    <x v="239"/>
    <x v="5"/>
    <x v="2"/>
    <x v="0"/>
    <x v="3"/>
    <s v="Complete Cooler"/>
    <x v="3"/>
    <s v="N/A"/>
    <x v="4"/>
    <s v="Not Started"/>
    <x v="7"/>
    <m/>
    <d v="2025-04-01T00:00:00"/>
    <d v="2025-12-15T00:00:00"/>
    <m/>
    <s v="Yes"/>
    <n v="8"/>
    <n v="6"/>
    <m/>
    <m/>
    <m/>
    <m/>
    <m/>
    <m/>
    <m/>
    <m/>
    <m/>
    <n v="6"/>
    <m/>
    <m/>
    <m/>
    <x v="17"/>
    <m/>
  </r>
  <r>
    <n v="241"/>
    <m/>
    <m/>
    <x v="3"/>
    <x v="3"/>
    <m/>
    <x v="26"/>
    <x v="240"/>
    <x v="5"/>
    <x v="2"/>
    <x v="0"/>
    <x v="3"/>
    <m/>
    <x v="3"/>
    <s v="N/A"/>
    <x v="1"/>
    <s v="On Time"/>
    <x v="10"/>
    <m/>
    <d v="2024-03-15T00:00:00"/>
    <d v="2025-04-07T00:00:00"/>
    <m/>
    <m/>
    <n v="4"/>
    <n v="0"/>
    <m/>
    <m/>
    <m/>
    <m/>
    <m/>
    <m/>
    <m/>
    <m/>
    <m/>
    <n v="0"/>
    <m/>
    <m/>
    <m/>
    <x v="18"/>
    <m/>
  </r>
  <r>
    <n v="242"/>
    <m/>
    <m/>
    <x v="3"/>
    <x v="3"/>
    <m/>
    <x v="26"/>
    <x v="241"/>
    <x v="5"/>
    <x v="2"/>
    <x v="0"/>
    <x v="3"/>
    <m/>
    <x v="3"/>
    <s v="N/A"/>
    <x v="4"/>
    <s v="Not Started"/>
    <x v="7"/>
    <m/>
    <m/>
    <m/>
    <m/>
    <s v="Yes"/>
    <n v="6"/>
    <n v="8"/>
    <m/>
    <m/>
    <m/>
    <m/>
    <m/>
    <m/>
    <m/>
    <m/>
    <m/>
    <n v="19"/>
    <m/>
    <m/>
    <m/>
    <x v="18"/>
    <m/>
  </r>
  <r>
    <n v="243"/>
    <m/>
    <m/>
    <x v="0"/>
    <x v="3"/>
    <m/>
    <x v="26"/>
    <x v="242"/>
    <x v="5"/>
    <x v="2"/>
    <x v="3"/>
    <x v="3"/>
    <m/>
    <x v="3"/>
    <s v="N/A"/>
    <x v="4"/>
    <s v="Not Started"/>
    <x v="7"/>
    <m/>
    <d v="2025-03-03T00:00:00"/>
    <d v="2025-11-24T00:00:00"/>
    <m/>
    <s v="Yes"/>
    <m/>
    <n v="7"/>
    <m/>
    <m/>
    <m/>
    <m/>
    <m/>
    <m/>
    <m/>
    <m/>
    <m/>
    <n v="15"/>
    <m/>
    <m/>
    <m/>
    <x v="19"/>
    <m/>
  </r>
  <r>
    <n v="244"/>
    <m/>
    <m/>
    <x v="1"/>
    <x v="3"/>
    <m/>
    <x v="26"/>
    <x v="243"/>
    <x v="5"/>
    <x v="2"/>
    <x v="0"/>
    <x v="3"/>
    <m/>
    <x v="3"/>
    <s v="N/A"/>
    <x v="4"/>
    <s v="Not Started"/>
    <x v="7"/>
    <m/>
    <d v="2025-03-24T00:00:00"/>
    <d v="2025-05-02T00:00:00"/>
    <m/>
    <s v="Yes"/>
    <m/>
    <n v="2"/>
    <m/>
    <m/>
    <m/>
    <m/>
    <m/>
    <m/>
    <m/>
    <m/>
    <m/>
    <n v="3"/>
    <m/>
    <m/>
    <m/>
    <x v="19"/>
    <m/>
  </r>
  <r>
    <n v="245"/>
    <d v="2024-01-01T00:00:00"/>
    <m/>
    <x v="3"/>
    <x v="3"/>
    <m/>
    <x v="26"/>
    <x v="244"/>
    <x v="5"/>
    <x v="2"/>
    <x v="0"/>
    <x v="3"/>
    <m/>
    <x v="3"/>
    <s v="N/A"/>
    <x v="1"/>
    <s v="On Time"/>
    <x v="1"/>
    <m/>
    <d v="2024-01-30T00:00:00"/>
    <d v="2025-04-18T00:00:00"/>
    <m/>
    <s v="Yes"/>
    <n v="5"/>
    <n v="5"/>
    <n v="4"/>
    <m/>
    <m/>
    <m/>
    <m/>
    <m/>
    <m/>
    <m/>
    <m/>
    <n v="4"/>
    <m/>
    <m/>
    <m/>
    <x v="19"/>
    <m/>
  </r>
  <r>
    <n v="246"/>
    <d v="2024-06-01T00:00:00"/>
    <m/>
    <x v="2"/>
    <x v="3"/>
    <m/>
    <x v="26"/>
    <x v="245"/>
    <x v="5"/>
    <x v="2"/>
    <x v="0"/>
    <x v="3"/>
    <s v="Complete Cooler"/>
    <x v="3"/>
    <s v="N/A"/>
    <x v="1"/>
    <s v="On Time"/>
    <x v="10"/>
    <m/>
    <d v="2024-07-31T00:00:00"/>
    <d v="2024-04-15T00:00:00"/>
    <m/>
    <m/>
    <n v="8"/>
    <n v="0"/>
    <n v="6"/>
    <m/>
    <m/>
    <m/>
    <m/>
    <m/>
    <m/>
    <m/>
    <m/>
    <n v="1"/>
    <m/>
    <m/>
    <m/>
    <x v="19"/>
    <m/>
  </r>
  <r>
    <n v="247"/>
    <d v="2024-10-01T00:00:00"/>
    <m/>
    <x v="0"/>
    <x v="3"/>
    <m/>
    <x v="26"/>
    <x v="246"/>
    <x v="5"/>
    <x v="2"/>
    <x v="0"/>
    <x v="3"/>
    <s v="Complete Cooler"/>
    <x v="3"/>
    <s v="N/A"/>
    <x v="4"/>
    <s v="Not Started"/>
    <x v="1"/>
    <m/>
    <d v="2024-10-22T00:00:00"/>
    <d v="2025-05-12T00:00:00"/>
    <m/>
    <s v="Yes"/>
    <m/>
    <n v="1"/>
    <m/>
    <m/>
    <m/>
    <m/>
    <m/>
    <m/>
    <m/>
    <m/>
    <m/>
    <n v="6"/>
    <m/>
    <m/>
    <m/>
    <x v="19"/>
    <m/>
  </r>
  <r>
    <n v="248"/>
    <d v="2024-01-01T00:00:00"/>
    <m/>
    <x v="5"/>
    <x v="3"/>
    <m/>
    <x v="26"/>
    <x v="247"/>
    <x v="6"/>
    <x v="3"/>
    <x v="4"/>
    <x v="3"/>
    <m/>
    <x v="3"/>
    <s v="N/A"/>
    <x v="6"/>
    <s v="Delayed"/>
    <x v="11"/>
    <s v="New injection part molds for better assembly top/side walls. Improved locking system"/>
    <d v="2024-01-01T00:00:00"/>
    <d v="2025-01-21T00:00:00"/>
    <n v="1"/>
    <m/>
    <m/>
    <n v="0"/>
    <m/>
    <m/>
    <m/>
    <m/>
    <m/>
    <m/>
    <m/>
    <m/>
    <m/>
    <n v="3"/>
    <m/>
    <m/>
    <m/>
    <x v="19"/>
    <m/>
  </r>
  <r>
    <n v="249"/>
    <d v="2024-12-01T00:00:00"/>
    <m/>
    <x v="5"/>
    <x v="3"/>
    <m/>
    <x v="26"/>
    <x v="248"/>
    <x v="6"/>
    <x v="3"/>
    <x v="4"/>
    <x v="3"/>
    <m/>
    <x v="3"/>
    <s v="N/A"/>
    <x v="1"/>
    <s v="On Time"/>
    <x v="12"/>
    <m/>
    <d v="2024-12-01T00:00:00"/>
    <d v="2025-07-15T00:00:00"/>
    <n v="3"/>
    <m/>
    <m/>
    <n v="0"/>
    <m/>
    <m/>
    <m/>
    <m/>
    <m/>
    <m/>
    <m/>
    <m/>
    <m/>
    <n v="8"/>
    <m/>
    <m/>
    <m/>
    <x v="19"/>
    <m/>
  </r>
  <r>
    <n v="250"/>
    <d v="2024-08-01T00:00:00"/>
    <m/>
    <x v="6"/>
    <x v="3"/>
    <m/>
    <x v="26"/>
    <x v="249"/>
    <x v="6"/>
    <x v="3"/>
    <x v="0"/>
    <x v="7"/>
    <m/>
    <x v="3"/>
    <s v="N/A"/>
    <x v="6"/>
    <s v="Delayed"/>
    <x v="13"/>
    <s v="Local Chinese supplier with improved evaporators (paint+fins assembly). Reverse air flow design"/>
    <d v="2024-08-01T00:00:00"/>
    <d v="2025-02-28T00:00:00"/>
    <m/>
    <m/>
    <m/>
    <n v="0"/>
    <m/>
    <m/>
    <m/>
    <m/>
    <m/>
    <m/>
    <m/>
    <m/>
    <m/>
    <n v="1"/>
    <m/>
    <m/>
    <m/>
    <x v="19"/>
    <m/>
  </r>
  <r>
    <n v="251"/>
    <d v="2024-09-01T00:00:00"/>
    <m/>
    <x v="6"/>
    <x v="3"/>
    <m/>
    <x v="26"/>
    <x v="250"/>
    <x v="4"/>
    <x v="4"/>
    <x v="0"/>
    <x v="3"/>
    <m/>
    <x v="3"/>
    <s v="N/A"/>
    <x v="6"/>
    <s v="Delayed"/>
    <x v="14"/>
    <s v="Delay on customer decision regarding aesthetics"/>
    <d v="2024-09-01T00:00:00"/>
    <s v="29-02-25"/>
    <m/>
    <m/>
    <m/>
    <n v="0"/>
    <m/>
    <m/>
    <m/>
    <m/>
    <m/>
    <m/>
    <m/>
    <m/>
    <m/>
    <n v="0"/>
    <m/>
    <m/>
    <m/>
    <x v="19"/>
    <m/>
  </r>
  <r>
    <n v="252"/>
    <d v="2024-08-01T00:00:00"/>
    <m/>
    <x v="6"/>
    <x v="3"/>
    <m/>
    <x v="26"/>
    <x v="251"/>
    <x v="6"/>
    <x v="3"/>
    <x v="0"/>
    <x v="3"/>
    <m/>
    <x v="3"/>
    <s v="N/A"/>
    <x v="6"/>
    <s v="Delayed"/>
    <x v="14"/>
    <s v="Delay on customer decision regarding aesthetics"/>
    <d v="2024-08-01T00:00:00"/>
    <d v="2025-03-01T00:00:00"/>
    <m/>
    <m/>
    <m/>
    <n v="0"/>
    <m/>
    <m/>
    <m/>
    <m/>
    <m/>
    <m/>
    <m/>
    <m/>
    <m/>
    <n v="0"/>
    <m/>
    <m/>
    <m/>
    <x v="19"/>
    <m/>
  </r>
  <r>
    <n v="253"/>
    <d v="2024-08-01T00:00:00"/>
    <m/>
    <x v="6"/>
    <x v="3"/>
    <m/>
    <x v="26"/>
    <x v="252"/>
    <x v="6"/>
    <x v="3"/>
    <x v="0"/>
    <x v="3"/>
    <m/>
    <x v="3"/>
    <s v="N/A"/>
    <x v="6"/>
    <s v="Delayed"/>
    <x v="14"/>
    <s v="Delay on customer decision regarding aesthetics"/>
    <d v="2024-08-01T00:00:00"/>
    <d v="2025-03-02T00:00:00"/>
    <m/>
    <s v="Yes"/>
    <m/>
    <n v="2"/>
    <m/>
    <s v="ROM"/>
    <m/>
    <m/>
    <m/>
    <m/>
    <m/>
    <m/>
    <m/>
    <n v="1"/>
    <m/>
    <m/>
    <m/>
    <x v="19"/>
    <m/>
  </r>
  <r>
    <n v="254"/>
    <d v="2024-09-01T00:00:00"/>
    <m/>
    <x v="6"/>
    <x v="3"/>
    <m/>
    <x v="26"/>
    <x v="253"/>
    <x v="4"/>
    <x v="4"/>
    <x v="0"/>
    <x v="3"/>
    <m/>
    <x v="3"/>
    <s v="N/A"/>
    <x v="6"/>
    <s v="Delayed"/>
    <x v="14"/>
    <s v="Delay on customer decision regarding aesthetics"/>
    <d v="2024-09-01T00:00:00"/>
    <d v="2025-03-03T00:00:00"/>
    <m/>
    <m/>
    <m/>
    <n v="0"/>
    <m/>
    <m/>
    <m/>
    <m/>
    <m/>
    <m/>
    <m/>
    <m/>
    <m/>
    <n v="0"/>
    <m/>
    <m/>
    <m/>
    <x v="19"/>
    <m/>
  </r>
  <r>
    <n v="255"/>
    <d v="2024-07-01T00:00:00"/>
    <m/>
    <x v="6"/>
    <x v="2"/>
    <m/>
    <x v="26"/>
    <x v="254"/>
    <x v="6"/>
    <x v="3"/>
    <x v="0"/>
    <x v="3"/>
    <m/>
    <x v="3"/>
    <s v="N/A"/>
    <x v="6"/>
    <s v="Delayed"/>
    <x v="13"/>
    <s v="Delay: Sollatek operational solution"/>
    <d v="2024-07-01T00:00:00"/>
    <d v="2025-04-11T00:00:00"/>
    <m/>
    <m/>
    <m/>
    <n v="0"/>
    <m/>
    <m/>
    <m/>
    <m/>
    <m/>
    <m/>
    <m/>
    <m/>
    <m/>
    <n v="1"/>
    <m/>
    <m/>
    <m/>
    <x v="19"/>
    <m/>
  </r>
  <r>
    <n v="256"/>
    <d v="2024-07-01T00:00:00"/>
    <m/>
    <x v="6"/>
    <x v="2"/>
    <m/>
    <x v="26"/>
    <x v="255"/>
    <x v="6"/>
    <x v="3"/>
    <x v="0"/>
    <x v="3"/>
    <m/>
    <x v="3"/>
    <s v="N/A"/>
    <x v="6"/>
    <s v="Delayed"/>
    <x v="13"/>
    <s v="Delay: Sollatek operational solution"/>
    <d v="2024-07-01T00:00:00"/>
    <d v="2025-04-12T00:00:00"/>
    <m/>
    <m/>
    <m/>
    <n v="0"/>
    <m/>
    <m/>
    <m/>
    <m/>
    <m/>
    <m/>
    <m/>
    <m/>
    <m/>
    <n v="1"/>
    <m/>
    <m/>
    <m/>
    <x v="19"/>
    <m/>
  </r>
  <r>
    <n v="257"/>
    <d v="2024-07-01T00:00:00"/>
    <m/>
    <x v="6"/>
    <x v="2"/>
    <m/>
    <x v="26"/>
    <x v="256"/>
    <x v="6"/>
    <x v="3"/>
    <x v="0"/>
    <x v="3"/>
    <m/>
    <x v="3"/>
    <s v="N/A"/>
    <x v="6"/>
    <s v="Delayed"/>
    <x v="13"/>
    <s v="Delay: Sollatek operational solution"/>
    <d v="2024-07-01T00:00:00"/>
    <d v="2025-04-13T00:00:00"/>
    <m/>
    <m/>
    <m/>
    <n v="0"/>
    <m/>
    <m/>
    <m/>
    <m/>
    <m/>
    <m/>
    <m/>
    <m/>
    <m/>
    <n v="1"/>
    <m/>
    <m/>
    <m/>
    <x v="19"/>
    <m/>
  </r>
  <r>
    <n v="258"/>
    <d v="2024-07-01T00:00:00"/>
    <m/>
    <x v="6"/>
    <x v="2"/>
    <m/>
    <x v="26"/>
    <x v="257"/>
    <x v="4"/>
    <x v="4"/>
    <x v="0"/>
    <x v="3"/>
    <m/>
    <x v="3"/>
    <s v="N/A"/>
    <x v="6"/>
    <s v="Delayed"/>
    <x v="13"/>
    <s v="Delay: Sollatek operational solution"/>
    <d v="2024-07-01T00:00:00"/>
    <d v="2054-04-14T00:00:00"/>
    <m/>
    <m/>
    <m/>
    <n v="0"/>
    <m/>
    <m/>
    <m/>
    <m/>
    <m/>
    <m/>
    <m/>
    <m/>
    <m/>
    <n v="1"/>
    <m/>
    <m/>
    <m/>
    <x v="19"/>
    <m/>
  </r>
  <r>
    <n v="259"/>
    <d v="2024-12-01T00:00:00"/>
    <m/>
    <x v="6"/>
    <x v="3"/>
    <m/>
    <x v="26"/>
    <x v="258"/>
    <x v="6"/>
    <x v="3"/>
    <x v="0"/>
    <x v="3"/>
    <m/>
    <x v="3"/>
    <s v="N/A"/>
    <x v="1"/>
    <s v="On Time"/>
    <x v="15"/>
    <m/>
    <d v="2024-12-01T00:00:00"/>
    <d v="2025-03-24T00:00:00"/>
    <m/>
    <s v="Yes"/>
    <m/>
    <n v="3"/>
    <m/>
    <s v="ROM"/>
    <m/>
    <m/>
    <m/>
    <m/>
    <m/>
    <m/>
    <m/>
    <n v="2"/>
    <m/>
    <m/>
    <m/>
    <x v="19"/>
    <m/>
  </r>
  <r>
    <n v="260"/>
    <d v="2024-11-01T00:00:00"/>
    <m/>
    <x v="6"/>
    <x v="2"/>
    <m/>
    <x v="26"/>
    <x v="259"/>
    <x v="6"/>
    <x v="3"/>
    <x v="0"/>
    <x v="3"/>
    <m/>
    <x v="3"/>
    <s v="N/A"/>
    <x v="1"/>
    <s v="On Time"/>
    <x v="13"/>
    <m/>
    <d v="2024-11-01T00:00:00"/>
    <d v="2025-03-24T00:00:00"/>
    <m/>
    <m/>
    <m/>
    <n v="0"/>
    <m/>
    <m/>
    <m/>
    <m/>
    <m/>
    <m/>
    <m/>
    <m/>
    <m/>
    <n v="1"/>
    <m/>
    <m/>
    <m/>
    <x v="19"/>
    <m/>
  </r>
  <r>
    <n v="261"/>
    <d v="2024-12-01T00:00:00"/>
    <m/>
    <x v="6"/>
    <x v="3"/>
    <m/>
    <x v="26"/>
    <x v="260"/>
    <x v="4"/>
    <x v="4"/>
    <x v="0"/>
    <x v="3"/>
    <m/>
    <x v="3"/>
    <s v="N/A"/>
    <x v="1"/>
    <s v="Cancelled"/>
    <x v="15"/>
    <s v="No interest from customer for this model"/>
    <d v="2024-12-01T00:00:00"/>
    <d v="2025-03-24T00:00:00"/>
    <m/>
    <m/>
    <m/>
    <n v="0"/>
    <m/>
    <m/>
    <m/>
    <m/>
    <m/>
    <m/>
    <m/>
    <m/>
    <m/>
    <n v="0"/>
    <m/>
    <m/>
    <m/>
    <x v="19"/>
    <m/>
  </r>
  <r>
    <n v="262"/>
    <m/>
    <m/>
    <x v="6"/>
    <x v="3"/>
    <m/>
    <x v="26"/>
    <x v="261"/>
    <x v="4"/>
    <x v="4"/>
    <x v="0"/>
    <x v="3"/>
    <m/>
    <x v="3"/>
    <s v="N/A"/>
    <x v="4"/>
    <s v="Not Started"/>
    <x v="7"/>
    <m/>
    <d v="2025-04-10T00:00:00"/>
    <m/>
    <m/>
    <m/>
    <m/>
    <n v="0"/>
    <m/>
    <m/>
    <m/>
    <m/>
    <m/>
    <m/>
    <m/>
    <m/>
    <m/>
    <n v="2"/>
    <m/>
    <m/>
    <m/>
    <x v="19"/>
    <m/>
  </r>
  <r>
    <n v="263"/>
    <d v="2025-01-01T00:00:00"/>
    <m/>
    <x v="6"/>
    <x v="1"/>
    <m/>
    <x v="26"/>
    <x v="262"/>
    <x v="4"/>
    <x v="4"/>
    <x v="0"/>
    <x v="3"/>
    <m/>
    <x v="3"/>
    <s v="N/A"/>
    <x v="1"/>
    <s v="On Time"/>
    <x v="16"/>
    <m/>
    <s v="22/1/2025"/>
    <m/>
    <m/>
    <m/>
    <m/>
    <n v="0"/>
    <m/>
    <m/>
    <m/>
    <m/>
    <m/>
    <m/>
    <m/>
    <m/>
    <m/>
    <n v="2"/>
    <m/>
    <m/>
    <m/>
    <x v="19"/>
    <m/>
  </r>
  <r>
    <n v="264"/>
    <d v="2025-01-01T00:00:00"/>
    <m/>
    <x v="6"/>
    <x v="1"/>
    <m/>
    <x v="26"/>
    <x v="263"/>
    <x v="4"/>
    <x v="4"/>
    <x v="0"/>
    <x v="3"/>
    <m/>
    <x v="3"/>
    <s v="N/A"/>
    <x v="1"/>
    <s v="On Time"/>
    <x v="16"/>
    <m/>
    <s v="22/1/2025"/>
    <m/>
    <m/>
    <s v="Yes"/>
    <m/>
    <n v="4"/>
    <m/>
    <s v="ROM"/>
    <m/>
    <m/>
    <m/>
    <m/>
    <m/>
    <m/>
    <m/>
    <n v="2"/>
    <m/>
    <m/>
    <m/>
    <x v="19"/>
    <m/>
  </r>
  <r>
    <n v="265"/>
    <d v="2025-01-01T00:00:00"/>
    <m/>
    <x v="6"/>
    <x v="1"/>
    <m/>
    <x v="26"/>
    <x v="227"/>
    <x v="4"/>
    <x v="4"/>
    <x v="0"/>
    <x v="3"/>
    <m/>
    <x v="3"/>
    <s v="N/A"/>
    <x v="1"/>
    <s v="On Time"/>
    <x v="16"/>
    <m/>
    <s v="22/1/2025"/>
    <m/>
    <m/>
    <s v="Yes"/>
    <m/>
    <n v="4"/>
    <m/>
    <s v="ROM"/>
    <m/>
    <m/>
    <m/>
    <m/>
    <m/>
    <m/>
    <m/>
    <n v="1"/>
    <m/>
    <m/>
    <m/>
    <x v="19"/>
    <m/>
  </r>
  <r>
    <n v="266"/>
    <m/>
    <m/>
    <x v="6"/>
    <x v="1"/>
    <m/>
    <x v="26"/>
    <x v="264"/>
    <x v="6"/>
    <x v="3"/>
    <x v="0"/>
    <x v="3"/>
    <m/>
    <x v="3"/>
    <s v="N/A"/>
    <x v="4"/>
    <s v="Not Started"/>
    <x v="7"/>
    <m/>
    <d v="2025-03-05T00:00:00"/>
    <d v="2025-04-30T00:00:00"/>
    <m/>
    <m/>
    <m/>
    <n v="0"/>
    <m/>
    <m/>
    <m/>
    <m/>
    <m/>
    <m/>
    <m/>
    <m/>
    <m/>
    <n v="2"/>
    <m/>
    <m/>
    <m/>
    <x v="19"/>
    <m/>
  </r>
  <r>
    <n v="267"/>
    <d v="2025-01-01T00:00:00"/>
    <m/>
    <x v="6"/>
    <x v="2"/>
    <m/>
    <x v="26"/>
    <x v="265"/>
    <x v="6"/>
    <x v="3"/>
    <x v="0"/>
    <x v="3"/>
    <m/>
    <x v="3"/>
    <s v="N/A"/>
    <x v="1"/>
    <s v="Delayed"/>
    <x v="3"/>
    <s v="Report release to Pepsi"/>
    <d v="2025-01-01T00:00:00"/>
    <d v="2025-02-17T00:00:00"/>
    <m/>
    <m/>
    <m/>
    <n v="0"/>
    <m/>
    <m/>
    <m/>
    <m/>
    <m/>
    <m/>
    <m/>
    <m/>
    <m/>
    <n v="0"/>
    <m/>
    <m/>
    <m/>
    <x v="19"/>
    <m/>
  </r>
  <r>
    <n v="268"/>
    <m/>
    <m/>
    <x v="6"/>
    <x v="2"/>
    <m/>
    <x v="26"/>
    <x v="266"/>
    <x v="6"/>
    <x v="3"/>
    <x v="0"/>
    <x v="3"/>
    <m/>
    <x v="3"/>
    <s v="N/A"/>
    <x v="4"/>
    <s v="Not Started"/>
    <x v="7"/>
    <m/>
    <m/>
    <d v="2025-04-22T00:00:00"/>
    <m/>
    <s v="Yes"/>
    <m/>
    <n v="2"/>
    <m/>
    <s v="ROM"/>
    <m/>
    <m/>
    <m/>
    <m/>
    <m/>
    <m/>
    <m/>
    <n v="2"/>
    <m/>
    <m/>
    <m/>
    <x v="19"/>
    <m/>
  </r>
  <r>
    <n v="269"/>
    <m/>
    <m/>
    <x v="5"/>
    <x v="3"/>
    <m/>
    <x v="26"/>
    <x v="267"/>
    <x v="6"/>
    <x v="3"/>
    <x v="0"/>
    <x v="3"/>
    <m/>
    <x v="3"/>
    <s v="N/A"/>
    <x v="4"/>
    <s v="Not Started"/>
    <x v="7"/>
    <m/>
    <m/>
    <d v="2025-09-22T00:00:00"/>
    <m/>
    <s v="Yes"/>
    <m/>
    <n v="3"/>
    <m/>
    <s v="ROM"/>
    <m/>
    <m/>
    <m/>
    <m/>
    <m/>
    <m/>
    <m/>
    <n v="4"/>
    <m/>
    <m/>
    <m/>
    <x v="19"/>
    <m/>
  </r>
  <r>
    <n v="270"/>
    <m/>
    <m/>
    <x v="6"/>
    <x v="3"/>
    <m/>
    <x v="26"/>
    <x v="268"/>
    <x v="4"/>
    <x v="4"/>
    <x v="0"/>
    <x v="3"/>
    <m/>
    <x v="3"/>
    <s v="N/A"/>
    <x v="4"/>
    <s v="Not Started"/>
    <x v="7"/>
    <m/>
    <m/>
    <d v="2025-06-23T00:00:00"/>
    <m/>
    <m/>
    <m/>
    <n v="0"/>
    <m/>
    <m/>
    <m/>
    <m/>
    <m/>
    <m/>
    <m/>
    <m/>
    <m/>
    <n v="1"/>
    <m/>
    <m/>
    <m/>
    <x v="19"/>
    <m/>
  </r>
  <r>
    <n v="271"/>
    <m/>
    <m/>
    <x v="6"/>
    <x v="3"/>
    <m/>
    <x v="26"/>
    <x v="269"/>
    <x v="4"/>
    <x v="4"/>
    <x v="0"/>
    <x v="3"/>
    <m/>
    <x v="3"/>
    <s v="N/A"/>
    <x v="4"/>
    <s v="Not Started"/>
    <x v="7"/>
    <m/>
    <m/>
    <d v="2025-06-23T00:00:00"/>
    <m/>
    <m/>
    <m/>
    <n v="0"/>
    <m/>
    <m/>
    <m/>
    <m/>
    <m/>
    <m/>
    <m/>
    <m/>
    <m/>
    <n v="1"/>
    <m/>
    <m/>
    <m/>
    <x v="19"/>
    <m/>
  </r>
  <r>
    <n v="272"/>
    <m/>
    <m/>
    <x v="6"/>
    <x v="3"/>
    <m/>
    <x v="26"/>
    <x v="270"/>
    <x v="4"/>
    <x v="4"/>
    <x v="0"/>
    <x v="3"/>
    <m/>
    <x v="3"/>
    <s v="N/A"/>
    <x v="4"/>
    <s v="Not Started"/>
    <x v="7"/>
    <m/>
    <m/>
    <d v="2025-06-18T00:00:00"/>
    <m/>
    <m/>
    <m/>
    <n v="0"/>
    <m/>
    <m/>
    <m/>
    <m/>
    <m/>
    <m/>
    <m/>
    <m/>
    <m/>
    <n v="1"/>
    <m/>
    <m/>
    <m/>
    <x v="19"/>
    <m/>
  </r>
  <r>
    <n v="273"/>
    <d v="2025-01-01T00:00:00"/>
    <m/>
    <x v="6"/>
    <x v="2"/>
    <s v="25-00580"/>
    <x v="26"/>
    <x v="271"/>
    <x v="4"/>
    <x v="4"/>
    <x v="0"/>
    <x v="3"/>
    <m/>
    <x v="3"/>
    <s v="N/A"/>
    <x v="1"/>
    <s v="On Time"/>
    <x v="16"/>
    <m/>
    <d v="2025-01-01T00:00:00"/>
    <d v="2025-01-28T00:00:00"/>
    <m/>
    <m/>
    <m/>
    <n v="0"/>
    <m/>
    <m/>
    <m/>
    <m/>
    <m/>
    <m/>
    <m/>
    <m/>
    <m/>
    <n v="2"/>
    <m/>
    <m/>
    <m/>
    <x v="19"/>
    <m/>
  </r>
  <r>
    <n v="274"/>
    <d v="2025-01-01T00:00:00"/>
    <m/>
    <x v="0"/>
    <x v="1"/>
    <m/>
    <x v="26"/>
    <x v="272"/>
    <x v="3"/>
    <x v="2"/>
    <x v="0"/>
    <x v="0"/>
    <s v="Complete Cooler"/>
    <x v="3"/>
    <s v="N/A"/>
    <x v="4"/>
    <s v="Not Started"/>
    <x v="6"/>
    <m/>
    <m/>
    <m/>
    <m/>
    <m/>
    <m/>
    <n v="0"/>
    <m/>
    <m/>
    <m/>
    <m/>
    <m/>
    <m/>
    <m/>
    <m/>
    <m/>
    <n v="12"/>
    <m/>
    <m/>
    <m/>
    <x v="17"/>
    <m/>
  </r>
  <r>
    <n v="275"/>
    <d v="2024-09-01T00:00:00"/>
    <m/>
    <x v="1"/>
    <x v="1"/>
    <m/>
    <x v="26"/>
    <x v="273"/>
    <x v="3"/>
    <x v="2"/>
    <x v="1"/>
    <x v="0"/>
    <s v="Complete Cooler"/>
    <x v="3"/>
    <s v="N/A"/>
    <x v="1"/>
    <s v="Completed"/>
    <x v="6"/>
    <m/>
    <m/>
    <m/>
    <m/>
    <m/>
    <m/>
    <n v="0"/>
    <m/>
    <m/>
    <m/>
    <m/>
    <m/>
    <m/>
    <m/>
    <m/>
    <m/>
    <n v="0"/>
    <m/>
    <m/>
    <m/>
    <x v="17"/>
    <m/>
  </r>
  <r>
    <n v="276"/>
    <d v="2024-09-01T00:00:00"/>
    <m/>
    <x v="1"/>
    <x v="1"/>
    <m/>
    <x v="26"/>
    <x v="274"/>
    <x v="3"/>
    <x v="2"/>
    <x v="1"/>
    <x v="0"/>
    <s v="Complete Cooler"/>
    <x v="3"/>
    <s v="N/A"/>
    <x v="1"/>
    <s v="Completed"/>
    <x v="6"/>
    <m/>
    <m/>
    <m/>
    <m/>
    <m/>
    <m/>
    <n v="0"/>
    <m/>
    <m/>
    <m/>
    <m/>
    <m/>
    <m/>
    <m/>
    <m/>
    <m/>
    <n v="0"/>
    <m/>
    <m/>
    <m/>
    <x v="17"/>
    <m/>
  </r>
  <r>
    <n v="277"/>
    <d v="2024-09-01T00:00:00"/>
    <m/>
    <x v="1"/>
    <x v="1"/>
    <m/>
    <x v="26"/>
    <x v="275"/>
    <x v="3"/>
    <x v="2"/>
    <x v="1"/>
    <x v="0"/>
    <s v="Complete Cooler"/>
    <x v="3"/>
    <s v="N/A"/>
    <x v="1"/>
    <s v="On Time"/>
    <x v="6"/>
    <m/>
    <m/>
    <m/>
    <m/>
    <m/>
    <m/>
    <n v="0"/>
    <m/>
    <m/>
    <m/>
    <m/>
    <m/>
    <m/>
    <m/>
    <m/>
    <m/>
    <n v="2"/>
    <m/>
    <m/>
    <s v="Revision to include Lowe 3d logo and Engraved plexiglass doors"/>
    <x v="19"/>
    <m/>
  </r>
  <r>
    <n v="278"/>
    <d v="2024-09-01T00:00:00"/>
    <m/>
    <x v="0"/>
    <x v="0"/>
    <s v="24-00553"/>
    <x v="113"/>
    <x v="276"/>
    <x v="5"/>
    <x v="1"/>
    <x v="1"/>
    <x v="5"/>
    <s v="Cooling Mechanism"/>
    <x v="0"/>
    <m/>
    <x v="4"/>
    <m/>
    <x v="9"/>
    <m/>
    <m/>
    <m/>
    <m/>
    <s v="Yes"/>
    <m/>
    <n v="8"/>
    <m/>
    <m/>
    <m/>
    <m/>
    <m/>
    <m/>
    <m/>
    <m/>
    <m/>
    <n v="0"/>
    <m/>
    <m/>
    <m/>
    <x v="13"/>
    <d v="2025-09-25T00:00:00"/>
  </r>
  <r>
    <n v="279"/>
    <d v="2024-09-01T00:00:00"/>
    <m/>
    <x v="0"/>
    <x v="0"/>
    <s v="24-00552"/>
    <x v="114"/>
    <x v="277"/>
    <x v="5"/>
    <x v="1"/>
    <x v="0"/>
    <x v="0"/>
    <s v="Cooling Mechanism"/>
    <x v="0"/>
    <s v="Compressors"/>
    <x v="4"/>
    <s v="On Time"/>
    <x v="2"/>
    <m/>
    <s v="wk3"/>
    <s v="wk22"/>
    <m/>
    <s v="Yes"/>
    <m/>
    <n v="0"/>
    <m/>
    <m/>
    <s v="Yes"/>
    <m/>
    <m/>
    <m/>
    <m/>
    <m/>
    <m/>
    <n v="2"/>
    <n v="4"/>
    <m/>
    <m/>
    <x v="12"/>
    <d v="2025-06-15T00:00:00"/>
  </r>
  <r>
    <n v="280"/>
    <d v="2024-09-01T00:00:00"/>
    <m/>
    <x v="0"/>
    <x v="0"/>
    <s v="24-00552"/>
    <x v="115"/>
    <x v="278"/>
    <x v="5"/>
    <x v="1"/>
    <x v="1"/>
    <x v="5"/>
    <s v="Cooling Mechanism"/>
    <x v="0"/>
    <m/>
    <x v="4"/>
    <m/>
    <x v="9"/>
    <m/>
    <m/>
    <m/>
    <m/>
    <s v="Yes"/>
    <m/>
    <n v="8"/>
    <m/>
    <m/>
    <m/>
    <m/>
    <m/>
    <m/>
    <m/>
    <m/>
    <m/>
    <n v="0"/>
    <m/>
    <m/>
    <m/>
    <x v="13"/>
    <d v="2025-09-25T00:00:00"/>
  </r>
  <r>
    <n v="281"/>
    <d v="2024-12-01T00:00:00"/>
    <m/>
    <x v="0"/>
    <x v="0"/>
    <s v="25-00605"/>
    <x v="116"/>
    <x v="279"/>
    <x v="5"/>
    <x v="1"/>
    <x v="0"/>
    <x v="1"/>
    <s v="Cooling Mechanism"/>
    <x v="0"/>
    <s v="Copper Tubes"/>
    <x v="1"/>
    <s v="Delayed"/>
    <x v="1"/>
    <m/>
    <s v="wk10"/>
    <s v="wk22"/>
    <m/>
    <s v="Yes"/>
    <m/>
    <n v="0"/>
    <s v="12.04.25 Performance testing issues, low suction line temperatures. Testing in progress for 300 and 700. Plant trials with 6mm pipe from India fail. Expecting new samples from Golden Dragon and Haike"/>
    <m/>
    <s v="No"/>
    <m/>
    <m/>
    <m/>
    <m/>
    <m/>
    <m/>
    <n v="2"/>
    <n v="4"/>
    <m/>
    <m/>
    <x v="12"/>
    <d v="2025-05-30T00:00:00"/>
  </r>
  <r>
    <n v="282"/>
    <d v="2024-12-01T00:00:00"/>
    <m/>
    <x v="0"/>
    <x v="0"/>
    <s v="25-00605"/>
    <x v="117"/>
    <x v="280"/>
    <x v="5"/>
    <x v="1"/>
    <x v="0"/>
    <x v="5"/>
    <s v="Cooling Mechanism"/>
    <x v="0"/>
    <m/>
    <x v="1"/>
    <m/>
    <x v="9"/>
    <m/>
    <m/>
    <m/>
    <m/>
    <s v="Yes"/>
    <m/>
    <n v="6"/>
    <m/>
    <m/>
    <m/>
    <m/>
    <m/>
    <m/>
    <m/>
    <m/>
    <m/>
    <n v="0"/>
    <m/>
    <m/>
    <m/>
    <x v="13"/>
    <d v="2025-06-25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1"/>
    <d v="2026-01-01T00:00:00"/>
    <x v="0"/>
    <s v="NM"/>
    <s v="TBR"/>
    <s v="BoB model double HD &amp; SD door - C condition in house production - Key accounts"/>
    <x v="0"/>
    <x v="0"/>
    <s v="PD-India"/>
    <s v="ICM"/>
    <x v="0"/>
    <s v="All"/>
    <m/>
    <s v="In Que"/>
  </r>
  <r>
    <n v="2"/>
    <d v="2026-01-01T00:00:00"/>
    <x v="1"/>
    <s v="BC"/>
    <s v="TBR"/>
    <s v="S-500 development as per EC-26 protocol - COKE"/>
    <x v="0"/>
    <x v="0"/>
    <s v="PD-India"/>
    <s v="ICM"/>
    <x v="0"/>
    <s v="Coke"/>
    <m/>
    <s v="In Que"/>
  </r>
  <r>
    <n v="3"/>
    <d v="2026-01-01T00:00:00"/>
    <x v="0"/>
    <s v="NM"/>
    <s v="TBR"/>
    <s v="50L countertop development form OEM - Key accounts &amp; Coke - in house production"/>
    <x v="0"/>
    <x v="0"/>
    <s v="PD-India"/>
    <s v="Other"/>
    <x v="0"/>
    <s v="WM"/>
    <m/>
    <s v="In Que"/>
  </r>
  <r>
    <n v="4"/>
    <d v="2026-01-01T00:00:00"/>
    <x v="1"/>
    <s v="NO"/>
    <s v="TBR"/>
    <s v="Frameless look alike aesthetics for India models "/>
    <x v="0"/>
    <x v="0"/>
    <s v="PD-India"/>
    <s v="ICM"/>
    <x v="0"/>
    <s v="All"/>
    <m/>
    <s v="In Que"/>
  </r>
  <r>
    <n v="5"/>
    <d v="2026-01-01T00:00:00"/>
    <x v="1"/>
    <s v="BC"/>
    <s v="25-00308"/>
    <s v="SFC-1000→ New Step Cabin design/Phase -2"/>
    <x v="1"/>
    <x v="0"/>
    <s v="PD-India"/>
    <s v="ICM"/>
    <x v="0"/>
    <s v="All"/>
    <s v="C-2025"/>
    <s v="In Que"/>
  </r>
  <r>
    <n v="6"/>
    <d v="2025-06-01T00:00:00"/>
    <x v="1"/>
    <s v="BC"/>
    <s v="24-00218"/>
    <s v="VG 200 R290 - 5 star (All models in cabin)"/>
    <x v="1"/>
    <x v="0"/>
    <s v="PD-India"/>
    <s v="ICM"/>
    <x v="0"/>
    <s v="WM"/>
    <m/>
    <s v="In Que"/>
  </r>
  <r>
    <n v="7"/>
    <d v="2025-06-01T00:00:00"/>
    <x v="1"/>
    <s v="BC"/>
    <s v="24-00220"/>
    <s v="VG 250 R290 - 5 star (All models in cabin)"/>
    <x v="1"/>
    <x v="0"/>
    <s v="PD-India"/>
    <s v="ICM"/>
    <x v="0"/>
    <s v="WM"/>
    <m/>
    <s v="In Que"/>
  </r>
  <r>
    <n v="8"/>
    <d v="2025-06-01T00:00:00"/>
    <x v="1"/>
    <s v="BC"/>
    <s v="24-00208"/>
    <s v="VG 400 R290 - 5 star (All models in cabin)"/>
    <x v="1"/>
    <x v="0"/>
    <s v="PD-India"/>
    <s v="ICM"/>
    <x v="0"/>
    <s v="WM"/>
    <m/>
    <s v="In Que"/>
  </r>
  <r>
    <n v="9"/>
    <d v="2025-06-01T00:00:00"/>
    <x v="1"/>
    <s v="BC"/>
    <s v="24-00209"/>
    <s v="VG 300 R290 - 5 star (All models in cabin)"/>
    <x v="1"/>
    <x v="0"/>
    <s v="PD-India"/>
    <s v="ICM"/>
    <x v="0"/>
    <s v="WM"/>
    <m/>
    <s v="In Que"/>
  </r>
  <r>
    <n v="10"/>
    <d v="2025-06-01T00:00:00"/>
    <x v="1"/>
    <s v="BC"/>
    <s v="24-00210"/>
    <s v="VG 450 R290 - 5 star (All models in cabin)"/>
    <x v="1"/>
    <x v="0"/>
    <s v="PD-India"/>
    <s v="ICM"/>
    <x v="0"/>
    <s v="WM"/>
    <m/>
    <s v="In Que"/>
  </r>
  <r>
    <n v="11"/>
    <d v="2025-06-01T00:00:00"/>
    <x v="1"/>
    <s v="BC"/>
    <s v="24-00213"/>
    <s v="VG500 R290 - 5 star (All models in cabin)"/>
    <x v="1"/>
    <x v="0"/>
    <s v="PD-India"/>
    <s v="ICM"/>
    <x v="0"/>
    <s v="WM"/>
    <m/>
    <s v="In Que"/>
  </r>
  <r>
    <n v="12"/>
    <d v="2025-06-01T00:00:00"/>
    <x v="1"/>
    <s v="BC"/>
    <s v="24-00216"/>
    <s v="VG 550 R290 - 5 star (All models in cabin)"/>
    <x v="1"/>
    <x v="0"/>
    <s v="PD-India"/>
    <s v="ICM"/>
    <x v="0"/>
    <s v="WM"/>
    <m/>
    <s v="In Que"/>
  </r>
  <r>
    <n v="13"/>
    <d v="2025-06-01T00:00:00"/>
    <x v="1"/>
    <s v="BC"/>
    <s v="24-00211"/>
    <s v="VG600 R290 - 5 star (All models in cabin)"/>
    <x v="1"/>
    <x v="0"/>
    <s v="PD-India"/>
    <s v="ICM"/>
    <x v="0"/>
    <s v="WM"/>
    <m/>
    <s v="In Que"/>
  </r>
  <r>
    <n v="14"/>
    <d v="2025-06-01T00:00:00"/>
    <x v="1"/>
    <s v="BC"/>
    <s v="24-00217"/>
    <s v="VG 650 R290 - 5 star (All models in cabin)"/>
    <x v="1"/>
    <x v="0"/>
    <s v="PD-India"/>
    <s v="ICM"/>
    <x v="0"/>
    <s v="WM"/>
    <m/>
    <s v="In Que"/>
  </r>
  <r>
    <n v="15"/>
    <d v="2025-06-01T00:00:00"/>
    <x v="1"/>
    <s v="BC"/>
    <s v="24-00215"/>
    <s v="VG700 R290 - 5 star (All models in cabin)"/>
    <x v="1"/>
    <x v="0"/>
    <s v="PD-India"/>
    <s v="ICM"/>
    <x v="0"/>
    <s v="WM"/>
    <m/>
    <s v="In Que"/>
  </r>
  <r>
    <n v="16"/>
    <d v="2025-06-01T00:00:00"/>
    <x v="1"/>
    <s v="BC"/>
    <s v="24-00214"/>
    <s v="VG950 R290 - 5 star (All models in cabin)"/>
    <x v="1"/>
    <x v="0"/>
    <s v="PD-India"/>
    <s v="ICM"/>
    <x v="0"/>
    <s v="WM"/>
    <m/>
    <s v="In Que"/>
  </r>
  <r>
    <n v="17"/>
    <d v="2025-06-01T00:00:00"/>
    <x v="1"/>
    <s v="BC"/>
    <s v="24-00219"/>
    <s v="VG 1100 R290 - 5 star (All models in cabin)"/>
    <x v="1"/>
    <x v="0"/>
    <s v="PD-India"/>
    <s v="ICM"/>
    <x v="0"/>
    <s v="WM"/>
    <m/>
    <s v="In Que"/>
  </r>
  <r>
    <n v="18"/>
    <d v="2026-01-01T00:00:00"/>
    <x v="1"/>
    <s v="NM"/>
    <s v="TBR"/>
    <s v="SP 200 development as per META - Pepsi certification only"/>
    <x v="0"/>
    <x v="0"/>
    <s v="PD-India"/>
    <s v="ICM"/>
    <x v="0"/>
    <s v="Pepsico"/>
    <m/>
    <s v="In Que"/>
  </r>
  <r>
    <n v="19"/>
    <d v="2026-01-01T00:00:00"/>
    <x v="1"/>
    <s v="BC"/>
    <s v="TBR"/>
    <s v="S-45 testing and development  - As per Heineiken protocol"/>
    <x v="0"/>
    <x v="0"/>
    <s v="PD-India"/>
    <s v="ICM"/>
    <x v="0"/>
    <s v="KA"/>
    <m/>
    <s v="In Que"/>
  </r>
  <r>
    <n v="20"/>
    <d v="2026-01-01T00:00:00"/>
    <x v="1"/>
    <s v="BC"/>
    <s v="TBR"/>
    <s v="S-60  testing and development  - As per Heineiken protocol"/>
    <x v="0"/>
    <x v="0"/>
    <s v="PD-India"/>
    <s v="ICM"/>
    <x v="0"/>
    <s v="KA"/>
    <m/>
    <s v="In Que"/>
  </r>
  <r>
    <n v="21"/>
    <d v="2026-01-01T00:00:00"/>
    <x v="1"/>
    <s v="BC"/>
    <s v="TBR"/>
    <s v="S-1100 testing and development  - As per Heineiken protocol"/>
    <x v="0"/>
    <x v="0"/>
    <s v="PD-India"/>
    <s v="ICM"/>
    <x v="0"/>
    <s v="KA"/>
    <m/>
    <s v="In Que"/>
  </r>
  <r>
    <n v="22"/>
    <d v="2026-01-01T00:00:00"/>
    <x v="1"/>
    <s v="BC"/>
    <s v="TBR"/>
    <s v="S-45 SZ for Heineken for HEINEKEN - Feasibility to define cost &amp; CAPEX for EEI&lt;15 &amp; EEI&lt;20"/>
    <x v="0"/>
    <x v="1"/>
    <s v="PD-India"/>
    <s v="ICM"/>
    <x v="0"/>
    <s v="KA"/>
    <m/>
    <s v="In Que"/>
  </r>
  <r>
    <n v="23"/>
    <d v="2026-01-01T00:00:00"/>
    <x v="1"/>
    <s v="BC"/>
    <s v="TBR"/>
    <s v="S-60 SZ for Heineken for HEINEKEN - Feasibility to define cost &amp; CAPEX for EEI&lt;15 &amp; EEI&lt;20"/>
    <x v="0"/>
    <x v="1"/>
    <s v="PD-India"/>
    <s v="ICM"/>
    <x v="0"/>
    <s v="KA"/>
    <m/>
    <s v="In Que"/>
  </r>
  <r>
    <n v="24"/>
    <d v="2026-01-01T00:00:00"/>
    <x v="1"/>
    <s v="CO"/>
    <s v="TBR"/>
    <s v="PSU Done 8W/15-16W/24W/30W as alternative to Tauras"/>
    <x v="1"/>
    <x v="2"/>
    <s v="PD-India"/>
    <s v="ICM"/>
    <x v="0"/>
    <s v="All"/>
    <m/>
    <s v="In Que"/>
  </r>
  <r>
    <n v="25"/>
    <d v="2026-01-01T00:00:00"/>
    <x v="0"/>
    <s v="BC"/>
    <s v="TBR"/>
    <s v="FV-1000 SZ for Heineken - Feasibility to define cost &amp; CAPEX for EEI&lt;15 &amp; EEI&lt;20"/>
    <x v="0"/>
    <x v="1"/>
    <s v="PD-India"/>
    <s v="ICM"/>
    <x v="0"/>
    <s v="KA"/>
    <m/>
    <s v="In Que"/>
  </r>
  <r>
    <n v="26"/>
    <d v="2025-01-01T00:00:00"/>
    <x v="1"/>
    <s v="NM"/>
    <s v="25-00327"/>
    <s v="SC-300 R290 conversions with cost effective measures - BSL"/>
    <x v="1"/>
    <x v="0"/>
    <s v="PD-India"/>
    <s v="ICM"/>
    <x v="0"/>
    <s v="KA"/>
    <m/>
    <s v="In Que"/>
  </r>
  <r>
    <n v="27"/>
    <d v="2025-01-01T00:00:00"/>
    <x v="1"/>
    <s v="NM"/>
    <s v="25-00328"/>
    <s v="SC-375 R290 conversions with cost effective measures - BSL"/>
    <x v="1"/>
    <x v="0"/>
    <s v="PD-India"/>
    <s v="ICM"/>
    <x v="0"/>
    <s v="KA"/>
    <m/>
    <s v="In Que"/>
  </r>
  <r>
    <n v="28"/>
    <d v="2025-01-01T00:00:00"/>
    <x v="1"/>
    <s v="NM"/>
    <s v="25-00329"/>
    <s v="SC-500 R290 conversions with cost effective measures - BSL"/>
    <x v="1"/>
    <x v="0"/>
    <s v="PD-India"/>
    <s v="ICM"/>
    <x v="0"/>
    <s v="KA"/>
    <m/>
    <s v="In Que"/>
  </r>
  <r>
    <n v="29"/>
    <d v="2025-01-01T00:00:00"/>
    <x v="1"/>
    <s v="NM"/>
    <s v="25-00330"/>
    <s v="SC-650 R290 conversions with cost effective measures - BSL"/>
    <x v="1"/>
    <x v="0"/>
    <s v="PD-India"/>
    <s v="ICM"/>
    <x v="0"/>
    <s v="KA"/>
    <m/>
    <s v="In Que"/>
  </r>
  <r>
    <n v="30"/>
    <d v="2025-01-01T00:00:00"/>
    <x v="1"/>
    <s v="NM"/>
    <s v="25-00331"/>
    <s v="SC-1000 R290 conversions with cost effective measures - BSL"/>
    <x v="1"/>
    <x v="0"/>
    <s v="PD-India"/>
    <s v="ICM"/>
    <x v="0"/>
    <s v="KA"/>
    <m/>
    <s v="In Que"/>
  </r>
  <r>
    <n v="31"/>
    <d v="2026-01-01T00:00:00"/>
    <x v="2"/>
    <s v="NO"/>
    <s v="TBR"/>
    <s v="Aesthetical upgrade (icool2 doors with Neon LED or Strip) in key account models - _x000a_S. African range (S-45 SZ) - Key accounts"/>
    <x v="0"/>
    <x v="1"/>
    <s v="PD-India"/>
    <s v="ICM"/>
    <x v="0"/>
    <s v="KA"/>
    <m/>
    <s v="In Que"/>
  </r>
  <r>
    <n v="32"/>
    <d v="2026-01-01T00:00:00"/>
    <x v="2"/>
    <s v="NO"/>
    <s v="TBR"/>
    <s v="Aesthetical upgrade (icool2 doors with Neon LED or Strip) in key account models - _x000a_S. African range ( SL640) - Key accounts"/>
    <x v="0"/>
    <x v="1"/>
    <s v="PD-India"/>
    <s v="ICM"/>
    <x v="0"/>
    <s v="KA"/>
    <m/>
    <s v="In Que"/>
  </r>
  <r>
    <n v="33"/>
    <d v="2026-01-01T00:00:00"/>
    <x v="2"/>
    <s v="NO"/>
    <s v="TBR"/>
    <s v="Aesthetical upgrade (icool2 doors with Neon LED or Strip) in key account models - _x000a_S. African range (HV-71) - Key accounts"/>
    <x v="0"/>
    <x v="1"/>
    <s v="PD-India"/>
    <s v="ICM"/>
    <x v="0"/>
    <s v="KA"/>
    <m/>
    <s v="In Que"/>
  </r>
  <r>
    <n v="34"/>
    <d v="2026-01-01T00:00:00"/>
    <x v="2"/>
    <s v="NO"/>
    <s v="TBR"/>
    <s v="Aesthetical upgrade (icool2 doors with Neon LED or Strip) in key account models - _x000a_S. African range (FV-1000) - Key accounts"/>
    <x v="0"/>
    <x v="1"/>
    <s v="PD-India"/>
    <s v="ICM"/>
    <x v="0"/>
    <s v="KA"/>
    <m/>
    <s v="In Que"/>
  </r>
  <r>
    <n v="35"/>
    <d v="2026-01-01T00:00:00"/>
    <x v="2"/>
    <s v="NO"/>
    <s v="TBR"/>
    <s v="Aesthetical upgrade (icool2 doors with Neon LED or Strip) in key account models - _x000a_S. African range (FV 1000 SZ) - Key accounts"/>
    <x v="0"/>
    <x v="1"/>
    <s v="PD-India"/>
    <s v="ICM"/>
    <x v="0"/>
    <s v="KA"/>
    <m/>
    <s v="In Que"/>
  </r>
  <r>
    <n v="37"/>
    <d v="2026-01-01T00:00:00"/>
    <x v="2"/>
    <s v="SER"/>
    <s v="TBR"/>
    <s v="HV-71 safe cooler development "/>
    <x v="1"/>
    <x v="1"/>
    <s v="PD-India"/>
    <s v="ICM"/>
    <x v="0"/>
    <s v="Coke"/>
    <m/>
    <s v="In Que"/>
  </r>
  <r>
    <n v="38"/>
    <d v="2026-01-01T00:00:00"/>
    <x v="1"/>
    <s v="CO"/>
    <s v="TBR"/>
    <s v="S-250 as per EC26 protocol"/>
    <x v="1"/>
    <x v="0"/>
    <s v="PD-India"/>
    <s v="ICM"/>
    <x v="0"/>
    <s v="Coke"/>
    <m/>
    <s v="In Que"/>
  </r>
  <r>
    <n v="39"/>
    <d v="2026-01-01T00:00:00"/>
    <x v="0"/>
    <s v="NM"/>
    <s v="TBR"/>
    <s v="350L premium slim cooler development, New platform project - Indonesia Pepsi"/>
    <x v="1"/>
    <x v="3"/>
    <s v="PD-India"/>
    <s v="ICM"/>
    <x v="0"/>
    <s v="Pepsico"/>
    <m/>
    <s v="In Que"/>
  </r>
  <r>
    <n v="40"/>
    <d v="2026-01-01T00:00:00"/>
    <x v="0"/>
    <s v="CO"/>
    <s v="TBR"/>
    <s v="9 facing single door HC @  60HZ &amp; D-Condition with back airflow and market required features (HD Shelves, SS based, Temp. display castor. Etc) that is based on existing cabin  – Meet CC EC26 requirement "/>
    <x v="0"/>
    <x v="0"/>
    <s v="PD-India"/>
    <s v="ICM"/>
    <x v="0"/>
    <s v="Coke"/>
    <m/>
    <s v="In Que"/>
  </r>
  <r>
    <n v="41"/>
    <d v="2026-01-01T00:00:00"/>
    <x v="1"/>
    <s v="BC"/>
    <s v="TBR"/>
    <s v="FV-1000 D development as per Coke EC 26 "/>
    <x v="1"/>
    <x v="3"/>
    <s v="PD-India"/>
    <s v="ICM"/>
    <x v="0"/>
    <s v="Coke"/>
    <m/>
    <s v="In Que"/>
  </r>
  <r>
    <n v="42"/>
    <d v="2026-01-01T00:00:00"/>
    <x v="1"/>
    <s v="BC"/>
    <s v="TBR"/>
    <s v="E-47 development as per EC-26 protocol - CPNG "/>
    <x v="1"/>
    <x v="3"/>
    <s v="PD-India"/>
    <s v="ICM"/>
    <x v="0"/>
    <s v="Coke"/>
    <m/>
    <s v="In Que"/>
  </r>
  <r>
    <n v="43"/>
    <d v="2024-12-01T00:00:00"/>
    <x v="2"/>
    <s v="CO"/>
    <s v="22-00060"/>
    <s v="ON OFF switch development"/>
    <x v="1"/>
    <x v="0"/>
    <s v="PD-India"/>
    <s v="ICM"/>
    <x v="1"/>
    <s v="All"/>
    <m/>
    <s v="In Que"/>
  </r>
  <r>
    <n v="44"/>
    <d v="2024-08-01T00:00:00"/>
    <x v="2"/>
    <s v="CO"/>
    <s v="24-00226"/>
    <s v="Huawei PSUs"/>
    <x v="1"/>
    <x v="2"/>
    <s v="PD-India"/>
    <s v="ICM"/>
    <x v="1"/>
    <s v="All"/>
    <m/>
    <s v="In Que"/>
  </r>
  <r>
    <n v="45"/>
    <d v="2025-02-01T00:00:00"/>
    <x v="2"/>
    <s v="CO"/>
    <s v="25-00249"/>
    <s v="Sedes Heaters for India and South Africa"/>
    <x v="1"/>
    <x v="2"/>
    <s v="PD-India"/>
    <s v="ICM"/>
    <x v="1"/>
    <s v="All"/>
    <m/>
    <s v="In Que"/>
  </r>
  <r>
    <n v="46"/>
    <d v="2025-06-01T00:00:00"/>
    <x v="2"/>
    <s v="CO"/>
    <s v="25-00353"/>
    <s v="Alternative Shaded Pole 7W Xing Yuang YZF 7-20 ALUMINIUM WIRE for Hicool  83A230SAC-7W "/>
    <x v="1"/>
    <x v="2"/>
    <s v="PD-India"/>
    <s v="ICM"/>
    <x v="1"/>
    <s v="All"/>
    <m/>
    <s v="In Que"/>
  </r>
  <r>
    <n v="47"/>
    <d v="2025-06-01T00:00:00"/>
    <x v="2"/>
    <s v="CO"/>
    <s v="25-00354"/>
    <s v="Alternative Shaded Pole 5W Xing Yuang YZF 7-20 for Hicool 83A230SAC-7W "/>
    <x v="1"/>
    <x v="2"/>
    <s v="PD-India"/>
    <s v="ICM"/>
    <x v="1"/>
    <s v="All"/>
    <m/>
    <s v="In Que"/>
  </r>
  <r>
    <n v="48"/>
    <d v="2024-08-06T08:07:37"/>
    <x v="2"/>
    <s v="CO"/>
    <s v="24-00223"/>
    <s v="Jinbo PSUs"/>
    <x v="1"/>
    <x v="2"/>
    <s v="PD-India"/>
    <s v="ICM"/>
    <x v="1"/>
    <s v="All"/>
    <m/>
    <s v="In Que"/>
  </r>
  <r>
    <n v="49"/>
    <d v="2025-06-26T06:55:03"/>
    <x v="2"/>
    <s v="CO"/>
    <s v="25-00347"/>
    <s v="Alternative AC Block Motor CCA WIRE Xing Yuang 20W (FM12038A2HS) for Nisiki NIS12038HS2W-ES "/>
    <x v="1"/>
    <x v="2"/>
    <s v="PD-India"/>
    <s v="ICM"/>
    <x v="1"/>
    <s v="All"/>
    <m/>
    <s v="In Que"/>
  </r>
  <r>
    <n v="50"/>
    <d v="2025-06-26T06:55:48"/>
    <x v="2"/>
    <s v="CO"/>
    <s v="25-00348"/>
    <s v="Alternative AC Block Motor Xing Yuang 20W (FM12038A2HS) for Nisiki NIS12038HS2W-ES "/>
    <x v="1"/>
    <x v="2"/>
    <s v="PD-India"/>
    <s v="ICM"/>
    <x v="1"/>
    <s v="All"/>
    <m/>
    <s v="In Que"/>
  </r>
  <r>
    <n v="51"/>
    <d v="2025-06-26T06:57:57"/>
    <x v="2"/>
    <s v="CO"/>
    <s v="25-00351"/>
    <s v="Alternative Shaded Pole 5W Xing Yuang  YZF 5-13 ALUMINIUM WIRE for Hicool  83A230SAC-5W "/>
    <x v="1"/>
    <x v="2"/>
    <s v="PD-India"/>
    <s v="ICM"/>
    <x v="1"/>
    <s v="All"/>
    <m/>
    <s v="In Que"/>
  </r>
  <r>
    <n v="52"/>
    <d v="2025-06-26T06:58:42"/>
    <x v="2"/>
    <s v="CO"/>
    <s v="25-00352"/>
    <s v="Alternative Shaded Pole 5W Xing Yuang YZF 5-13 COPPER WIRE for Hicool  83A230SAC-5W "/>
    <x v="1"/>
    <x v="2"/>
    <s v="PD-India"/>
    <s v="ICM"/>
    <x v="1"/>
    <s v="All"/>
    <m/>
    <s v="In Que"/>
  </r>
  <r>
    <n v="53"/>
    <d v="2025-06-26T07:02:51"/>
    <x v="2"/>
    <s v="CO"/>
    <s v="25-00357"/>
    <s v="Alternative Shaded Pole 16W Xing Yuang YZF 16-25 ALUMINIUM WIRE for Weiguang YZF16-25 "/>
    <x v="1"/>
    <x v="2"/>
    <s v="PD-India"/>
    <s v="ICM"/>
    <x v="1"/>
    <s v="All"/>
    <m/>
    <s v="In Que"/>
  </r>
  <r>
    <n v="54"/>
    <d v="2025-04-01T00:00:00"/>
    <x v="1"/>
    <s v="IMP"/>
    <s v="TBR"/>
    <s v="Super-45 Design data synchronization with production (Product file)"/>
    <x v="1"/>
    <x v="0"/>
    <s v="PD-India"/>
    <s v="ICM"/>
    <x v="2"/>
    <s v="All"/>
    <m/>
    <s v="In Que"/>
  </r>
  <r>
    <n v="55"/>
    <d v="2025-04-01T00:00:00"/>
    <x v="1"/>
    <s v="IMP"/>
    <s v="TBR"/>
    <s v="Super-60 Design data synchronization with production (Product file)"/>
    <x v="1"/>
    <x v="0"/>
    <s v="PD-India"/>
    <s v="ICM"/>
    <x v="2"/>
    <s v="All"/>
    <m/>
    <s v="In Que"/>
  </r>
  <r>
    <n v="56"/>
    <d v="2025-04-01T00:00:00"/>
    <x v="1"/>
    <s v="IMP"/>
    <s v="TBR"/>
    <s v="Super-1100 Design data synchronization with production (Product file)"/>
    <x v="1"/>
    <x v="0"/>
    <s v="PD-India"/>
    <s v="ICM"/>
    <x v="2"/>
    <s v="All"/>
    <m/>
    <s v="In Que"/>
  </r>
  <r>
    <n v="57"/>
    <d v="2025-06-01T00:00:00"/>
    <x v="1"/>
    <s v="NM"/>
    <s v="25-00289-1"/>
    <s v="S-60 R290 EG (PepsiCO &amp; Generic customer)"/>
    <x v="1"/>
    <x v="4"/>
    <s v="PD-India"/>
    <s v="ICM"/>
    <x v="0"/>
    <s v="KA"/>
    <m/>
    <s v="In Que"/>
  </r>
  <r>
    <n v="58"/>
    <d v="2025-06-01T00:00:00"/>
    <x v="1"/>
    <s v="NM"/>
    <s v="25-00292-1"/>
    <s v="S-1100 R290 EG (PepsiCO &amp; Generic customer)"/>
    <x v="1"/>
    <x v="4"/>
    <s v="PD-India"/>
    <s v="ICM"/>
    <x v="0"/>
    <s v="KA"/>
    <m/>
    <s v="In Que"/>
  </r>
  <r>
    <n v="59"/>
    <d v="2025-12-01T00:00:00"/>
    <x v="1"/>
    <s v="IMP"/>
    <s v="TBR"/>
    <s v="SM Updates-6 Nos. of SM"/>
    <x v="0"/>
    <x v="0"/>
    <s v="PD-India"/>
    <s v="Other"/>
    <x v="2"/>
    <s v="All"/>
    <m/>
    <s v="In Qu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1"/>
    <d v="2026-01-01T00:00:00"/>
    <x v="0"/>
    <s v="NM"/>
    <s v="TBR"/>
    <s v="BoB model double HD &amp; SD door - C condition in house production - Key accounts"/>
    <x v="0"/>
    <s v="IND"/>
    <x v="0"/>
    <s v="ICM"/>
    <x v="0"/>
    <s v="All"/>
    <m/>
    <s v="In Que"/>
    <m/>
    <m/>
    <m/>
    <m/>
    <m/>
  </r>
  <r>
    <n v="2"/>
    <d v="2026-01-01T00:00:00"/>
    <x v="1"/>
    <s v="BC"/>
    <s v="TBR"/>
    <s v="S-500 development as per EC-26 protocol - COKE"/>
    <x v="0"/>
    <s v="IND"/>
    <x v="0"/>
    <s v="ICM"/>
    <x v="0"/>
    <s v="Coke"/>
    <m/>
    <s v="In Que"/>
    <m/>
    <m/>
    <m/>
    <m/>
    <m/>
  </r>
  <r>
    <n v="3"/>
    <d v="2026-01-01T00:00:00"/>
    <x v="0"/>
    <s v="NM"/>
    <s v="TBR"/>
    <s v="50L countertop development form OEM - Key accounts &amp; Coke - in house production"/>
    <x v="0"/>
    <s v="IND"/>
    <x v="0"/>
    <s v="Other"/>
    <x v="0"/>
    <s v="WM"/>
    <m/>
    <s v="In Que"/>
    <m/>
    <m/>
    <m/>
    <m/>
    <m/>
  </r>
  <r>
    <n v="4"/>
    <d v="2026-01-01T00:00:00"/>
    <x v="1"/>
    <s v="NO"/>
    <s v="TBR"/>
    <s v="Frameless look alike aesthetics for India models "/>
    <x v="0"/>
    <s v="IND"/>
    <x v="0"/>
    <s v="ICM"/>
    <x v="0"/>
    <s v="All"/>
    <m/>
    <s v="In Que"/>
    <m/>
    <m/>
    <m/>
    <m/>
    <m/>
  </r>
  <r>
    <n v="5"/>
    <d v="2026-01-01T00:00:00"/>
    <x v="1"/>
    <s v="BC"/>
    <s v="25-00308"/>
    <s v="SFC-1000→ New Step Cabin design/Phase -2"/>
    <x v="1"/>
    <s v="IND"/>
    <x v="0"/>
    <s v="ICM"/>
    <x v="0"/>
    <s v="All"/>
    <s v="C-2025"/>
    <s v="In Que"/>
    <m/>
    <m/>
    <m/>
    <m/>
    <m/>
  </r>
  <r>
    <n v="6"/>
    <d v="2025-06-01T00:00:00"/>
    <x v="1"/>
    <s v="BC"/>
    <s v="24-00218"/>
    <s v="VG 200 R290 - 5 star (All models in cabin)"/>
    <x v="1"/>
    <s v="IND"/>
    <x v="0"/>
    <s v="ICM"/>
    <x v="0"/>
    <s v="WM"/>
    <m/>
    <s v="In Que"/>
    <m/>
    <m/>
    <m/>
    <m/>
    <m/>
  </r>
  <r>
    <n v="7"/>
    <d v="2025-06-01T00:00:00"/>
    <x v="1"/>
    <s v="BC"/>
    <s v="24-00220"/>
    <s v="VG 250 R290 - 5 star (All models in cabin)"/>
    <x v="1"/>
    <s v="IND"/>
    <x v="0"/>
    <s v="ICM"/>
    <x v="0"/>
    <s v="WM"/>
    <m/>
    <s v="In Que"/>
    <m/>
    <m/>
    <m/>
    <m/>
    <m/>
  </r>
  <r>
    <n v="8"/>
    <d v="2025-06-01T00:00:00"/>
    <x v="1"/>
    <s v="BC"/>
    <s v="24-00208"/>
    <s v="VG 400 R290 - 5 star (All models in cabin)"/>
    <x v="1"/>
    <s v="IND"/>
    <x v="0"/>
    <s v="ICM"/>
    <x v="0"/>
    <s v="WM"/>
    <m/>
    <s v="In Que"/>
    <m/>
    <m/>
    <m/>
    <m/>
    <m/>
  </r>
  <r>
    <n v="9"/>
    <d v="2025-06-01T00:00:00"/>
    <x v="1"/>
    <s v="BC"/>
    <s v="24-00209"/>
    <s v="VG 300 R290 - 5 star (All models in cabin)"/>
    <x v="1"/>
    <s v="IND"/>
    <x v="0"/>
    <s v="ICM"/>
    <x v="0"/>
    <s v="WM"/>
    <m/>
    <s v="In Que"/>
    <m/>
    <m/>
    <m/>
    <m/>
    <m/>
  </r>
  <r>
    <n v="10"/>
    <d v="2025-06-01T00:00:00"/>
    <x v="1"/>
    <s v="BC"/>
    <s v="24-00210"/>
    <s v="VG 450 R290 - 5 star (All models in cabin)"/>
    <x v="1"/>
    <s v="IND"/>
    <x v="0"/>
    <s v="ICM"/>
    <x v="0"/>
    <s v="WM"/>
    <m/>
    <s v="In Que"/>
    <m/>
    <m/>
    <m/>
    <m/>
    <m/>
  </r>
  <r>
    <n v="11"/>
    <d v="2025-06-01T00:00:00"/>
    <x v="1"/>
    <s v="BC"/>
    <s v="24-00213"/>
    <s v="VG500 R290 - 5 star (All models in cabin)"/>
    <x v="1"/>
    <s v="IND"/>
    <x v="0"/>
    <s v="ICM"/>
    <x v="0"/>
    <s v="WM"/>
    <m/>
    <s v="In Que"/>
    <m/>
    <m/>
    <m/>
    <m/>
    <m/>
  </r>
  <r>
    <n v="12"/>
    <d v="2025-06-01T00:00:00"/>
    <x v="1"/>
    <s v="BC"/>
    <s v="24-00216"/>
    <s v="VG 550 R290 - 5 star (All models in cabin)"/>
    <x v="1"/>
    <s v="IND"/>
    <x v="0"/>
    <s v="ICM"/>
    <x v="0"/>
    <s v="WM"/>
    <m/>
    <s v="In Que"/>
    <m/>
    <m/>
    <m/>
    <m/>
    <m/>
  </r>
  <r>
    <n v="13"/>
    <d v="2025-06-01T00:00:00"/>
    <x v="1"/>
    <s v="BC"/>
    <s v="24-00211"/>
    <s v="VG600 R290 - 5 star (All models in cabin)"/>
    <x v="1"/>
    <s v="IND"/>
    <x v="0"/>
    <s v="ICM"/>
    <x v="0"/>
    <s v="WM"/>
    <m/>
    <s v="In Que"/>
    <m/>
    <m/>
    <m/>
    <m/>
    <m/>
  </r>
  <r>
    <n v="14"/>
    <d v="2025-06-01T00:00:00"/>
    <x v="1"/>
    <s v="BC"/>
    <s v="24-00217"/>
    <s v="VG 650 R290 - 5 star (All models in cabin)"/>
    <x v="1"/>
    <s v="IND"/>
    <x v="0"/>
    <s v="ICM"/>
    <x v="0"/>
    <s v="WM"/>
    <m/>
    <s v="In Que"/>
    <m/>
    <m/>
    <m/>
    <m/>
    <m/>
  </r>
  <r>
    <n v="15"/>
    <d v="2025-06-01T00:00:00"/>
    <x v="1"/>
    <s v="BC"/>
    <s v="24-00215"/>
    <s v="VG700 R290 - 5 star (All models in cabin)"/>
    <x v="1"/>
    <s v="IND"/>
    <x v="0"/>
    <s v="ICM"/>
    <x v="0"/>
    <s v="WM"/>
    <m/>
    <s v="In Que"/>
    <m/>
    <m/>
    <m/>
    <m/>
    <m/>
  </r>
  <r>
    <n v="16"/>
    <d v="2025-06-01T00:00:00"/>
    <x v="1"/>
    <s v="BC"/>
    <s v="24-00214"/>
    <s v="VG950 R290 - 5 star (All models in cabin)"/>
    <x v="1"/>
    <s v="IND"/>
    <x v="0"/>
    <s v="ICM"/>
    <x v="0"/>
    <s v="WM"/>
    <m/>
    <s v="In Que"/>
    <m/>
    <m/>
    <m/>
    <m/>
    <m/>
  </r>
  <r>
    <n v="17"/>
    <d v="2025-06-01T00:00:00"/>
    <x v="1"/>
    <s v="BC"/>
    <s v="24-00219"/>
    <s v="VG 1100 R290 - 5 star (All models in cabin)"/>
    <x v="1"/>
    <s v="IND"/>
    <x v="0"/>
    <s v="ICM"/>
    <x v="0"/>
    <s v="WM"/>
    <m/>
    <s v="In Que"/>
    <m/>
    <m/>
    <m/>
    <m/>
    <m/>
  </r>
  <r>
    <n v="18"/>
    <d v="2026-01-01T00:00:00"/>
    <x v="1"/>
    <s v="NM"/>
    <s v="TBR"/>
    <s v="SP 200 development as per META - Pepsi certification only"/>
    <x v="0"/>
    <s v="IND"/>
    <x v="0"/>
    <s v="ICM"/>
    <x v="0"/>
    <s v="Pepsico"/>
    <m/>
    <s v="In Que"/>
    <m/>
    <m/>
    <m/>
    <m/>
    <m/>
  </r>
  <r>
    <n v="19"/>
    <d v="2026-01-01T00:00:00"/>
    <x v="1"/>
    <s v="BC"/>
    <s v="TBR"/>
    <s v="S-45 testing and development  - As per Heineiken protocol"/>
    <x v="0"/>
    <s v="IND"/>
    <x v="0"/>
    <s v="ICM"/>
    <x v="0"/>
    <s v="KA"/>
    <m/>
    <s v="In Que"/>
    <m/>
    <m/>
    <m/>
    <m/>
    <m/>
  </r>
  <r>
    <n v="20"/>
    <d v="2026-01-01T00:00:00"/>
    <x v="1"/>
    <s v="BC"/>
    <s v="TBR"/>
    <s v="S-60  testing and development  - As per Heineiken protocol"/>
    <x v="0"/>
    <s v="IND"/>
    <x v="0"/>
    <s v="ICM"/>
    <x v="0"/>
    <s v="KA"/>
    <m/>
    <s v="In Que"/>
    <m/>
    <m/>
    <m/>
    <m/>
    <m/>
  </r>
  <r>
    <n v="21"/>
    <d v="2026-01-01T00:00:00"/>
    <x v="1"/>
    <s v="BC"/>
    <s v="TBR"/>
    <s v="S-1100 testing and development  - As per Heineiken protocol"/>
    <x v="0"/>
    <s v="IND"/>
    <x v="0"/>
    <s v="ICM"/>
    <x v="0"/>
    <s v="KA"/>
    <m/>
    <s v="In Que"/>
    <m/>
    <m/>
    <m/>
    <m/>
    <m/>
  </r>
  <r>
    <n v="22"/>
    <d v="2026-01-01T00:00:00"/>
    <x v="1"/>
    <s v="BC"/>
    <s v="TBR"/>
    <s v="S-45 SZ for Heineken for HEINEKEN - Feasibility to define cost &amp; CAPEX for EEI&lt;15 &amp; EEI&lt;20"/>
    <x v="0"/>
    <s v="SAF"/>
    <x v="0"/>
    <s v="ICM"/>
    <x v="0"/>
    <s v="KA"/>
    <m/>
    <s v="In Que"/>
    <m/>
    <m/>
    <m/>
    <m/>
    <m/>
  </r>
  <r>
    <n v="23"/>
    <d v="2026-01-01T00:00:00"/>
    <x v="1"/>
    <s v="BC"/>
    <s v="TBR"/>
    <s v="S-60 SZ for Heineken for HEINEKEN - Feasibility to define cost &amp; CAPEX for EEI&lt;15 &amp; EEI&lt;20"/>
    <x v="0"/>
    <s v="SAF"/>
    <x v="0"/>
    <s v="ICM"/>
    <x v="0"/>
    <s v="KA"/>
    <m/>
    <s v="In Que"/>
    <m/>
    <m/>
    <m/>
    <m/>
    <m/>
  </r>
  <r>
    <n v="24"/>
    <d v="2026-01-01T00:00:00"/>
    <x v="1"/>
    <s v="CO"/>
    <s v="TBR"/>
    <s v="PSU Done 8W/15-16W/24W/30W as alternative to Tauras"/>
    <x v="1"/>
    <s v="Multiplant"/>
    <x v="0"/>
    <s v="ICM"/>
    <x v="0"/>
    <s v="All"/>
    <m/>
    <s v="In Que"/>
    <m/>
    <m/>
    <m/>
    <m/>
    <m/>
  </r>
  <r>
    <n v="25"/>
    <d v="2026-01-01T00:00:00"/>
    <x v="0"/>
    <s v="BC"/>
    <s v="TBR"/>
    <s v="FV-1000 SZ for Heineken - Feasibility to define cost &amp; CAPEX for EEI&lt;15 &amp; EEI&lt;20"/>
    <x v="0"/>
    <s v="SAF"/>
    <x v="0"/>
    <s v="ICM"/>
    <x v="0"/>
    <s v="KA"/>
    <m/>
    <s v="In Que"/>
    <m/>
    <m/>
    <m/>
    <m/>
    <m/>
  </r>
  <r>
    <n v="26"/>
    <d v="2025-01-01T00:00:00"/>
    <x v="1"/>
    <s v="NM"/>
    <s v="25-00327"/>
    <s v="SC-300 R290 conversions with cost effective measures - BSL"/>
    <x v="1"/>
    <s v="IND"/>
    <x v="0"/>
    <s v="ICM"/>
    <x v="0"/>
    <s v="KA"/>
    <m/>
    <s v="In Que"/>
    <m/>
    <m/>
    <m/>
    <m/>
    <m/>
  </r>
  <r>
    <n v="27"/>
    <d v="2025-01-01T00:00:00"/>
    <x v="1"/>
    <s v="NM"/>
    <s v="25-00328"/>
    <s v="SC-375 R290 conversions with cost effective measures - BSL"/>
    <x v="1"/>
    <s v="IND"/>
    <x v="0"/>
    <s v="ICM"/>
    <x v="0"/>
    <s v="KA"/>
    <m/>
    <s v="In Que"/>
    <m/>
    <m/>
    <m/>
    <m/>
    <m/>
  </r>
  <r>
    <n v="28"/>
    <d v="2025-01-01T00:00:00"/>
    <x v="1"/>
    <s v="NM"/>
    <s v="25-00329"/>
    <s v="SC-500 R290 conversions with cost effective measures - BSL"/>
    <x v="1"/>
    <s v="IND"/>
    <x v="0"/>
    <s v="ICM"/>
    <x v="0"/>
    <s v="KA"/>
    <m/>
    <s v="In Que"/>
    <m/>
    <m/>
    <m/>
    <m/>
    <m/>
  </r>
  <r>
    <n v="29"/>
    <d v="2025-01-01T00:00:00"/>
    <x v="1"/>
    <s v="NM"/>
    <s v="25-00330"/>
    <s v="SC-650 R290 conversions with cost effective measures - BSL"/>
    <x v="1"/>
    <s v="IND"/>
    <x v="0"/>
    <s v="ICM"/>
    <x v="0"/>
    <s v="KA"/>
    <m/>
    <s v="In Que"/>
    <m/>
    <m/>
    <m/>
    <m/>
    <m/>
  </r>
  <r>
    <n v="30"/>
    <d v="2025-01-01T00:00:00"/>
    <x v="1"/>
    <s v="NM"/>
    <s v="25-00331"/>
    <s v="SC-1000 R290 conversions with cost effective measures - BSL"/>
    <x v="1"/>
    <s v="IND"/>
    <x v="0"/>
    <s v="ICM"/>
    <x v="0"/>
    <s v="KA"/>
    <m/>
    <s v="In Que"/>
    <m/>
    <m/>
    <m/>
    <m/>
    <m/>
  </r>
  <r>
    <n v="31"/>
    <d v="2026-01-01T00:00:00"/>
    <x v="2"/>
    <s v="NO"/>
    <s v="TBR"/>
    <s v="Aesthetical upgrade (icool2 doors with Neon LED or Strip) in key account models - _x000a_S. African range (S-45 SZ) - Key accounts"/>
    <x v="0"/>
    <s v="SAF"/>
    <x v="0"/>
    <s v="ICM"/>
    <x v="0"/>
    <s v="KA"/>
    <m/>
    <s v="In Que"/>
    <m/>
    <m/>
    <m/>
    <m/>
    <m/>
  </r>
  <r>
    <n v="32"/>
    <d v="2026-01-01T00:00:00"/>
    <x v="2"/>
    <s v="NO"/>
    <s v="TBR"/>
    <s v="Aesthetical upgrade (icool2 doors with Neon LED or Strip) in key account models - _x000a_S. African range ( SL640) - Key accounts"/>
    <x v="0"/>
    <s v="SAF"/>
    <x v="0"/>
    <s v="ICM"/>
    <x v="0"/>
    <s v="KA"/>
    <m/>
    <s v="In Que"/>
    <m/>
    <m/>
    <m/>
    <m/>
    <m/>
  </r>
  <r>
    <n v="33"/>
    <d v="2026-01-01T00:00:00"/>
    <x v="2"/>
    <s v="NO"/>
    <s v="TBR"/>
    <s v="Aesthetical upgrade (icool2 doors with Neon LED or Strip) in key account models - _x000a_S. African range (HV-71) - Key accounts"/>
    <x v="0"/>
    <s v="SAF"/>
    <x v="0"/>
    <s v="ICM"/>
    <x v="0"/>
    <s v="KA"/>
    <m/>
    <s v="In Que"/>
    <m/>
    <m/>
    <m/>
    <m/>
    <m/>
  </r>
  <r>
    <n v="34"/>
    <d v="2026-01-01T00:00:00"/>
    <x v="2"/>
    <s v="NO"/>
    <s v="TBR"/>
    <s v="Aesthetical upgrade (icool2 doors with Neon LED or Strip) in key account models - _x000a_S. African range (FV-1000) - Key accounts"/>
    <x v="0"/>
    <s v="SAF"/>
    <x v="0"/>
    <s v="ICM"/>
    <x v="0"/>
    <s v="KA"/>
    <m/>
    <s v="In Que"/>
    <m/>
    <m/>
    <m/>
    <m/>
    <m/>
  </r>
  <r>
    <n v="35"/>
    <d v="2026-01-01T00:00:00"/>
    <x v="2"/>
    <s v="NO"/>
    <s v="TBR"/>
    <s v="Aesthetical upgrade (icool2 doors with Neon LED or Strip) in key account models - _x000a_S. African range (FV 1000 SZ) - Key accounts"/>
    <x v="0"/>
    <s v="SAF"/>
    <x v="0"/>
    <s v="ICM"/>
    <x v="0"/>
    <s v="KA"/>
    <m/>
    <s v="In Que"/>
    <m/>
    <m/>
    <m/>
    <m/>
    <m/>
  </r>
  <r>
    <n v="37"/>
    <d v="2026-01-01T00:00:00"/>
    <x v="2"/>
    <s v="SER"/>
    <s v="TBR"/>
    <s v="HV-71 safe cooler development "/>
    <x v="1"/>
    <s v="SAF"/>
    <x v="0"/>
    <s v="ICM"/>
    <x v="0"/>
    <s v="Coke"/>
    <m/>
    <s v="In Que"/>
    <m/>
    <m/>
    <m/>
    <m/>
    <m/>
  </r>
  <r>
    <n v="38"/>
    <d v="2026-01-01T00:00:00"/>
    <x v="1"/>
    <s v="CO"/>
    <s v="TBR"/>
    <s v="S-250 as per EC26 protocol"/>
    <x v="1"/>
    <s v="IND"/>
    <x v="0"/>
    <s v="ICM"/>
    <x v="0"/>
    <s v="Coke"/>
    <m/>
    <s v="In Que"/>
    <m/>
    <m/>
    <m/>
    <m/>
    <m/>
  </r>
  <r>
    <n v="39"/>
    <d v="2026-01-01T00:00:00"/>
    <x v="0"/>
    <s v="NM"/>
    <s v="TBR"/>
    <s v="350L premium slim cooler development, New platform project - Indonesia Pepsi"/>
    <x v="1"/>
    <s v="INN"/>
    <x v="0"/>
    <s v="ICM"/>
    <x v="0"/>
    <s v="Pepsico"/>
    <m/>
    <s v="In Que"/>
    <m/>
    <m/>
    <m/>
    <m/>
    <m/>
  </r>
  <r>
    <n v="40"/>
    <d v="2026-01-01T00:00:00"/>
    <x v="0"/>
    <s v="CO"/>
    <s v="TBR"/>
    <s v="9 facing single door HC @  60HZ &amp; D-Condition with back airflow and market required features (HD Shelves, SS based, Temp. display castor. Etc) that is based on existing cabin  – Meet CC EC26 requirement "/>
    <x v="0"/>
    <s v="IND"/>
    <x v="0"/>
    <s v="ICM"/>
    <x v="0"/>
    <s v="Coke"/>
    <m/>
    <s v="In Que"/>
    <m/>
    <m/>
    <m/>
    <m/>
    <m/>
  </r>
  <r>
    <n v="41"/>
    <d v="2026-01-01T00:00:00"/>
    <x v="1"/>
    <s v="BC"/>
    <s v="TBR"/>
    <s v="FV-1000 D development as per Coke EC 26 "/>
    <x v="1"/>
    <s v="INN"/>
    <x v="0"/>
    <s v="ICM"/>
    <x v="0"/>
    <s v="Coke"/>
    <m/>
    <s v="In Que"/>
    <m/>
    <m/>
    <m/>
    <m/>
    <m/>
  </r>
  <r>
    <n v="42"/>
    <d v="2026-01-01T00:00:00"/>
    <x v="1"/>
    <s v="BC"/>
    <s v="TBR"/>
    <s v="E-47 development as per EC-26 protocol - CPNG "/>
    <x v="1"/>
    <s v="INN"/>
    <x v="0"/>
    <s v="ICM"/>
    <x v="0"/>
    <s v="Coke"/>
    <m/>
    <s v="In Que"/>
    <m/>
    <m/>
    <m/>
    <m/>
    <m/>
  </r>
  <r>
    <n v="43"/>
    <d v="2024-12-01T00:00:00"/>
    <x v="2"/>
    <s v="CO"/>
    <s v="22-00060"/>
    <s v="ON OFF switch development"/>
    <x v="1"/>
    <s v="IND"/>
    <x v="0"/>
    <s v="ICM"/>
    <x v="1"/>
    <s v="All"/>
    <m/>
    <s v="In Que"/>
    <m/>
    <m/>
    <m/>
    <m/>
    <m/>
  </r>
  <r>
    <n v="44"/>
    <d v="2024-08-01T00:00:00"/>
    <x v="2"/>
    <s v="CO"/>
    <s v="24-00226"/>
    <s v="Huawei PSUs"/>
    <x v="1"/>
    <s v="Multiplant"/>
    <x v="0"/>
    <s v="ICM"/>
    <x v="1"/>
    <s v="All"/>
    <m/>
    <s v="In Que"/>
    <m/>
    <m/>
    <m/>
    <m/>
    <m/>
  </r>
  <r>
    <n v="45"/>
    <d v="2025-02-01T00:00:00"/>
    <x v="2"/>
    <s v="CO"/>
    <s v="25-00249"/>
    <s v="Sedes Heaters for India and South Africa"/>
    <x v="1"/>
    <s v="Multiplant"/>
    <x v="0"/>
    <s v="ICM"/>
    <x v="1"/>
    <s v="All"/>
    <m/>
    <s v="In Que"/>
    <m/>
    <m/>
    <m/>
    <m/>
    <m/>
  </r>
  <r>
    <n v="46"/>
    <d v="2025-06-01T00:00:00"/>
    <x v="2"/>
    <s v="CO"/>
    <s v="25-00353"/>
    <s v="Alternative Shaded Pole 7W Xing Yuang YZF 7-20 ALUMINIUM WIRE for Hicool  83A230SAC-7W "/>
    <x v="1"/>
    <s v="Multiplant"/>
    <x v="0"/>
    <s v="ICM"/>
    <x v="1"/>
    <s v="All"/>
    <m/>
    <s v="In Que"/>
    <m/>
    <m/>
    <m/>
    <m/>
    <m/>
  </r>
  <r>
    <n v="47"/>
    <d v="2025-06-01T00:00:00"/>
    <x v="2"/>
    <s v="CO"/>
    <s v="25-00354"/>
    <s v="Alternative Shaded Pole 5W Xing Yuang YZF 7-20 for Hicool 83A230SAC-7W "/>
    <x v="1"/>
    <s v="Multiplant"/>
    <x v="0"/>
    <s v="ICM"/>
    <x v="1"/>
    <s v="All"/>
    <m/>
    <s v="In Que"/>
    <m/>
    <m/>
    <m/>
    <m/>
    <m/>
  </r>
  <r>
    <n v="48"/>
    <d v="2024-08-06T08:07:37"/>
    <x v="2"/>
    <s v="CO"/>
    <s v="24-00223"/>
    <s v="Jinbo PSUs"/>
    <x v="1"/>
    <s v="Multiplant"/>
    <x v="0"/>
    <s v="ICM"/>
    <x v="1"/>
    <s v="All"/>
    <m/>
    <s v="In Que"/>
    <m/>
    <m/>
    <m/>
    <m/>
    <m/>
  </r>
  <r>
    <n v="49"/>
    <d v="2025-06-26T06:55:03"/>
    <x v="2"/>
    <s v="CO"/>
    <s v="25-00347"/>
    <s v="Alternative AC Block Motor CCA WIRE Xing Yuang 20W (FM12038A2HS) for Nisiki NIS12038HS2W-ES "/>
    <x v="1"/>
    <s v="Multiplant"/>
    <x v="0"/>
    <s v="ICM"/>
    <x v="1"/>
    <s v="All"/>
    <m/>
    <s v="In Que"/>
    <m/>
    <m/>
    <m/>
    <m/>
    <m/>
  </r>
  <r>
    <n v="50"/>
    <d v="2025-06-26T06:55:48"/>
    <x v="2"/>
    <s v="CO"/>
    <s v="25-00348"/>
    <s v="Alternative AC Block Motor Xing Yuang 20W (FM12038A2HS) for Nisiki NIS12038HS2W-ES "/>
    <x v="1"/>
    <s v="Multiplant"/>
    <x v="0"/>
    <s v="ICM"/>
    <x v="1"/>
    <s v="All"/>
    <m/>
    <s v="In Que"/>
    <m/>
    <m/>
    <m/>
    <m/>
    <m/>
  </r>
  <r>
    <n v="51"/>
    <d v="2025-06-26T06:57:57"/>
    <x v="2"/>
    <s v="CO"/>
    <s v="25-00351"/>
    <s v="Alternative Shaded Pole 5W Xing Yuang  YZF 5-13 ALUMINIUM WIRE for Hicool  83A230SAC-5W "/>
    <x v="1"/>
    <s v="Multiplant"/>
    <x v="0"/>
    <s v="ICM"/>
    <x v="1"/>
    <s v="All"/>
    <m/>
    <s v="In Que"/>
    <m/>
    <m/>
    <m/>
    <m/>
    <m/>
  </r>
  <r>
    <n v="52"/>
    <d v="2025-06-26T06:58:42"/>
    <x v="2"/>
    <s v="CO"/>
    <s v="25-00352"/>
    <s v="Alternative Shaded Pole 5W Xing Yuang YZF 5-13 COPPER WIRE for Hicool  83A230SAC-5W "/>
    <x v="1"/>
    <s v="Multiplant"/>
    <x v="0"/>
    <s v="ICM"/>
    <x v="1"/>
    <s v="All"/>
    <m/>
    <s v="In Que"/>
    <m/>
    <m/>
    <m/>
    <m/>
    <m/>
  </r>
  <r>
    <n v="53"/>
    <d v="2025-06-26T07:02:51"/>
    <x v="2"/>
    <s v="CO"/>
    <s v="25-00357"/>
    <s v="Alternative Shaded Pole 16W Xing Yuang YZF 16-25 ALUMINIUM WIRE for Weiguang YZF16-25 "/>
    <x v="1"/>
    <s v="Multiplant"/>
    <x v="0"/>
    <s v="ICM"/>
    <x v="1"/>
    <s v="All"/>
    <m/>
    <s v="In Que"/>
    <m/>
    <m/>
    <m/>
    <m/>
    <m/>
  </r>
  <r>
    <n v="54"/>
    <d v="2025-04-01T00:00:00"/>
    <x v="1"/>
    <s v="IMP"/>
    <s v="TBR"/>
    <s v="Super-45 Design data synchronization with production (Product file)"/>
    <x v="1"/>
    <s v="IND"/>
    <x v="0"/>
    <s v="ICM"/>
    <x v="2"/>
    <s v="All"/>
    <m/>
    <s v="In Que"/>
    <m/>
    <m/>
    <m/>
    <m/>
    <m/>
  </r>
  <r>
    <n v="55"/>
    <d v="2025-04-01T00:00:00"/>
    <x v="1"/>
    <s v="IMP"/>
    <s v="TBR"/>
    <s v="Super-60 Design data synchronization with production (Product file)"/>
    <x v="1"/>
    <s v="IND"/>
    <x v="0"/>
    <s v="ICM"/>
    <x v="2"/>
    <s v="All"/>
    <m/>
    <s v="In Que"/>
    <m/>
    <m/>
    <m/>
    <m/>
    <m/>
  </r>
  <r>
    <n v="56"/>
    <d v="2025-04-01T00:00:00"/>
    <x v="1"/>
    <s v="IMP"/>
    <s v="TBR"/>
    <s v="Super-1100 Design data synchronization with production (Product file)"/>
    <x v="1"/>
    <s v="IND"/>
    <x v="0"/>
    <s v="ICM"/>
    <x v="2"/>
    <s v="All"/>
    <m/>
    <s v="In Que"/>
    <m/>
    <m/>
    <m/>
    <m/>
    <m/>
  </r>
  <r>
    <n v="57"/>
    <d v="2025-06-01T00:00:00"/>
    <x v="1"/>
    <s v="NM"/>
    <s v="25-00289-1"/>
    <s v="S-60 R290 EG (PepsiCO &amp; Generic customer)"/>
    <x v="1"/>
    <s v="Egypt"/>
    <x v="0"/>
    <s v="ICM"/>
    <x v="0"/>
    <s v="KA"/>
    <m/>
    <s v="In Que"/>
    <m/>
    <m/>
    <m/>
    <m/>
    <m/>
  </r>
  <r>
    <n v="58"/>
    <d v="2025-06-01T00:00:00"/>
    <x v="1"/>
    <s v="NM"/>
    <s v="25-00292-1"/>
    <s v="S-1100 R290 EG (PepsiCO &amp; Generic customer)"/>
    <x v="1"/>
    <s v="Egypt"/>
    <x v="0"/>
    <s v="ICM"/>
    <x v="0"/>
    <s v="KA"/>
    <m/>
    <s v="In Que"/>
    <m/>
    <m/>
    <m/>
    <m/>
    <m/>
  </r>
  <r>
    <n v="59"/>
    <d v="2025-12-01T00:00:00"/>
    <x v="1"/>
    <s v="IMP"/>
    <s v="TBR"/>
    <s v="SM Updates-6 Nos. of SM"/>
    <x v="0"/>
    <s v="IND"/>
    <x v="0"/>
    <s v="Other"/>
    <x v="2"/>
    <s v="All"/>
    <m/>
    <s v="In Que"/>
    <m/>
    <m/>
    <m/>
    <m/>
    <m/>
  </r>
  <r>
    <n v="60"/>
    <d v="2024-08-01T00:00:00"/>
    <x v="1"/>
    <s v="NO"/>
    <s v="24-00523"/>
    <s v="Plus-450 Vending cooler / Max-750  "/>
    <x v="1"/>
    <s v="ROM"/>
    <x v="1"/>
    <s v="ICM"/>
    <x v="0"/>
    <m/>
    <m/>
    <s v="Development"/>
    <m/>
    <m/>
    <m/>
    <m/>
    <m/>
  </r>
  <r>
    <n v="61"/>
    <d v="2025-08-01T00:00:00"/>
    <x v="1"/>
    <s v="NO"/>
    <s v="25-00628"/>
    <s v="Max 750 Sub Zero"/>
    <x v="0"/>
    <s v="ROM"/>
    <x v="1"/>
    <s v="ICM"/>
    <x v="0"/>
    <m/>
    <m/>
    <s v="In Que"/>
    <m/>
    <m/>
    <m/>
    <m/>
    <m/>
  </r>
  <r>
    <n v="62"/>
    <d v="2025-11-01T00:00:00"/>
    <x v="1"/>
    <s v="NO"/>
    <s v="25-00640"/>
    <s v="K2 controller settings for MAX B range &amp; PoC for EEI&lt;15"/>
    <x v="0"/>
    <s v="ROM"/>
    <x v="1"/>
    <s v="ICM"/>
    <x v="0"/>
    <m/>
    <m/>
    <s v="Development"/>
    <m/>
    <m/>
    <m/>
    <m/>
    <m/>
  </r>
  <r>
    <n v="63"/>
    <d v="2025-10-01T00:00:00"/>
    <x v="2"/>
    <s v="NO"/>
    <s v="25-00639"/>
    <s v="Development of Plus 1200 DD with FDE-32 (K4)"/>
    <x v="0"/>
    <s v="ROM"/>
    <x v="1"/>
    <s v="ICM"/>
    <x v="0"/>
    <m/>
    <m/>
    <s v="In Que"/>
    <m/>
    <m/>
    <m/>
    <m/>
    <m/>
  </r>
  <r>
    <n v="64"/>
    <d v="2025-08-01T00:00:00"/>
    <x v="1"/>
    <s v="NO"/>
    <s v="25-00629 "/>
    <s v="Sample 3D Branding ''Effect'' in Max 450 B"/>
    <x v="0"/>
    <s v="ROM"/>
    <x v="1"/>
    <s v="ICM"/>
    <x v="0"/>
    <m/>
    <m/>
    <s v="In Que"/>
    <m/>
    <m/>
    <m/>
    <m/>
    <m/>
  </r>
  <r>
    <n v="65"/>
    <d v="2025-07-01T00:00:00"/>
    <x v="0"/>
    <s v="NM"/>
    <s v="25-00621"/>
    <s v="MAX-1200 HD A Rating for non-Coke"/>
    <x v="1"/>
    <s v="ROM"/>
    <x v="1"/>
    <s v="ICM"/>
    <x v="0"/>
    <m/>
    <m/>
    <s v="Industrialization"/>
    <m/>
    <m/>
    <m/>
    <m/>
    <m/>
  </r>
  <r>
    <n v="66"/>
    <d v="2025-02-10T00:00:00"/>
    <x v="2"/>
    <s v="CO"/>
    <s v="25-00586"/>
    <s v="iPixel LEDs as alternative to Refond"/>
    <x v="1"/>
    <s v="ROM"/>
    <x v="1"/>
    <s v="ICM"/>
    <x v="1"/>
    <m/>
    <m/>
    <s v="On Hold"/>
    <m/>
    <m/>
    <m/>
    <m/>
    <m/>
  </r>
  <r>
    <n v="67"/>
    <d v="2025-02-10T00:00:00"/>
    <x v="1"/>
    <s v="CO"/>
    <s v="25-00589"/>
    <s v="Saiwei 5W EC compact motor"/>
    <x v="1"/>
    <s v="ROM"/>
    <x v="1"/>
    <s v="ICM"/>
    <x v="1"/>
    <m/>
    <m/>
    <s v="On Hold"/>
    <m/>
    <m/>
    <m/>
    <m/>
    <m/>
  </r>
  <r>
    <n v="68"/>
    <d v="2025-02-10T00:00:00"/>
    <x v="1"/>
    <s v="CO"/>
    <s v="25-00591"/>
    <s v="Honker controller"/>
    <x v="1"/>
    <s v="ROM"/>
    <x v="1"/>
    <s v="ICM"/>
    <x v="1"/>
    <m/>
    <m/>
    <s v="On Hold"/>
    <m/>
    <m/>
    <m/>
    <m/>
    <m/>
  </r>
  <r>
    <n v="69"/>
    <d v="2024-09-01T00:00:00"/>
    <x v="1"/>
    <s v="CO"/>
    <s v="24-00557"/>
    <s v="PSU Done 24W"/>
    <x v="1"/>
    <s v="ROM"/>
    <x v="1"/>
    <s v="ICM"/>
    <x v="1"/>
    <m/>
    <m/>
    <s v="On Hold"/>
    <m/>
    <m/>
    <m/>
    <m/>
    <m/>
  </r>
  <r>
    <n v="70"/>
    <d v="2024-09-01T00:00:00"/>
    <x v="1"/>
    <s v="CO"/>
    <s v="24-00556"/>
    <s v="PSU Done 16W"/>
    <x v="1"/>
    <s v="ROM"/>
    <x v="1"/>
    <s v="ICM"/>
    <x v="1"/>
    <m/>
    <m/>
    <s v="On Hold"/>
    <m/>
    <m/>
    <m/>
    <m/>
    <m/>
  </r>
  <r>
    <n v="71"/>
    <d v="2024-09-01T00:00:00"/>
    <x v="1"/>
    <s v="CO"/>
    <s v="24-00555"/>
    <s v="PSU Done 12W"/>
    <x v="1"/>
    <s v="ROM"/>
    <x v="1"/>
    <s v="ICM"/>
    <x v="1"/>
    <m/>
    <m/>
    <s v="On Hold"/>
    <m/>
    <m/>
    <m/>
    <m/>
    <m/>
  </r>
  <r>
    <n v="72"/>
    <d v="2024-12-01T00:00:00"/>
    <x v="2"/>
    <s v="NO"/>
    <s v="24-00564"/>
    <s v="New Coca-Cola branding for CCEP Europe"/>
    <x v="1"/>
    <s v="ROM"/>
    <x v="1"/>
    <s v="ICM"/>
    <x v="0"/>
    <m/>
    <m/>
    <s v="On Hold"/>
    <m/>
    <m/>
    <m/>
    <m/>
    <m/>
  </r>
  <r>
    <n v="73"/>
    <d v="2025-04-01T00:00:00"/>
    <x v="2"/>
    <s v="NO"/>
    <s v="25-00612"/>
    <s v="Stabilization/Support kit for Plus 900 HD to prevent sagging of cooling mechanism due to customer mis-use"/>
    <x v="1"/>
    <s v="ROM"/>
    <x v="1"/>
    <s v="ICM"/>
    <x v="0"/>
    <m/>
    <m/>
    <s v="On Hold"/>
    <m/>
    <m/>
    <m/>
    <m/>
    <m/>
  </r>
  <r>
    <n v="74"/>
    <d v="2024-12-01T00:00:00"/>
    <x v="1"/>
    <s v="NO"/>
    <s v="24-00551"/>
    <s v="Max 450 C _x000a_Donper SK43CU1_x000a_Su 50 DU1  "/>
    <x v="1"/>
    <s v="ROM"/>
    <x v="1"/>
    <s v="ICM"/>
    <x v="1"/>
    <m/>
    <m/>
    <s v="On Hold"/>
    <m/>
    <m/>
    <m/>
    <m/>
    <m/>
  </r>
  <r>
    <n v="75"/>
    <d v="2024-12-01T00:00:00"/>
    <x v="1"/>
    <s v="CO"/>
    <s v="25-00590"/>
    <s v="Keepthink controller"/>
    <x v="1"/>
    <s v="ROM"/>
    <x v="1"/>
    <s v="ICM"/>
    <x v="1"/>
    <m/>
    <m/>
    <s v="On Hold"/>
    <m/>
    <m/>
    <m/>
    <m/>
    <m/>
  </r>
  <r>
    <n v="76"/>
    <d v="2024-09-01T00:00:00"/>
    <x v="1"/>
    <s v="CO"/>
    <s v="24-00551"/>
    <s v="Alternative compressor to Wanbao FTA45L - GMCC PA50EME  "/>
    <x v="1"/>
    <s v="ROM"/>
    <x v="1"/>
    <s v="ICM"/>
    <x v="1"/>
    <m/>
    <m/>
    <s v="Development"/>
    <m/>
    <m/>
    <m/>
    <m/>
    <m/>
  </r>
  <r>
    <n v="77"/>
    <d v="2024-09-01T00:00:00"/>
    <x v="1"/>
    <s v="CO"/>
    <s v="24-00553"/>
    <s v="Huaiy NUM90RAa"/>
    <x v="1"/>
    <s v="ROM"/>
    <x v="1"/>
    <s v="ICM"/>
    <x v="1"/>
    <m/>
    <m/>
    <s v="On Hold"/>
    <m/>
    <m/>
    <m/>
    <m/>
    <m/>
  </r>
  <r>
    <n v="78"/>
    <d v="2024-09-01T00:00:00"/>
    <x v="1"/>
    <s v="CO"/>
    <s v="24-00552"/>
    <s v="Huaiy NFG80Ra"/>
    <x v="1"/>
    <s v="ROM"/>
    <x v="1"/>
    <s v="ICM"/>
    <x v="1"/>
    <m/>
    <m/>
    <s v="On Hold"/>
    <m/>
    <m/>
    <m/>
    <m/>
    <m/>
  </r>
  <r>
    <n v="79"/>
    <m/>
    <x v="0"/>
    <s v="NM"/>
    <s v="TBR"/>
    <s v="MAX-1200 [R290] Freezer"/>
    <x v="1"/>
    <s v="ROM"/>
    <x v="2"/>
    <s v="VF"/>
    <x v="0"/>
    <m/>
    <m/>
    <s v="In Que"/>
    <m/>
    <s v="Antonis"/>
    <m/>
    <m/>
    <m/>
  </r>
  <r>
    <n v="80"/>
    <m/>
    <x v="1"/>
    <s v="NM"/>
    <s v="TBR"/>
    <s v="MAX-1200 [R290] Super Market Version"/>
    <x v="1"/>
    <s v="ROM"/>
    <x v="2"/>
    <s v="ICM"/>
    <x v="0"/>
    <m/>
    <m/>
    <s v="In Que"/>
    <m/>
    <s v="Antonis"/>
    <m/>
    <m/>
    <m/>
  </r>
  <r>
    <n v="81"/>
    <m/>
    <x v="0"/>
    <s v="NM"/>
    <s v="TBR"/>
    <s v="MAX-750 [R290] Freezer"/>
    <x v="1"/>
    <s v="ROM"/>
    <x v="2"/>
    <s v="VF"/>
    <x v="0"/>
    <m/>
    <m/>
    <s v="In Que"/>
    <m/>
    <s v="Theoni"/>
    <m/>
    <m/>
    <m/>
  </r>
  <r>
    <n v="82"/>
    <m/>
    <x v="1"/>
    <s v="NM"/>
    <s v="TBR"/>
    <s v="MAX-750 [R290] Super Market Version"/>
    <x v="1"/>
    <s v="ROM"/>
    <x v="2"/>
    <s v="ICM"/>
    <x v="0"/>
    <m/>
    <m/>
    <s v="In Que"/>
    <m/>
    <s v="Theoni"/>
    <m/>
    <m/>
    <m/>
  </r>
  <r>
    <n v="83"/>
    <m/>
    <x v="0"/>
    <s v="NM"/>
    <s v="TBR"/>
    <s v="MAX-750 Vending-Shekel"/>
    <x v="1"/>
    <s v="ROM"/>
    <x v="2"/>
    <s v="ICM"/>
    <x v="0"/>
    <m/>
    <m/>
    <s v="Development"/>
    <m/>
    <s v="Theoni"/>
    <m/>
    <m/>
    <m/>
  </r>
  <r>
    <n v="84"/>
    <m/>
    <x v="0"/>
    <s v="NM"/>
    <s v="TBR"/>
    <s v="MAX-750 Vending-NU"/>
    <x v="1"/>
    <s v="ROM"/>
    <x v="2"/>
    <s v="ICM"/>
    <x v="0"/>
    <m/>
    <m/>
    <s v="Development"/>
    <m/>
    <s v="Theoni"/>
    <m/>
    <m/>
    <m/>
  </r>
  <r>
    <n v="85"/>
    <m/>
    <x v="0"/>
    <s v="NM"/>
    <s v="TBR"/>
    <s v="NGC-450 - Double Bubble"/>
    <x v="1"/>
    <s v="ROM"/>
    <x v="2"/>
    <s v="ICM"/>
    <x v="0"/>
    <m/>
    <m/>
    <s v="In Que"/>
    <m/>
    <m/>
    <m/>
    <m/>
    <m/>
  </r>
  <r>
    <n v="86"/>
    <m/>
    <x v="1"/>
    <s v="NM"/>
    <s v="TBR"/>
    <s v="_x0009_8 facing FFD C rarting for EU (S-500 ex India)"/>
    <x v="1"/>
    <s v="ROM"/>
    <x v="2"/>
    <s v="ICM"/>
    <x v="0"/>
    <m/>
    <m/>
    <s v="In Que"/>
    <m/>
    <m/>
    <m/>
    <m/>
    <m/>
  </r>
  <r>
    <n v="87"/>
    <m/>
    <x v="0"/>
    <s v="NO"/>
    <s v="TBR"/>
    <s v="MAX/Plus 900 door design with French sealing solution (applied to household coolers)"/>
    <x v="0"/>
    <s v="ROM"/>
    <x v="2"/>
    <s v="ICM"/>
    <x v="0"/>
    <m/>
    <m/>
    <s v="In Que"/>
    <m/>
    <m/>
    <m/>
    <m/>
    <m/>
  </r>
  <r>
    <n v="88"/>
    <m/>
    <x v="1"/>
    <s v="NO"/>
    <s v="TBR"/>
    <s v="NGC-450 new door designs for Key accounts - 2 door designs"/>
    <x v="0"/>
    <s v="ROM"/>
    <x v="2"/>
    <s v="ICM"/>
    <x v="0"/>
    <m/>
    <m/>
    <s v="In Que"/>
    <m/>
    <m/>
    <m/>
    <m/>
    <m/>
  </r>
  <r>
    <n v="89"/>
    <m/>
    <x v="1"/>
    <s v="NO"/>
    <s v="TBR"/>
    <s v="3D Beat BOX  logo on ICOOL2 door of MAX-450"/>
    <x v="0"/>
    <s v="ROM"/>
    <x v="2"/>
    <s v="ICM"/>
    <x v="0"/>
    <m/>
    <m/>
    <s v="In Que"/>
    <m/>
    <m/>
    <m/>
    <m/>
    <m/>
  </r>
  <r>
    <n v="90"/>
    <m/>
    <x v="1"/>
    <s v="NO"/>
    <s v="TBR"/>
    <s v="Provision for big 3D  logo on MAX-750"/>
    <x v="0"/>
    <s v="ROM"/>
    <x v="2"/>
    <s v="ICM"/>
    <x v="0"/>
    <m/>
    <m/>
    <s v="In Que"/>
    <m/>
    <m/>
    <m/>
    <m/>
    <m/>
  </r>
  <r>
    <n v="91"/>
    <m/>
    <x v="1"/>
    <s v="NO"/>
    <s v="TBR"/>
    <s v="_x0009_ICOOL 2 door with Strip or LED on MAX 750 &amp; MAX 1200"/>
    <x v="0"/>
    <s v="ROM"/>
    <x v="2"/>
    <s v="ICM"/>
    <x v="0"/>
    <m/>
    <m/>
    <s v="In Que"/>
    <m/>
    <m/>
    <m/>
    <m/>
    <m/>
  </r>
  <r>
    <n v="92"/>
    <m/>
    <x v="0"/>
    <s v="NO"/>
    <s v="TBR"/>
    <s v="Door for Vending kit with integrated screen and POS"/>
    <x v="0"/>
    <s v="ROM"/>
    <x v="2"/>
    <s v="ICM"/>
    <x v="0"/>
    <m/>
    <m/>
    <s v="In Que"/>
    <m/>
    <m/>
    <m/>
    <m/>
    <m/>
  </r>
  <r>
    <n v="93"/>
    <m/>
    <x v="1"/>
    <s v="NO"/>
    <s v="TBR"/>
    <s v="Maxerience  Max-750  Vending cooler"/>
    <x v="0"/>
    <s v="ROM"/>
    <x v="1"/>
    <s v="ICM"/>
    <x v="0"/>
    <m/>
    <m/>
    <s v="Development"/>
    <m/>
    <m/>
    <m/>
    <m/>
    <m/>
  </r>
  <r>
    <n v="94"/>
    <m/>
    <x v="0"/>
    <s v="NM"/>
    <s v="TBR"/>
    <s v="MAX-1200 [R290] Freezer"/>
    <x v="0"/>
    <s v="ROM"/>
    <x v="2"/>
    <s v="VF"/>
    <x v="0"/>
    <m/>
    <m/>
    <s v="In Que"/>
    <m/>
    <s v="Antonis"/>
    <m/>
    <m/>
    <m/>
  </r>
  <r>
    <n v="95"/>
    <m/>
    <x v="2"/>
    <s v="NM"/>
    <s v="TBR"/>
    <s v="MAX-1200 [R290] Super Market Version"/>
    <x v="1"/>
    <s v="ROM"/>
    <x v="2"/>
    <s v="ICM"/>
    <x v="0"/>
    <m/>
    <m/>
    <s v="In Que"/>
    <m/>
    <s v="Antonis"/>
    <m/>
    <m/>
    <m/>
  </r>
  <r>
    <n v="96"/>
    <m/>
    <x v="1"/>
    <s v="NM"/>
    <s v="TBR"/>
    <s v="MAX-750 [R290] Freezer"/>
    <x v="1"/>
    <s v="ROM"/>
    <x v="2"/>
    <s v="VF"/>
    <x v="0"/>
    <m/>
    <m/>
    <s v="In Que"/>
    <m/>
    <s v="Theoni"/>
    <m/>
    <m/>
    <m/>
  </r>
  <r>
    <n v="97"/>
    <m/>
    <x v="2"/>
    <s v="NM"/>
    <s v="TBR"/>
    <s v="MAX-750 [R290] Super Market Version"/>
    <x v="1"/>
    <s v="ROM"/>
    <x v="2"/>
    <s v="ICM"/>
    <x v="0"/>
    <m/>
    <m/>
    <s v="In Que"/>
    <m/>
    <s v="Theoni"/>
    <m/>
    <m/>
    <m/>
  </r>
  <r>
    <n v="98"/>
    <d v="2024-10-01T00:00:00"/>
    <x v="1"/>
    <s v="NM"/>
    <s v="TBR"/>
    <s v="MAX-750 Vending-Shekel"/>
    <x v="1"/>
    <s v="ROM"/>
    <x v="2"/>
    <s v="ICM"/>
    <x v="0"/>
    <m/>
    <m/>
    <s v="Development"/>
    <m/>
    <s v="Theoni"/>
    <m/>
    <m/>
    <m/>
  </r>
  <r>
    <n v="99"/>
    <n v="45962"/>
    <x v="3"/>
    <s v="NM"/>
    <s v="TBR"/>
    <s v="Family Fridge"/>
    <x v="1"/>
    <s v="OEM-Seitek"/>
    <x v="3"/>
    <s v="ICM"/>
    <x v="0"/>
    <m/>
    <m/>
    <s v="Development"/>
    <m/>
    <s v="Theoni"/>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n v="1"/>
    <d v="2026-01-01T00:00:00"/>
    <x v="0"/>
    <s v="NM"/>
    <s v="TBR"/>
    <s v="BoB model double HD &amp; SD door - C condition in house production - Key accounts"/>
    <x v="0"/>
    <x v="0"/>
    <s v="PD-India"/>
    <s v="ICM"/>
    <x v="0"/>
    <s v="All"/>
    <m/>
    <s v="In Que"/>
  </r>
  <r>
    <n v="2"/>
    <d v="2026-01-01T00:00:00"/>
    <x v="1"/>
    <s v="BC"/>
    <s v="TBR"/>
    <s v="S-500 development as per EC-26 protocol - COKE"/>
    <x v="0"/>
    <x v="0"/>
    <s v="PD-India"/>
    <s v="ICM"/>
    <x v="0"/>
    <s v="Coke"/>
    <m/>
    <s v="In Que"/>
  </r>
  <r>
    <n v="3"/>
    <d v="2026-01-01T00:00:00"/>
    <x v="0"/>
    <s v="NM"/>
    <s v="TBR"/>
    <s v="50L countertop development form OEM - Key accounts &amp; Coke - in house production"/>
    <x v="0"/>
    <x v="0"/>
    <s v="PD-India"/>
    <s v="Other"/>
    <x v="0"/>
    <s v="WM"/>
    <m/>
    <s v="In Que"/>
  </r>
  <r>
    <n v="4"/>
    <d v="2026-01-01T00:00:00"/>
    <x v="1"/>
    <s v="NO"/>
    <s v="TBR"/>
    <s v="Frameless look alike aesthetics for India models "/>
    <x v="0"/>
    <x v="0"/>
    <s v="PD-India"/>
    <s v="ICM"/>
    <x v="0"/>
    <s v="All"/>
    <m/>
    <s v="In Que"/>
  </r>
  <r>
    <n v="5"/>
    <d v="2026-01-01T00:00:00"/>
    <x v="1"/>
    <s v="BC"/>
    <s v="25-00308"/>
    <s v="SFC-1000→ New Step Cabin design/Phase -2"/>
    <x v="1"/>
    <x v="0"/>
    <s v="PD-India"/>
    <s v="ICM"/>
    <x v="0"/>
    <s v="All"/>
    <s v="C-2025"/>
    <s v="In Que"/>
  </r>
  <r>
    <n v="6"/>
    <d v="2025-06-01T00:00:00"/>
    <x v="1"/>
    <s v="BC"/>
    <s v="24-00218"/>
    <s v="VG 200 R290 - 5 star (All models in cabin)"/>
    <x v="1"/>
    <x v="0"/>
    <s v="PD-India"/>
    <s v="ICM"/>
    <x v="0"/>
    <s v="WM"/>
    <m/>
    <s v="In Que"/>
  </r>
  <r>
    <n v="7"/>
    <d v="2025-06-01T00:00:00"/>
    <x v="1"/>
    <s v="BC"/>
    <s v="24-00220"/>
    <s v="VG 250 R290 - 5 star (All models in cabin)"/>
    <x v="1"/>
    <x v="0"/>
    <s v="PD-India"/>
    <s v="ICM"/>
    <x v="0"/>
    <s v="WM"/>
    <m/>
    <s v="In Que"/>
  </r>
  <r>
    <n v="8"/>
    <d v="2025-06-01T00:00:00"/>
    <x v="1"/>
    <s v="BC"/>
    <s v="24-00208"/>
    <s v="VG 400 R290 - 5 star (All models in cabin)"/>
    <x v="1"/>
    <x v="0"/>
    <s v="PD-India"/>
    <s v="ICM"/>
    <x v="0"/>
    <s v="WM"/>
    <m/>
    <s v="In Que"/>
  </r>
  <r>
    <n v="9"/>
    <d v="2025-06-01T00:00:00"/>
    <x v="1"/>
    <s v="BC"/>
    <s v="24-00209"/>
    <s v="VG 300 R290 - 5 star (All models in cabin)"/>
    <x v="1"/>
    <x v="0"/>
    <s v="PD-India"/>
    <s v="ICM"/>
    <x v="0"/>
    <s v="WM"/>
    <m/>
    <s v="In Que"/>
  </r>
  <r>
    <n v="10"/>
    <d v="2025-06-01T00:00:00"/>
    <x v="1"/>
    <s v="BC"/>
    <s v="24-00210"/>
    <s v="VG 450 R290 - 5 star (All models in cabin)"/>
    <x v="1"/>
    <x v="0"/>
    <s v="PD-India"/>
    <s v="ICM"/>
    <x v="0"/>
    <s v="WM"/>
    <m/>
    <s v="In Que"/>
  </r>
  <r>
    <n v="11"/>
    <d v="2025-06-01T00:00:00"/>
    <x v="1"/>
    <s v="BC"/>
    <s v="24-00213"/>
    <s v="VG500 R290 - 5 star (All models in cabin)"/>
    <x v="1"/>
    <x v="0"/>
    <s v="PD-India"/>
    <s v="ICM"/>
    <x v="0"/>
    <s v="WM"/>
    <m/>
    <s v="In Que"/>
  </r>
  <r>
    <n v="12"/>
    <d v="2025-06-01T00:00:00"/>
    <x v="1"/>
    <s v="BC"/>
    <s v="24-00216"/>
    <s v="VG 550 R290 - 5 star (All models in cabin)"/>
    <x v="1"/>
    <x v="0"/>
    <s v="PD-India"/>
    <s v="ICM"/>
    <x v="0"/>
    <s v="WM"/>
    <m/>
    <s v="In Que"/>
  </r>
  <r>
    <n v="13"/>
    <d v="2025-06-01T00:00:00"/>
    <x v="1"/>
    <s v="BC"/>
    <s v="24-00211"/>
    <s v="VG600 R290 - 5 star (All models in cabin)"/>
    <x v="1"/>
    <x v="0"/>
    <s v="PD-India"/>
    <s v="ICM"/>
    <x v="0"/>
    <s v="WM"/>
    <m/>
    <s v="In Que"/>
  </r>
  <r>
    <n v="14"/>
    <d v="2025-06-01T00:00:00"/>
    <x v="1"/>
    <s v="BC"/>
    <s v="24-00217"/>
    <s v="VG 650 R290 - 5 star (All models in cabin)"/>
    <x v="1"/>
    <x v="0"/>
    <s v="PD-India"/>
    <s v="ICM"/>
    <x v="0"/>
    <s v="WM"/>
    <m/>
    <s v="In Que"/>
  </r>
  <r>
    <n v="15"/>
    <d v="2025-06-01T00:00:00"/>
    <x v="1"/>
    <s v="BC"/>
    <s v="24-00215"/>
    <s v="VG700 R290 - 5 star (All models in cabin)"/>
    <x v="1"/>
    <x v="0"/>
    <s v="PD-India"/>
    <s v="ICM"/>
    <x v="0"/>
    <s v="WM"/>
    <m/>
    <s v="In Que"/>
  </r>
  <r>
    <n v="16"/>
    <d v="2025-06-01T00:00:00"/>
    <x v="1"/>
    <s v="BC"/>
    <s v="24-00214"/>
    <s v="VG950 R290 - 5 star (All models in cabin)"/>
    <x v="1"/>
    <x v="0"/>
    <s v="PD-India"/>
    <s v="ICM"/>
    <x v="0"/>
    <s v="WM"/>
    <m/>
    <s v="In Que"/>
  </r>
  <r>
    <n v="17"/>
    <d v="2025-06-01T00:00:00"/>
    <x v="1"/>
    <s v="BC"/>
    <s v="24-00219"/>
    <s v="VG 1100 R290 - 5 star (All models in cabin)"/>
    <x v="1"/>
    <x v="0"/>
    <s v="PD-India"/>
    <s v="ICM"/>
    <x v="0"/>
    <s v="WM"/>
    <m/>
    <s v="In Que"/>
  </r>
  <r>
    <n v="18"/>
    <d v="2026-01-01T00:00:00"/>
    <x v="1"/>
    <s v="NM"/>
    <s v="TBR"/>
    <s v="SP 200 development as per META - Pepsi certification only"/>
    <x v="0"/>
    <x v="0"/>
    <s v="PD-India"/>
    <s v="ICM"/>
    <x v="0"/>
    <s v="Pepsico"/>
    <m/>
    <s v="In Que"/>
  </r>
  <r>
    <n v="19"/>
    <d v="2026-01-01T00:00:00"/>
    <x v="1"/>
    <s v="BC"/>
    <s v="TBR"/>
    <s v="S-45 testing and development  - As per Heineiken protocol"/>
    <x v="0"/>
    <x v="0"/>
    <s v="PD-India"/>
    <s v="ICM"/>
    <x v="0"/>
    <s v="KA"/>
    <m/>
    <s v="In Que"/>
  </r>
  <r>
    <n v="20"/>
    <d v="2026-01-01T00:00:00"/>
    <x v="1"/>
    <s v="BC"/>
    <s v="TBR"/>
    <s v="S-60  testing and development  - As per Heineiken protocol"/>
    <x v="0"/>
    <x v="0"/>
    <s v="PD-India"/>
    <s v="ICM"/>
    <x v="0"/>
    <s v="KA"/>
    <m/>
    <s v="In Que"/>
  </r>
  <r>
    <n v="21"/>
    <d v="2026-01-01T00:00:00"/>
    <x v="1"/>
    <s v="BC"/>
    <s v="TBR"/>
    <s v="S-1100 testing and development  - As per Heineiken protocol"/>
    <x v="0"/>
    <x v="0"/>
    <s v="PD-India"/>
    <s v="ICM"/>
    <x v="0"/>
    <s v="KA"/>
    <m/>
    <s v="In Que"/>
  </r>
  <r>
    <n v="22"/>
    <d v="2026-01-01T00:00:00"/>
    <x v="1"/>
    <s v="BC"/>
    <s v="TBR"/>
    <s v="S-45 SZ for Heineken for HEINEKEN - Feasibility to define cost &amp; CAPEX for EEI&lt;15 &amp; EEI&lt;20"/>
    <x v="0"/>
    <x v="1"/>
    <s v="PD-India"/>
    <s v="ICM"/>
    <x v="0"/>
    <s v="KA"/>
    <m/>
    <s v="In Que"/>
  </r>
  <r>
    <n v="23"/>
    <d v="2026-01-01T00:00:00"/>
    <x v="1"/>
    <s v="BC"/>
    <s v="TBR"/>
    <s v="S-60 SZ for Heineken for HEINEKEN - Feasibility to define cost &amp; CAPEX for EEI&lt;15 &amp; EEI&lt;20"/>
    <x v="0"/>
    <x v="1"/>
    <s v="PD-India"/>
    <s v="ICM"/>
    <x v="0"/>
    <s v="KA"/>
    <m/>
    <s v="In Que"/>
  </r>
  <r>
    <n v="24"/>
    <d v="2026-01-01T00:00:00"/>
    <x v="1"/>
    <s v="CO"/>
    <s v="TBR"/>
    <s v="PSU Done 8W/15-16W/24W/30W as alternative to Tauras"/>
    <x v="1"/>
    <x v="2"/>
    <s v="PD-India"/>
    <s v="ICM"/>
    <x v="0"/>
    <s v="All"/>
    <m/>
    <s v="In Que"/>
  </r>
  <r>
    <n v="25"/>
    <d v="2026-01-01T00:00:00"/>
    <x v="0"/>
    <s v="BC"/>
    <s v="TBR"/>
    <s v="FV-1000 SZ for Heineken - Feasibility to define cost &amp; CAPEX for EEI&lt;15 &amp; EEI&lt;20"/>
    <x v="0"/>
    <x v="1"/>
    <s v="PD-India"/>
    <s v="ICM"/>
    <x v="0"/>
    <s v="KA"/>
    <m/>
    <s v="In Que"/>
  </r>
  <r>
    <n v="26"/>
    <d v="2025-01-01T00:00:00"/>
    <x v="1"/>
    <s v="NM"/>
    <s v="25-00327"/>
    <s v="SC-300 R290 conversions with cost effective measures - BSL"/>
    <x v="1"/>
    <x v="0"/>
    <s v="PD-India"/>
    <s v="ICM"/>
    <x v="0"/>
    <s v="KA"/>
    <m/>
    <s v="In Que"/>
  </r>
  <r>
    <n v="27"/>
    <d v="2025-01-01T00:00:00"/>
    <x v="1"/>
    <s v="NM"/>
    <s v="25-00328"/>
    <s v="SC-375 R290 conversions with cost effective measures - BSL"/>
    <x v="1"/>
    <x v="0"/>
    <s v="PD-India"/>
    <s v="ICM"/>
    <x v="0"/>
    <s v="KA"/>
    <m/>
    <s v="In Que"/>
  </r>
  <r>
    <n v="28"/>
    <d v="2025-01-01T00:00:00"/>
    <x v="1"/>
    <s v="NM"/>
    <s v="25-00329"/>
    <s v="SC-500 R290 conversions with cost effective measures - BSL"/>
    <x v="1"/>
    <x v="0"/>
    <s v="PD-India"/>
    <s v="ICM"/>
    <x v="0"/>
    <s v="KA"/>
    <m/>
    <s v="In Que"/>
  </r>
  <r>
    <n v="29"/>
    <d v="2025-01-01T00:00:00"/>
    <x v="1"/>
    <s v="NM"/>
    <s v="25-00330"/>
    <s v="SC-650 R290 conversions with cost effective measures - BSL"/>
    <x v="1"/>
    <x v="0"/>
    <s v="PD-India"/>
    <s v="ICM"/>
    <x v="0"/>
    <s v="KA"/>
    <m/>
    <s v="In Que"/>
  </r>
  <r>
    <n v="30"/>
    <d v="2025-01-01T00:00:00"/>
    <x v="1"/>
    <s v="NM"/>
    <s v="25-00331"/>
    <s v="SC-1000 R290 conversions with cost effective measures - BSL"/>
    <x v="1"/>
    <x v="0"/>
    <s v="PD-India"/>
    <s v="ICM"/>
    <x v="0"/>
    <s v="KA"/>
    <m/>
    <s v="In Que"/>
  </r>
  <r>
    <n v="31"/>
    <d v="2026-01-01T00:00:00"/>
    <x v="2"/>
    <s v="NO"/>
    <s v="TBR"/>
    <s v="Aesthetical upgrade (icool2 doors with Neon LED or Strip) in key account models - _x000a_S. African range (S-45 SZ) - Key accounts"/>
    <x v="0"/>
    <x v="1"/>
    <s v="PD-India"/>
    <s v="ICM"/>
    <x v="0"/>
    <s v="KA"/>
    <m/>
    <s v="In Que"/>
  </r>
  <r>
    <n v="32"/>
    <d v="2026-01-01T00:00:00"/>
    <x v="2"/>
    <s v="NO"/>
    <s v="TBR"/>
    <s v="Aesthetical upgrade (icool2 doors with Neon LED or Strip) in key account models - _x000a_S. African range ( SL640) - Key accounts"/>
    <x v="0"/>
    <x v="1"/>
    <s v="PD-India"/>
    <s v="ICM"/>
    <x v="0"/>
    <s v="KA"/>
    <m/>
    <s v="In Que"/>
  </r>
  <r>
    <n v="33"/>
    <d v="2026-01-01T00:00:00"/>
    <x v="2"/>
    <s v="NO"/>
    <s v="TBR"/>
    <s v="Aesthetical upgrade (icool2 doors with Neon LED or Strip) in key account models - _x000a_S. African range (HV-71) - Key accounts"/>
    <x v="0"/>
    <x v="1"/>
    <s v="PD-India"/>
    <s v="ICM"/>
    <x v="0"/>
    <s v="KA"/>
    <m/>
    <s v="In Que"/>
  </r>
  <r>
    <n v="34"/>
    <d v="2026-01-01T00:00:00"/>
    <x v="2"/>
    <s v="NO"/>
    <s v="TBR"/>
    <s v="Aesthetical upgrade (icool2 doors with Neon LED or Strip) in key account models - _x000a_S. African range (FV-1000) - Key accounts"/>
    <x v="0"/>
    <x v="1"/>
    <s v="PD-India"/>
    <s v="ICM"/>
    <x v="0"/>
    <s v="KA"/>
    <m/>
    <s v="In Que"/>
  </r>
  <r>
    <n v="35"/>
    <d v="2026-01-01T00:00:00"/>
    <x v="2"/>
    <s v="NO"/>
    <s v="TBR"/>
    <s v="Aesthetical upgrade (icool2 doors with Neon LED or Strip) in key account models - _x000a_S. African range (FV 1000 SZ) - Key accounts"/>
    <x v="0"/>
    <x v="1"/>
    <s v="PD-India"/>
    <s v="ICM"/>
    <x v="0"/>
    <s v="KA"/>
    <m/>
    <s v="In Que"/>
  </r>
  <r>
    <n v="37"/>
    <d v="2026-01-01T00:00:00"/>
    <x v="2"/>
    <s v="SER"/>
    <s v="TBR"/>
    <s v="HV-71 safe cooler development "/>
    <x v="1"/>
    <x v="1"/>
    <s v="PD-India"/>
    <s v="ICM"/>
    <x v="0"/>
    <s v="Coke"/>
    <m/>
    <s v="In Que"/>
  </r>
  <r>
    <n v="38"/>
    <d v="2026-01-01T00:00:00"/>
    <x v="1"/>
    <s v="CO"/>
    <s v="TBR"/>
    <s v="S-250 as per EC26 protocol"/>
    <x v="1"/>
    <x v="0"/>
    <s v="PD-India"/>
    <s v="ICM"/>
    <x v="0"/>
    <s v="Coke"/>
    <m/>
    <s v="In Que"/>
  </r>
  <r>
    <n v="39"/>
    <d v="2026-01-01T00:00:00"/>
    <x v="0"/>
    <s v="NM"/>
    <s v="TBR"/>
    <s v="350L premium slim cooler development, New platform project - Indonesia Pepsi"/>
    <x v="1"/>
    <x v="3"/>
    <s v="PD-India"/>
    <s v="ICM"/>
    <x v="0"/>
    <s v="Pepsico"/>
    <m/>
    <s v="In Que"/>
  </r>
  <r>
    <n v="40"/>
    <d v="2026-01-01T00:00:00"/>
    <x v="0"/>
    <s v="CO"/>
    <s v="TBR"/>
    <s v="9 facing single door HC @  60HZ &amp; D-Condition with back airflow and market required features (HD Shelves, SS based, Temp. display castor. Etc) that is based on existing cabin  – Meet CC EC26 requirement "/>
    <x v="0"/>
    <x v="0"/>
    <s v="PD-India"/>
    <s v="ICM"/>
    <x v="0"/>
    <s v="Coke"/>
    <m/>
    <s v="In Que"/>
  </r>
  <r>
    <n v="41"/>
    <d v="2026-01-01T00:00:00"/>
    <x v="1"/>
    <s v="BC"/>
    <s v="TBR"/>
    <s v="FV-1000 D development as per Coke EC 26 "/>
    <x v="1"/>
    <x v="3"/>
    <s v="PD-India"/>
    <s v="ICM"/>
    <x v="0"/>
    <s v="Coke"/>
    <m/>
    <s v="In Que"/>
  </r>
  <r>
    <n v="42"/>
    <d v="2026-01-01T00:00:00"/>
    <x v="1"/>
    <s v="BC"/>
    <s v="TBR"/>
    <s v="E-47 development as per EC-26 protocol - CPNG "/>
    <x v="1"/>
    <x v="3"/>
    <s v="PD-India"/>
    <s v="ICM"/>
    <x v="0"/>
    <s v="Coke"/>
    <m/>
    <s v="In Que"/>
  </r>
  <r>
    <n v="43"/>
    <d v="2024-12-01T00:00:00"/>
    <x v="2"/>
    <s v="CO"/>
    <s v="22-00060"/>
    <s v="ON OFF switch development"/>
    <x v="1"/>
    <x v="0"/>
    <s v="PD-India"/>
    <s v="ICM"/>
    <x v="1"/>
    <s v="All"/>
    <m/>
    <s v="In Que"/>
  </r>
  <r>
    <n v="44"/>
    <d v="2024-08-01T00:00:00"/>
    <x v="2"/>
    <s v="CO"/>
    <s v="24-00226"/>
    <s v="Huawei PSUs"/>
    <x v="1"/>
    <x v="2"/>
    <s v="PD-India"/>
    <s v="ICM"/>
    <x v="1"/>
    <s v="All"/>
    <m/>
    <s v="In Que"/>
  </r>
  <r>
    <n v="45"/>
    <d v="2025-02-01T00:00:00"/>
    <x v="2"/>
    <s v="CO"/>
    <s v="25-00249"/>
    <s v="Sedes Heaters for India and South Africa"/>
    <x v="1"/>
    <x v="2"/>
    <s v="PD-India"/>
    <s v="ICM"/>
    <x v="1"/>
    <s v="All"/>
    <m/>
    <s v="In Que"/>
  </r>
  <r>
    <n v="46"/>
    <d v="2025-06-01T00:00:00"/>
    <x v="2"/>
    <s v="CO"/>
    <s v="25-00353"/>
    <s v="Alternative Shaded Pole 7W Xing Yuang YZF 7-20 ALUMINIUM WIRE for Hicool  83A230SAC-7W "/>
    <x v="1"/>
    <x v="2"/>
    <s v="PD-India"/>
    <s v="ICM"/>
    <x v="1"/>
    <s v="All"/>
    <m/>
    <s v="In Que"/>
  </r>
  <r>
    <n v="47"/>
    <d v="2025-06-01T00:00:00"/>
    <x v="2"/>
    <s v="CO"/>
    <s v="25-00354"/>
    <s v="Alternative Shaded Pole 5W Xing Yuang YZF 7-20 for Hicool 83A230SAC-7W "/>
    <x v="1"/>
    <x v="2"/>
    <s v="PD-India"/>
    <s v="ICM"/>
    <x v="1"/>
    <s v="All"/>
    <m/>
    <s v="In Que"/>
  </r>
  <r>
    <n v="48"/>
    <d v="2024-08-06T08:07:37"/>
    <x v="2"/>
    <s v="CO"/>
    <s v="24-00223"/>
    <s v="Jinbo PSUs"/>
    <x v="1"/>
    <x v="2"/>
    <s v="PD-India"/>
    <s v="ICM"/>
    <x v="1"/>
    <s v="All"/>
    <m/>
    <s v="In Que"/>
  </r>
  <r>
    <n v="49"/>
    <d v="2025-06-26T06:55:03"/>
    <x v="2"/>
    <s v="CO"/>
    <s v="25-00347"/>
    <s v="Alternative AC Block Motor CCA WIRE Xing Yuang 20W (FM12038A2HS) for Nisiki NIS12038HS2W-ES "/>
    <x v="1"/>
    <x v="2"/>
    <s v="PD-India"/>
    <s v="ICM"/>
    <x v="1"/>
    <s v="All"/>
    <m/>
    <s v="In Que"/>
  </r>
  <r>
    <n v="50"/>
    <d v="2025-06-26T06:55:48"/>
    <x v="2"/>
    <s v="CO"/>
    <s v="25-00348"/>
    <s v="Alternative AC Block Motor Xing Yuang 20W (FM12038A2HS) for Nisiki NIS12038HS2W-ES "/>
    <x v="1"/>
    <x v="2"/>
    <s v="PD-India"/>
    <s v="ICM"/>
    <x v="1"/>
    <s v="All"/>
    <m/>
    <s v="In Que"/>
  </r>
  <r>
    <n v="51"/>
    <d v="2025-06-26T06:57:57"/>
    <x v="2"/>
    <s v="CO"/>
    <s v="25-00351"/>
    <s v="Alternative Shaded Pole 5W Xing Yuang  YZF 5-13 ALUMINIUM WIRE for Hicool  83A230SAC-5W "/>
    <x v="1"/>
    <x v="2"/>
    <s v="PD-India"/>
    <s v="ICM"/>
    <x v="1"/>
    <s v="All"/>
    <m/>
    <s v="In Que"/>
  </r>
  <r>
    <n v="52"/>
    <d v="2025-06-26T06:58:42"/>
    <x v="2"/>
    <s v="CO"/>
    <s v="25-00352"/>
    <s v="Alternative Shaded Pole 5W Xing Yuang YZF 5-13 COPPER WIRE for Hicool  83A230SAC-5W "/>
    <x v="1"/>
    <x v="2"/>
    <s v="PD-India"/>
    <s v="ICM"/>
    <x v="1"/>
    <s v="All"/>
    <m/>
    <s v="In Que"/>
  </r>
  <r>
    <n v="53"/>
    <d v="2025-06-26T07:02:51"/>
    <x v="2"/>
    <s v="CO"/>
    <s v="25-00357"/>
    <s v="Alternative Shaded Pole 16W Xing Yuang YZF 16-25 ALUMINIUM WIRE for Weiguang YZF16-25 "/>
    <x v="1"/>
    <x v="2"/>
    <s v="PD-India"/>
    <s v="ICM"/>
    <x v="1"/>
    <s v="All"/>
    <m/>
    <s v="In Que"/>
  </r>
  <r>
    <n v="54"/>
    <d v="2025-04-01T00:00:00"/>
    <x v="1"/>
    <s v="IMP"/>
    <s v="TBR"/>
    <s v="Super-45 Design data synchronization with production (Product file)"/>
    <x v="1"/>
    <x v="0"/>
    <s v="PD-India"/>
    <s v="ICM"/>
    <x v="2"/>
    <s v="All"/>
    <m/>
    <s v="In Que"/>
  </r>
  <r>
    <n v="55"/>
    <d v="2025-04-01T00:00:00"/>
    <x v="1"/>
    <s v="IMP"/>
    <s v="TBR"/>
    <s v="Super-60 Design data synchronization with production (Product file)"/>
    <x v="1"/>
    <x v="0"/>
    <s v="PD-India"/>
    <s v="ICM"/>
    <x v="2"/>
    <s v="All"/>
    <m/>
    <s v="In Que"/>
  </r>
  <r>
    <n v="56"/>
    <d v="2025-04-01T00:00:00"/>
    <x v="1"/>
    <s v="IMP"/>
    <s v="TBR"/>
    <s v="Super-1100 Design data synchronization with production (Product file)"/>
    <x v="1"/>
    <x v="0"/>
    <s v="PD-India"/>
    <s v="ICM"/>
    <x v="2"/>
    <s v="All"/>
    <m/>
    <s v="In Que"/>
  </r>
  <r>
    <n v="57"/>
    <d v="2025-06-01T00:00:00"/>
    <x v="1"/>
    <s v="NM"/>
    <s v="25-00289-1"/>
    <s v="S-60 R290 EG (PepsiCO &amp; Generic customer)"/>
    <x v="1"/>
    <x v="4"/>
    <s v="PD-India"/>
    <s v="ICM"/>
    <x v="0"/>
    <s v="KA"/>
    <m/>
    <s v="In Que"/>
  </r>
  <r>
    <n v="58"/>
    <d v="2025-06-01T00:00:00"/>
    <x v="1"/>
    <s v="NM"/>
    <s v="25-00292-1"/>
    <s v="S-1100 R290 EG (PepsiCO &amp; Generic customer)"/>
    <x v="1"/>
    <x v="4"/>
    <s v="PD-India"/>
    <s v="ICM"/>
    <x v="0"/>
    <s v="KA"/>
    <m/>
    <s v="In Que"/>
  </r>
  <r>
    <n v="59"/>
    <d v="2025-12-01T00:00:00"/>
    <x v="1"/>
    <s v="IMP"/>
    <s v="TBR"/>
    <s v="SM Updates-6 Nos. of SM"/>
    <x v="0"/>
    <x v="0"/>
    <s v="PD-India"/>
    <s v="Other"/>
    <x v="2"/>
    <s v="All"/>
    <m/>
    <s v="In Que"/>
  </r>
  <r>
    <n v="60"/>
    <d v="2024-08-01T00:00:00"/>
    <x v="1"/>
    <s v="NO"/>
    <s v="24-00523"/>
    <s v="Plus-450 Vending cooler / Max-750  "/>
    <x v="1"/>
    <x v="5"/>
    <s v="PD-Romania"/>
    <s v="ICM"/>
    <x v="0"/>
    <m/>
    <m/>
    <s v="Development"/>
  </r>
  <r>
    <n v="61"/>
    <d v="2025-08-01T00:00:00"/>
    <x v="1"/>
    <s v="NO"/>
    <s v="25-00628"/>
    <s v="Max 750 Sub Zero"/>
    <x v="0"/>
    <x v="5"/>
    <s v="PD-Romania"/>
    <s v="ICM"/>
    <x v="0"/>
    <m/>
    <m/>
    <s v="In Que"/>
  </r>
  <r>
    <n v="62"/>
    <d v="2025-11-01T00:00:00"/>
    <x v="1"/>
    <s v="NO"/>
    <s v="25-00640"/>
    <s v="K2 controller settings for MAX B range &amp; PoC for EEI&lt;15"/>
    <x v="0"/>
    <x v="5"/>
    <s v="PD-Romania"/>
    <s v="ICM"/>
    <x v="0"/>
    <m/>
    <m/>
    <s v="Development"/>
  </r>
  <r>
    <n v="63"/>
    <d v="2025-10-01T00:00:00"/>
    <x v="2"/>
    <s v="NO"/>
    <s v="25-00639"/>
    <s v="Development of Plus 1200 DD with FDE-32 (K4)"/>
    <x v="0"/>
    <x v="5"/>
    <s v="PD-Romania"/>
    <s v="ICM"/>
    <x v="0"/>
    <m/>
    <m/>
    <s v="In Que"/>
  </r>
  <r>
    <n v="64"/>
    <d v="2025-08-01T00:00:00"/>
    <x v="1"/>
    <s v="NO"/>
    <s v="25-00629 "/>
    <s v="Sample 3D Branding ''Effect'' in Max 450 B"/>
    <x v="0"/>
    <x v="5"/>
    <s v="PD-Romania"/>
    <s v="ICM"/>
    <x v="0"/>
    <m/>
    <m/>
    <s v="In Que"/>
  </r>
  <r>
    <n v="65"/>
    <d v="2025-07-01T00:00:00"/>
    <x v="0"/>
    <s v="NM"/>
    <s v="25-00621"/>
    <s v="MAX-1200 HD A Rating for non-Coke"/>
    <x v="1"/>
    <x v="5"/>
    <s v="PD-Romania"/>
    <s v="ICM"/>
    <x v="0"/>
    <m/>
    <m/>
    <s v="Industrialization"/>
  </r>
  <r>
    <n v="66"/>
    <d v="2025-02-10T00:00:00"/>
    <x v="2"/>
    <s v="CO"/>
    <s v="25-00586"/>
    <s v="iPixel LEDs as alternative to Refond"/>
    <x v="1"/>
    <x v="5"/>
    <s v="PD-Romania"/>
    <s v="ICM"/>
    <x v="1"/>
    <m/>
    <m/>
    <s v="On Hold"/>
  </r>
  <r>
    <n v="67"/>
    <d v="2025-02-10T00:00:00"/>
    <x v="1"/>
    <s v="CO"/>
    <s v="25-00589"/>
    <s v="Saiwei 5W EC compact motor"/>
    <x v="1"/>
    <x v="5"/>
    <s v="PD-Romania"/>
    <s v="ICM"/>
    <x v="1"/>
    <m/>
    <m/>
    <s v="On Hold"/>
  </r>
  <r>
    <n v="68"/>
    <d v="2025-02-10T00:00:00"/>
    <x v="1"/>
    <s v="CO"/>
    <s v="25-00591"/>
    <s v="Honker controller"/>
    <x v="1"/>
    <x v="5"/>
    <s v="PD-Romania"/>
    <s v="ICM"/>
    <x v="1"/>
    <m/>
    <m/>
    <s v="On Hold"/>
  </r>
  <r>
    <n v="69"/>
    <d v="2024-09-01T00:00:00"/>
    <x v="1"/>
    <s v="CO"/>
    <s v="24-00557"/>
    <s v="PSU Done 24W"/>
    <x v="1"/>
    <x v="5"/>
    <s v="PD-Romania"/>
    <s v="ICM"/>
    <x v="1"/>
    <m/>
    <m/>
    <s v="On Hold"/>
  </r>
  <r>
    <n v="70"/>
    <d v="2024-09-01T00:00:00"/>
    <x v="1"/>
    <s v="CO"/>
    <s v="24-00556"/>
    <s v="PSU Done 16W"/>
    <x v="1"/>
    <x v="5"/>
    <s v="PD-Romania"/>
    <s v="ICM"/>
    <x v="1"/>
    <m/>
    <m/>
    <s v="On Hold"/>
  </r>
  <r>
    <n v="71"/>
    <d v="2024-09-01T00:00:00"/>
    <x v="1"/>
    <s v="CO"/>
    <s v="24-00555"/>
    <s v="PSU Done 12W"/>
    <x v="1"/>
    <x v="5"/>
    <s v="PD-Romania"/>
    <s v="ICM"/>
    <x v="1"/>
    <m/>
    <m/>
    <s v="On Hold"/>
  </r>
  <r>
    <n v="72"/>
    <d v="2024-12-01T00:00:00"/>
    <x v="2"/>
    <s v="NO"/>
    <s v="24-00564"/>
    <s v="New Coca-Cola branding for CCEP Europe"/>
    <x v="1"/>
    <x v="5"/>
    <s v="PD-Romania"/>
    <s v="ICM"/>
    <x v="0"/>
    <m/>
    <m/>
    <s v="On Hold"/>
  </r>
  <r>
    <n v="73"/>
    <d v="2025-04-01T00:00:00"/>
    <x v="2"/>
    <s v="NO"/>
    <s v="25-00612"/>
    <s v="Stabilization/Support kit for Plus 900 HD to prevent sagging of cooling mechanism due to customer mis-use"/>
    <x v="1"/>
    <x v="5"/>
    <s v="PD-Romania"/>
    <s v="ICM"/>
    <x v="0"/>
    <m/>
    <m/>
    <s v="On Hold"/>
  </r>
  <r>
    <n v="74"/>
    <d v="2024-12-01T00:00:00"/>
    <x v="1"/>
    <s v="NO"/>
    <s v="24-00551"/>
    <s v="Max 450 C _x000a_Donper SK43CU1_x000a_Su 50 DU1  "/>
    <x v="1"/>
    <x v="5"/>
    <s v="PD-Romania"/>
    <s v="ICM"/>
    <x v="1"/>
    <m/>
    <m/>
    <s v="On Hold"/>
  </r>
  <r>
    <n v="75"/>
    <d v="2024-12-01T00:00:00"/>
    <x v="1"/>
    <s v="CO"/>
    <s v="25-00590"/>
    <s v="Keepthink controller"/>
    <x v="1"/>
    <x v="5"/>
    <s v="PD-Romania"/>
    <s v="ICM"/>
    <x v="1"/>
    <m/>
    <m/>
    <s v="On Hold"/>
  </r>
  <r>
    <n v="76"/>
    <d v="2024-09-01T00:00:00"/>
    <x v="1"/>
    <s v="CO"/>
    <s v="24-00551"/>
    <s v="Alternative compressor to Wanbao FTA45L - GMCC PA50EME  "/>
    <x v="1"/>
    <x v="5"/>
    <s v="PD-Romania"/>
    <s v="ICM"/>
    <x v="1"/>
    <m/>
    <m/>
    <s v="Development"/>
  </r>
  <r>
    <n v="77"/>
    <d v="2024-09-01T00:00:00"/>
    <x v="1"/>
    <s v="CO"/>
    <s v="24-00553"/>
    <s v="Huaiy NUM90RAa"/>
    <x v="1"/>
    <x v="5"/>
    <s v="PD-Romania"/>
    <s v="ICM"/>
    <x v="1"/>
    <m/>
    <m/>
    <s v="On Hold"/>
  </r>
  <r>
    <n v="78"/>
    <d v="2024-09-01T00:00:00"/>
    <x v="1"/>
    <s v="CO"/>
    <s v="24-00552"/>
    <s v="Huaiy NFG80Ra"/>
    <x v="1"/>
    <x v="5"/>
    <s v="PD-Romania"/>
    <s v="ICM"/>
    <x v="1"/>
    <m/>
    <m/>
    <s v="On Hold"/>
  </r>
  <r>
    <n v="79"/>
    <m/>
    <x v="0"/>
    <s v="NM"/>
    <s v="TBR"/>
    <s v="MAX-1200 [R290] Freezer"/>
    <x v="1"/>
    <x v="5"/>
    <s v="R&amp;D-Greece"/>
    <s v="VF"/>
    <x v="0"/>
    <m/>
    <m/>
    <s v="In Que"/>
  </r>
  <r>
    <n v="80"/>
    <m/>
    <x v="1"/>
    <s v="NM"/>
    <s v="TBR"/>
    <s v="MAX-1200 [R290] Super Market Version"/>
    <x v="1"/>
    <x v="5"/>
    <s v="R&amp;D-Greece"/>
    <s v="ICM"/>
    <x v="0"/>
    <m/>
    <m/>
    <s v="In Que"/>
  </r>
  <r>
    <n v="81"/>
    <m/>
    <x v="0"/>
    <s v="NM"/>
    <s v="TBR"/>
    <s v="MAX-750 [R290] Freezer"/>
    <x v="1"/>
    <x v="5"/>
    <s v="R&amp;D-Greece"/>
    <s v="VF"/>
    <x v="0"/>
    <m/>
    <m/>
    <s v="In Que"/>
  </r>
  <r>
    <n v="82"/>
    <m/>
    <x v="1"/>
    <s v="NM"/>
    <s v="TBR"/>
    <s v="MAX-750 [R290] Super Market Version"/>
    <x v="1"/>
    <x v="5"/>
    <s v="R&amp;D-Greece"/>
    <s v="ICM"/>
    <x v="0"/>
    <m/>
    <m/>
    <s v="In Que"/>
  </r>
  <r>
    <n v="83"/>
    <m/>
    <x v="0"/>
    <s v="NM"/>
    <s v="TBR"/>
    <s v="MAX-750 Vending-Shekel"/>
    <x v="1"/>
    <x v="5"/>
    <s v="R&amp;D-Greece"/>
    <s v="ICM"/>
    <x v="0"/>
    <m/>
    <m/>
    <s v="Development"/>
  </r>
  <r>
    <n v="84"/>
    <m/>
    <x v="0"/>
    <s v="NM"/>
    <s v="TBR"/>
    <s v="MAX-750 Vending-NU"/>
    <x v="1"/>
    <x v="5"/>
    <s v="R&amp;D-Greece"/>
    <s v="ICM"/>
    <x v="0"/>
    <m/>
    <m/>
    <s v="Development"/>
  </r>
  <r>
    <n v="85"/>
    <m/>
    <x v="0"/>
    <s v="NM"/>
    <s v="TBR"/>
    <s v="NGC-450 - Double Bubble"/>
    <x v="1"/>
    <x v="5"/>
    <s v="R&amp;D-Greece"/>
    <s v="ICM"/>
    <x v="0"/>
    <m/>
    <m/>
    <s v="In Que"/>
  </r>
  <r>
    <n v="86"/>
    <m/>
    <x v="1"/>
    <s v="NM"/>
    <s v="TBR"/>
    <s v="_x0009_8 facing FFD C rarting for EU (S-500 ex India)"/>
    <x v="1"/>
    <x v="5"/>
    <s v="R&amp;D-Greece"/>
    <s v="ICM"/>
    <x v="0"/>
    <m/>
    <m/>
    <s v="In Que"/>
  </r>
  <r>
    <n v="87"/>
    <m/>
    <x v="0"/>
    <s v="NO"/>
    <s v="TBR"/>
    <s v="MAX/Plus 900 door design with French sealing solution (applied to household coolers)"/>
    <x v="0"/>
    <x v="5"/>
    <s v="R&amp;D-Greece"/>
    <s v="ICM"/>
    <x v="0"/>
    <m/>
    <m/>
    <s v="In Que"/>
  </r>
  <r>
    <n v="88"/>
    <m/>
    <x v="1"/>
    <s v="NO"/>
    <s v="TBR"/>
    <s v="NGC-450 new door designs for Key accounts - 2 door designs"/>
    <x v="0"/>
    <x v="5"/>
    <s v="R&amp;D-Greece"/>
    <s v="ICM"/>
    <x v="0"/>
    <m/>
    <m/>
    <s v="In Que"/>
  </r>
  <r>
    <n v="89"/>
    <m/>
    <x v="1"/>
    <s v="NO"/>
    <s v="TBR"/>
    <s v="3D Beat BOX  logo on ICOOL2 door of MAX-450"/>
    <x v="0"/>
    <x v="5"/>
    <s v="R&amp;D-Greece"/>
    <s v="ICM"/>
    <x v="0"/>
    <m/>
    <m/>
    <s v="In Que"/>
  </r>
  <r>
    <n v="90"/>
    <m/>
    <x v="1"/>
    <s v="NO"/>
    <s v="TBR"/>
    <s v="Provision for big 3D  logo on MAX-750"/>
    <x v="0"/>
    <x v="5"/>
    <s v="R&amp;D-Greece"/>
    <s v="ICM"/>
    <x v="0"/>
    <m/>
    <m/>
    <s v="In Que"/>
  </r>
  <r>
    <n v="91"/>
    <m/>
    <x v="1"/>
    <s v="NO"/>
    <s v="TBR"/>
    <s v="_x0009_ICOOL 2 door with Strip or LED on MAX 750 &amp; MAX 1200"/>
    <x v="0"/>
    <x v="5"/>
    <s v="R&amp;D-Greece"/>
    <s v="ICM"/>
    <x v="0"/>
    <m/>
    <m/>
    <s v="In Que"/>
  </r>
  <r>
    <n v="92"/>
    <m/>
    <x v="0"/>
    <s v="NO"/>
    <s v="TBR"/>
    <s v="Door for Vending kit with integrated screen and POS"/>
    <x v="0"/>
    <x v="5"/>
    <s v="R&amp;D-Greece"/>
    <s v="ICM"/>
    <x v="0"/>
    <m/>
    <m/>
    <s v="In Que"/>
  </r>
  <r>
    <n v="93"/>
    <m/>
    <x v="1"/>
    <s v="NO"/>
    <s v="TBR"/>
    <s v="Maxerience  Max-750  Vending cooler"/>
    <x v="0"/>
    <x v="5"/>
    <s v="PD-Romania"/>
    <s v="ICM"/>
    <x v="0"/>
    <m/>
    <m/>
    <s v="Development"/>
  </r>
  <r>
    <n v="94"/>
    <m/>
    <x v="0"/>
    <s v="NM"/>
    <s v="TBR"/>
    <s v="MAX-1200 [R290] Freezer"/>
    <x v="0"/>
    <x v="5"/>
    <s v="R&amp;D-Greece"/>
    <s v="VF"/>
    <x v="0"/>
    <m/>
    <m/>
    <s v="In Que"/>
  </r>
  <r>
    <n v="95"/>
    <m/>
    <x v="2"/>
    <s v="NM"/>
    <s v="TBR"/>
    <s v="MAX-1200 [R290] Super Market Version"/>
    <x v="1"/>
    <x v="5"/>
    <s v="R&amp;D-Greece"/>
    <s v="ICM"/>
    <x v="0"/>
    <m/>
    <m/>
    <s v="In Que"/>
  </r>
  <r>
    <n v="96"/>
    <m/>
    <x v="1"/>
    <s v="NM"/>
    <s v="TBR"/>
    <s v="MAX-750 [R290] Freezer"/>
    <x v="1"/>
    <x v="5"/>
    <s v="R&amp;D-Greece"/>
    <s v="VF"/>
    <x v="0"/>
    <m/>
    <m/>
    <s v="In Que"/>
  </r>
  <r>
    <n v="97"/>
    <m/>
    <x v="2"/>
    <s v="NM"/>
    <s v="TBR"/>
    <s v="MAX-750 [R290] Super Market Version"/>
    <x v="1"/>
    <x v="5"/>
    <s v="R&amp;D-Greece"/>
    <s v="ICM"/>
    <x v="0"/>
    <m/>
    <m/>
    <s v="In Que"/>
  </r>
  <r>
    <n v="98"/>
    <d v="2024-10-01T00:00:00"/>
    <x v="1"/>
    <s v="NM"/>
    <s v="TBR"/>
    <s v="MAX-750 Vending-Shekel"/>
    <x v="1"/>
    <x v="5"/>
    <s v="R&amp;D-Greece"/>
    <s v="ICM"/>
    <x v="0"/>
    <m/>
    <m/>
    <s v="Development"/>
  </r>
  <r>
    <n v="99"/>
    <n v="45962"/>
    <x v="3"/>
    <s v="NM"/>
    <s v="TBR"/>
    <s v="Family Fridge"/>
    <x v="1"/>
    <x v="6"/>
    <s v="OEM-SEITEK"/>
    <s v="ICM"/>
    <x v="0"/>
    <m/>
    <m/>
    <s v="Development"/>
  </r>
  <r>
    <n v="100"/>
    <n v="45962"/>
    <x v="4"/>
    <s v="NO"/>
    <s v="TBR"/>
    <s v="IC2-40 ECO with FDE32"/>
    <x v="1"/>
    <x v="6"/>
    <s v="OEM-SEITEK"/>
    <s v="ICM"/>
    <x v="0"/>
    <m/>
    <m/>
    <s v="Development"/>
  </r>
  <r>
    <n v="101"/>
    <n v="45962"/>
    <x v="1"/>
    <s v="IMP"/>
    <s v="TBR"/>
    <s v="FLEX-290 EEI&lt;20 @ K1"/>
    <x v="1"/>
    <x v="7"/>
    <s v="OEM-HCK"/>
    <s v="ICM"/>
    <x v="0"/>
    <m/>
    <m/>
    <s v="Development"/>
  </r>
  <r>
    <n v="102"/>
    <n v="45992"/>
    <x v="1"/>
    <s v="IMP"/>
    <s v="TBR"/>
    <s v="ERE3.0 B RATING"/>
    <x v="1"/>
    <x v="6"/>
    <s v="OEM-SEITEK"/>
    <s v="ICM"/>
    <x v="0"/>
    <m/>
    <m/>
    <s v="Development"/>
  </r>
  <r>
    <n v="103"/>
    <n v="45940"/>
    <x v="0"/>
    <s v="NM"/>
    <s v="TBR"/>
    <s v="Slim CT [R290]"/>
    <x v="1"/>
    <x v="6"/>
    <s v="OEM-SEITEK"/>
    <s v="ICM"/>
    <x v="0"/>
    <m/>
    <m/>
    <s v="Development"/>
  </r>
  <r>
    <n v="104"/>
    <n v="45940"/>
    <x v="0"/>
    <s v="NM"/>
    <s v="TBR"/>
    <s v="Mini Cube CT [R290]"/>
    <x v="1"/>
    <x v="6"/>
    <s v="OEM-SEITEK"/>
    <s v="ICM"/>
    <x v="0"/>
    <m/>
    <m/>
    <s v="Development"/>
  </r>
  <r>
    <n v="105"/>
    <m/>
    <x v="1"/>
    <s v="NO"/>
    <s v="TBR"/>
    <s v="BEATBOX 3D LOGO PREMIUM SLIM 130"/>
    <x v="0"/>
    <x v="6"/>
    <s v="OEM-SEITEK"/>
    <s v="ICM"/>
    <x v="0"/>
    <m/>
    <m/>
    <s v="In Que"/>
  </r>
  <r>
    <n v="106"/>
    <m/>
    <x v="1"/>
    <s v="NO"/>
    <s v="TBR"/>
    <s v="BEATBOX 3D LOGO FLEX60"/>
    <x v="0"/>
    <x v="7"/>
    <s v="OEM-HCK"/>
    <s v="ICM"/>
    <x v="0"/>
    <m/>
    <m/>
    <s v="In Que"/>
  </r>
  <r>
    <n v="107"/>
    <n v="45952"/>
    <x v="1"/>
    <s v="NO"/>
    <s v="TBR"/>
    <s v="FLEX-130 WITH FDE32"/>
    <x v="1"/>
    <x v="6"/>
    <s v="OEM-SEITEK"/>
    <s v="ICM"/>
    <x v="0"/>
    <m/>
    <m/>
    <s v="Development"/>
  </r>
  <r>
    <n v="108"/>
    <m/>
    <x v="1"/>
    <s v="IMP"/>
    <s v="TBR"/>
    <s v="FLEX-290 HEINEKEN (EEI&lt;15)"/>
    <x v="0"/>
    <x v="7"/>
    <s v="OEM-HCK"/>
    <s v="ICM"/>
    <x v="0"/>
    <m/>
    <m/>
    <s v="In Que"/>
  </r>
  <r>
    <n v="109"/>
    <m/>
    <x v="1"/>
    <s v="IMP"/>
    <s v="TBR"/>
    <s v="FLEX-400 HEINEKEN (EEI&lt;15)"/>
    <x v="0"/>
    <x v="7"/>
    <s v="OEM-HCK"/>
    <s v="ICM"/>
    <x v="0"/>
    <m/>
    <m/>
    <s v="In Que"/>
  </r>
  <r>
    <n v="110"/>
    <m/>
    <x v="1"/>
    <s v="IMP"/>
    <s v="TBR"/>
    <s v="FLEX-130 HEINEKEN (EEI&lt;15)"/>
    <x v="0"/>
    <x v="6"/>
    <s v="OEM-SEITEK"/>
    <s v="ICM"/>
    <x v="0"/>
    <m/>
    <m/>
    <s v="In Que"/>
  </r>
  <r>
    <n v="111"/>
    <m/>
    <x v="1"/>
    <s v="IMP"/>
    <s v="TBR"/>
    <s v="MAX-150 HEINEKEN (EEI&lt;15)"/>
    <x v="0"/>
    <x v="6"/>
    <s v="OEM-SEITEK"/>
    <s v="ICM"/>
    <x v="0"/>
    <m/>
    <m/>
    <s v="In Que"/>
  </r>
  <r>
    <n v="112"/>
    <n v="45976"/>
    <x v="0"/>
    <s v="NM"/>
    <s v="TBR"/>
    <s v="TwinReach Monster"/>
    <x v="0"/>
    <x v="6"/>
    <s v="OEM-SEITEK"/>
    <s v="ICM"/>
    <x v="0"/>
    <m/>
    <m/>
    <s v="In Que"/>
  </r>
  <r>
    <n v="113"/>
    <m/>
    <x v="1"/>
    <s v="IMP"/>
    <s v="TBR"/>
    <s v="BAR-150 EER B"/>
    <x v="0"/>
    <x v="7"/>
    <s v="OEM-HCK"/>
    <s v="ICM"/>
    <x v="0"/>
    <m/>
    <m/>
    <s v="In Que"/>
  </r>
  <r>
    <n v="114"/>
    <m/>
    <x v="1"/>
    <s v="IMP"/>
    <s v="TBR"/>
    <s v="BAR-250 EER B Coca Cola"/>
    <x v="0"/>
    <x v="7"/>
    <s v="OEM-HCK"/>
    <s v="ICM"/>
    <x v="0"/>
    <m/>
    <m/>
    <s v="In Que"/>
  </r>
  <r>
    <n v="115"/>
    <n v="45909"/>
    <x v="1"/>
    <s v="CER"/>
    <s v="TBR"/>
    <s v="IC2-40 ECO CC Certification"/>
    <x v="1"/>
    <x v="5"/>
    <s v="PD-Romania"/>
    <s v="ICM"/>
    <x v="0"/>
    <m/>
    <m/>
    <s v="Development"/>
  </r>
  <r>
    <n v="116"/>
    <m/>
    <x v="1"/>
    <s v="IMP"/>
    <s v="TBR"/>
    <s v="Flex-60 EEI&lt;25"/>
    <x v="0"/>
    <x v="7"/>
    <s v="OEM-HCK"/>
    <s v="ICM"/>
    <x v="0"/>
    <m/>
    <m/>
    <s v="In Que"/>
  </r>
  <r>
    <n v="117"/>
    <m/>
    <x v="1"/>
    <s v="IMP"/>
    <s v="TBR"/>
    <s v="Flex-60 SZ EEI&lt;25"/>
    <x v="0"/>
    <x v="7"/>
    <s v="OEM-HCK"/>
    <s v="ICM"/>
    <x v="0"/>
    <m/>
    <m/>
    <s v="In Que"/>
  </r>
  <r>
    <n v="118"/>
    <m/>
    <x v="0"/>
    <s v="NO"/>
    <s v="TBR"/>
    <s v="Replacement of S-16 "/>
    <x v="0"/>
    <x v="6"/>
    <s v="OEM-SEITEK"/>
    <s v="ICM"/>
    <x v="0"/>
    <m/>
    <m/>
    <s v="In Que"/>
  </r>
  <r>
    <n v="119"/>
    <m/>
    <x v="1"/>
    <s v="NO"/>
    <s v="TBR"/>
    <s v="3D logo for FLEX-130"/>
    <x v="0"/>
    <x v="6"/>
    <s v="OEM-SEITEK"/>
    <s v="ICM"/>
    <x v="0"/>
    <m/>
    <m/>
    <s v="In Que"/>
  </r>
  <r>
    <n v="120"/>
    <m/>
    <x v="1"/>
    <s v="IMP"/>
    <s v="TBR"/>
    <s v="S99 EER Improvement"/>
    <x v="0"/>
    <x v="7"/>
    <s v="OEM-HCK"/>
    <s v="ICM"/>
    <x v="0"/>
    <m/>
    <m/>
    <s v="In Que"/>
  </r>
  <r>
    <n v="121"/>
    <m/>
    <x v="1"/>
    <s v="NO"/>
    <s v="TBR"/>
    <s v="ERE 3.0 HC @ 60HZ  CC Requirements"/>
    <x v="0"/>
    <x v="6"/>
    <s v="OEM-SEITEK"/>
    <s v="ICM"/>
    <x v="0"/>
    <m/>
    <m/>
    <s v="In Que"/>
  </r>
  <r>
    <n v="122"/>
    <m/>
    <x v="1"/>
    <s v="NO"/>
    <s v="TBR"/>
    <s v="Flex 65 ECO Ambient light Heineken Germany"/>
    <x v="0"/>
    <x v="7"/>
    <s v="OEM-HCK"/>
    <s v="ICM"/>
    <x v="0"/>
    <m/>
    <m/>
    <s v="In Que"/>
  </r>
  <r>
    <n v="123"/>
    <m/>
    <x v="1"/>
    <s v="IMP"/>
    <s v="TBR"/>
    <s v="Norcool models Improvements"/>
    <x v="0"/>
    <x v="6"/>
    <s v="OEM-SEITEK"/>
    <s v="ICM"/>
    <x v="0"/>
    <m/>
    <m/>
    <s v="In Que"/>
  </r>
  <r>
    <n v="124"/>
    <m/>
    <x v="0"/>
    <s v="NM"/>
    <s v="TBR"/>
    <s v="35 Lt counter top -Internal or OEM"/>
    <x v="0"/>
    <x v="6"/>
    <m/>
    <s v="ICM"/>
    <x v="0"/>
    <m/>
    <m/>
    <s v="In Que"/>
  </r>
  <r>
    <n v="125"/>
    <m/>
    <x v="0"/>
    <s v="NM"/>
    <s v="TBR"/>
    <s v="55-60 Lt counter top - Internal or OEM"/>
    <x v="0"/>
    <x v="6"/>
    <m/>
    <s v="ICM"/>
    <x v="0"/>
    <m/>
    <m/>
    <s v="In Qu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n v="1"/>
    <d v="2026-01-01T00:00:00"/>
    <x v="0"/>
    <s v="NM"/>
    <s v="TBR"/>
    <s v="BoB model double HD &amp; SD door - C condition in house production - Key accounts"/>
    <x v="0"/>
    <x v="0"/>
    <x v="0"/>
    <s v="ICM"/>
    <x v="0"/>
    <s v="All"/>
    <m/>
    <s v="In Que"/>
    <m/>
    <m/>
    <m/>
    <m/>
    <m/>
  </r>
  <r>
    <n v="2"/>
    <d v="2026-01-01T00:00:00"/>
    <x v="1"/>
    <s v="BC"/>
    <s v="TBR"/>
    <s v="S-500 development as per EC-26 protocol - COKE"/>
    <x v="0"/>
    <x v="0"/>
    <x v="0"/>
    <s v="ICM"/>
    <x v="0"/>
    <s v="Coke"/>
    <m/>
    <s v="In Que"/>
    <m/>
    <m/>
    <m/>
    <m/>
    <m/>
  </r>
  <r>
    <n v="3"/>
    <d v="2026-01-01T00:00:00"/>
    <x v="0"/>
    <s v="NM"/>
    <s v="TBR"/>
    <s v="50L countertop development form OEM - Key accounts &amp; Coke - in house production"/>
    <x v="0"/>
    <x v="0"/>
    <x v="0"/>
    <s v="Other"/>
    <x v="0"/>
    <s v="WM"/>
    <m/>
    <s v="In Que"/>
    <m/>
    <m/>
    <m/>
    <m/>
    <m/>
  </r>
  <r>
    <n v="4"/>
    <d v="2026-01-01T00:00:00"/>
    <x v="1"/>
    <s v="NO"/>
    <s v="TBR"/>
    <s v="Frameless look alike aesthetics for India models "/>
    <x v="0"/>
    <x v="0"/>
    <x v="0"/>
    <s v="ICM"/>
    <x v="0"/>
    <s v="All"/>
    <m/>
    <s v="In Que"/>
    <m/>
    <m/>
    <m/>
    <m/>
    <m/>
  </r>
  <r>
    <n v="5"/>
    <d v="2026-01-01T00:00:00"/>
    <x v="1"/>
    <s v="BC"/>
    <s v="25-00308"/>
    <s v="SFC-1000→ New Step Cabin design/Phase -2"/>
    <x v="1"/>
    <x v="0"/>
    <x v="0"/>
    <s v="ICM"/>
    <x v="0"/>
    <s v="All"/>
    <s v="C-2025"/>
    <s v="In Que"/>
    <m/>
    <m/>
    <m/>
    <m/>
    <m/>
  </r>
  <r>
    <n v="6"/>
    <d v="2025-06-01T00:00:00"/>
    <x v="1"/>
    <s v="BC"/>
    <s v="24-00218"/>
    <s v="VG 200 R290 - 5 star (All models in cabin)"/>
    <x v="1"/>
    <x v="0"/>
    <x v="0"/>
    <s v="ICM"/>
    <x v="0"/>
    <s v="WM"/>
    <m/>
    <s v="In Que"/>
    <m/>
    <m/>
    <m/>
    <m/>
    <m/>
  </r>
  <r>
    <n v="7"/>
    <d v="2025-06-01T00:00:00"/>
    <x v="1"/>
    <s v="BC"/>
    <s v="24-00220"/>
    <s v="VG 250 R290 - 5 star (All models in cabin)"/>
    <x v="1"/>
    <x v="0"/>
    <x v="0"/>
    <s v="ICM"/>
    <x v="0"/>
    <s v="WM"/>
    <m/>
    <s v="In Que"/>
    <m/>
    <m/>
    <m/>
    <m/>
    <m/>
  </r>
  <r>
    <n v="8"/>
    <d v="2025-06-01T00:00:00"/>
    <x v="1"/>
    <s v="BC"/>
    <s v="24-00208"/>
    <s v="VG 400 R290 - 5 star (All models in cabin)"/>
    <x v="1"/>
    <x v="0"/>
    <x v="0"/>
    <s v="ICM"/>
    <x v="0"/>
    <s v="WM"/>
    <m/>
    <s v="In Que"/>
    <m/>
    <m/>
    <m/>
    <m/>
    <m/>
  </r>
  <r>
    <n v="9"/>
    <d v="2025-06-01T00:00:00"/>
    <x v="1"/>
    <s v="BC"/>
    <s v="24-00209"/>
    <s v="VG 300 R290 - 5 star (All models in cabin)"/>
    <x v="1"/>
    <x v="0"/>
    <x v="0"/>
    <s v="ICM"/>
    <x v="0"/>
    <s v="WM"/>
    <m/>
    <s v="In Que"/>
    <m/>
    <m/>
    <m/>
    <m/>
    <m/>
  </r>
  <r>
    <n v="10"/>
    <d v="2025-06-01T00:00:00"/>
    <x v="1"/>
    <s v="BC"/>
    <s v="24-00210"/>
    <s v="VG 450 R290 - 5 star (All models in cabin)"/>
    <x v="1"/>
    <x v="0"/>
    <x v="0"/>
    <s v="ICM"/>
    <x v="0"/>
    <s v="WM"/>
    <m/>
    <s v="In Que"/>
    <m/>
    <m/>
    <m/>
    <m/>
    <m/>
  </r>
  <r>
    <n v="11"/>
    <d v="2025-06-01T00:00:00"/>
    <x v="1"/>
    <s v="BC"/>
    <s v="24-00213"/>
    <s v="VG500 R290 - 5 star (All models in cabin)"/>
    <x v="1"/>
    <x v="0"/>
    <x v="0"/>
    <s v="ICM"/>
    <x v="0"/>
    <s v="WM"/>
    <m/>
    <s v="In Que"/>
    <m/>
    <m/>
    <m/>
    <m/>
    <m/>
  </r>
  <r>
    <n v="12"/>
    <d v="2025-06-01T00:00:00"/>
    <x v="1"/>
    <s v="BC"/>
    <s v="24-00216"/>
    <s v="VG 550 R290 - 5 star (All models in cabin)"/>
    <x v="1"/>
    <x v="0"/>
    <x v="0"/>
    <s v="ICM"/>
    <x v="0"/>
    <s v="WM"/>
    <m/>
    <s v="In Que"/>
    <m/>
    <m/>
    <m/>
    <m/>
    <m/>
  </r>
  <r>
    <n v="13"/>
    <d v="2025-06-01T00:00:00"/>
    <x v="1"/>
    <s v="BC"/>
    <s v="24-00211"/>
    <s v="VG600 R290 - 5 star (All models in cabin)"/>
    <x v="1"/>
    <x v="0"/>
    <x v="0"/>
    <s v="ICM"/>
    <x v="0"/>
    <s v="WM"/>
    <m/>
    <s v="In Que"/>
    <m/>
    <m/>
    <m/>
    <m/>
    <m/>
  </r>
  <r>
    <n v="14"/>
    <d v="2025-06-01T00:00:00"/>
    <x v="1"/>
    <s v="BC"/>
    <s v="24-00217"/>
    <s v="VG 650 R290 - 5 star (All models in cabin)"/>
    <x v="1"/>
    <x v="0"/>
    <x v="0"/>
    <s v="ICM"/>
    <x v="0"/>
    <s v="WM"/>
    <m/>
    <s v="In Que"/>
    <m/>
    <m/>
    <m/>
    <m/>
    <m/>
  </r>
  <r>
    <n v="15"/>
    <d v="2025-06-01T00:00:00"/>
    <x v="1"/>
    <s v="BC"/>
    <s v="24-00215"/>
    <s v="VG700 R290 - 5 star (All models in cabin)"/>
    <x v="1"/>
    <x v="0"/>
    <x v="0"/>
    <s v="ICM"/>
    <x v="0"/>
    <s v="WM"/>
    <m/>
    <s v="In Que"/>
    <m/>
    <m/>
    <m/>
    <m/>
    <m/>
  </r>
  <r>
    <n v="16"/>
    <d v="2025-06-01T00:00:00"/>
    <x v="1"/>
    <s v="BC"/>
    <s v="24-00214"/>
    <s v="VG950 R290 - 5 star (All models in cabin)"/>
    <x v="1"/>
    <x v="0"/>
    <x v="0"/>
    <s v="ICM"/>
    <x v="0"/>
    <s v="WM"/>
    <m/>
    <s v="In Que"/>
    <m/>
    <m/>
    <m/>
    <m/>
    <m/>
  </r>
  <r>
    <n v="17"/>
    <d v="2025-06-01T00:00:00"/>
    <x v="1"/>
    <s v="BC"/>
    <s v="24-00219"/>
    <s v="VG 1100 R290 - 5 star (All models in cabin)"/>
    <x v="1"/>
    <x v="0"/>
    <x v="0"/>
    <s v="ICM"/>
    <x v="0"/>
    <s v="WM"/>
    <m/>
    <s v="In Que"/>
    <m/>
    <m/>
    <m/>
    <m/>
    <m/>
  </r>
  <r>
    <n v="18"/>
    <d v="2026-01-01T00:00:00"/>
    <x v="1"/>
    <s v="NM"/>
    <s v="TBR"/>
    <s v="SP 200 development as per META - Pepsi certification only"/>
    <x v="0"/>
    <x v="0"/>
    <x v="0"/>
    <s v="ICM"/>
    <x v="0"/>
    <s v="Pepsico"/>
    <m/>
    <s v="In Que"/>
    <m/>
    <m/>
    <m/>
    <m/>
    <m/>
  </r>
  <r>
    <n v="19"/>
    <d v="2026-01-01T00:00:00"/>
    <x v="1"/>
    <s v="BC"/>
    <s v="TBR"/>
    <s v="S-45 testing and development  - As per Heineiken protocol"/>
    <x v="0"/>
    <x v="0"/>
    <x v="0"/>
    <s v="ICM"/>
    <x v="0"/>
    <s v="KA"/>
    <m/>
    <s v="In Que"/>
    <m/>
    <m/>
    <m/>
    <m/>
    <m/>
  </r>
  <r>
    <n v="20"/>
    <d v="2026-01-01T00:00:00"/>
    <x v="1"/>
    <s v="BC"/>
    <s v="TBR"/>
    <s v="S-60  testing and development  - As per Heineiken protocol"/>
    <x v="0"/>
    <x v="0"/>
    <x v="0"/>
    <s v="ICM"/>
    <x v="0"/>
    <s v="KA"/>
    <m/>
    <s v="In Que"/>
    <m/>
    <m/>
    <m/>
    <m/>
    <m/>
  </r>
  <r>
    <n v="21"/>
    <d v="2026-01-01T00:00:00"/>
    <x v="1"/>
    <s v="BC"/>
    <s v="TBR"/>
    <s v="S-1100 testing and development  - As per Heineiken protocol"/>
    <x v="0"/>
    <x v="0"/>
    <x v="0"/>
    <s v="ICM"/>
    <x v="0"/>
    <s v="KA"/>
    <m/>
    <s v="In Que"/>
    <m/>
    <m/>
    <m/>
    <m/>
    <m/>
  </r>
  <r>
    <n v="22"/>
    <d v="2026-01-01T00:00:00"/>
    <x v="1"/>
    <s v="BC"/>
    <s v="TBR"/>
    <s v="S-45 SZ for Heineken for HEINEKEN - Feasibility to define cost &amp; CAPEX for EEI&lt;15 &amp; EEI&lt;20"/>
    <x v="0"/>
    <x v="1"/>
    <x v="0"/>
    <s v="ICM"/>
    <x v="0"/>
    <s v="KA"/>
    <m/>
    <s v="In Que"/>
    <m/>
    <m/>
    <m/>
    <m/>
    <m/>
  </r>
  <r>
    <n v="23"/>
    <d v="2026-01-01T00:00:00"/>
    <x v="1"/>
    <s v="BC"/>
    <s v="TBR"/>
    <s v="S-60 SZ for Heineken for HEINEKEN - Feasibility to define cost &amp; CAPEX for EEI&lt;15 &amp; EEI&lt;20"/>
    <x v="0"/>
    <x v="1"/>
    <x v="0"/>
    <s v="ICM"/>
    <x v="0"/>
    <s v="KA"/>
    <m/>
    <s v="In Que"/>
    <m/>
    <m/>
    <m/>
    <m/>
    <m/>
  </r>
  <r>
    <n v="24"/>
    <d v="2026-01-01T00:00:00"/>
    <x v="1"/>
    <s v="CO"/>
    <s v="TBR"/>
    <s v="PSU Done 8W/15-16W/24W/30W as alternative to Tauras"/>
    <x v="1"/>
    <x v="2"/>
    <x v="0"/>
    <s v="ICM"/>
    <x v="0"/>
    <s v="All"/>
    <m/>
    <s v="In Que"/>
    <m/>
    <m/>
    <m/>
    <m/>
    <m/>
  </r>
  <r>
    <n v="25"/>
    <d v="2026-01-01T00:00:00"/>
    <x v="0"/>
    <s v="BC"/>
    <s v="TBR"/>
    <s v="FV-1000 SZ for Heineken - Feasibility to define cost &amp; CAPEX for EEI&lt;15 &amp; EEI&lt;20"/>
    <x v="0"/>
    <x v="1"/>
    <x v="0"/>
    <s v="ICM"/>
    <x v="0"/>
    <s v="KA"/>
    <m/>
    <s v="In Que"/>
    <m/>
    <m/>
    <m/>
    <m/>
    <m/>
  </r>
  <r>
    <n v="26"/>
    <d v="2025-01-01T00:00:00"/>
    <x v="1"/>
    <s v="NM"/>
    <s v="25-00327"/>
    <s v="SC-300 R290 conversions with cost effective measures - BSL"/>
    <x v="1"/>
    <x v="0"/>
    <x v="0"/>
    <s v="ICM"/>
    <x v="0"/>
    <s v="KA"/>
    <m/>
    <s v="In Que"/>
    <m/>
    <m/>
    <m/>
    <m/>
    <m/>
  </r>
  <r>
    <n v="27"/>
    <d v="2025-01-01T00:00:00"/>
    <x v="1"/>
    <s v="NM"/>
    <s v="25-00328"/>
    <s v="SC-375 R290 conversions with cost effective measures - BSL"/>
    <x v="1"/>
    <x v="0"/>
    <x v="0"/>
    <s v="ICM"/>
    <x v="0"/>
    <s v="KA"/>
    <m/>
    <s v="In Que"/>
    <m/>
    <m/>
    <m/>
    <m/>
    <m/>
  </r>
  <r>
    <n v="28"/>
    <d v="2025-01-01T00:00:00"/>
    <x v="1"/>
    <s v="NM"/>
    <s v="25-00329"/>
    <s v="SC-500 R290 conversions with cost effective measures - BSL"/>
    <x v="1"/>
    <x v="0"/>
    <x v="0"/>
    <s v="ICM"/>
    <x v="0"/>
    <s v="KA"/>
    <m/>
    <s v="In Que"/>
    <m/>
    <m/>
    <m/>
    <m/>
    <m/>
  </r>
  <r>
    <n v="29"/>
    <d v="2025-01-01T00:00:00"/>
    <x v="1"/>
    <s v="NM"/>
    <s v="25-00330"/>
    <s v="SC-650 R290 conversions with cost effective measures - BSL"/>
    <x v="1"/>
    <x v="0"/>
    <x v="0"/>
    <s v="ICM"/>
    <x v="0"/>
    <s v="KA"/>
    <m/>
    <s v="In Que"/>
    <m/>
    <m/>
    <m/>
    <m/>
    <m/>
  </r>
  <r>
    <n v="30"/>
    <d v="2025-01-01T00:00:00"/>
    <x v="1"/>
    <s v="NM"/>
    <s v="25-00331"/>
    <s v="SC-1000 R290 conversions with cost effective measures - BSL"/>
    <x v="1"/>
    <x v="0"/>
    <x v="0"/>
    <s v="ICM"/>
    <x v="0"/>
    <s v="KA"/>
    <m/>
    <s v="In Que"/>
    <m/>
    <m/>
    <m/>
    <m/>
    <m/>
  </r>
  <r>
    <n v="31"/>
    <d v="2026-01-01T00:00:00"/>
    <x v="2"/>
    <s v="NO"/>
    <s v="TBR"/>
    <s v="Aesthetical upgrade (icool2 doors with Neon LED or Strip) in key account models - _x000a_S. African range (S-45 SZ) - Key accounts"/>
    <x v="0"/>
    <x v="1"/>
    <x v="0"/>
    <s v="ICM"/>
    <x v="0"/>
    <s v="KA"/>
    <m/>
    <s v="In Que"/>
    <m/>
    <m/>
    <m/>
    <m/>
    <m/>
  </r>
  <r>
    <n v="32"/>
    <d v="2026-01-01T00:00:00"/>
    <x v="2"/>
    <s v="NO"/>
    <s v="TBR"/>
    <s v="Aesthetical upgrade (icool2 doors with Neon LED or Strip) in key account models - _x000a_S. African range ( SL640) - Key accounts"/>
    <x v="0"/>
    <x v="1"/>
    <x v="0"/>
    <s v="ICM"/>
    <x v="0"/>
    <s v="KA"/>
    <m/>
    <s v="In Que"/>
    <m/>
    <m/>
    <m/>
    <m/>
    <m/>
  </r>
  <r>
    <n v="33"/>
    <d v="2026-01-01T00:00:00"/>
    <x v="2"/>
    <s v="NO"/>
    <s v="TBR"/>
    <s v="Aesthetical upgrade (icool2 doors with Neon LED or Strip) in key account models - _x000a_S. African range (HV-71) - Key accounts"/>
    <x v="0"/>
    <x v="1"/>
    <x v="0"/>
    <s v="ICM"/>
    <x v="0"/>
    <s v="KA"/>
    <m/>
    <s v="In Que"/>
    <m/>
    <m/>
    <m/>
    <m/>
    <m/>
  </r>
  <r>
    <n v="34"/>
    <d v="2026-01-01T00:00:00"/>
    <x v="2"/>
    <s v="NO"/>
    <s v="TBR"/>
    <s v="Aesthetical upgrade (icool2 doors with Neon LED or Strip) in key account models - _x000a_S. African range (FV-1000) - Key accounts"/>
    <x v="0"/>
    <x v="1"/>
    <x v="0"/>
    <s v="ICM"/>
    <x v="0"/>
    <s v="KA"/>
    <m/>
    <s v="In Que"/>
    <m/>
    <m/>
    <m/>
    <m/>
    <m/>
  </r>
  <r>
    <n v="35"/>
    <d v="2026-01-01T00:00:00"/>
    <x v="2"/>
    <s v="NO"/>
    <s v="TBR"/>
    <s v="Aesthetical upgrade (icool2 doors with Neon LED or Strip) in key account models - _x000a_S. African range (FV 1000 SZ) - Key accounts"/>
    <x v="0"/>
    <x v="1"/>
    <x v="0"/>
    <s v="ICM"/>
    <x v="0"/>
    <s v="KA"/>
    <m/>
    <s v="In Que"/>
    <m/>
    <m/>
    <m/>
    <m/>
    <m/>
  </r>
  <r>
    <n v="37"/>
    <d v="2026-01-01T00:00:00"/>
    <x v="2"/>
    <s v="SER"/>
    <s v="TBR"/>
    <s v="HV-71 safe cooler development "/>
    <x v="1"/>
    <x v="1"/>
    <x v="0"/>
    <s v="ICM"/>
    <x v="0"/>
    <s v="Coke"/>
    <m/>
    <s v="In Que"/>
    <m/>
    <m/>
    <m/>
    <m/>
    <m/>
  </r>
  <r>
    <n v="38"/>
    <d v="2026-01-01T00:00:00"/>
    <x v="1"/>
    <s v="CO"/>
    <s v="TBR"/>
    <s v="S-250 as per EC26 protocol"/>
    <x v="1"/>
    <x v="0"/>
    <x v="0"/>
    <s v="ICM"/>
    <x v="0"/>
    <s v="Coke"/>
    <m/>
    <s v="In Que"/>
    <m/>
    <m/>
    <m/>
    <m/>
    <m/>
  </r>
  <r>
    <n v="39"/>
    <d v="2026-01-01T00:00:00"/>
    <x v="0"/>
    <s v="NM"/>
    <s v="TBR"/>
    <s v="350L premium slim cooler development, New platform project - Indonesia Pepsi"/>
    <x v="1"/>
    <x v="3"/>
    <x v="0"/>
    <s v="ICM"/>
    <x v="0"/>
    <s v="Pepsico"/>
    <m/>
    <s v="In Que"/>
    <m/>
    <m/>
    <m/>
    <m/>
    <m/>
  </r>
  <r>
    <n v="40"/>
    <d v="2026-01-01T00:00:00"/>
    <x v="0"/>
    <s v="CO"/>
    <s v="TBR"/>
    <s v="9 facing single door HC @  60HZ &amp; D-Condition with back airflow and market required features (HD Shelves, SS based, Temp. display castor. Etc) that is based on existing cabin  – Meet CC EC26 requirement "/>
    <x v="0"/>
    <x v="0"/>
    <x v="0"/>
    <s v="ICM"/>
    <x v="0"/>
    <s v="Coke"/>
    <m/>
    <s v="In Que"/>
    <m/>
    <m/>
    <m/>
    <m/>
    <m/>
  </r>
  <r>
    <n v="41"/>
    <d v="2026-01-01T00:00:00"/>
    <x v="1"/>
    <s v="BC"/>
    <s v="TBR"/>
    <s v="FV-1000 D development as per Coke EC 26 "/>
    <x v="1"/>
    <x v="3"/>
    <x v="0"/>
    <s v="ICM"/>
    <x v="0"/>
    <s v="Coke"/>
    <m/>
    <s v="In Que"/>
    <m/>
    <m/>
    <m/>
    <m/>
    <m/>
  </r>
  <r>
    <n v="42"/>
    <d v="2026-01-01T00:00:00"/>
    <x v="1"/>
    <s v="BC"/>
    <s v="TBR"/>
    <s v="E-47 development as per EC-26 protocol - CPNG "/>
    <x v="1"/>
    <x v="3"/>
    <x v="0"/>
    <s v="ICM"/>
    <x v="0"/>
    <s v="Coke"/>
    <m/>
    <s v="In Que"/>
    <m/>
    <m/>
    <m/>
    <m/>
    <m/>
  </r>
  <r>
    <n v="43"/>
    <d v="2024-12-01T00:00:00"/>
    <x v="2"/>
    <s v="CO"/>
    <s v="22-00060"/>
    <s v="ON OFF switch development"/>
    <x v="1"/>
    <x v="0"/>
    <x v="0"/>
    <s v="ICM"/>
    <x v="1"/>
    <s v="All"/>
    <m/>
    <s v="In Que"/>
    <m/>
    <m/>
    <m/>
    <m/>
    <m/>
  </r>
  <r>
    <n v="44"/>
    <d v="2024-08-01T00:00:00"/>
    <x v="2"/>
    <s v="CO"/>
    <s v="24-00226"/>
    <s v="Huawei PSUs"/>
    <x v="1"/>
    <x v="2"/>
    <x v="0"/>
    <s v="ICM"/>
    <x v="1"/>
    <s v="All"/>
    <m/>
    <s v="In Que"/>
    <m/>
    <m/>
    <m/>
    <m/>
    <m/>
  </r>
  <r>
    <n v="45"/>
    <d v="2025-02-01T00:00:00"/>
    <x v="2"/>
    <s v="CO"/>
    <s v="25-00249"/>
    <s v="Sedes Heaters for India and South Africa"/>
    <x v="1"/>
    <x v="2"/>
    <x v="0"/>
    <s v="ICM"/>
    <x v="1"/>
    <s v="All"/>
    <m/>
    <s v="In Que"/>
    <m/>
    <m/>
    <m/>
    <m/>
    <m/>
  </r>
  <r>
    <n v="46"/>
    <d v="2025-06-01T00:00:00"/>
    <x v="2"/>
    <s v="CO"/>
    <s v="25-00353"/>
    <s v="Alternative Shaded Pole 7W Xing Yuang YZF 7-20 ALUMINIUM WIRE for Hicool  83A230SAC-7W "/>
    <x v="1"/>
    <x v="2"/>
    <x v="0"/>
    <s v="ICM"/>
    <x v="1"/>
    <s v="All"/>
    <m/>
    <s v="In Que"/>
    <m/>
    <m/>
    <m/>
    <m/>
    <m/>
  </r>
  <r>
    <n v="47"/>
    <d v="2025-06-01T00:00:00"/>
    <x v="2"/>
    <s v="CO"/>
    <s v="25-00354"/>
    <s v="Alternative Shaded Pole 5W Xing Yuang YZF 7-20 for Hicool 83A230SAC-7W "/>
    <x v="1"/>
    <x v="2"/>
    <x v="0"/>
    <s v="ICM"/>
    <x v="1"/>
    <s v="All"/>
    <m/>
    <s v="In Que"/>
    <m/>
    <m/>
    <m/>
    <m/>
    <m/>
  </r>
  <r>
    <n v="48"/>
    <d v="2024-08-06T08:07:37"/>
    <x v="2"/>
    <s v="CO"/>
    <s v="24-00223"/>
    <s v="Jinbo PSUs"/>
    <x v="1"/>
    <x v="2"/>
    <x v="0"/>
    <s v="ICM"/>
    <x v="1"/>
    <s v="All"/>
    <m/>
    <s v="In Que"/>
    <m/>
    <m/>
    <m/>
    <m/>
    <m/>
  </r>
  <r>
    <n v="49"/>
    <d v="2025-06-26T06:55:03"/>
    <x v="2"/>
    <s v="CO"/>
    <s v="25-00347"/>
    <s v="Alternative AC Block Motor CCA WIRE Xing Yuang 20W (FM12038A2HS) for Nisiki NIS12038HS2W-ES "/>
    <x v="1"/>
    <x v="2"/>
    <x v="0"/>
    <s v="ICM"/>
    <x v="1"/>
    <s v="All"/>
    <m/>
    <s v="In Que"/>
    <m/>
    <m/>
    <m/>
    <m/>
    <m/>
  </r>
  <r>
    <n v="50"/>
    <d v="2025-06-26T06:55:48"/>
    <x v="2"/>
    <s v="CO"/>
    <s v="25-00348"/>
    <s v="Alternative AC Block Motor Xing Yuang 20W (FM12038A2HS) for Nisiki NIS12038HS2W-ES "/>
    <x v="1"/>
    <x v="2"/>
    <x v="0"/>
    <s v="ICM"/>
    <x v="1"/>
    <s v="All"/>
    <m/>
    <s v="In Que"/>
    <m/>
    <m/>
    <m/>
    <m/>
    <m/>
  </r>
  <r>
    <n v="51"/>
    <d v="2025-06-26T06:57:57"/>
    <x v="2"/>
    <s v="CO"/>
    <s v="25-00351"/>
    <s v="Alternative Shaded Pole 5W Xing Yuang  YZF 5-13 ALUMINIUM WIRE for Hicool  83A230SAC-5W "/>
    <x v="1"/>
    <x v="2"/>
    <x v="0"/>
    <s v="ICM"/>
    <x v="1"/>
    <s v="All"/>
    <m/>
    <s v="In Que"/>
    <m/>
    <m/>
    <m/>
    <m/>
    <m/>
  </r>
  <r>
    <n v="52"/>
    <d v="2025-06-26T06:58:42"/>
    <x v="2"/>
    <s v="CO"/>
    <s v="25-00352"/>
    <s v="Alternative Shaded Pole 5W Xing Yuang YZF 5-13 COPPER WIRE for Hicool  83A230SAC-5W "/>
    <x v="1"/>
    <x v="2"/>
    <x v="0"/>
    <s v="ICM"/>
    <x v="1"/>
    <s v="All"/>
    <m/>
    <s v="In Que"/>
    <m/>
    <m/>
    <m/>
    <m/>
    <m/>
  </r>
  <r>
    <n v="53"/>
    <d v="2025-06-26T07:02:51"/>
    <x v="2"/>
    <s v="CO"/>
    <s v="25-00357"/>
    <s v="Alternative Shaded Pole 16W Xing Yuang YZF 16-25 ALUMINIUM WIRE for Weiguang YZF16-25 "/>
    <x v="1"/>
    <x v="2"/>
    <x v="0"/>
    <s v="ICM"/>
    <x v="1"/>
    <s v="All"/>
    <m/>
    <s v="In Que"/>
    <m/>
    <m/>
    <m/>
    <m/>
    <m/>
  </r>
  <r>
    <n v="54"/>
    <d v="2025-04-01T00:00:00"/>
    <x v="1"/>
    <s v="IMP"/>
    <s v="TBR"/>
    <s v="Super-45 Design data synchronization with production (Product file)"/>
    <x v="1"/>
    <x v="0"/>
    <x v="0"/>
    <s v="ICM"/>
    <x v="2"/>
    <s v="All"/>
    <m/>
    <s v="In Que"/>
    <m/>
    <m/>
    <m/>
    <m/>
    <m/>
  </r>
  <r>
    <n v="55"/>
    <d v="2025-04-01T00:00:00"/>
    <x v="1"/>
    <s v="IMP"/>
    <s v="TBR"/>
    <s v="Super-60 Design data synchronization with production (Product file)"/>
    <x v="1"/>
    <x v="0"/>
    <x v="0"/>
    <s v="ICM"/>
    <x v="2"/>
    <s v="All"/>
    <m/>
    <s v="In Que"/>
    <m/>
    <m/>
    <m/>
    <m/>
    <m/>
  </r>
  <r>
    <n v="56"/>
    <d v="2025-04-01T00:00:00"/>
    <x v="1"/>
    <s v="IMP"/>
    <s v="TBR"/>
    <s v="Super-1100 Design data synchronization with production (Product file)"/>
    <x v="1"/>
    <x v="0"/>
    <x v="0"/>
    <s v="ICM"/>
    <x v="2"/>
    <s v="All"/>
    <m/>
    <s v="In Que"/>
    <m/>
    <m/>
    <m/>
    <m/>
    <m/>
  </r>
  <r>
    <n v="57"/>
    <d v="2025-06-01T00:00:00"/>
    <x v="1"/>
    <s v="NM"/>
    <s v="25-00289-1"/>
    <s v="S-60 R290 EG (PepsiCO &amp; Generic customer)"/>
    <x v="1"/>
    <x v="4"/>
    <x v="0"/>
    <s v="ICM"/>
    <x v="0"/>
    <s v="KA"/>
    <m/>
    <s v="In Que"/>
    <m/>
    <m/>
    <m/>
    <m/>
    <m/>
  </r>
  <r>
    <n v="58"/>
    <d v="2025-06-01T00:00:00"/>
    <x v="1"/>
    <s v="NM"/>
    <s v="25-00292-1"/>
    <s v="S-1100 R290 EG (PepsiCO &amp; Generic customer)"/>
    <x v="1"/>
    <x v="4"/>
    <x v="0"/>
    <s v="ICM"/>
    <x v="0"/>
    <s v="KA"/>
    <m/>
    <s v="In Que"/>
    <m/>
    <m/>
    <m/>
    <m/>
    <m/>
  </r>
  <r>
    <n v="59"/>
    <d v="2025-12-01T00:00:00"/>
    <x v="1"/>
    <s v="IMP"/>
    <s v="TBR"/>
    <s v="SM Updates-6 Nos. of SM"/>
    <x v="0"/>
    <x v="0"/>
    <x v="0"/>
    <s v="Other"/>
    <x v="2"/>
    <s v="All"/>
    <m/>
    <s v="In Que"/>
    <m/>
    <m/>
    <m/>
    <m/>
    <m/>
  </r>
  <r>
    <n v="60"/>
    <d v="2024-08-01T00:00:00"/>
    <x v="1"/>
    <s v="NO"/>
    <s v="24-00523"/>
    <s v="Plus-450 Vending cooler / Max-750  "/>
    <x v="1"/>
    <x v="5"/>
    <x v="1"/>
    <s v="ICM"/>
    <x v="0"/>
    <m/>
    <m/>
    <s v="Development"/>
    <m/>
    <m/>
    <m/>
    <m/>
    <m/>
  </r>
  <r>
    <n v="61"/>
    <d v="2025-08-01T00:00:00"/>
    <x v="1"/>
    <s v="NO"/>
    <s v="25-00628"/>
    <s v="Max 750 Sub Zero"/>
    <x v="0"/>
    <x v="5"/>
    <x v="1"/>
    <s v="ICM"/>
    <x v="0"/>
    <m/>
    <m/>
    <s v="In Que"/>
    <m/>
    <m/>
    <m/>
    <m/>
    <m/>
  </r>
  <r>
    <n v="62"/>
    <d v="2025-11-01T00:00:00"/>
    <x v="1"/>
    <s v="NO"/>
    <s v="25-00640"/>
    <s v="K2 controller settings for MAX B range &amp; PoC for EEI&lt;15"/>
    <x v="0"/>
    <x v="5"/>
    <x v="1"/>
    <s v="ICM"/>
    <x v="0"/>
    <m/>
    <m/>
    <s v="Development"/>
    <m/>
    <m/>
    <m/>
    <m/>
    <m/>
  </r>
  <r>
    <n v="63"/>
    <d v="2025-10-01T00:00:00"/>
    <x v="2"/>
    <s v="NO"/>
    <s v="25-00639"/>
    <s v="Development of Plus 1200 DD with FDE-32 (K4)"/>
    <x v="0"/>
    <x v="5"/>
    <x v="1"/>
    <s v="ICM"/>
    <x v="0"/>
    <m/>
    <m/>
    <s v="In Que"/>
    <m/>
    <m/>
    <m/>
    <m/>
    <m/>
  </r>
  <r>
    <n v="64"/>
    <d v="2025-08-01T00:00:00"/>
    <x v="1"/>
    <s v="NO"/>
    <s v="25-00629 "/>
    <s v="Sample 3D Branding ''Effect'' in Max 450 B"/>
    <x v="0"/>
    <x v="5"/>
    <x v="1"/>
    <s v="ICM"/>
    <x v="0"/>
    <m/>
    <m/>
    <s v="In Que"/>
    <m/>
    <m/>
    <m/>
    <m/>
    <m/>
  </r>
  <r>
    <n v="65"/>
    <d v="2025-07-01T00:00:00"/>
    <x v="0"/>
    <s v="NM"/>
    <s v="25-00621"/>
    <s v="MAX-1200 HD A Rating for non-Coke"/>
    <x v="1"/>
    <x v="5"/>
    <x v="1"/>
    <s v="ICM"/>
    <x v="0"/>
    <m/>
    <m/>
    <s v="Industrialization"/>
    <m/>
    <m/>
    <m/>
    <m/>
    <m/>
  </r>
  <r>
    <n v="66"/>
    <d v="2025-02-10T00:00:00"/>
    <x v="2"/>
    <s v="CO"/>
    <s v="25-00586"/>
    <s v="iPixel LEDs as alternative to Refond"/>
    <x v="1"/>
    <x v="5"/>
    <x v="1"/>
    <s v="ICM"/>
    <x v="1"/>
    <m/>
    <m/>
    <s v="On Hold"/>
    <m/>
    <m/>
    <m/>
    <m/>
    <m/>
  </r>
  <r>
    <n v="67"/>
    <d v="2025-02-10T00:00:00"/>
    <x v="1"/>
    <s v="CO"/>
    <s v="25-00589"/>
    <s v="Saiwei 5W EC compact motor"/>
    <x v="1"/>
    <x v="5"/>
    <x v="1"/>
    <s v="ICM"/>
    <x v="1"/>
    <m/>
    <m/>
    <s v="On Hold"/>
    <m/>
    <m/>
    <m/>
    <m/>
    <m/>
  </r>
  <r>
    <n v="68"/>
    <d v="2025-02-10T00:00:00"/>
    <x v="1"/>
    <s v="CO"/>
    <s v="25-00591"/>
    <s v="Honker controller"/>
    <x v="1"/>
    <x v="5"/>
    <x v="1"/>
    <s v="ICM"/>
    <x v="1"/>
    <m/>
    <m/>
    <s v="On Hold"/>
    <m/>
    <m/>
    <m/>
    <m/>
    <m/>
  </r>
  <r>
    <n v="69"/>
    <d v="2024-09-01T00:00:00"/>
    <x v="1"/>
    <s v="CO"/>
    <s v="24-00557"/>
    <s v="PSU Done 24W"/>
    <x v="1"/>
    <x v="5"/>
    <x v="1"/>
    <s v="ICM"/>
    <x v="1"/>
    <m/>
    <m/>
    <s v="On Hold"/>
    <m/>
    <m/>
    <m/>
    <m/>
    <m/>
  </r>
  <r>
    <n v="70"/>
    <d v="2024-09-01T00:00:00"/>
    <x v="1"/>
    <s v="CO"/>
    <s v="24-00556"/>
    <s v="PSU Done 16W"/>
    <x v="1"/>
    <x v="5"/>
    <x v="1"/>
    <s v="ICM"/>
    <x v="1"/>
    <m/>
    <m/>
    <s v="On Hold"/>
    <m/>
    <m/>
    <m/>
    <m/>
    <m/>
  </r>
  <r>
    <n v="71"/>
    <d v="2024-09-01T00:00:00"/>
    <x v="1"/>
    <s v="CO"/>
    <s v="24-00555"/>
    <s v="PSU Done 12W"/>
    <x v="1"/>
    <x v="5"/>
    <x v="1"/>
    <s v="ICM"/>
    <x v="1"/>
    <m/>
    <m/>
    <s v="On Hold"/>
    <m/>
    <m/>
    <m/>
    <m/>
    <m/>
  </r>
  <r>
    <n v="72"/>
    <d v="2024-12-01T00:00:00"/>
    <x v="2"/>
    <s v="NO"/>
    <s v="24-00564"/>
    <s v="New Coca-Cola branding for CCEP Europe"/>
    <x v="1"/>
    <x v="5"/>
    <x v="1"/>
    <s v="ICM"/>
    <x v="0"/>
    <m/>
    <m/>
    <s v="On Hold"/>
    <m/>
    <m/>
    <m/>
    <m/>
    <m/>
  </r>
  <r>
    <n v="73"/>
    <d v="2025-04-01T00:00:00"/>
    <x v="2"/>
    <s v="NO"/>
    <s v="25-00612"/>
    <s v="Stabilization/Support kit for Plus 900 HD to prevent sagging of cooling mechanism due to customer mis-use"/>
    <x v="1"/>
    <x v="5"/>
    <x v="1"/>
    <s v="ICM"/>
    <x v="0"/>
    <m/>
    <m/>
    <s v="On Hold"/>
    <m/>
    <m/>
    <m/>
    <m/>
    <m/>
  </r>
  <r>
    <n v="74"/>
    <d v="2024-12-01T00:00:00"/>
    <x v="1"/>
    <s v="NO"/>
    <s v="24-00551"/>
    <s v="Max 450 C _x000a_Donper SK43CU1_x000a_Su 50 DU1  "/>
    <x v="1"/>
    <x v="5"/>
    <x v="1"/>
    <s v="ICM"/>
    <x v="1"/>
    <m/>
    <m/>
    <s v="On Hold"/>
    <m/>
    <m/>
    <m/>
    <m/>
    <m/>
  </r>
  <r>
    <n v="75"/>
    <d v="2024-12-01T00:00:00"/>
    <x v="1"/>
    <s v="CO"/>
    <s v="25-00590"/>
    <s v="Keepthink controller"/>
    <x v="1"/>
    <x v="5"/>
    <x v="1"/>
    <s v="ICM"/>
    <x v="1"/>
    <m/>
    <m/>
    <s v="On Hold"/>
    <m/>
    <m/>
    <m/>
    <m/>
    <m/>
  </r>
  <r>
    <n v="76"/>
    <d v="2024-09-01T00:00:00"/>
    <x v="1"/>
    <s v="CO"/>
    <s v="24-00551"/>
    <s v="Alternative compressor to Wanbao FTA45L - GMCC PA50EME  "/>
    <x v="1"/>
    <x v="5"/>
    <x v="1"/>
    <s v="ICM"/>
    <x v="1"/>
    <m/>
    <m/>
    <s v="Development"/>
    <m/>
    <m/>
    <m/>
    <m/>
    <m/>
  </r>
  <r>
    <n v="77"/>
    <d v="2024-09-01T00:00:00"/>
    <x v="1"/>
    <s v="CO"/>
    <s v="24-00553"/>
    <s v="Huaiy NUM90RAa"/>
    <x v="1"/>
    <x v="5"/>
    <x v="1"/>
    <s v="ICM"/>
    <x v="1"/>
    <m/>
    <m/>
    <s v="On Hold"/>
    <m/>
    <m/>
    <m/>
    <m/>
    <m/>
  </r>
  <r>
    <n v="78"/>
    <d v="2024-09-01T00:00:00"/>
    <x v="1"/>
    <s v="CO"/>
    <s v="24-00552"/>
    <s v="Huaiy NFG80Ra"/>
    <x v="1"/>
    <x v="5"/>
    <x v="1"/>
    <s v="ICM"/>
    <x v="1"/>
    <m/>
    <m/>
    <s v="On Hold"/>
    <m/>
    <m/>
    <m/>
    <m/>
    <m/>
  </r>
  <r>
    <n v="79"/>
    <m/>
    <x v="0"/>
    <s v="NM"/>
    <s v="TBR"/>
    <s v="MAX-1200 [R290] Freezer"/>
    <x v="1"/>
    <x v="5"/>
    <x v="2"/>
    <s v="VF"/>
    <x v="0"/>
    <m/>
    <m/>
    <s v="In Que"/>
    <m/>
    <s v="Antonis"/>
    <m/>
    <m/>
    <m/>
  </r>
  <r>
    <n v="80"/>
    <m/>
    <x v="1"/>
    <s v="NM"/>
    <s v="TBR"/>
    <s v="MAX-1200 [R290] Super Market Version"/>
    <x v="1"/>
    <x v="5"/>
    <x v="2"/>
    <s v="ICM"/>
    <x v="0"/>
    <m/>
    <m/>
    <s v="In Que"/>
    <m/>
    <s v="Antonis"/>
    <m/>
    <m/>
    <m/>
  </r>
  <r>
    <n v="81"/>
    <m/>
    <x v="0"/>
    <s v="NM"/>
    <s v="TBR"/>
    <s v="MAX-750 [R290] Freezer"/>
    <x v="1"/>
    <x v="5"/>
    <x v="2"/>
    <s v="VF"/>
    <x v="0"/>
    <m/>
    <m/>
    <s v="In Que"/>
    <m/>
    <s v="Theoni"/>
    <m/>
    <m/>
    <m/>
  </r>
  <r>
    <n v="82"/>
    <m/>
    <x v="1"/>
    <s v="NM"/>
    <s v="TBR"/>
    <s v="MAX-750 [R290] Super Market Version"/>
    <x v="1"/>
    <x v="5"/>
    <x v="2"/>
    <s v="ICM"/>
    <x v="0"/>
    <m/>
    <m/>
    <s v="In Que"/>
    <m/>
    <s v="Theoni"/>
    <m/>
    <m/>
    <m/>
  </r>
  <r>
    <n v="83"/>
    <m/>
    <x v="0"/>
    <s v="NM"/>
    <s v="TBR"/>
    <s v="MAX-750 Vending-Shekel"/>
    <x v="1"/>
    <x v="5"/>
    <x v="2"/>
    <s v="ICM"/>
    <x v="0"/>
    <m/>
    <m/>
    <s v="Development"/>
    <m/>
    <s v="Theoni"/>
    <m/>
    <m/>
    <m/>
  </r>
  <r>
    <n v="84"/>
    <m/>
    <x v="0"/>
    <s v="NM"/>
    <s v="TBR"/>
    <s v="MAX-750 Vending-NU"/>
    <x v="1"/>
    <x v="5"/>
    <x v="2"/>
    <s v="ICM"/>
    <x v="0"/>
    <m/>
    <m/>
    <s v="Development"/>
    <m/>
    <s v="Theoni"/>
    <m/>
    <m/>
    <m/>
  </r>
  <r>
    <n v="85"/>
    <m/>
    <x v="0"/>
    <s v="NM"/>
    <s v="TBR"/>
    <s v="NGC-450 - Double Bubble"/>
    <x v="1"/>
    <x v="5"/>
    <x v="2"/>
    <s v="ICM"/>
    <x v="0"/>
    <m/>
    <m/>
    <s v="In Que"/>
    <m/>
    <m/>
    <m/>
    <m/>
    <m/>
  </r>
  <r>
    <n v="86"/>
    <m/>
    <x v="1"/>
    <s v="NM"/>
    <s v="TBR"/>
    <s v="_x0009_8 facing FFD C rarting for EU (S-500 ex India)"/>
    <x v="1"/>
    <x v="5"/>
    <x v="2"/>
    <s v="ICM"/>
    <x v="0"/>
    <m/>
    <m/>
    <s v="In Que"/>
    <m/>
    <m/>
    <m/>
    <m/>
    <m/>
  </r>
  <r>
    <n v="87"/>
    <m/>
    <x v="0"/>
    <s v="NO"/>
    <s v="TBR"/>
    <s v="MAX/Plus 900 door design with French sealing solution (applied to household coolers)"/>
    <x v="0"/>
    <x v="5"/>
    <x v="2"/>
    <s v="ICM"/>
    <x v="0"/>
    <m/>
    <m/>
    <s v="In Que"/>
    <m/>
    <m/>
    <m/>
    <m/>
    <m/>
  </r>
  <r>
    <n v="88"/>
    <m/>
    <x v="1"/>
    <s v="NO"/>
    <s v="TBR"/>
    <s v="NGC-450 new door designs for Key accounts - 2 door designs"/>
    <x v="0"/>
    <x v="5"/>
    <x v="2"/>
    <s v="ICM"/>
    <x v="0"/>
    <m/>
    <m/>
    <s v="In Que"/>
    <m/>
    <m/>
    <m/>
    <m/>
    <m/>
  </r>
  <r>
    <n v="89"/>
    <m/>
    <x v="1"/>
    <s v="NO"/>
    <s v="TBR"/>
    <s v="3D Beat BOX  logo on ICOOL2 door of MAX-450"/>
    <x v="0"/>
    <x v="5"/>
    <x v="2"/>
    <s v="ICM"/>
    <x v="0"/>
    <m/>
    <m/>
    <s v="In Que"/>
    <m/>
    <m/>
    <m/>
    <m/>
    <m/>
  </r>
  <r>
    <n v="90"/>
    <m/>
    <x v="1"/>
    <s v="NO"/>
    <s v="TBR"/>
    <s v="Provision for big 3D  logo on MAX-750"/>
    <x v="0"/>
    <x v="5"/>
    <x v="2"/>
    <s v="ICM"/>
    <x v="0"/>
    <m/>
    <m/>
    <s v="In Que"/>
    <m/>
    <m/>
    <m/>
    <m/>
    <m/>
  </r>
  <r>
    <n v="91"/>
    <m/>
    <x v="1"/>
    <s v="NO"/>
    <s v="TBR"/>
    <s v="_x0009_ICOOL 2 door with Strip or LED on MAX 750 &amp; MAX 1200"/>
    <x v="0"/>
    <x v="5"/>
    <x v="2"/>
    <s v="ICM"/>
    <x v="0"/>
    <m/>
    <m/>
    <s v="In Que"/>
    <m/>
    <m/>
    <m/>
    <m/>
    <m/>
  </r>
  <r>
    <n v="92"/>
    <m/>
    <x v="0"/>
    <s v="NO"/>
    <s v="TBR"/>
    <s v="Door for Vending kit with integrated screen and POS"/>
    <x v="0"/>
    <x v="5"/>
    <x v="2"/>
    <s v="ICM"/>
    <x v="0"/>
    <m/>
    <m/>
    <s v="In Que"/>
    <m/>
    <m/>
    <m/>
    <m/>
    <m/>
  </r>
  <r>
    <n v="93"/>
    <m/>
    <x v="1"/>
    <s v="NO"/>
    <s v="TBR"/>
    <s v="Maxerience  Max-750  Vending cooler"/>
    <x v="0"/>
    <x v="5"/>
    <x v="1"/>
    <s v="ICM"/>
    <x v="0"/>
    <m/>
    <m/>
    <s v="Development"/>
    <m/>
    <m/>
    <m/>
    <m/>
    <m/>
  </r>
  <r>
    <n v="94"/>
    <m/>
    <x v="0"/>
    <s v="NM"/>
    <s v="TBR"/>
    <s v="MAX-1200 [R290] Freezer"/>
    <x v="0"/>
    <x v="5"/>
    <x v="2"/>
    <s v="VF"/>
    <x v="0"/>
    <m/>
    <m/>
    <s v="In Que"/>
    <m/>
    <s v="Antonis"/>
    <m/>
    <m/>
    <m/>
  </r>
  <r>
    <n v="95"/>
    <m/>
    <x v="2"/>
    <s v="NM"/>
    <s v="TBR"/>
    <s v="MAX-1200 [R290] Super Market Version"/>
    <x v="1"/>
    <x v="5"/>
    <x v="2"/>
    <s v="ICM"/>
    <x v="0"/>
    <m/>
    <m/>
    <s v="In Que"/>
    <m/>
    <s v="Antonis"/>
    <m/>
    <m/>
    <m/>
  </r>
  <r>
    <n v="96"/>
    <m/>
    <x v="1"/>
    <s v="NM"/>
    <s v="TBR"/>
    <s v="MAX-750 [R290] Freezer"/>
    <x v="1"/>
    <x v="5"/>
    <x v="2"/>
    <s v="VF"/>
    <x v="0"/>
    <m/>
    <m/>
    <s v="In Que"/>
    <m/>
    <s v="Theoni"/>
    <m/>
    <m/>
    <m/>
  </r>
  <r>
    <n v="97"/>
    <m/>
    <x v="2"/>
    <s v="NM"/>
    <s v="TBR"/>
    <s v="MAX-750 [R290] Super Market Version"/>
    <x v="1"/>
    <x v="5"/>
    <x v="2"/>
    <s v="ICM"/>
    <x v="0"/>
    <m/>
    <m/>
    <s v="In Que"/>
    <m/>
    <s v="Theoni"/>
    <m/>
    <m/>
    <m/>
  </r>
  <r>
    <n v="98"/>
    <d v="2024-10-01T00:00:00"/>
    <x v="1"/>
    <s v="NM"/>
    <s v="TBR"/>
    <s v="MAX-750 Vending-Shekel"/>
    <x v="1"/>
    <x v="5"/>
    <x v="2"/>
    <s v="ICM"/>
    <x v="0"/>
    <m/>
    <m/>
    <s v="Development"/>
    <m/>
    <s v="Theoni"/>
    <m/>
    <m/>
    <m/>
  </r>
  <r>
    <n v="99"/>
    <n v="45962"/>
    <x v="3"/>
    <s v="NM"/>
    <s v="TBR"/>
    <s v="Family Fridge"/>
    <x v="1"/>
    <x v="6"/>
    <x v="3"/>
    <s v="ICM"/>
    <x v="0"/>
    <m/>
    <m/>
    <s v="Development"/>
    <m/>
    <s v="Theoni"/>
    <m/>
    <m/>
    <m/>
  </r>
  <r>
    <n v="100"/>
    <n v="45962"/>
    <x v="4"/>
    <s v="NO"/>
    <s v="TBR"/>
    <s v="IC2-40 ECO with FDE32"/>
    <x v="1"/>
    <x v="6"/>
    <x v="3"/>
    <s v="ICM"/>
    <x v="0"/>
    <m/>
    <m/>
    <s v="Development"/>
    <m/>
    <s v="Theoni"/>
    <m/>
    <m/>
    <m/>
  </r>
  <r>
    <n v="101"/>
    <n v="45962"/>
    <x v="1"/>
    <s v="IMP"/>
    <s v="TBR"/>
    <s v="FLEX-290 EEI&lt;20 @ K1"/>
    <x v="1"/>
    <x v="7"/>
    <x v="4"/>
    <s v="ICM"/>
    <x v="0"/>
    <m/>
    <m/>
    <s v="Development"/>
    <m/>
    <s v="Theoni"/>
    <m/>
    <m/>
    <m/>
  </r>
  <r>
    <n v="102"/>
    <n v="45992"/>
    <x v="1"/>
    <s v="IMP"/>
    <s v="TBR"/>
    <s v="ERE3.0 B RATING"/>
    <x v="1"/>
    <x v="6"/>
    <x v="3"/>
    <s v="ICM"/>
    <x v="0"/>
    <m/>
    <m/>
    <s v="Development"/>
    <m/>
    <s v="Theoni"/>
    <m/>
    <m/>
    <m/>
  </r>
  <r>
    <n v="103"/>
    <n v="45940"/>
    <x v="0"/>
    <s v="NM"/>
    <s v="TBR"/>
    <s v="Slim CT [R290]"/>
    <x v="1"/>
    <x v="6"/>
    <x v="3"/>
    <s v="ICM"/>
    <x v="0"/>
    <m/>
    <m/>
    <s v="Development"/>
    <m/>
    <s v="Theoni"/>
    <m/>
    <m/>
    <m/>
  </r>
  <r>
    <n v="104"/>
    <n v="45940"/>
    <x v="0"/>
    <s v="NM"/>
    <s v="TBR"/>
    <s v="Mini Cube CT [R290]"/>
    <x v="1"/>
    <x v="6"/>
    <x v="3"/>
    <s v="ICM"/>
    <x v="0"/>
    <m/>
    <m/>
    <s v="Development"/>
    <m/>
    <s v="Theoni"/>
    <m/>
    <m/>
    <m/>
  </r>
  <r>
    <n v="105"/>
    <m/>
    <x v="1"/>
    <s v="NO"/>
    <s v="TBR"/>
    <s v="BEATBOX 3D LOGO PREMIUM SLIM 130"/>
    <x v="0"/>
    <x v="6"/>
    <x v="3"/>
    <s v="ICM"/>
    <x v="0"/>
    <m/>
    <m/>
    <s v="In Que"/>
    <m/>
    <s v="Theoni"/>
    <m/>
    <m/>
    <m/>
  </r>
  <r>
    <n v="106"/>
    <m/>
    <x v="1"/>
    <s v="NO"/>
    <s v="TBR"/>
    <s v="BEATBOX 3D LOGO FLEX60"/>
    <x v="0"/>
    <x v="7"/>
    <x v="4"/>
    <s v="ICM"/>
    <x v="0"/>
    <m/>
    <m/>
    <s v="In Que"/>
    <m/>
    <s v="Theoni"/>
    <m/>
    <m/>
    <m/>
  </r>
  <r>
    <n v="107"/>
    <n v="45952"/>
    <x v="1"/>
    <s v="NO"/>
    <s v="TBR"/>
    <s v="FLEX-130 WITH FDE32"/>
    <x v="1"/>
    <x v="6"/>
    <x v="3"/>
    <s v="ICM"/>
    <x v="0"/>
    <m/>
    <m/>
    <s v="Development"/>
    <m/>
    <s v="Theoni"/>
    <m/>
    <m/>
    <m/>
  </r>
  <r>
    <n v="108"/>
    <m/>
    <x v="1"/>
    <s v="IMP"/>
    <s v="TBR"/>
    <s v="FLEX-290 HEINEKEN (EEI&lt;15)"/>
    <x v="0"/>
    <x v="7"/>
    <x v="4"/>
    <s v="ICM"/>
    <x v="0"/>
    <m/>
    <m/>
    <s v="In Que"/>
    <m/>
    <s v="Theoni"/>
    <m/>
    <m/>
    <m/>
  </r>
  <r>
    <n v="109"/>
    <m/>
    <x v="1"/>
    <s v="IMP"/>
    <s v="TBR"/>
    <s v="FLEX-400 HEINEKEN (EEI&lt;15)"/>
    <x v="0"/>
    <x v="7"/>
    <x v="4"/>
    <s v="ICM"/>
    <x v="0"/>
    <m/>
    <m/>
    <s v="In Que"/>
    <m/>
    <s v="Theoni"/>
    <m/>
    <m/>
    <m/>
  </r>
  <r>
    <n v="110"/>
    <m/>
    <x v="1"/>
    <s v="IMP"/>
    <s v="TBR"/>
    <s v="FLEX-130 HEINEKEN (EEI&lt;15)"/>
    <x v="0"/>
    <x v="6"/>
    <x v="3"/>
    <s v="ICM"/>
    <x v="0"/>
    <m/>
    <m/>
    <s v="In Que"/>
    <m/>
    <s v="Theoni"/>
    <m/>
    <m/>
    <m/>
  </r>
  <r>
    <n v="111"/>
    <m/>
    <x v="1"/>
    <s v="IMP"/>
    <s v="TBR"/>
    <s v="MAX-150 HEINEKEN (EEI&lt;15)"/>
    <x v="0"/>
    <x v="6"/>
    <x v="3"/>
    <s v="ICM"/>
    <x v="0"/>
    <m/>
    <m/>
    <s v="In Que"/>
    <m/>
    <s v="Theoni"/>
    <m/>
    <m/>
    <m/>
  </r>
  <r>
    <n v="112"/>
    <n v="45976"/>
    <x v="0"/>
    <s v="NM"/>
    <s v="TBR"/>
    <s v="TwinReach Monster"/>
    <x v="0"/>
    <x v="6"/>
    <x v="3"/>
    <s v="ICM"/>
    <x v="0"/>
    <m/>
    <m/>
    <s v="In Que"/>
    <m/>
    <s v="Theoni"/>
    <m/>
    <m/>
    <m/>
  </r>
  <r>
    <n v="113"/>
    <m/>
    <x v="1"/>
    <s v="IMP"/>
    <s v="TBR"/>
    <s v="BAR-150 EER B"/>
    <x v="0"/>
    <x v="7"/>
    <x v="4"/>
    <s v="ICM"/>
    <x v="0"/>
    <m/>
    <m/>
    <s v="In Que"/>
    <m/>
    <s v="Theoni"/>
    <m/>
    <m/>
    <m/>
  </r>
  <r>
    <n v="114"/>
    <m/>
    <x v="1"/>
    <s v="IMP"/>
    <s v="TBR"/>
    <s v="BAR-250 EER B Coca Cola"/>
    <x v="0"/>
    <x v="7"/>
    <x v="4"/>
    <s v="ICM"/>
    <x v="0"/>
    <m/>
    <m/>
    <s v="In Que"/>
    <m/>
    <s v="Theoni"/>
    <m/>
    <m/>
    <m/>
  </r>
  <r>
    <n v="115"/>
    <n v="45909"/>
    <x v="1"/>
    <s v="CER"/>
    <s v="TBR"/>
    <s v="IC2-40 ECO CC Certification"/>
    <x v="1"/>
    <x v="5"/>
    <x v="1"/>
    <s v="ICM"/>
    <x v="0"/>
    <m/>
    <m/>
    <s v="Development"/>
    <m/>
    <s v="Theoni"/>
    <m/>
    <m/>
    <m/>
  </r>
  <r>
    <n v="116"/>
    <m/>
    <x v="1"/>
    <s v="IMP"/>
    <s v="TBR"/>
    <s v="Flex-60 EEI&lt;25"/>
    <x v="0"/>
    <x v="7"/>
    <x v="4"/>
    <s v="ICM"/>
    <x v="0"/>
    <m/>
    <m/>
    <s v="In Que"/>
    <m/>
    <s v="Theoni"/>
    <m/>
    <m/>
    <m/>
  </r>
  <r>
    <n v="117"/>
    <m/>
    <x v="1"/>
    <s v="IMP"/>
    <s v="TBR"/>
    <s v="Flex-60 SZ EEI&lt;25"/>
    <x v="0"/>
    <x v="7"/>
    <x v="4"/>
    <s v="ICM"/>
    <x v="0"/>
    <m/>
    <m/>
    <s v="In Que"/>
    <m/>
    <s v="Theoni"/>
    <m/>
    <m/>
    <m/>
  </r>
  <r>
    <n v="118"/>
    <m/>
    <x v="0"/>
    <s v="NO"/>
    <s v="TBR"/>
    <s v="Replacement of S-16 "/>
    <x v="0"/>
    <x v="6"/>
    <x v="3"/>
    <s v="ICM"/>
    <x v="0"/>
    <m/>
    <m/>
    <s v="In Que"/>
    <m/>
    <s v="Theoni"/>
    <m/>
    <m/>
    <m/>
  </r>
  <r>
    <n v="119"/>
    <m/>
    <x v="1"/>
    <s v="NO"/>
    <s v="TBR"/>
    <s v="3D logo for FLEX-130"/>
    <x v="0"/>
    <x v="6"/>
    <x v="3"/>
    <s v="ICM"/>
    <x v="0"/>
    <m/>
    <m/>
    <s v="In Que"/>
    <m/>
    <s v="Theoni"/>
    <m/>
    <m/>
    <m/>
  </r>
  <r>
    <n v="120"/>
    <m/>
    <x v="1"/>
    <s v="IMP"/>
    <s v="TBR"/>
    <s v="S99 EER Improvement"/>
    <x v="0"/>
    <x v="7"/>
    <x v="4"/>
    <s v="ICM"/>
    <x v="0"/>
    <m/>
    <m/>
    <s v="In Que"/>
    <m/>
    <s v="Theoni"/>
    <m/>
    <m/>
    <m/>
  </r>
  <r>
    <n v="121"/>
    <m/>
    <x v="1"/>
    <s v="NO"/>
    <s v="TBR"/>
    <s v="ERE 3.0 HC @ 60HZ  CC Requirements"/>
    <x v="0"/>
    <x v="6"/>
    <x v="3"/>
    <s v="ICM"/>
    <x v="0"/>
    <m/>
    <m/>
    <s v="In Que"/>
    <m/>
    <s v="Theoni"/>
    <m/>
    <m/>
    <m/>
  </r>
  <r>
    <n v="122"/>
    <m/>
    <x v="1"/>
    <s v="NO"/>
    <s v="TBR"/>
    <s v="Flex 65 ECO Ambient light Heineken Germany"/>
    <x v="0"/>
    <x v="7"/>
    <x v="4"/>
    <s v="ICM"/>
    <x v="0"/>
    <m/>
    <m/>
    <s v="In Que"/>
    <m/>
    <s v="Theoni"/>
    <m/>
    <m/>
    <m/>
  </r>
  <r>
    <n v="123"/>
    <m/>
    <x v="1"/>
    <s v="IMP"/>
    <s v="TBR"/>
    <s v="Norcool models Improvements"/>
    <x v="0"/>
    <x v="6"/>
    <x v="3"/>
    <s v="ICM"/>
    <x v="0"/>
    <m/>
    <m/>
    <s v="In Que"/>
    <m/>
    <s v="Theoni"/>
    <m/>
    <m/>
    <m/>
  </r>
  <r>
    <n v="124"/>
    <m/>
    <x v="0"/>
    <s v="NM"/>
    <s v="TBR"/>
    <s v="35 Lt counter top -Internal or OEM"/>
    <x v="0"/>
    <x v="6"/>
    <x v="5"/>
    <s v="ICM"/>
    <x v="0"/>
    <m/>
    <m/>
    <s v="In Que"/>
    <m/>
    <s v="Theoni"/>
    <m/>
    <m/>
    <m/>
  </r>
  <r>
    <n v="125"/>
    <m/>
    <x v="0"/>
    <s v="NM"/>
    <s v="TBR"/>
    <s v="55-60 Lt counter top - Internal or OEM"/>
    <x v="0"/>
    <x v="6"/>
    <x v="5"/>
    <s v="ICM"/>
    <x v="0"/>
    <m/>
    <m/>
    <s v="In Que"/>
    <m/>
    <s v="Theoni"/>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5">
  <r>
    <n v="1"/>
    <x v="0"/>
    <m/>
    <x v="0"/>
    <x v="0"/>
    <s v="CO"/>
    <s v="25-00258"/>
    <s v="25SRC006-2"/>
    <s v="Compressor Donper L58WU1 as alternative to Wanbao FTA55L→S-35 R290 (Coke)"/>
    <s v="IND"/>
    <x v="0"/>
    <s v="ICM"/>
    <s v="Central Procurement Group"/>
    <s v="Cooling Mechanism"/>
    <s v="Cooling Components"/>
    <s v="Compressors"/>
    <n v="2"/>
    <n v="3"/>
    <s v="Yes"/>
    <m/>
    <m/>
    <n v="6"/>
    <m/>
    <n v="2"/>
    <s v="Yes"/>
    <s v="Start Date→  28-10-24_x000a_End Date→ 30-11-24"/>
    <n v="0"/>
    <s v="Safety completed"/>
    <m/>
    <m/>
    <m/>
    <m/>
    <s v="Commercialized"/>
    <s v="Testing →TCC Report submitted, Approval Received_x000a_Safety→completed_x000a_TF →Released_x000a_Proto→Completed_x000a_Pilot-Done/ Model Commercialized-27/05"/>
    <s v="Lokesh"/>
  </r>
  <r>
    <n v="2"/>
    <x v="0"/>
    <m/>
    <x v="0"/>
    <x v="0"/>
    <s v="CO"/>
    <s v="25-00308"/>
    <s v="25SRC017-1"/>
    <s v="Compressor Donper L58WU1 as alternative to Huayi NUS70NA →S-450 (Coke Africa)"/>
    <s v="IND"/>
    <x v="0"/>
    <s v="ICM"/>
    <s v="Central Procurement Group"/>
    <s v="Cooling Mechanism"/>
    <s v="Cooling Components"/>
    <s v="Compressors"/>
    <n v="1"/>
    <n v="3"/>
    <s v="Yes"/>
    <m/>
    <m/>
    <n v="6"/>
    <m/>
    <n v="2"/>
    <s v="Yes"/>
    <s v="Start Date→09-11-24_x000a_End Date→20-12-24"/>
    <n v="0"/>
    <s v="Safety completed"/>
    <m/>
    <m/>
    <m/>
    <m/>
    <s v="Commercialized"/>
    <s v="Testing →TCC Report submitted, Approval Received_x000a_Safety→completed_x000a_TF →Released_x000a_Production prototype completed/PD go ahead given_x000a_Pilot: Completed_x000a_Commercilaized-16/06"/>
    <s v="Lokesh"/>
  </r>
  <r>
    <n v="3"/>
    <x v="0"/>
    <m/>
    <x v="0"/>
    <x v="0"/>
    <s v="CO"/>
    <s v="25-00256"/>
    <s v="25SRC004-2"/>
    <s v="Compressor Donper L58WU1 as alternative to Tecumseh TCW410-CE3B→S45 Coke"/>
    <s v="IND"/>
    <x v="0"/>
    <s v="ICM"/>
    <s v="Central Procurement Group"/>
    <s v="Cooling Mechanism"/>
    <s v="Cooling Components"/>
    <s v="Compressors"/>
    <n v="2"/>
    <n v="3"/>
    <s v="Yes"/>
    <m/>
    <m/>
    <n v="6"/>
    <m/>
    <n v="2"/>
    <s v="Yes"/>
    <s v="Start Date→09-11-24_x000a_End Date→20-12-24"/>
    <n v="0"/>
    <s v="Safety completed"/>
    <m/>
    <m/>
    <m/>
    <m/>
    <s v="Commercialized"/>
    <s v="Testing →TCC Report submitted, Approval Received_x000a_Safety→completed_x000a_TF →Released_x000a_Prod Proto→Completed_x000a_Pilot→Completed-PD testing completed. Model Commercilaized _x000a_Pilot-Done/ Model Commercialized-27/05"/>
    <s v="Lokesh"/>
  </r>
  <r>
    <n v="4"/>
    <x v="0"/>
    <m/>
    <x v="0"/>
    <x v="0"/>
    <s v="CO"/>
    <s v="25-00310"/>
    <s v="25SRC019-3"/>
    <s v="Compressor Donper  L58WU1 as alternative to Huayi NUS70NA  →VG-450 [R290]"/>
    <s v="IND"/>
    <x v="0"/>
    <s v="ICM"/>
    <s v="Central Procurement Group"/>
    <s v="Cooling Mechanism"/>
    <s v="Cooling Components"/>
    <s v="Compressors"/>
    <n v="3"/>
    <n v="3"/>
    <s v="Yes"/>
    <m/>
    <m/>
    <n v="6"/>
    <m/>
    <n v="0"/>
    <s v="Yes"/>
    <s v="Start Date→09-11-24_x000a_End Date→20-12-24"/>
    <n v="0"/>
    <s v="Safety completed"/>
    <m/>
    <m/>
    <m/>
    <m/>
    <s v="Commercialized"/>
    <s v="TF to be released : To be decided/_x000a_Variant of SC500._x000a_Pilot-22July (As per ordering)_x000a_Commercialization-In Aug"/>
    <s v="Nikhil"/>
  </r>
  <r>
    <n v="5"/>
    <x v="0"/>
    <m/>
    <x v="0"/>
    <x v="0"/>
    <s v="CO"/>
    <s v="25-00253"/>
    <s v="25INN008-1"/>
    <s v="Compressor Donper L76WU1 as alternative to Huayi NUY80RAA →FV-650 D [R290] FFD (Coke Indo)"/>
    <s v="INN"/>
    <x v="0"/>
    <s v="ICM"/>
    <s v="Central Procurement Group"/>
    <s v="Cooling Mechanism"/>
    <s v="Cooling Components"/>
    <s v="Compressors"/>
    <n v="3"/>
    <n v="3"/>
    <s v="Yes"/>
    <m/>
    <m/>
    <n v="6"/>
    <m/>
    <n v="1"/>
    <s v="Yes"/>
    <s v="Start Date→ 25-01-25_x000a_End Date→ 13-03-25"/>
    <n v="0"/>
    <s v="Safety completed"/>
    <m/>
    <m/>
    <m/>
    <m/>
    <s v="Commercialized"/>
    <s v="Testing→Certification completed, Approval Received_x000a_Safety→completed_x000a_TF→ Released-9th May_x000a_Proto→Completed_x000a_Pilot→Completed"/>
    <s v="Lokesh"/>
  </r>
  <r>
    <n v="6"/>
    <x v="0"/>
    <m/>
    <x v="0"/>
    <x v="0"/>
    <s v="CO"/>
    <s v="25-00311"/>
    <s v="25SRC019-1"/>
    <s v="Compressor Donper L68WU1 as alternative to Huayi NUS70NA→S-45 SZ [R290] (Heineken/ABI)"/>
    <s v="IND"/>
    <x v="0"/>
    <s v="ICM"/>
    <s v="Central Procurement Group"/>
    <s v="Cooling Mechanism"/>
    <s v="Cooling Components"/>
    <s v="Compressors"/>
    <n v="3"/>
    <n v="3"/>
    <s v="Yes"/>
    <m/>
    <m/>
    <n v="6"/>
    <m/>
    <n v="6"/>
    <s v="Yes"/>
    <s v="Start Date→ 20-02-25_x000a_End Date→Week 15"/>
    <n v="0"/>
    <s v="Safety completed"/>
    <m/>
    <m/>
    <m/>
    <m/>
    <s v="Commercialized"/>
    <s v="Testing →HNKN:Certification completed/_x000a_Safety→ Completed_x000a_TF Released-17-05-25._x000a_ABI-Commercilaized,_x000a_Pilot→Planned in July- HNKN pilot sample to be submitted"/>
    <s v="Lokesh"/>
  </r>
  <r>
    <n v="7"/>
    <x v="1"/>
    <m/>
    <x v="0"/>
    <x v="1"/>
    <s v="NM"/>
    <s v="25-00289"/>
    <s v="N/A"/>
    <s v="S-60 R290 EG (Coke,)"/>
    <s v="Egypt"/>
    <x v="0"/>
    <s v="ICM"/>
    <s v="Marketing/Sales"/>
    <s v="Complete Cooler"/>
    <s v="N/A"/>
    <s v="N/A"/>
    <m/>
    <m/>
    <s v="Yes"/>
    <m/>
    <m/>
    <n v="8"/>
    <m/>
    <n v="4"/>
    <s v="Yes"/>
    <s v="Start Date→ 29-10-24_x000a_End Date→ 18-12-24"/>
    <n v="0"/>
    <m/>
    <m/>
    <m/>
    <m/>
    <m/>
    <s v="Commercialized"/>
    <s v="Product file to be released after commercialization  in Egypt . Product file to be released by Early next week."/>
    <s v="Zakir"/>
  </r>
  <r>
    <n v="8"/>
    <x v="0"/>
    <m/>
    <x v="0"/>
    <x v="2"/>
    <s v="CO"/>
    <s v="25-00293"/>
    <s v="25IND012"/>
    <s v="Thermostat: Removal of Mechanical Thermostat Back cover"/>
    <s v="IND"/>
    <x v="0"/>
    <s v="ICM"/>
    <s v="PD"/>
    <s v="Insulated Cabin"/>
    <s v="Plastics"/>
    <s v="Injection Plastics"/>
    <n v="0.5"/>
    <n v="0.5"/>
    <s v="No"/>
    <m/>
    <m/>
    <n v="0"/>
    <m/>
    <n v="0"/>
    <s v="Yes"/>
    <s v="Completed"/>
    <n v="0.5"/>
    <m/>
    <m/>
    <m/>
    <m/>
    <m/>
    <s v="Commercialized"/>
    <s v="Bluestar model implementation to be done along with R290 implementation"/>
    <s v="Rishi"/>
  </r>
  <r>
    <n v="9"/>
    <x v="0"/>
    <m/>
    <x v="0"/>
    <x v="2"/>
    <s v="CO"/>
    <s v="25-00272"/>
    <s v="24SAF017"/>
    <s v="Cable Kit Optimization Project - FV650"/>
    <s v="SAF"/>
    <x v="0"/>
    <s v="ICM"/>
    <s v="PD"/>
    <s v="Electrical Parts"/>
    <s v="Electrical Components"/>
    <s v="Cable Harnesses"/>
    <n v="1"/>
    <n v="0.5"/>
    <s v="No"/>
    <m/>
    <m/>
    <n v="0"/>
    <m/>
    <n v="0"/>
    <s v="No"/>
    <s v="N/A"/>
    <n v="0"/>
    <m/>
    <s v="No"/>
    <s v="No"/>
    <m/>
    <m/>
    <s v="Commercialized"/>
    <m/>
    <s v="Pawan"/>
  </r>
  <r>
    <n v="10"/>
    <x v="0"/>
    <m/>
    <x v="0"/>
    <x v="2"/>
    <s v="CO"/>
    <s v="TBA"/>
    <s v="25SAF001"/>
    <s v="Condenser fan motor cable optimization"/>
    <s v="SAF"/>
    <x v="0"/>
    <s v="ICM"/>
    <s v="PD"/>
    <s v="Cooling Mechanism"/>
    <s v="Electrical Components"/>
    <s v="Cable Harnesses"/>
    <n v="0.5"/>
    <n v="0.5"/>
    <s v="No"/>
    <m/>
    <m/>
    <n v="0"/>
    <m/>
    <n v="0"/>
    <s v="No"/>
    <s v="N/A"/>
    <n v="0"/>
    <m/>
    <s v="No"/>
    <s v="No"/>
    <m/>
    <m/>
    <s v="Commercialized"/>
    <m/>
    <s v="Pawan"/>
  </r>
  <r>
    <n v="11"/>
    <x v="2"/>
    <m/>
    <x v="0"/>
    <x v="2"/>
    <s v="CO"/>
    <s v="TBA"/>
    <s v="24SAF020"/>
    <s v="Introduction of Π Condenser motor bracket - FV650"/>
    <s v="SAF"/>
    <x v="0"/>
    <s v="ICM"/>
    <s v="PD"/>
    <s v="Cooling Mechanism"/>
    <s v="Steel &amp; Parts"/>
    <s v="Steel-GI"/>
    <n v="0.5"/>
    <n v="0.5"/>
    <s v="No"/>
    <m/>
    <m/>
    <n v="0"/>
    <m/>
    <n v="0"/>
    <s v="No"/>
    <s v="N/A"/>
    <n v="0"/>
    <m/>
    <s v="No"/>
    <s v="No"/>
    <m/>
    <m/>
    <s v="Commercialized"/>
    <m/>
    <s v="Pawan"/>
  </r>
  <r>
    <n v="12"/>
    <x v="2"/>
    <m/>
    <x v="0"/>
    <x v="2"/>
    <s v="CO"/>
    <s v="TBA"/>
    <s v="24SAF024"/>
    <s v="Introduction of Π Condenser motor bracket - FV1000"/>
    <s v="SAF"/>
    <x v="0"/>
    <s v="ICM"/>
    <s v="PD"/>
    <s v="Cooling Mechanism"/>
    <s v="Steel &amp; Parts"/>
    <s v="Steel-GI"/>
    <n v="0.5"/>
    <n v="0.5"/>
    <s v="No"/>
    <m/>
    <m/>
    <n v="0"/>
    <m/>
    <n v="0"/>
    <s v="No"/>
    <s v="N/A"/>
    <n v="0"/>
    <m/>
    <s v="No"/>
    <s v="No"/>
    <m/>
    <m/>
    <s v="Commercialized"/>
    <m/>
    <s v="Pawan"/>
  </r>
  <r>
    <n v="13"/>
    <x v="2"/>
    <m/>
    <x v="0"/>
    <x v="2"/>
    <s v="CO"/>
    <s v="TBA"/>
    <s v="24SAF023"/>
    <s v="Rear Column Support change thickness from 1mm to 0.8mm - FV1000/FV1000 SZ/SL1140"/>
    <s v="SAF"/>
    <x v="0"/>
    <s v="ICM"/>
    <s v="PD"/>
    <s v="Insulated Cabin"/>
    <s v="Steel &amp; Parts"/>
    <s v="Steel-GI"/>
    <n v="0.5"/>
    <n v="0.5"/>
    <s v="No"/>
    <m/>
    <m/>
    <n v="0"/>
    <m/>
    <n v="0"/>
    <s v="No"/>
    <s v="N/A"/>
    <n v="0"/>
    <m/>
    <s v="No"/>
    <s v="No"/>
    <m/>
    <m/>
    <s v="Commercialized"/>
    <m/>
    <s v="Pawan"/>
  </r>
  <r>
    <n v="14"/>
    <x v="0"/>
    <m/>
    <x v="0"/>
    <x v="2"/>
    <s v="CO"/>
    <s v="25-00261"/>
    <s v="25IND022"/>
    <s v="One pager user manual or BAR CODE - All Models"/>
    <s v="IND"/>
    <x v="0"/>
    <s v="ICM"/>
    <s v="PD"/>
    <s v="Packaging"/>
    <s v="Other"/>
    <s v="Other Materials"/>
    <n v="0"/>
    <n v="0"/>
    <s v="No"/>
    <m/>
    <m/>
    <n v="0"/>
    <m/>
    <n v="0"/>
    <s v="No"/>
    <s v="N/A"/>
    <n v="0"/>
    <m/>
    <m/>
    <m/>
    <m/>
    <m/>
    <s v="Commercialized"/>
    <s v="Implemented"/>
    <s v="Rahul"/>
  </r>
  <r>
    <n v="15"/>
    <x v="2"/>
    <m/>
    <x v="0"/>
    <x v="2"/>
    <s v="CO"/>
    <s v="25-00277"/>
    <s v="25IND026"/>
    <s v="Robertshaw → Jiujiang Hengtong Thermostat"/>
    <s v="IND"/>
    <x v="0"/>
    <s v="ICM"/>
    <s v="Central Procurement Group"/>
    <s v="Electrical Parts"/>
    <s v="Plastics"/>
    <s v="Thermostats"/>
    <n v="0.5"/>
    <n v="0.5"/>
    <s v="Yes"/>
    <m/>
    <m/>
    <n v="1"/>
    <m/>
    <n v="0"/>
    <s v="Yes"/>
    <s v="Start Date→  28-10-24_x000a_End Date→ 30-11-24"/>
    <n v="0"/>
    <s v="5th March-Thermostat ordering for 2000 PCS. Expected to ship by March end"/>
    <m/>
    <m/>
    <m/>
    <m/>
    <s v="Commercialized"/>
    <s v="Implemented in Super-45, commercialized. Next orderof 10K pcs received"/>
    <s v="Lokesh"/>
  </r>
  <r>
    <n v="16"/>
    <x v="2"/>
    <m/>
    <x v="0"/>
    <x v="2"/>
    <s v="CO"/>
    <s v="25-00276"/>
    <s v="24SAF004"/>
    <s v="1/4&quot; Copper tube thickness reduction from 0.76 to 0.65mm"/>
    <s v="IND"/>
    <x v="0"/>
    <s v="ICM"/>
    <s v="Central Procurement Group"/>
    <s v="Cooling Mechanism"/>
    <s v="Cooling Components"/>
    <s v="Copper Tubes"/>
    <n v="0.5"/>
    <n v="0.5"/>
    <s v="No"/>
    <m/>
    <m/>
    <n v="1"/>
    <m/>
    <n v="0"/>
    <s v="No"/>
    <s v="N/A"/>
    <n v="0"/>
    <s v="N/A"/>
    <m/>
    <m/>
    <m/>
    <m/>
    <s v="Commercialized"/>
    <s v="Not covered in TF, TF to be released"/>
    <s v="Pawan"/>
  </r>
  <r>
    <n v="17"/>
    <x v="3"/>
    <m/>
    <x v="0"/>
    <x v="0"/>
    <s v="NO"/>
    <s v="25-00320"/>
    <s v="N/A"/>
    <s v="VG-200, increased plaster length for HELL →2 extra Shelves &amp; Increased Load with smaller Price profile option"/>
    <s v="IND"/>
    <x v="0"/>
    <s v="ICM"/>
    <s v="Marketing/Sales"/>
    <s v="Shelving"/>
    <s v="N/A"/>
    <s v="N/A"/>
    <n v="3"/>
    <n v="2"/>
    <s v="Yes"/>
    <m/>
    <m/>
    <n v="7"/>
    <m/>
    <n v="3"/>
    <s v="No"/>
    <s v="N/A"/>
    <n v="1.5"/>
    <s v="N/A"/>
    <m/>
    <m/>
    <m/>
    <m/>
    <s v="Commercialized"/>
    <s v="Production prototype report received, Scope is getting changed -TF to be released with FTA40, Timer to be added .TF-2 to be released by Today"/>
    <s v="Rahul"/>
  </r>
  <r>
    <n v="18"/>
    <x v="3"/>
    <m/>
    <x v="0"/>
    <x v="0"/>
    <s v="NO"/>
    <s v="25-00320"/>
    <s v="N/A"/>
    <s v="VG-250, For HELL →2 extra Shelves &amp; Increased Load with smaller Price profile option"/>
    <s v="IND"/>
    <x v="0"/>
    <s v="ICM"/>
    <s v="Marketing/Sales"/>
    <s v="Shelving"/>
    <s v="N/A"/>
    <s v="N/A"/>
    <n v="3"/>
    <n v="2"/>
    <s v="Yes"/>
    <m/>
    <m/>
    <n v="7"/>
    <m/>
    <n v="3"/>
    <s v="No"/>
    <s v="N/A"/>
    <n v="1.5"/>
    <s v="N/A"/>
    <m/>
    <m/>
    <m/>
    <m/>
    <s v="Commercialized"/>
    <s v="Production prototype report received, Scope is getting changed -TF to be released with FTA40, Timer to be added .TF-2 to be released by Today"/>
    <s v="Rahul"/>
  </r>
  <r>
    <n v="19"/>
    <x v="4"/>
    <m/>
    <x v="0"/>
    <x v="2"/>
    <s v="NO"/>
    <s v="24-00241"/>
    <s v="N/A"/>
    <s v="Integrated handle in FV 1000 - S. Africa "/>
    <s v="SAF"/>
    <x v="0"/>
    <s v="ICM"/>
    <s v="Marketing/Sales"/>
    <s v="Door"/>
    <s v="N/A"/>
    <s v="N/A"/>
    <n v="0.5"/>
    <n v="0.5"/>
    <s v="No"/>
    <m/>
    <m/>
    <n v="0"/>
    <m/>
    <n v="1"/>
    <s v="No"/>
    <s v="Not Started"/>
    <n v="0"/>
    <m/>
    <m/>
    <m/>
    <m/>
    <m/>
    <s v="Commercialized"/>
    <s v="Production prototype comments TF to be  released"/>
    <s v="Pawan"/>
  </r>
  <r>
    <n v="20"/>
    <x v="0"/>
    <m/>
    <x v="0"/>
    <x v="2"/>
    <s v="CO"/>
    <s v="24-00238"/>
    <s v="N/A"/>
    <s v="INOX sheet + caster wheel in E-47, model"/>
    <s v="IND"/>
    <x v="0"/>
    <s v="ICM"/>
    <s v="Marketing/Sales"/>
    <s v="Insulated Cabin"/>
    <s v="N/A"/>
    <s v="N/A"/>
    <n v="1"/>
    <n v="0"/>
    <s v="No"/>
    <m/>
    <m/>
    <n v="0"/>
    <m/>
    <n v="0"/>
    <s v="No"/>
    <s v="N/A"/>
    <n v="0"/>
    <s v="Drawing Released, Caster wheel can not be implemented as it needs new tooling of roller bracket. To be included in roller bracket RM saving project"/>
    <m/>
    <m/>
    <m/>
    <m/>
    <s v="Commercialized"/>
    <s v="Done"/>
    <s v="Ashwin"/>
  </r>
  <r>
    <n v="21"/>
    <x v="0"/>
    <m/>
    <x v="0"/>
    <x v="2"/>
    <s v="CO"/>
    <s v="24-00240"/>
    <s v="N/A"/>
    <s v="INOX sheet + caster wheel in S-35  model"/>
    <s v="IND"/>
    <x v="0"/>
    <s v="ICM"/>
    <s v="Marketing/Sales"/>
    <s v="Insulated Cabin"/>
    <s v="N/A"/>
    <s v="N/A"/>
    <n v="2"/>
    <n v="0"/>
    <s v="No"/>
    <m/>
    <m/>
    <n v="0"/>
    <m/>
    <n v="0"/>
    <s v="No"/>
    <s v="N/A"/>
    <n v="0"/>
    <s v="Drawing Released, Caster wheel can not be implemented as it needs new tooling of roller bracket. To be included in roller bracket RM saving project"/>
    <m/>
    <m/>
    <m/>
    <m/>
    <s v="Commercialized"/>
    <s v="Done"/>
    <s v="Ashwin"/>
  </r>
  <r>
    <n v="22"/>
    <x v="0"/>
    <m/>
    <x v="0"/>
    <x v="2"/>
    <s v="CO"/>
    <s v="24-00239"/>
    <s v="N/A"/>
    <s v="INOX sheet + caster wheel in S-45 model"/>
    <s v="IND"/>
    <x v="0"/>
    <s v="ICM"/>
    <s v="Marketing/Sales"/>
    <s v="Insulated Cabin"/>
    <s v="N/A"/>
    <s v="N/A"/>
    <n v="1"/>
    <n v="0"/>
    <s v="No"/>
    <m/>
    <m/>
    <n v="0"/>
    <m/>
    <n v="0"/>
    <s v="No"/>
    <s v="N/A"/>
    <n v="0"/>
    <s v="Drawing Released, Caster wheel can not be implemented as it needs new tooling of roller bracket. To be included in roller bracket RM saving project"/>
    <m/>
    <m/>
    <m/>
    <m/>
    <s v="Commercialized"/>
    <s v="Done"/>
    <s v="Ashwin"/>
  </r>
  <r>
    <n v="23"/>
    <x v="0"/>
    <m/>
    <x v="0"/>
    <x v="2"/>
    <s v="CO"/>
    <s v="25-00302"/>
    <s v="25IND005"/>
    <s v="Copper Parts : Dual sourcing for Driers and accumulators (SVS -&gt; SVS &amp; KPM)"/>
    <s v="IND"/>
    <x v="0"/>
    <s v="ICM"/>
    <s v="Central Procurement Group"/>
    <s v="Cooling Mechanism"/>
    <s v="Cooling Components"/>
    <s v="Copper Tubes"/>
    <n v="0"/>
    <n v="0"/>
    <s v="Yes"/>
    <m/>
    <m/>
    <n v="0.5"/>
    <m/>
    <n v="0"/>
    <s v="No"/>
    <s v="N/A"/>
    <n v="0"/>
    <m/>
    <m/>
    <m/>
    <m/>
    <m/>
    <s v="Commercialized"/>
    <s v="Done"/>
    <s v="Rahul"/>
  </r>
  <r>
    <n v="24"/>
    <x v="0"/>
    <m/>
    <x v="0"/>
    <x v="2"/>
    <s v="CO"/>
    <s v="25-00305"/>
    <s v="25IND020"/>
    <s v="Top Hinge (Single Source) : Alternate Supplier Development- Testing_x000a_DPK -&gt; Under evaluation"/>
    <s v="IND"/>
    <x v="0"/>
    <s v="ICM"/>
    <s v="Central Procurement Group"/>
    <s v="Insulated Cabin"/>
    <s v="Steel &amp; Parts"/>
    <s v="Metal Processing &amp; Components"/>
    <n v="0"/>
    <n v="0"/>
    <s v="No"/>
    <m/>
    <m/>
    <n v="0"/>
    <m/>
    <n v="0"/>
    <s v="No"/>
    <s v="N/A"/>
    <n v="0"/>
    <s v="Sourcing team to conduct door opening test on new hinges in colloboration with PD"/>
    <m/>
    <m/>
    <m/>
    <m/>
    <s v="Commercialized"/>
    <s v="Done"/>
    <s v="Rahul"/>
  </r>
  <r>
    <n v="25"/>
    <x v="0"/>
    <m/>
    <x v="0"/>
    <x v="2"/>
    <s v="CO"/>
    <s v="25-00306"/>
    <s v="25IND025"/>
    <s v="Wire Shelf : New Supplier Development- Testing_x000a_Secom -&gt; Bedi Wire/SR Fabrication"/>
    <s v="IND"/>
    <x v="0"/>
    <s v="ICM"/>
    <s v="Central Procurement Group"/>
    <s v="Shelving"/>
    <s v="Steel &amp; Parts"/>
    <s v="Metal Processing &amp; Components"/>
    <n v="0"/>
    <n v="0"/>
    <s v="No"/>
    <m/>
    <m/>
    <n v="0"/>
    <m/>
    <n v="0"/>
    <s v="No"/>
    <s v="N/A"/>
    <n v="0"/>
    <s v="Sagging test to be done afer receving samples"/>
    <m/>
    <m/>
    <m/>
    <m/>
    <s v="Commercialized"/>
    <s v="Done"/>
    <s v="Rahul"/>
  </r>
  <r>
    <n v="26"/>
    <x v="2"/>
    <m/>
    <x v="1"/>
    <x v="2"/>
    <s v="CO"/>
    <s v="24-00221_1"/>
    <s v="25SRC043"/>
    <s v="PSU Tauras 12W as alternative supplier for Meanwell 12W"/>
    <s v="Multiplant"/>
    <x v="0"/>
    <s v="ICM"/>
    <s v="Central Procurement Group"/>
    <s v="Electrical Parts"/>
    <s v="Electrical Components"/>
    <s v="PSU"/>
    <n v="3"/>
    <n v="1"/>
    <s v="No"/>
    <m/>
    <m/>
    <n v="1"/>
    <m/>
    <n v="0"/>
    <s v="Yes"/>
    <s v="Not Started"/>
    <n v="0.5"/>
    <m/>
    <m/>
    <m/>
    <m/>
    <m/>
    <s v="Commercialized"/>
    <s v="BIS approved For India, TF memo to be released within Decemeber, Ordering go ahead already provided-4-Nov'25/ TF released for size change_x000a_TF memo will be release by WK7_x000a_Electrical box tool need to modifty for Tauras PSU mounting._x000a_TF memo released on Wk07._x000a_The feasibility study has been completed by TS team, and the electrical box tool with the updated feature will be received by Week 11_x000a_The updated tool has been received. PSU will deliver it to the company by the end of March, and implementation will begin in the second week of April"/>
    <s v="Rishi"/>
  </r>
  <r>
    <n v="27"/>
    <x v="2"/>
    <m/>
    <x v="1"/>
    <x v="2"/>
    <s v="CO"/>
    <s v="24-00221_2"/>
    <s v="25SRC044"/>
    <s v="PSU Tauras 16W as alternative supplier for Meanwell 16W"/>
    <s v="Multiplant"/>
    <x v="0"/>
    <s v="ICM"/>
    <s v="Central Procurement Group"/>
    <s v="Electrical Parts"/>
    <s v="Electrical Components"/>
    <s v="PSU"/>
    <n v="3"/>
    <n v="1"/>
    <s v="No"/>
    <m/>
    <m/>
    <n v="1"/>
    <m/>
    <n v="0"/>
    <s v="Yes"/>
    <s v="Not Started"/>
    <n v="0.5"/>
    <m/>
    <m/>
    <m/>
    <m/>
    <m/>
    <s v="Commercialized"/>
    <s v="BIS approved For India, TF memo to be released within Decemeber, Ordering go ahead already provided-4-Nov'25 TF released for size change_x000a_TF memo will be release by WK7_x000a_Electrical box tool need to modifty for Tauras PSU mounting._x000a_TF memo released on Wk07._x000a_The feasibility study has been completed by TS team, and the electrical box tool with the updated feature will be received by Week 11_x000a_The updated tool has been received. PSU will deliver it to the company by the end of March, and implementation will begin in the second week of April"/>
    <s v="Rishi"/>
  </r>
  <r>
    <n v="28"/>
    <x v="2"/>
    <m/>
    <x v="1"/>
    <x v="2"/>
    <s v="CO"/>
    <s v="24-00221_3"/>
    <s v="25SRC044"/>
    <s v="PSU Tauras 24W as alternative supplier for Meanwell 16W"/>
    <s v="Multiplant"/>
    <x v="0"/>
    <s v="ICM"/>
    <s v="Central Procurement Group"/>
    <s v="Electrical Parts"/>
    <s v="Electrical Components"/>
    <s v="PSU"/>
    <n v="3"/>
    <n v="1"/>
    <s v="No"/>
    <m/>
    <m/>
    <n v="1"/>
    <m/>
    <n v="0"/>
    <s v="Yes"/>
    <s v="Not Started"/>
    <n v="0.5"/>
    <m/>
    <m/>
    <m/>
    <m/>
    <m/>
    <s v="Commercialized"/>
    <s v="BIS approved For India, TF memo to be released within Decemeber, Ordering go ahead already provided-4-Nov'25 TF released for size change_x000a_TF memo will be release by WK7_x000a_Electrical box tool need to modifty for Tauras PSU mounting._x000a_TF memo released on Wk07._x000a_The feasibility study has been completed by TS team, and the electrical box tool with the updated feature will be received by Week 11_x000a_The updated tool has been received. PSU will deliver it to the company by the end of March, and implementation will begin in the second week of April_x000a_Updated and ED with Single 24W driver shared with TS._x000a_Waiting for Commercialization date."/>
    <s v="Rishi"/>
  </r>
  <r>
    <n v="29"/>
    <x v="5"/>
    <m/>
    <x v="0"/>
    <x v="0"/>
    <s v="NM"/>
    <s v="25-00314"/>
    <s v="N/A"/>
    <s v="Low voltage cooler - S. Africa  -RCCB with Isolation transformer-Fesibility Study and sample preparation/testing"/>
    <s v="SAF"/>
    <x v="0"/>
    <s v="ICM"/>
    <s v="Marketing/Sales"/>
    <s v="Complete Cooler"/>
    <s v="N/A"/>
    <s v="N/A"/>
    <n v="8"/>
    <n v="8"/>
    <s v="Yes"/>
    <m/>
    <m/>
    <n v="8"/>
    <m/>
    <n v="16"/>
    <s v="Yes"/>
    <s v="Not Started"/>
    <n v="3"/>
    <s v="Feasibility study- Project start date to be communicated later"/>
    <m/>
    <m/>
    <m/>
    <m/>
    <s v="Commercialized"/>
    <s v="Feasibility study-RCCB with Isolation transformer sample dispatched to South Africa, Barcket and Cable kit drawing shared with SA team. India team is preparing Videos to present the solution to Customer. Video prepared/Sample ready for Customer"/>
    <s v="Hindpal"/>
  </r>
  <r>
    <n v="30"/>
    <x v="3"/>
    <m/>
    <x v="0"/>
    <x v="2"/>
    <s v="NO"/>
    <s v="24-00186"/>
    <s v="N/A"/>
    <s v="Integrated handle in DD model - India -SP800/S800/S1100- 3 models"/>
    <s v="IND"/>
    <x v="0"/>
    <s v="ICM"/>
    <s v="Marketing/Sales"/>
    <s v="Door"/>
    <s v="N/A"/>
    <s v="N/A"/>
    <n v="2"/>
    <n v="0"/>
    <s v="No"/>
    <m/>
    <m/>
    <n v="0"/>
    <m/>
    <n v="0"/>
    <s v="No"/>
    <s v="N/A"/>
    <n v="0"/>
    <m/>
    <m/>
    <m/>
    <m/>
    <m/>
    <s v="On Hold"/>
    <s v="Project on hold because of Pad lock holes-Procurement  team not able to arrange sample/"/>
    <s v="Lokesh"/>
  </r>
  <r>
    <n v="31"/>
    <x v="0"/>
    <m/>
    <x v="0"/>
    <x v="0"/>
    <s v="CO"/>
    <s v="25-00310"/>
    <s v="25SRC019-2"/>
    <s v="Compressor Donper L68WU1 as alternative to Huayi NUS70NA  →S-600 [R290](Coke Africa)"/>
    <s v="IND"/>
    <x v="0"/>
    <s v="ICM"/>
    <s v="Central Procurement Group"/>
    <s v="Cooling Mechanism"/>
    <s v="Cooling Components"/>
    <s v="Compressors"/>
    <n v="1"/>
    <n v="3"/>
    <s v="Yes"/>
    <m/>
    <m/>
    <n v="6"/>
    <m/>
    <n v="2"/>
    <s v="Yes"/>
    <s v="Start Date→ 13-02-25_x000a_End Date→ 27-03-25"/>
    <n v="0"/>
    <s v="Safety completed"/>
    <m/>
    <m/>
    <m/>
    <m/>
    <s v="Commercialized"/>
    <s v="Safety→Completed_x000a_TF→Released_x000a_Proto→Done_x000a_Pilot→Week42"/>
    <s v="Lokesh"/>
  </r>
  <r>
    <n v="32"/>
    <x v="2"/>
    <m/>
    <x v="0"/>
    <x v="0"/>
    <s v="CO"/>
    <s v="25-00259"/>
    <s v="25SRC008-2"/>
    <s v="Compressor Donper L76WU1 as alternative to Tecumseh TCW415U-C3B S60 R290 "/>
    <s v="IND"/>
    <x v="0"/>
    <s v="ICM"/>
    <s v="Central Procurement Group"/>
    <s v="Cooling Mechanism"/>
    <s v="Cooling Components"/>
    <s v="Compressors"/>
    <n v="1"/>
    <n v="3"/>
    <s v="Yes"/>
    <m/>
    <m/>
    <n v="6"/>
    <m/>
    <n v="2"/>
    <s v="Yes"/>
    <s v="Start Date→ 29-10-24_x000a_End Date→ 18-12-24"/>
    <n v="0"/>
    <s v="Safety completed"/>
    <m/>
    <m/>
    <m/>
    <m/>
    <s v="Commercialized"/>
    <s v="Testing →TCCC Report submitted &amp; Approval Received_x000a_Safety →Completed_x000a_TF→Released Week 16 (18-04)_x000a_Proto→28-04-Completed, _x000a_Pilot→to be planned as per sales requirement/go ahead from PD/Applicable for Coke only and HNKN and other configuration to remain same/Pilot under progress_x000a_"/>
    <s v="Lokesh"/>
  </r>
  <r>
    <n v="33"/>
    <x v="0"/>
    <m/>
    <x v="1"/>
    <x v="0"/>
    <s v="CO"/>
    <s v="25-00265"/>
    <s v="25SRC010-1"/>
    <s v="Compressor Donper L76WU1 as alternative to Huayi NUS70NA→FV-1000  C [R290] FFD (Coke Africa)"/>
    <s v="SAF"/>
    <x v="0"/>
    <s v="ICM"/>
    <s v="Central Procurement Group"/>
    <s v="Cooling Mechanism"/>
    <s v="Cooling Components"/>
    <s v="Compressors"/>
    <n v="4"/>
    <n v="6"/>
    <s v="Yes"/>
    <m/>
    <m/>
    <n v="6"/>
    <m/>
    <n v="0"/>
    <s v="Yes"/>
    <s v="Start Date→ 11-01-25_x000a_End Date→ 10-02-25"/>
    <n v="0"/>
    <s v="Safety completed"/>
    <m/>
    <m/>
    <m/>
    <m/>
    <s v="Industrialization"/>
    <s v="Testing →TCCC Report submitted/Approval received_x000a_Safety→Completed_x000a_TF→  Released 16-05_x000a_Production proto→completed, Report awaited (when we will recieve LOA)/Production proto report recived TF to be released by 3rd week of August"/>
    <s v="Pawan"/>
  </r>
  <r>
    <n v="34"/>
    <x v="0"/>
    <m/>
    <x v="1"/>
    <x v="0"/>
    <s v="CO"/>
    <s v="25-00291"/>
    <s v="25SRC010-2"/>
    <s v="Compressor Donper L76WU1 as alternative to Huayi NUS70NA→FV-650  C [R290] FFD (Coke Africa) "/>
    <s v="SAF"/>
    <x v="0"/>
    <s v="ICM"/>
    <s v="Central Procurement Group"/>
    <s v="Cooling Mechanism"/>
    <s v="Cooling Components"/>
    <s v="Compressors"/>
    <n v="4"/>
    <n v="6"/>
    <s v="Yes"/>
    <m/>
    <m/>
    <n v="6"/>
    <m/>
    <n v="0"/>
    <s v="Yes"/>
    <s v="Start Date→ 25-01-25_x000a_End Date→ 13-03-25"/>
    <n v="0"/>
    <s v="Safety completed"/>
    <m/>
    <m/>
    <m/>
    <m/>
    <s v="Industrialization"/>
    <s v="Product file → Week-48 _x000a_Proto- TBD_x000a_Pilot-TBD_x000a_"/>
    <s v="Pawan"/>
  </r>
  <r>
    <n v="35"/>
    <x v="0"/>
    <m/>
    <x v="0"/>
    <x v="0"/>
    <s v="CO"/>
    <s v="25-00263"/>
    <s v="24IND024"/>
    <s v="WOT Localization - 6R/7R/8R (All applicable models-Cooling update)- BMR"/>
    <s v="IND"/>
    <x v="0"/>
    <s v="ICM"/>
    <s v="Central Procurement Group"/>
    <s v="Cooling Mechanism"/>
    <s v="Cooling Components"/>
    <s v="HEX"/>
    <n v="1"/>
    <n v="1"/>
    <s v="Yes"/>
    <m/>
    <m/>
    <n v="2"/>
    <m/>
    <n v="1"/>
    <s v="No"/>
    <s v="N/A"/>
    <n v="0"/>
    <m/>
    <m/>
    <m/>
    <m/>
    <m/>
    <s v="Commercialized"/>
    <m/>
    <s v="Nikhil"/>
  </r>
  <r>
    <n v="36"/>
    <x v="6"/>
    <m/>
    <x v="0"/>
    <x v="0"/>
    <s v="CO"/>
    <s v="TBD"/>
    <s v="26IND009_1"/>
    <s v="WOT Localization - 8R (Applicable for DD models-Cooling update)- BMR"/>
    <s v="IND"/>
    <x v="0"/>
    <s v="ICM"/>
    <s v="Central Procurement Group"/>
    <s v="Cooling Mechanism"/>
    <s v="Cooling Components"/>
    <s v="HEX"/>
    <n v="4"/>
    <n v="6"/>
    <s v="Yes"/>
    <m/>
    <m/>
    <n v="2"/>
    <m/>
    <n v="12"/>
    <s v="No"/>
    <s v="N/A"/>
    <n v="0"/>
    <m/>
    <m/>
    <m/>
    <m/>
    <m/>
    <s v="Development"/>
    <s v="8 row Sample failed in Performance testing. Sourcing team to arrange new samples."/>
    <s v="Nikhil"/>
  </r>
  <r>
    <n v="37"/>
    <x v="6"/>
    <m/>
    <x v="1"/>
    <x v="0"/>
    <s v="CO"/>
    <s v="TBD"/>
    <s v="26IND009_2"/>
    <s v="WOT Localization - 7R (Applicable for DD models-Cooling update)- KRN"/>
    <s v="IND"/>
    <x v="0"/>
    <s v="ICM"/>
    <s v="Central Procurement Group"/>
    <s v="Cooling Mechanism"/>
    <s v="Cooling Components"/>
    <s v="HEX"/>
    <n v="4"/>
    <n v="1"/>
    <s v="Yes"/>
    <m/>
    <m/>
    <n v="2"/>
    <m/>
    <n v="12"/>
    <s v="No"/>
    <s v="N/A"/>
    <n v="0"/>
    <m/>
    <m/>
    <m/>
    <m/>
    <m/>
    <s v="Commercialized"/>
    <s v="7R sample received-_x000a_Sample submited to quality for SAR &amp; SST.._x000a_ Passed in equivalnce of performance_x000a_All tests have been completed. The sample failed in the SST test, as rust was observed within 48 hours. requested for improved samples._x000a_Improved WOT samples recieve and handover to quality team for SST test/ Coating details to be shared with PD_x000a_Sample failed in SST after 450hr. We need to provide complete timeplan for all WOT and Evapotaors, sourcing team to provide priority- BMR evaporator comes as injected project which we have taken on prioirty- Testing to be completed by 29th of March_x000a_The line trial is scheduled to be completed by Wk23_x000a_Line trial succesfully completed without any obersvation._x000a_Commerciliazed Succesfully."/>
    <s v="Nikhil"/>
  </r>
  <r>
    <n v="38"/>
    <x v="6"/>
    <m/>
    <x v="1"/>
    <x v="0"/>
    <s v="CO"/>
    <s v="TBD"/>
    <s v="26IND009_3"/>
    <s v="Evaporator Alternate supplier- 2R (Applicable for SD models-Cooling update)- KRN"/>
    <s v="IND"/>
    <x v="0"/>
    <s v="ICM"/>
    <s v="Central Procurement Group"/>
    <s v="Cooling Mechanism"/>
    <s v="Cooling Components"/>
    <s v="HEX"/>
    <n v="4"/>
    <n v="1"/>
    <s v="Yes"/>
    <m/>
    <m/>
    <n v="2"/>
    <m/>
    <n v="12"/>
    <s v="No"/>
    <s v="N/A"/>
    <n v="0"/>
    <m/>
    <m/>
    <m/>
    <m/>
    <m/>
    <s v="Industrialization"/>
    <s v="E-47 Evaporatot sample received_x000a_Passed in equivalnce of performance_x000a_Burst test &amp; SAR report are pending _x000a_Go Ahead given from PDD side._x000a_SAR submittion by Wk27."/>
    <s v="Nikhil"/>
  </r>
  <r>
    <n v="39"/>
    <x v="6"/>
    <m/>
    <x v="1"/>
    <x v="0"/>
    <s v="CO"/>
    <s v="TBD"/>
    <s v="26IND009_4"/>
    <s v="Evaporator Localization - 3R (Applicable for DD models-Cooling update)- KRN"/>
    <s v="IND"/>
    <x v="0"/>
    <s v="ICM"/>
    <s v="Central Procurement Group"/>
    <s v="Cooling Mechanism"/>
    <s v="Cooling Components"/>
    <s v="HEX"/>
    <n v="4"/>
    <n v="1"/>
    <s v="Yes"/>
    <m/>
    <m/>
    <n v="2"/>
    <m/>
    <n v="12"/>
    <s v="No"/>
    <s v="N/A"/>
    <n v="0"/>
    <m/>
    <m/>
    <m/>
    <m/>
    <m/>
    <s v="In Que"/>
    <s v="Waiting for the sample_x000a_Sample receive on 16-05-26._x000a_Lab plan need to prepare."/>
    <s v="Nikhil"/>
  </r>
  <r>
    <n v="40"/>
    <x v="0"/>
    <m/>
    <x v="1"/>
    <x v="2"/>
    <s v="CO"/>
    <s v="25-00264"/>
    <s v="25IND013-1"/>
    <s v="LED: LED cable from Bottom side of cabinet  E47  &amp; Variants"/>
    <s v="IND"/>
    <x v="0"/>
    <s v="ICM"/>
    <s v="PD"/>
    <s v="Illumination"/>
    <s v="Electrical Components"/>
    <s v="Cable Harnesses"/>
    <n v="3"/>
    <n v="1"/>
    <s v="No"/>
    <m/>
    <m/>
    <n v="0"/>
    <m/>
    <n v="0"/>
    <s v="No"/>
    <s v="N/A"/>
    <n v="0"/>
    <m/>
    <s v="No"/>
    <s v="No"/>
    <m/>
    <m/>
    <s v="Industrialization"/>
    <s v="TF released_x000a_Pilot will be done with tooled up parts. Implementation within July -Approval from customer is required??/Blank awaited"/>
    <s v="Rishi"/>
  </r>
  <r>
    <n v="41"/>
    <x v="0"/>
    <m/>
    <x v="0"/>
    <x v="2"/>
    <s v="CO"/>
    <s v="25-00264"/>
    <s v="25IND013-2"/>
    <s v="LED: LED cable from Bottom side of cabinet S35  &amp; Variants"/>
    <s v="IND"/>
    <x v="0"/>
    <s v="ICM"/>
    <s v="PD"/>
    <s v="Illumination"/>
    <s v="Electrical Components"/>
    <s v="Cable Harnesses"/>
    <n v="3"/>
    <n v="3"/>
    <s v="No"/>
    <m/>
    <m/>
    <n v="0"/>
    <m/>
    <n v="0"/>
    <s v="No"/>
    <s v="N/A"/>
    <n v="0"/>
    <m/>
    <s v="No"/>
    <s v="No"/>
    <m/>
    <m/>
    <s v="Commercialized"/>
    <s v="TF released_x000a_Pilot will be done with tooled up parts. Implementation within July -Approval from customer is required??_x000a_Drawing to be released after receiving Prod. Proto comments_x000a_Pilot will be done with tooled up parts.- Tool expected 12/July_x000a_Pilot Done on 25/12/25.Pilot point closed by WK03'26._x000a_Pilot point closed on 13-01-2026._x000a_Commerecialed by WK05'26."/>
    <s v="Rishi"/>
  </r>
  <r>
    <n v="42"/>
    <x v="0"/>
    <m/>
    <x v="0"/>
    <x v="2"/>
    <s v="CO"/>
    <s v="25-00264"/>
    <s v="25IND013-3"/>
    <s v="LED: LED cable from Bottom side of cabinet S45  &amp; Variants"/>
    <s v="IND"/>
    <x v="0"/>
    <s v="ICM"/>
    <s v="PD"/>
    <s v="Illumination"/>
    <s v="Electrical Components"/>
    <s v="Cable Harnesses"/>
    <n v="2"/>
    <n v="1"/>
    <s v="No"/>
    <m/>
    <m/>
    <n v="0"/>
    <m/>
    <n v="0"/>
    <s v="No"/>
    <s v="N/A"/>
    <n v="0"/>
    <m/>
    <s v="No"/>
    <s v="No"/>
    <m/>
    <m/>
    <s v="Commercialized"/>
    <s v="TF released_x000a_Pilot will be done with tooled up parts._x000a_Comererealed in S-450 P_x000a_Pilot Done on 19/12/25.Pilot point closed by WK02'26._x000a_Commerecialed by jan end."/>
    <s v="Rishi"/>
  </r>
  <r>
    <n v="43"/>
    <x v="0"/>
    <m/>
    <x v="0"/>
    <x v="2"/>
    <s v="CO"/>
    <s v="25-00264"/>
    <s v="25IND013-4"/>
    <s v="LED: LED cable from Bottom side of cabinet S60  &amp; Variants"/>
    <s v="IND"/>
    <x v="0"/>
    <s v="ICM"/>
    <s v="PD"/>
    <s v="Illumination"/>
    <s v="Electrical Components"/>
    <s v="Cable Harnesses"/>
    <n v="2"/>
    <n v="2"/>
    <s v="No"/>
    <m/>
    <m/>
    <n v="0"/>
    <m/>
    <n v="0"/>
    <s v="No"/>
    <s v="N/A"/>
    <n v="0"/>
    <m/>
    <s v="No"/>
    <s v="No"/>
    <m/>
    <m/>
    <s v="Commercialized"/>
    <s v="TF released_x000a_Pilot will be done with tooled up parts._x000a_Pilot Done on 22/12/25.Pilot point closed by WK02'26._x000a_Commerecialed by jan end._x000a_Comererealed in S-600 P"/>
    <s v="Nikhil"/>
  </r>
  <r>
    <n v="44"/>
    <x v="0"/>
    <m/>
    <x v="1"/>
    <x v="2"/>
    <s v="CO"/>
    <s v="25-00264"/>
    <s v="25IND013-5"/>
    <s v="LED: LED cable from Bottom side of cabinet SP800/Super-800  &amp; Variants"/>
    <s v="IND"/>
    <x v="0"/>
    <s v="ICM"/>
    <s v="PD"/>
    <s v="Illumination"/>
    <s v="Electrical Components"/>
    <s v="Cable Harnesses"/>
    <n v="3"/>
    <n v="2"/>
    <s v="No"/>
    <m/>
    <m/>
    <n v="0"/>
    <m/>
    <n v="0"/>
    <s v="No"/>
    <s v="N/A"/>
    <n v="0"/>
    <m/>
    <s v="No"/>
    <s v="No"/>
    <m/>
    <m/>
    <s v="Industrialization"/>
    <s v="TF released_x000a_Pilot will be done with tooled up parts.Approval from customer is required??_x000a_A pilot run was completed on 24-06-2026 in SC5-1100C for Blue Star._x000a_Succesfully commerciliazed"/>
    <s v="Rishi"/>
  </r>
  <r>
    <n v="45"/>
    <x v="0"/>
    <m/>
    <x v="1"/>
    <x v="2"/>
    <s v="CO"/>
    <s v="25-00264"/>
    <s v="25IND013-6"/>
    <s v="LED: LED cable from Bottom side of cabinet Super-1100  &amp; Variants"/>
    <s v="IND"/>
    <x v="0"/>
    <s v="ICM"/>
    <s v="PD"/>
    <s v="Illumination"/>
    <s v="Electrical Components"/>
    <s v="Cable Harnesses"/>
    <n v="3"/>
    <n v="2"/>
    <s v="No"/>
    <m/>
    <m/>
    <n v="0"/>
    <m/>
    <n v="0"/>
    <s v="No"/>
    <s v="N/A"/>
    <n v="0"/>
    <m/>
    <s v="No"/>
    <s v="No"/>
    <m/>
    <m/>
    <s v="Commercialized"/>
    <s v="TF released_x000a_Pilot will be done with tooled up parts.  -Approval from customer is required??_x000a_Pilot completed._x000a_Awaiting commercialization date."/>
    <s v="Rishi"/>
  </r>
  <r>
    <n v="46"/>
    <x v="0"/>
    <m/>
    <x v="1"/>
    <x v="2"/>
    <s v="CO"/>
    <s v="25-00264"/>
    <s v="25IND013-9"/>
    <s v="LED: LED cable from Bottom side of cabinet Super-1000  &amp; Variants"/>
    <s v="IND"/>
    <x v="0"/>
    <s v="ICM"/>
    <s v="PD"/>
    <s v="Illumination"/>
    <s v="Electrical Components"/>
    <s v="Cable Harnesses"/>
    <n v="3"/>
    <n v="1"/>
    <s v="No"/>
    <m/>
    <m/>
    <n v="0"/>
    <m/>
    <n v="0"/>
    <s v="No"/>
    <s v="N/A"/>
    <n v="0"/>
    <m/>
    <s v="No"/>
    <s v="No"/>
    <m/>
    <m/>
    <s v="Commercialized"/>
    <s v="TF released_x000a_Pilot will be done with tooled up parts. -Approval from customer is required??"/>
    <s v="Rishi"/>
  </r>
  <r>
    <n v="47"/>
    <x v="4"/>
    <m/>
    <x v="1"/>
    <x v="2"/>
    <s v="CO"/>
    <s v="25-00295"/>
    <s v="25IND016-1"/>
    <s v="Electrical Box: Removal New small electrical box for E47 Variants (Nok Coke/Non Pepsi) "/>
    <s v="IND"/>
    <x v="0"/>
    <s v="ICM"/>
    <s v="PD"/>
    <s v="Electrical Parts"/>
    <s v="Steel &amp; Parts"/>
    <s v="Steel-GI"/>
    <n v="3"/>
    <n v="1"/>
    <s v="No"/>
    <m/>
    <m/>
    <n v="0"/>
    <m/>
    <n v="0"/>
    <s v="No"/>
    <s v="N/A"/>
    <n v="0"/>
    <m/>
    <s v="Yes"/>
    <s v="Yes"/>
    <m/>
    <m/>
    <s v="Industrialization"/>
    <s v="TF released, Tooled up part received, Pilot to be planned.Waiting for blank- "/>
    <s v="Rishi"/>
  </r>
  <r>
    <n v="48"/>
    <x v="3"/>
    <m/>
    <x v="0"/>
    <x v="2"/>
    <s v="CO"/>
    <s v="25-00295"/>
    <s v="25IND016-2"/>
    <s v="Electrical Box: Removal New small  electrical box for S35 Variants (Nok Coke/Non Pepsi)"/>
    <s v="IND"/>
    <x v="0"/>
    <s v="ICM"/>
    <s v="PD"/>
    <s v="Electrical Parts"/>
    <s v="Steel &amp; Parts"/>
    <s v="Steel-GI"/>
    <n v="2"/>
    <n v="2"/>
    <s v="No"/>
    <m/>
    <m/>
    <n v="0"/>
    <m/>
    <n v="0"/>
    <s v="No"/>
    <s v="N/A"/>
    <n v="0"/>
    <m/>
    <s v="Yes"/>
    <s v="Yes"/>
    <m/>
    <m/>
    <s v="Commercialized"/>
    <s v="TF released, Tooled up part received, Pilot to be planned.Waiting for blank_x000a_Drawing to be released after receiving Prod. Proto comments_x000a_Pilot will be done with tooled up parts.- Tool expected 12/July_x000a_12/09→ Pilot Done on 01/09/25.Pilot point closed by Wk38._x000a_Pilot Done on 25/12/25.Pilot point closed by WK03'26._x000a_Pilot point closed on 13-01-2026._x000a_Commerecialed by WK05'26."/>
    <s v="Rishi"/>
  </r>
  <r>
    <n v="49"/>
    <x v="0"/>
    <m/>
    <x v="1"/>
    <x v="2"/>
    <s v="CO"/>
    <s v="25-00295"/>
    <s v="25IND016-3"/>
    <s v="Electrical Box: Removal New smallelectrical box for S40 &amp; Variants (Nok Coke/Non Pepsi)"/>
    <s v="IND"/>
    <x v="0"/>
    <s v="ICM"/>
    <s v="PD"/>
    <s v="Electrical Parts"/>
    <s v="Steel &amp; Parts"/>
    <s v="Steel-GI"/>
    <n v="3"/>
    <n v="1"/>
    <s v="No"/>
    <m/>
    <m/>
    <n v="0"/>
    <m/>
    <n v="0"/>
    <s v="No"/>
    <s v="N/A"/>
    <n v="0"/>
    <m/>
    <s v="Yes"/>
    <s v="Yes"/>
    <m/>
    <m/>
    <s v="Industrialization"/>
    <s v="TF released, Tooled up part received, Pilot to be planned.Waiting for blank_x000a_A pilot run was completed on 25-06-2026 in SC5-500C for Blue Star._x000a_Commerciliazation by Wk27."/>
    <s v="Rishi"/>
  </r>
  <r>
    <n v="50"/>
    <x v="0"/>
    <m/>
    <x v="0"/>
    <x v="2"/>
    <s v="CO"/>
    <s v="25-00295"/>
    <s v="25IND016-4"/>
    <s v="Electrical Box:Removal New smallelectrical box for S45 &amp; Variants(Nok Coke/Non Pepsi)"/>
    <s v="IND"/>
    <x v="0"/>
    <s v="ICM"/>
    <s v="PD"/>
    <s v="Electrical Parts"/>
    <s v="Steel &amp; Parts"/>
    <s v="Steel-GI"/>
    <n v="2"/>
    <n v="2"/>
    <s v="No"/>
    <m/>
    <m/>
    <n v="0"/>
    <m/>
    <n v="0"/>
    <s v="No"/>
    <s v="N/A"/>
    <n v="0"/>
    <m/>
    <s v="Yes"/>
    <s v="Yes"/>
    <m/>
    <m/>
    <s v="Commercialized"/>
    <s v="TF released_x000a_Pilot will be done with tooled up parts._x000a_Pilot Done on 19/12/25.Pilot point closed by WK02'26._x000a_Commerecialed by jan end._x000a_Comererealed in S-450 P"/>
    <s v="Rishi"/>
  </r>
  <r>
    <n v="51"/>
    <x v="0"/>
    <m/>
    <x v="1"/>
    <x v="2"/>
    <s v="CO"/>
    <s v="25-00295"/>
    <s v="25IND016-4"/>
    <s v="Electrical Box: Removal New smallelectrical box for S50 &amp; Variants  (Nok Coke/Non Pepsi)"/>
    <s v="IND"/>
    <x v="0"/>
    <s v="ICM"/>
    <s v="PD"/>
    <s v="Electrical Parts"/>
    <s v="Steel &amp; Parts"/>
    <s v="Steel-GI"/>
    <n v="3"/>
    <n v="1"/>
    <s v="No"/>
    <m/>
    <m/>
    <n v="0"/>
    <m/>
    <n v="0"/>
    <s v="No"/>
    <s v="N/A"/>
    <n v="0"/>
    <m/>
    <s v="Yes"/>
    <s v="Yes"/>
    <m/>
    <m/>
    <s v="Industrialization"/>
    <s v="TF released, Tooled up part received, Pilot to be planned.Waiting for blank_x000a_Pilot to be done by Wk28.SC5-675C"/>
    <s v="Lokesh"/>
  </r>
  <r>
    <n v="52"/>
    <x v="0"/>
    <m/>
    <x v="0"/>
    <x v="2"/>
    <s v="CO"/>
    <s v="25-00295"/>
    <s v="25IND016-6"/>
    <s v="Electrical Box: Removal New smallelectrical box for S60  &amp; Variants(Nok Coke/Non Pepsi)"/>
    <s v="IND"/>
    <x v="0"/>
    <s v="ICM"/>
    <s v="PD"/>
    <s v="Electrical Parts"/>
    <s v="Steel &amp; Parts"/>
    <s v="Steel-GI"/>
    <n v="2"/>
    <n v="2"/>
    <s v="No"/>
    <m/>
    <m/>
    <n v="0"/>
    <m/>
    <n v="0"/>
    <s v="No"/>
    <s v="N/A"/>
    <n v="0"/>
    <m/>
    <s v="Yes"/>
    <s v="Yes"/>
    <m/>
    <m/>
    <s v="Commercialized"/>
    <s v="TF released_x000a_Pilot will be done with tooled up parts._x000a_Pilot Done on 22/12/25.Pilot point closed by WK02'26._x000a_Commerecialed by jan end._x000a_Commerecialed in S-600 P"/>
    <s v="Nikhil"/>
  </r>
  <r>
    <n v="53"/>
    <x v="0"/>
    <m/>
    <x v="1"/>
    <x v="0"/>
    <s v="CO"/>
    <s v="25-00295"/>
    <s v="25IND016-7"/>
    <s v="Electrical Box: Removal New small electrical box for Super-800 &amp; Variants (Nok Coke/Non Pepsi)"/>
    <s v="IND"/>
    <x v="0"/>
    <s v="ICM"/>
    <s v="PD"/>
    <s v="Electrical Parts"/>
    <s v="Steel &amp; Parts"/>
    <s v="Steel-GI"/>
    <n v="4"/>
    <n v="2"/>
    <s v="No"/>
    <m/>
    <m/>
    <n v="0"/>
    <m/>
    <n v="0"/>
    <s v="No"/>
    <s v="N/A"/>
    <n v="0"/>
    <m/>
    <s v="Yes"/>
    <s v="Yes"/>
    <m/>
    <m/>
    <s v="Industrialization"/>
    <s v="TF released, Tooled up part received, Pilot to be planned.Waiting for blank_x000a_A pilot run was completed on 24-06-2026 in SC5-1100C for Blue Star._x000a_Succesfully commerciliazed"/>
    <s v="Rishi"/>
  </r>
  <r>
    <n v="54"/>
    <x v="0"/>
    <m/>
    <x v="1"/>
    <x v="0"/>
    <s v="CO"/>
    <s v="25-00295"/>
    <s v="25IND016-9"/>
    <s v="Electrical Box: Removal New small electrical box for Super-1100 and Variants(Nok Coke/Non Pepsi)"/>
    <s v="IND"/>
    <x v="0"/>
    <s v="ICM"/>
    <s v="PD"/>
    <s v="Electrical Parts"/>
    <s v="Steel &amp; Parts"/>
    <s v="Steel-GI"/>
    <n v="4"/>
    <n v="2"/>
    <s v="No"/>
    <m/>
    <m/>
    <n v="0"/>
    <m/>
    <n v="0"/>
    <s v="No"/>
    <s v="N/A"/>
    <n v="0"/>
    <m/>
    <s v="Yes"/>
    <s v="Yes"/>
    <m/>
    <m/>
    <s v="Commercialized"/>
    <s v="TF released, Tooled up part received, Pilot to be planned.Waiting for blank_x000a_Pilot completed._x000a_Awaiting commercialization date"/>
    <s v="Rishi"/>
  </r>
  <r>
    <n v="55"/>
    <x v="0"/>
    <m/>
    <x v="0"/>
    <x v="2"/>
    <s v="CO"/>
    <s v="25-00262"/>
    <s v="25IND019-2"/>
    <s v="Roller Bracket: Redesign to smaller roller Bracket - E47"/>
    <s v="IND"/>
    <x v="0"/>
    <s v="ICM"/>
    <s v="PD"/>
    <s v="Insulated Cabin"/>
    <s v="Steel &amp; Parts"/>
    <s v="Steel-GI"/>
    <n v="3"/>
    <n v="2"/>
    <s v="No"/>
    <m/>
    <m/>
    <n v="0"/>
    <m/>
    <n v="0"/>
    <s v="No"/>
    <s v="N/A"/>
    <n v="0"/>
    <m/>
    <s v="Yes"/>
    <s v="Yes"/>
    <m/>
    <m/>
    <s v="Commercialized"/>
    <s v="Drawing to be released after receiving Prod. Proto comments_x000a_Pilot will be done with tooled up parts.- Tool expected 12/July_x000a_Commerciliazed→Week44"/>
    <s v="Rishi"/>
  </r>
  <r>
    <n v="56"/>
    <x v="0"/>
    <m/>
    <x v="0"/>
    <x v="0"/>
    <s v="CO"/>
    <s v="25-00262"/>
    <s v="25IND019-3"/>
    <s v="Roller Bracket: Redesign to smaller roller Bracket-S35"/>
    <s v="IND"/>
    <x v="0"/>
    <s v="ICM"/>
    <s v="PD"/>
    <s v="Insulated Cabin"/>
    <s v="Steel &amp; Parts"/>
    <s v="Steel-GI"/>
    <n v="2"/>
    <n v="2"/>
    <s v="No"/>
    <m/>
    <m/>
    <n v="0"/>
    <m/>
    <n v="0"/>
    <s v="No"/>
    <s v="N/A"/>
    <n v="0"/>
    <m/>
    <s v="Yes"/>
    <s v="Yes"/>
    <m/>
    <m/>
    <s v="Commercialized"/>
    <s v="Drawing to be released after receiving Prod. Proto comments_x000a_Pilot will be done with tooled up parts.- Tool expected 12/July_x000a_12/09→ Pilot Done on 01/09/25.Pilot point closed by Wk38._x000a_Commercialized → Week 44"/>
    <s v="Rishi"/>
  </r>
  <r>
    <n v="57"/>
    <x v="0"/>
    <m/>
    <x v="0"/>
    <x v="2"/>
    <s v="CO"/>
    <s v="25-00262"/>
    <s v="25IND019-4"/>
    <s v="Roller Bracket: Redesign to smaller roller Bracket-S40"/>
    <s v="IND"/>
    <x v="0"/>
    <s v="ICM"/>
    <s v="PD"/>
    <s v="Insulated Cabin"/>
    <s v="Steel &amp; Parts"/>
    <s v="Steel-GI"/>
    <n v="2"/>
    <n v="2"/>
    <s v="No"/>
    <m/>
    <m/>
    <n v="0"/>
    <m/>
    <n v="0"/>
    <s v="No"/>
    <s v="N/A"/>
    <n v="0"/>
    <m/>
    <s v="Yes"/>
    <s v="Yes"/>
    <m/>
    <m/>
    <s v="Commercialized"/>
    <s v="Drawing to be released after receiving Prod. Proto comments_x000a_Pilot will be done with tooled up parts.- Tool expected 12/July_x000a_Commercialized → Week 44"/>
    <s v="Rishi"/>
  </r>
  <r>
    <n v="58"/>
    <x v="0"/>
    <m/>
    <x v="0"/>
    <x v="2"/>
    <s v="CO"/>
    <s v="25-00262"/>
    <s v="25IND019-5"/>
    <s v="Roller Bracket: Redesign to smaller roller Bracket-S45"/>
    <s v="IND"/>
    <x v="0"/>
    <s v="ICM"/>
    <s v="PD"/>
    <s v="Insulated Cabin"/>
    <s v="Steel &amp; Parts"/>
    <s v="Steel-GI"/>
    <n v="3"/>
    <n v="2"/>
    <s v="No"/>
    <m/>
    <m/>
    <n v="0"/>
    <m/>
    <n v="0"/>
    <s v="No"/>
    <s v="N/A"/>
    <n v="0"/>
    <m/>
    <s v="Yes"/>
    <s v="Yes"/>
    <m/>
    <m/>
    <s v="Commercialized"/>
    <s v="Drawing to be released after receiving Prod. Proto comments_x000a_Pilot will be done with tooled up parts.- Tool expected 12/July_x000a_Commercialized → Week 44"/>
    <s v="Rishi"/>
  </r>
  <r>
    <n v="59"/>
    <x v="0"/>
    <m/>
    <x v="1"/>
    <x v="2"/>
    <s v="CO"/>
    <s v="25-00262"/>
    <s v="25IND019-5"/>
    <s v="Roller Bracket: Redesign to smaller roller Bracket-S50"/>
    <s v="IND"/>
    <x v="0"/>
    <s v="ICM"/>
    <s v="PD"/>
    <s v="Insulated Cabin"/>
    <s v="Steel &amp; Parts"/>
    <s v="Steel-GI"/>
    <n v="3"/>
    <n v="2"/>
    <s v="No"/>
    <m/>
    <m/>
    <n v="0"/>
    <m/>
    <n v="0"/>
    <s v="No"/>
    <s v="N/A"/>
    <n v="0"/>
    <m/>
    <s v="Yes"/>
    <s v="Yes"/>
    <m/>
    <m/>
    <s v="Commercialized"/>
    <s v="Drawing to be released after receiving Prod. Proto comments_x000a_Pilot will be done with tooled up parts.- Tool expected 08/July"/>
    <s v="Lokesh"/>
  </r>
  <r>
    <n v="60"/>
    <x v="0"/>
    <m/>
    <x v="0"/>
    <x v="2"/>
    <s v="CO"/>
    <s v="25-00262"/>
    <s v="25IND019-6"/>
    <s v="Roller Bracket: Redesign to smaller roller Bracket-S60"/>
    <s v="IND"/>
    <x v="0"/>
    <s v="ICM"/>
    <s v="PD"/>
    <s v="Insulated Cabin"/>
    <s v="Steel &amp; Parts"/>
    <s v="Steel-GI"/>
    <n v="2"/>
    <n v="2"/>
    <s v="No"/>
    <m/>
    <m/>
    <n v="0"/>
    <m/>
    <n v="0"/>
    <s v="No"/>
    <s v="N/A"/>
    <n v="0"/>
    <m/>
    <s v="Yes"/>
    <s v="Yes"/>
    <m/>
    <m/>
    <s v="Commercialized"/>
    <s v="TF released_x000a_Pilot will be done with tooled up parts._x000a_Pilot Done on 22/12/25.Pilot point closed by WK02'26._x000a_Commerecialed by jan end._x000a_Commerecialed in reliance cooler."/>
    <s v="Nikhil"/>
  </r>
  <r>
    <n v="61"/>
    <x v="2"/>
    <m/>
    <x v="1"/>
    <x v="0"/>
    <s v="CO"/>
    <s v="25-00279"/>
    <s v="24SRC009"/>
    <s v="Electronic motor Saiwei NEC4810 as alternative to Weiguang ECM7112"/>
    <s v="Multiplant"/>
    <x v="0"/>
    <s v="ICM"/>
    <s v="Central Procurement Group"/>
    <s v="Electrical Parts"/>
    <s v="Electrical Components"/>
    <s v="Electronic Motors"/>
    <n v="4"/>
    <n v="1"/>
    <s v="Yes"/>
    <m/>
    <m/>
    <n v="1"/>
    <m/>
    <n v="1"/>
    <s v="Yes"/>
    <s v="Start Date→  28-10-24_x000a_End Date→ 30-11-24"/>
    <n v="0"/>
    <s v="Safety completed"/>
    <m/>
    <m/>
    <m/>
    <m/>
    <s v="Commercialized"/>
    <s v="Discussion on different length of motor Casing from existing ECM7112 version, supplier proposed new motor hub (on which fan blade is getting mounted) from 9mm →23mm. Sample is expected to be dispatched by 25th of April This will be applicable for all  Frigoglass plants. Action Items: _x000a_-Reliability testing to be done again to avoid new bracket. _x000a_-TF released. Need to develop tool."/>
    <s v="Lokesh"/>
  </r>
  <r>
    <n v="62"/>
    <x v="2"/>
    <m/>
    <x v="1"/>
    <x v="0"/>
    <s v="CO"/>
    <s v="25-00280"/>
    <s v="24SRC010"/>
    <s v="Electronic motor Saiwei NEC6115 as alternative to Weiguang ECM7120"/>
    <s v="Multiplant"/>
    <x v="0"/>
    <s v="ICM"/>
    <s v="Central Procurement Group"/>
    <s v="Electrical Parts"/>
    <s v="Electrical Components"/>
    <s v="Electronic Motors"/>
    <n v="4"/>
    <n v="2"/>
    <s v="Yes"/>
    <m/>
    <m/>
    <n v="1"/>
    <m/>
    <n v="1"/>
    <s v="Yes"/>
    <s v="Start Date→  28-10-24_x000a_End Date→ 30-11-24"/>
    <m/>
    <s v="Safety completed"/>
    <m/>
    <m/>
    <m/>
    <m/>
    <s v="Commercialized"/>
    <s v="TF released/CER under progress"/>
    <s v="Lokesh"/>
  </r>
  <r>
    <n v="63"/>
    <x v="2"/>
    <m/>
    <x v="0"/>
    <x v="2"/>
    <s v="IMP"/>
    <s v="25-00266"/>
    <s v="N/A"/>
    <s v="S1100 250ml Bottle falling - Shelf design Change"/>
    <s v="IND"/>
    <x v="0"/>
    <s v="ICM"/>
    <s v="Service"/>
    <s v="Insulated Cabin"/>
    <s v="Steel &amp; Parts"/>
    <s v="Shelves"/>
    <n v="1"/>
    <n v="2"/>
    <s v="No"/>
    <m/>
    <m/>
    <n v="0"/>
    <m/>
    <n v="0"/>
    <s v="No"/>
    <s v="N/A"/>
    <n v="0"/>
    <m/>
    <s v="Yes"/>
    <s v="Yes"/>
    <m/>
    <m/>
    <s v="Commercialized"/>
    <s v="Amit to confirm sample availability date_x000a_26/09→ Commercialization by 06/10/25._x000a_Commercialized → Week 44_x000a_"/>
    <s v="Rishi"/>
  </r>
  <r>
    <n v="64"/>
    <x v="0"/>
    <m/>
    <x v="0"/>
    <x v="0"/>
    <s v="IMP"/>
    <s v="25-00270"/>
    <s v="N/A"/>
    <s v="FV1000-FFD CCBSA Improvement points cover"/>
    <s v="SAF"/>
    <x v="0"/>
    <s v="ICM"/>
    <s v="Marketing/Sales"/>
    <s v="Insulated Cabin"/>
    <s v="Steel &amp; Parts"/>
    <s v="Metal Processing &amp; Components"/>
    <n v="4"/>
    <n v="6"/>
    <s v="No"/>
    <m/>
    <m/>
    <n v="0"/>
    <m/>
    <n v="1"/>
    <s v="No"/>
    <s v="N/A"/>
    <n v="0"/>
    <m/>
    <s v="Yes"/>
    <s v="Yes"/>
    <m/>
    <m/>
    <s v="Commercialized"/>
    <s v="Long lead→Wk03_x000a_Testing/Customer report submission→?_x000a_Safety→?_x000a_TF→Wk21 (with cost reduction initiatives)_x000a_Proto→Wk27_x000a_Pilot→Wk42_x000a_Commercialized →Wk9."/>
    <s v="Pawan"/>
  </r>
  <r>
    <n v="65"/>
    <x v="7"/>
    <m/>
    <x v="0"/>
    <x v="2"/>
    <s v="CO"/>
    <s v="25-00267"/>
    <s v="25INN009"/>
    <s v="Change P/S type from I Series to L series"/>
    <s v="SAF"/>
    <x v="0"/>
    <s v="ICM"/>
    <s v="PD"/>
    <s v="Electrical Parts"/>
    <s v="Electrical Components"/>
    <s v="Protector - Stabilizer"/>
    <n v="1"/>
    <n v="1"/>
    <s v="Yes"/>
    <m/>
    <m/>
    <n v="1"/>
    <m/>
    <n v="0"/>
    <s v="Yes"/>
    <s v="Completed"/>
    <n v="1.5"/>
    <m/>
    <m/>
    <m/>
    <m/>
    <m/>
    <s v="Commercialized"/>
    <s v="TF released,Fitment OK, sample o be orderered for Proto and Pilot"/>
    <s v="Pawan"/>
  </r>
  <r>
    <n v="66"/>
    <x v="7"/>
    <m/>
    <x v="0"/>
    <x v="2"/>
    <s v="NO"/>
    <s v="25-00332"/>
    <s v="N/A"/>
    <s v="Castor wheel option in S-60 - MENA"/>
    <s v="IND"/>
    <x v="0"/>
    <s v="ICM"/>
    <s v="Marketing/Sales"/>
    <s v="Insulated Cabin"/>
    <s v="N/A"/>
    <s v="N/A"/>
    <n v="1"/>
    <n v="1"/>
    <s v="No"/>
    <m/>
    <m/>
    <n v="0"/>
    <m/>
    <n v="0"/>
    <s v="No"/>
    <s v="N/A"/>
    <n v="0"/>
    <s v="N/A"/>
    <m/>
    <m/>
    <m/>
    <m/>
    <s v="On Hold"/>
    <s v="TF released,Marketiing to clarify on  sales order status"/>
    <s v="Nikhil"/>
  </r>
  <r>
    <n v="67"/>
    <x v="0"/>
    <m/>
    <x v="0"/>
    <x v="1"/>
    <s v="NM"/>
    <s v="24-00233"/>
    <s v="N/A"/>
    <s v="FV1000- Future Cooler (Covered in CCBSA points Project)"/>
    <s v="SAF"/>
    <x v="0"/>
    <s v="ICM"/>
    <s v="Marketing/Sales"/>
    <s v="Complete Cooler"/>
    <s v="N/A"/>
    <s v="N/A"/>
    <n v="6"/>
    <n v="6"/>
    <s v="Yes"/>
    <m/>
    <m/>
    <n v="1"/>
    <m/>
    <n v="2"/>
    <s v="No"/>
    <s v="N/A"/>
    <n v="2"/>
    <s v="Saftey-To be decided Later"/>
    <m/>
    <m/>
    <m/>
    <m/>
    <s v="Commercialized"/>
    <s v="4 Sample prepared meeting EC2026/Production prototype report received/ TF to be released WK40"/>
    <s v="Pawan"/>
  </r>
  <r>
    <n v="68"/>
    <x v="8"/>
    <m/>
    <x v="0"/>
    <x v="1"/>
    <s v="NM"/>
    <s v="25-00292"/>
    <s v="N/A"/>
    <s v="S-1100 R290 EG (Coke)"/>
    <s v="Egypt"/>
    <x v="0"/>
    <s v="ICM"/>
    <s v="Marketing/Sales"/>
    <s v="Complete Cooler"/>
    <s v="N/A"/>
    <s v="N/A"/>
    <m/>
    <m/>
    <s v="Yes"/>
    <m/>
    <m/>
    <n v="8"/>
    <m/>
    <n v="4"/>
    <s v="Yes"/>
    <s v="Start Date→ 11-01-25_x000a_End Date→ 10-02-25"/>
    <n v="0"/>
    <m/>
    <m/>
    <m/>
    <m/>
    <m/>
    <s v="Commercialized"/>
    <s v="Product file to be released for Novemeber order by Wk40."/>
    <s v="Zakir"/>
  </r>
  <r>
    <n v="69"/>
    <x v="7"/>
    <m/>
    <x v="0"/>
    <x v="0"/>
    <s v="IMP"/>
    <s v="TBR"/>
    <s v="N/A"/>
    <s v="Super-35 Design data synchronization with production (Product file)"/>
    <s v="IND"/>
    <x v="0"/>
    <s v="ICM"/>
    <s v="PD"/>
    <s v="Complete Cooler"/>
    <s v="N/A"/>
    <s v="N/A"/>
    <m/>
    <m/>
    <s v="No"/>
    <m/>
    <m/>
    <n v="0"/>
    <m/>
    <n v="0"/>
    <s v="No"/>
    <s v="N/A"/>
    <n v="0"/>
    <m/>
    <m/>
    <m/>
    <m/>
    <m/>
    <s v="Commercialized"/>
    <s v="Product file released for alignment with plant, -Feedback received- To be released along with "/>
    <s v="Zakir"/>
  </r>
  <r>
    <n v="70"/>
    <x v="7"/>
    <m/>
    <x v="0"/>
    <x v="0"/>
    <s v="IMP"/>
    <s v="TBR"/>
    <s v="N/A"/>
    <s v="SM Updates-6 Nos. of SM- (1)Metal processing and components (2)Carton Box(3)Plastic Bag and Stretch Film(4)Copper components(5)Protector Stabilizer(6)Refrigerants"/>
    <s v="IND"/>
    <x v="0"/>
    <s v="Other"/>
    <s v="Central R&amp;PD"/>
    <s v="Complete Cooler"/>
    <s v="N/A"/>
    <s v="N/A"/>
    <n v="15"/>
    <m/>
    <s v="No"/>
    <m/>
    <m/>
    <m/>
    <m/>
    <n v="0"/>
    <s v="No"/>
    <m/>
    <n v="0"/>
    <m/>
    <m/>
    <m/>
    <m/>
    <m/>
    <s v="Commercialized"/>
    <s v="Scope of this project is to release SM. Its ongoing activity and to be taken in parallel to other projects. Target to release 25th March'2026_x000a_Next set of SM in line with RM saving projects to be released by next week."/>
    <s v="Rishi"/>
  </r>
  <r>
    <n v="71"/>
    <x v="5"/>
    <m/>
    <x v="0"/>
    <x v="0"/>
    <s v="IMP"/>
    <s v="25-00359"/>
    <s v="N/A"/>
    <s v="Tooling drawing for S250/S200"/>
    <s v="IND"/>
    <x v="0"/>
    <s v="ICM"/>
    <s v="PD"/>
    <m/>
    <m/>
    <m/>
    <n v="16"/>
    <m/>
    <s v="Yes"/>
    <m/>
    <m/>
    <m/>
    <m/>
    <n v="10"/>
    <s v="No"/>
    <m/>
    <n v="1"/>
    <m/>
    <m/>
    <m/>
    <m/>
    <m/>
    <s v="Commercialized"/>
    <s v="Tooling drawings as per ease of tooling and Machine capacity modified_x000a_12/09→ Tooling Drawing released, Tooling is in Progress"/>
    <s v="Rishi"/>
  </r>
  <r>
    <n v="72"/>
    <x v="5"/>
    <m/>
    <x v="0"/>
    <x v="0"/>
    <s v="IMP"/>
    <s v="25-00360"/>
    <s v="N/A"/>
    <s v="Drawing modification required for Autoindexing not working and for ease of production"/>
    <s v="IND"/>
    <x v="0"/>
    <s v="ICM"/>
    <s v="PD"/>
    <m/>
    <m/>
    <m/>
    <n v="16"/>
    <m/>
    <s v="Yes"/>
    <m/>
    <m/>
    <m/>
    <m/>
    <n v="10"/>
    <s v="No"/>
    <m/>
    <n v="1"/>
    <m/>
    <m/>
    <m/>
    <m/>
    <m/>
    <s v="Commercialized"/>
    <s v="Quality issue and Tooling drawings"/>
    <s v="Atul"/>
  </r>
  <r>
    <n v="73"/>
    <x v="7"/>
    <m/>
    <x v="0"/>
    <x v="2"/>
    <s v="IMP"/>
    <s v="TBR"/>
    <s v="N/A"/>
    <s v="Bidding Files, Customer technical Data Sheet, Customer presentation"/>
    <s v="IND"/>
    <x v="0"/>
    <s v="Other"/>
    <s v="PD"/>
    <m/>
    <m/>
    <m/>
    <n v="5"/>
    <m/>
    <m/>
    <m/>
    <m/>
    <m/>
    <m/>
    <n v="5"/>
    <s v="No"/>
    <m/>
    <n v="1"/>
    <m/>
    <m/>
    <m/>
    <m/>
    <m/>
    <s v="On Hold"/>
    <s v="Bluestar technical specification pending"/>
    <s v="Lokesh"/>
  </r>
  <r>
    <n v="74"/>
    <x v="0"/>
    <m/>
    <x v="0"/>
    <x v="0"/>
    <s v="IMP"/>
    <s v="TBR"/>
    <s v="N/A"/>
    <s v="PLM Administration- UAT Test"/>
    <s v="IND"/>
    <x v="0"/>
    <s v="ICM"/>
    <s v="Central R&amp;PD"/>
    <s v="Complete Cooler"/>
    <s v="N/A"/>
    <s v="N/A"/>
    <n v="5"/>
    <m/>
    <s v="No"/>
    <m/>
    <m/>
    <m/>
    <m/>
    <n v="0"/>
    <s v="No"/>
    <m/>
    <m/>
    <m/>
    <m/>
    <m/>
    <m/>
    <m/>
    <s v="Commercialized"/>
    <s v="Testing completed- training schedule in Next week_x000a_12/09→ PLM/creo imlemenation by October 1st week"/>
    <s v="Rishi"/>
  </r>
  <r>
    <n v="75"/>
    <x v="0"/>
    <m/>
    <x v="1"/>
    <x v="2"/>
    <s v="CO"/>
    <s v="25-00264"/>
    <s v="25IND013-1"/>
    <s v="LED: LED cable from Bottom side of cabinet  S-200  &amp; Variants"/>
    <s v="IND"/>
    <x v="0"/>
    <s v="ICM"/>
    <s v="PD"/>
    <s v="Illumination"/>
    <s v="Electrical Components"/>
    <s v="Cable Harnesses"/>
    <n v="3"/>
    <n v="1"/>
    <s v="No"/>
    <m/>
    <m/>
    <n v="0"/>
    <m/>
    <n v="0"/>
    <s v="No"/>
    <s v="N/A"/>
    <n v="0"/>
    <m/>
    <s v="No"/>
    <s v="No"/>
    <m/>
    <m/>
    <s v="Industrialization"/>
    <s v="Long lead &amp; BOM→WK37_x000a_Testing/Customer report submission→Wk49_x000a_Safety→Wk48_x000a_TF→WK42"/>
    <s v="Rahul"/>
  </r>
  <r>
    <n v="76"/>
    <x v="0"/>
    <m/>
    <x v="1"/>
    <x v="2"/>
    <s v="CO"/>
    <s v="25-00264"/>
    <s v="25IND013-2"/>
    <s v="LED: LED cable from Bottom side of cabinet  S-250  &amp; Variants"/>
    <s v="IND"/>
    <x v="0"/>
    <s v="ICM"/>
    <s v="PD"/>
    <s v="Illumination"/>
    <s v="Electrical Components"/>
    <s v="Cable Harnesses"/>
    <n v="3"/>
    <n v="1"/>
    <s v="No"/>
    <m/>
    <m/>
    <n v="0"/>
    <m/>
    <n v="0"/>
    <s v="No"/>
    <s v="N/A"/>
    <n v="0"/>
    <m/>
    <s v="No"/>
    <s v="No"/>
    <m/>
    <m/>
    <s v="Industrialization"/>
    <s v="12/09→TF to be released with EC2026"/>
    <s v="Rahul"/>
  </r>
  <r>
    <n v="77"/>
    <x v="2"/>
    <m/>
    <x v="1"/>
    <x v="0"/>
    <s v="CO"/>
    <s v="25-00281"/>
    <s v="24SRC036"/>
    <s v="Shaded pole Q motor Saiwei as altearnative to Weiguang YZF10-20"/>
    <s v="Multiplant"/>
    <x v="0"/>
    <s v="ICM"/>
    <s v="Central Procurement Group"/>
    <s v="Electrical Parts"/>
    <s v="Electrical Components"/>
    <s v="Shaded Pole Motors &amp; Blades"/>
    <n v="4"/>
    <m/>
    <s v="Yes"/>
    <m/>
    <m/>
    <n v="1"/>
    <m/>
    <n v="1"/>
    <s v="Yes"/>
    <s v="Start Date→ 29-10-24_x000a_End Date→ 18-12-24"/>
    <m/>
    <s v="Safety completed, new samples will be received from supplier with correct dimension."/>
    <m/>
    <m/>
    <m/>
    <m/>
    <s v="Industrialization"/>
    <s v="Spec sheet received, TF memo to be released with instruction for mounting bracket._x000a_12/9→TF memo released on 08/09/25"/>
    <s v="Nikhil"/>
  </r>
  <r>
    <n v="78"/>
    <x v="2"/>
    <m/>
    <x v="1"/>
    <x v="0"/>
    <s v="CO"/>
    <s v="25-00283"/>
    <s v="24SRC037"/>
    <s v="Shaded pole Q motor Saiwei as alternative to Weiguang YZF16-25"/>
    <s v="Multiplant"/>
    <x v="0"/>
    <s v="ICM"/>
    <s v="Central Procurement Group"/>
    <s v="Electrical Parts"/>
    <s v="Electrical Components"/>
    <s v="Shaded Pole Motors &amp; Blades"/>
    <n v="4"/>
    <m/>
    <s v="Yes"/>
    <m/>
    <m/>
    <n v="1"/>
    <m/>
    <n v="1"/>
    <s v="Yes"/>
    <s v="Start Date→ 11-01-25_x000a_End Date→ 10-02-25"/>
    <m/>
    <s v="Safety completed, new samples will be received from supplier with correct dimension."/>
    <m/>
    <m/>
    <m/>
    <m/>
    <s v="Industrialization"/>
    <s v="Spec sheet received, TF memo to be released with instruction for mounting bracket._x000a_12/9→TF memo released on 08/09/25"/>
    <s v="Nikhil"/>
  </r>
  <r>
    <n v="79"/>
    <x v="5"/>
    <m/>
    <x v="0"/>
    <x v="2"/>
    <s v="CO"/>
    <s v="25-00356"/>
    <s v="N/A"/>
    <s v="Alternative Shaded Pole 10W Xing Yuang YZF 10-20 for Weiguang YZF10-20 "/>
    <s v="Multiplant"/>
    <x v="0"/>
    <s v="ICM"/>
    <s v="Central Procurement Group"/>
    <s v="Electrical Parts"/>
    <s v="Other"/>
    <s v="Other Materials"/>
    <n v="1"/>
    <n v="0.5"/>
    <s v="No"/>
    <m/>
    <m/>
    <n v="0"/>
    <m/>
    <n v="0"/>
    <s v="No"/>
    <s v="N/A"/>
    <n v="0"/>
    <m/>
    <m/>
    <m/>
    <m/>
    <m/>
    <s v="On Hold"/>
    <m/>
    <s v="Lokesh"/>
  </r>
  <r>
    <n v="80"/>
    <x v="5"/>
    <m/>
    <x v="0"/>
    <x v="2"/>
    <s v="CO"/>
    <s v="25-00358"/>
    <s v="N/A"/>
    <s v="Alternative Shaded Pole 16W Xing Yuang YZF 16-25 for Weiguang YZF16-25 "/>
    <s v="Multiplant"/>
    <x v="0"/>
    <s v="ICM"/>
    <s v="Central Procurement Group"/>
    <s v="Electrical Parts"/>
    <s v="Other"/>
    <s v="Other Materials"/>
    <n v="1"/>
    <n v="0.5"/>
    <s v="No"/>
    <m/>
    <m/>
    <n v="0"/>
    <m/>
    <n v="0"/>
    <s v="No"/>
    <s v="N/A"/>
    <n v="0"/>
    <m/>
    <m/>
    <m/>
    <m/>
    <m/>
    <s v="On Hold"/>
    <m/>
    <s v="Lokesh"/>
  </r>
  <r>
    <n v="81"/>
    <x v="5"/>
    <m/>
    <x v="0"/>
    <x v="2"/>
    <s v="CO"/>
    <s v="25-00355"/>
    <s v="N/A"/>
    <s v="Alternative Shaded Pole 10W Xing Yuang YZF 10-20 ALUMINIUM WIRE for Weiguang YZF10-20 "/>
    <s v="Multiplant"/>
    <x v="0"/>
    <s v="ICM"/>
    <s v="Central Procurement Group"/>
    <s v="Electrical Parts"/>
    <s v="Other"/>
    <s v="Other Materials"/>
    <n v="1"/>
    <n v="0.5"/>
    <s v="No"/>
    <m/>
    <m/>
    <n v="0"/>
    <m/>
    <n v="0"/>
    <s v="No"/>
    <s v="N/A"/>
    <n v="0"/>
    <m/>
    <m/>
    <m/>
    <m/>
    <m/>
    <s v="On Hold"/>
    <m/>
    <s v="Lokesh"/>
  </r>
  <r>
    <n v="82"/>
    <x v="9"/>
    <m/>
    <x v="0"/>
    <x v="2"/>
    <s v="CO"/>
    <s v="25-00349"/>
    <s v="N/A"/>
    <s v="Alternative EC Motor 12W Xing Yuang for Weiguang ECM7112ABD2DA407 "/>
    <s v="Multiplant"/>
    <x v="0"/>
    <s v="ICM"/>
    <s v="Central Procurement Group"/>
    <s v="Electrical Parts"/>
    <s v="Other"/>
    <s v="Other Materials"/>
    <n v="1"/>
    <n v="0.5"/>
    <s v="No"/>
    <m/>
    <m/>
    <n v="0"/>
    <m/>
    <n v="0"/>
    <s v="No"/>
    <s v="N/A"/>
    <n v="0"/>
    <m/>
    <m/>
    <m/>
    <m/>
    <m/>
    <s v="On Hold"/>
    <m/>
    <s v="Lokesh"/>
  </r>
  <r>
    <n v="83"/>
    <x v="9"/>
    <m/>
    <x v="0"/>
    <x v="2"/>
    <s v="CO"/>
    <s v="25-00350"/>
    <s v="N/A"/>
    <s v="Alternative EC Motor 20W Xing Yuang for Weiguang ECM7120ABD2DA403 "/>
    <s v="Multiplant"/>
    <x v="0"/>
    <s v="ICM"/>
    <s v="Central Procurement Group"/>
    <s v="Electrical Parts"/>
    <s v="Other"/>
    <s v="Other Materials"/>
    <n v="1"/>
    <n v="0.5"/>
    <s v="No"/>
    <m/>
    <m/>
    <n v="0"/>
    <m/>
    <n v="0"/>
    <s v="No"/>
    <s v="N/A"/>
    <n v="0"/>
    <m/>
    <m/>
    <m/>
    <m/>
    <m/>
    <s v="On Hold"/>
    <s v="RC to confirm status of same"/>
    <s v="Lokesh"/>
  </r>
  <r>
    <n v="84"/>
    <x v="0"/>
    <m/>
    <x v="0"/>
    <x v="2"/>
    <s v="NO"/>
    <s v="24-00177"/>
    <s v="N/A"/>
    <s v="Bottle opener &amp; crown catcher (All range)"/>
    <s v="IND"/>
    <x v="0"/>
    <s v="ICM"/>
    <s v="Marketing/Sales"/>
    <s v="Door"/>
    <s v="N/A"/>
    <s v="N/A"/>
    <n v="3"/>
    <n v="3"/>
    <s v="No"/>
    <m/>
    <m/>
    <n v="0"/>
    <m/>
    <n v="0"/>
    <s v="No"/>
    <s v="N/A"/>
    <n v="0"/>
    <m/>
    <m/>
    <m/>
    <m/>
    <m/>
    <s v="Commercialized"/>
    <s v="Final Tooling drawing released on 14th April, DFM report received, T1 sample date awaited, Sample awaited?No update on bottle opener _x000a_26/9→T1 sample SAR completed and fitment trial completed. some observations were noted, waiting for T2 sample._x000a_07/11→Crown catcher order released for commercialization &amp; Bottle opener vendor audit failed._x000a_05/12 → 500 pieces Crown catcher received from supplier and SAR rejetc of 100 pieces received of bottle opener._x000a_We shared our plastic &amp; metal door profile with the supplier to match the color of our profile,supplier will share updated samples._x000a_Supplier meeting completed; updated samples received and will be commercialized across all Coke models in EC2026._x000a_Commerecialed on WK03'26."/>
    <s v="Atul"/>
  </r>
  <r>
    <n v="85"/>
    <x v="1"/>
    <m/>
    <x v="0"/>
    <x v="0"/>
    <s v="CO"/>
    <s v="TBR"/>
    <s v="-"/>
    <s v="Hicool 20W AC Block Motor (19~22W)"/>
    <s v="IND"/>
    <x v="0"/>
    <s v="ICM"/>
    <s v="Central Procurement Group"/>
    <s v="Cooling Mechanism"/>
    <s v="Electrical Components"/>
    <s v="Block Motors"/>
    <n v="4"/>
    <n v="4"/>
    <s v="Yes"/>
    <m/>
    <m/>
    <m/>
    <m/>
    <n v="0"/>
    <s v="Yes"/>
    <m/>
    <m/>
    <s v="In Progress"/>
    <m/>
    <m/>
    <m/>
    <m/>
    <s v="Industrialization"/>
    <s v="Testing in progress/Performanace testing is done- Performance is lower-Under discussion with Supplier/Supplier is working on improving performance-Week-10 update expected"/>
    <s v="Nikhil"/>
  </r>
  <r>
    <n v="86"/>
    <x v="10"/>
    <m/>
    <x v="1"/>
    <x v="0"/>
    <s v="NO"/>
    <s v="25-00345-1"/>
    <s v="N/A"/>
    <s v="S-1100 EG configuration with complete full shelves and FDE controllers as an option, EC 26 TCCC approved  →Q1'26 production"/>
    <s v="Egypt"/>
    <x v="0"/>
    <s v="ICM"/>
    <s v="Marketing/Sales"/>
    <s v="Complete Cooler"/>
    <m/>
    <m/>
    <n v="8"/>
    <n v="12"/>
    <s v="Yes"/>
    <m/>
    <m/>
    <m/>
    <m/>
    <m/>
    <s v="Yes"/>
    <s v="In Progress"/>
    <m/>
    <m/>
    <m/>
    <m/>
    <m/>
    <m/>
    <s v="Commercialized"/>
    <s v="Long lead &amp; BOM→WK37_x000a_Testing/Customer report submission→Wk49_x000a_Safety→Wk48_x000a_TF→Wk -41"/>
    <s v="Zakir"/>
  </r>
  <r>
    <n v="87"/>
    <x v="10"/>
    <m/>
    <x v="0"/>
    <x v="0"/>
    <s v="CO"/>
    <s v="TBR"/>
    <s v="-"/>
    <s v="Door development from China for South Africa Range Door"/>
    <s v="SAF"/>
    <x v="0"/>
    <s v="ICM"/>
    <s v="PD"/>
    <m/>
    <m/>
    <m/>
    <m/>
    <m/>
    <m/>
    <m/>
    <m/>
    <m/>
    <m/>
    <m/>
    <s v="No"/>
    <m/>
    <m/>
    <m/>
    <m/>
    <m/>
    <m/>
    <m/>
    <s v="Cancelled"/>
    <s v="Sample recived/FPAP &amp; Testing in Progres/Performance- EC test to be done, Repeated project"/>
    <s v="Pawan"/>
  </r>
  <r>
    <n v="88"/>
    <x v="10"/>
    <s v="Completed"/>
    <x v="1"/>
    <x v="0"/>
    <s v="IMP"/>
    <s v="25-00316"/>
    <s v="N/A"/>
    <s v="500L (SFP-500)  full length glass door for Suntory pepsi"/>
    <s v="INN"/>
    <x v="0"/>
    <s v="ICM"/>
    <s v="Marketing/Sales"/>
    <s v="Cooling Mechanism"/>
    <s v="N/A"/>
    <s v="N/A"/>
    <n v="4"/>
    <n v="7"/>
    <s v="Yes"/>
    <m/>
    <m/>
    <n v="6"/>
    <m/>
    <n v="6"/>
    <s v="Yes"/>
    <s v="In Progress"/>
    <n v="1.5"/>
    <s v="SP-550 to be developed in R290- TF dates to be communicated later upon resource availability. Testing to be plannned"/>
    <m/>
    <m/>
    <m/>
    <m/>
    <s v="Industrialization"/>
    <s v="Long lead by Wk-30_x000a_TF-Wk33/ 2 nos. samples to be prepared for Suntory pepsi from India with materials (Sheet metals, castor wheels, LED etc.), Report submission to be done. Commercialisation date to be finalised after customer feednack_x000a_12/9→Materials (cable kit) order for production proto cooler._x000a_Proto→Wk41_x000a_05/12 → Customer sample dispacth on 04-12-25./Volume~500_x000a_Customer recieved sample on 18-12-25."/>
    <s v="Lokesh"/>
  </r>
  <r>
    <n v="89"/>
    <x v="5"/>
    <n v="3"/>
    <x v="0"/>
    <x v="0"/>
    <s v="BC"/>
    <s v="25-00318"/>
    <s v="N/A"/>
    <s v="2026 Energy Target-Coke protocol-S35"/>
    <s v="IND"/>
    <x v="0"/>
    <s v="ICM"/>
    <s v="Marketing/Sales"/>
    <s v="Cooling Mechanism"/>
    <s v="N/A"/>
    <s v="N/A"/>
    <n v="3"/>
    <n v="2"/>
    <s v="Yes"/>
    <m/>
    <m/>
    <n v="6"/>
    <m/>
    <n v="8"/>
    <s v="Yes"/>
    <s v="In Progress"/>
    <n v="1.5"/>
    <s v="Safety- To be verified after configuration is finalized"/>
    <m/>
    <m/>
    <m/>
    <m/>
    <s v="Commercialized"/>
    <s v="Testing/Customer report submission→WK39_x000a_Safety→WK38_x000a_TF→WK35_x000a_Proto→WK39/Pilot→ Waiting for Fan casing samples_x000a_TCCC Authorization received→WK45_x000a_05/12 → BOM shared by TS team waiting for Pilot date from planning side._x000a_Pilot Done on 25/12/25.Pilot point closed by WK03'26._x000a_Pilot point closed on 13-01-2026._x000a_Commerecialed by WK05'26."/>
    <s v="Rishi"/>
  </r>
  <r>
    <n v="90"/>
    <x v="7"/>
    <m/>
    <x v="1"/>
    <x v="0"/>
    <s v="IMP"/>
    <s v="25-00313"/>
    <s v="N/A"/>
    <s v="FV1000SZ (Canopy version) model development with KK480 - Heineiken, EEI &lt; 25%"/>
    <s v="SAF"/>
    <x v="0"/>
    <s v="ICM"/>
    <s v="PD"/>
    <s v="Complete Cooler"/>
    <s v="N/A"/>
    <s v="N/A"/>
    <n v="4"/>
    <n v="2"/>
    <s v="Yes"/>
    <m/>
    <m/>
    <n v="8"/>
    <m/>
    <n v="0"/>
    <s v="Yes"/>
    <s v="In Progress"/>
    <n v="0"/>
    <m/>
    <m/>
    <m/>
    <m/>
    <m/>
    <s v="Industrialization"/>
    <s v="Long lead→WK35 (Material ordering is in progress)_x000a_Certification - To be completed by Wk45_x000a_Testing/Customer report submission→Wk49_x000a_Safety→Wk48_x000a_TF→Wk45/Released_x000a_Proto done on Wk21._x000a_waiting for Pilot date."/>
    <s v="Pawan"/>
  </r>
  <r>
    <n v="91"/>
    <x v="5"/>
    <n v="5"/>
    <x v="0"/>
    <x v="0"/>
    <s v="BC"/>
    <s v="25-00321"/>
    <s v="N/A"/>
    <s v="2026 Energy Target-Coke protocol-S45"/>
    <s v="IND"/>
    <x v="0"/>
    <s v="ICM"/>
    <s v="Marketing/Sales"/>
    <s v="Cooling Mechanism"/>
    <s v="N/A"/>
    <s v="N/A"/>
    <n v="4"/>
    <n v="4"/>
    <s v="Yes"/>
    <m/>
    <m/>
    <n v="6"/>
    <m/>
    <n v="10"/>
    <s v="Yes"/>
    <s v="In Progress"/>
    <n v="1.5"/>
    <s v="Safety- To be verified after configuration is finalized"/>
    <m/>
    <m/>
    <m/>
    <m/>
    <s v="Commercialized"/>
    <s v="Testing/Customer report submission→Wk49_x000a_Proto→WK40 _x000a_Proto→Proto cooler _x000a_Go ahead →Wk41 /TF points to be closed-Wk42_x000a_TCCC Authorization received→WK45_x000a_Pilot Done on 19/12/25.Pilot point closed by WK02'26._x000a_Commerecialed by jan end._x000a_Commerecialed on 22-01-2026."/>
    <s v="Rishi"/>
  </r>
  <r>
    <n v="92"/>
    <x v="10"/>
    <n v="6"/>
    <x v="0"/>
    <x v="0"/>
    <s v="NO"/>
    <s v="25-00344"/>
    <s v="N/A"/>
    <s v="S-60 EG configuration with I cool2 doors &amp; FDE controller  as an option, EC 26 TCCC approved  →Q4'25production"/>
    <s v="Egypt"/>
    <x v="0"/>
    <s v="ICM"/>
    <s v="Marketing/Sales"/>
    <s v="Complete Cooler"/>
    <s v="N/A"/>
    <s v="N/A"/>
    <m/>
    <m/>
    <m/>
    <m/>
    <m/>
    <m/>
    <m/>
    <m/>
    <s v="Yes"/>
    <s v="In Progress"/>
    <m/>
    <m/>
    <m/>
    <m/>
    <m/>
    <m/>
    <s v="Commercialized"/>
    <s v="_x000a_"/>
    <s v="Zakir"/>
  </r>
  <r>
    <n v="93"/>
    <x v="10"/>
    <n v="7"/>
    <x v="0"/>
    <x v="2"/>
    <s v="NO"/>
    <s v="25-00361-5"/>
    <s v="N/A"/>
    <s v="S-450/S450P with icool2 &amp; FDE32 doors as an option, EC26 TCCC approved  (Nigeria)"/>
    <s v="IND"/>
    <x v="0"/>
    <s v="ICM"/>
    <s v="Marketing/Sales"/>
    <s v="Door"/>
    <s v="N/A"/>
    <s v="N/A"/>
    <n v="3"/>
    <n v="2"/>
    <s v="No"/>
    <m/>
    <m/>
    <n v="0"/>
    <m/>
    <n v="0"/>
    <s v="Yes"/>
    <s v="In Progress"/>
    <n v="1.5"/>
    <m/>
    <m/>
    <m/>
    <m/>
    <m/>
    <s v="Commercialized"/>
    <s v="Testing/Customer report submission→Wk49_x000a_Proto→WK40 _x000a_Pilot→WK46_x000a_Go ahead →Wk41_x000a_Proto points closed→WK45/Commercilaized-47"/>
    <s v="Atul"/>
  </r>
  <r>
    <n v="94"/>
    <x v="10"/>
    <n v="8"/>
    <x v="0"/>
    <x v="2"/>
    <s v="NO"/>
    <s v="25-00361-7"/>
    <s v="N/A"/>
    <s v="S-600P with icool2 &amp; FDE32 controller doors as an option, EC26 TCCC approved  (Nigeria)"/>
    <s v="IND"/>
    <x v="0"/>
    <s v="ICM"/>
    <s v="Marketing/Sales"/>
    <s v="Door"/>
    <s v="N/A"/>
    <s v="N/A"/>
    <n v="3"/>
    <n v="2"/>
    <s v="No"/>
    <m/>
    <m/>
    <n v="0"/>
    <m/>
    <n v="0"/>
    <s v="Yes"/>
    <s v="In Progress"/>
    <n v="1.5"/>
    <m/>
    <m/>
    <m/>
    <m/>
    <m/>
    <s v="Commercialized"/>
    <s v="Long lead→WK37/Certification Completed_x000a_TF→WK39_x000a_Testing/Customer report submission→WK40_x000a_Safety→WK40_x000a_Proto→WK44_x000a_Pilot→48 Done_x000a_Commercial production→49~50"/>
    <s v="Nikhil"/>
  </r>
  <r>
    <n v="95"/>
    <x v="10"/>
    <m/>
    <x v="0"/>
    <x v="2"/>
    <s v="NO"/>
    <s v="25-00361-3"/>
    <s v="N/A"/>
    <s v="S-1100P with icool2/FDE  doors as an option, EC26 TCCC approved  (Nigeria)"/>
    <s v="IND"/>
    <x v="0"/>
    <s v="ICM"/>
    <s v="Marketing/Sales"/>
    <s v="Door"/>
    <s v="N/A"/>
    <s v="N/A"/>
    <n v="3"/>
    <n v="2"/>
    <s v="No"/>
    <m/>
    <m/>
    <n v="0"/>
    <m/>
    <n v="0"/>
    <s v="Yes"/>
    <s v="In Progress"/>
    <n v="1.5"/>
    <m/>
    <m/>
    <m/>
    <m/>
    <m/>
    <s v="Commercialized"/>
    <s v="Long lead- released_x000a_TF→WK43_x000a_Proto→Wk-49_x000a_Testing/Customer report submitted→Wk51_x000a_Proto point closure will be shared by WK02'26_x000a_Proto Point closed on Wk02_x000a_Pilot planned by end of jan._x000a_Waiting for embossing tool.+AN95_x000a_The pilot is scheduled for completion by WK7._x000a_Pilot was completed in (02-2026)._x000a_Pilot cooler testing will be done by Wk10._x000a_Pilot point closed by Wk10._x000a_Commercialization by Wk13."/>
    <s v="Rishi"/>
  </r>
  <r>
    <n v="96"/>
    <x v="5"/>
    <m/>
    <x v="0"/>
    <x v="0"/>
    <s v="BC"/>
    <s v="25-00323"/>
    <s v="N/A"/>
    <s v="2026 Energy Target-Coke protocol-S1100/ S-1100 development with complete full shelves with Increased Loading as per EC-26 protocol and added options - COKE (India)"/>
    <s v="IND"/>
    <x v="0"/>
    <s v="ICM"/>
    <s v="Marketing/Sales"/>
    <s v="Cooling Mechanism"/>
    <s v="N/A"/>
    <s v="N/A"/>
    <n v="4"/>
    <n v="4"/>
    <s v="Yes"/>
    <m/>
    <m/>
    <n v="6"/>
    <m/>
    <n v="8"/>
    <s v="Yes"/>
    <s v="In Progress"/>
    <n v="1.5"/>
    <s v="Safety- To be verified after configuration is finalized"/>
    <m/>
    <m/>
    <m/>
    <m/>
    <s v="Commercialized"/>
    <s v="Long lead→WK37_x000a_Proto→Wk-49_x000a_Pilot→Wk52_x000a_Testing/Customer report submitted→Wk51_x000a_Proto point closure will be shared by WK51._x000a_Waiting for the pilot date._x000a_Pilot Done on 20-01-26._x000a_Commercialization by Wk13."/>
    <s v="Rishi"/>
  </r>
  <r>
    <n v="97"/>
    <x v="10"/>
    <m/>
    <x v="1"/>
    <x v="0"/>
    <s v="NO"/>
    <s v="25-00345"/>
    <s v="N/A"/>
    <s v="S-1100 EG configuration with complete full shelves and FDE controller/I cool2 doors as an option, EC 26 TCCC approved with KK480 Compressor- Includes cost reduction inititaives- Q1'26 production"/>
    <s v="Egypt"/>
    <x v="0"/>
    <s v="ICM"/>
    <s v="Marketing/Sales"/>
    <s v="Complete Cooler"/>
    <m/>
    <m/>
    <n v="4"/>
    <n v="13"/>
    <m/>
    <m/>
    <m/>
    <m/>
    <m/>
    <m/>
    <s v="Yes"/>
    <s v="In Progress"/>
    <m/>
    <m/>
    <m/>
    <m/>
    <m/>
    <m/>
    <s v="Commercialized"/>
    <s v="Long lead- released_x000a_TF→Reeleased _x000a_Proto→WK50_x000a_Pilot→Jan- before commercial  production_x000a_Testing/Customer report to be submitted by Wk52_x000a_Commercialization→ Jan'26"/>
    <s v="Zakir"/>
  </r>
  <r>
    <n v="98"/>
    <x v="5"/>
    <m/>
    <x v="1"/>
    <x v="0"/>
    <s v="BC"/>
    <s v="25-00322"/>
    <s v="N/A"/>
    <s v="2026 Energy Target-Coke protocol-S60-L68"/>
    <s v="IND"/>
    <x v="0"/>
    <s v="ICM"/>
    <s v="Marketing/Sales"/>
    <s v="Cooling Mechanism"/>
    <s v="N/A"/>
    <s v="N/A"/>
    <n v="4"/>
    <n v="4"/>
    <s v="Yes"/>
    <m/>
    <m/>
    <n v="6"/>
    <m/>
    <n v="8"/>
    <s v="Yes"/>
    <s v="In Progress"/>
    <n v="1.5"/>
    <s v="Safety- To be verified after configuration is finalized"/>
    <m/>
    <m/>
    <m/>
    <m/>
    <s v="Commercialized"/>
    <s v="Long lead→WK37/Certification Completed_x000a_TF→WK39_x000a_Testing/Customer report submission→WK40_x000a_Safety→WK40_x000a_Proto→WK44_x000a_TCCC Authorization received→WK45_x000a_Pilot Done on 22/12/25.Pilot point closed by WK02'26._x000a_Pilot point closed on Wk02._x000a_No forcast from sales side._x000a_Commercialization on april end."/>
    <s v="Nikhil"/>
  </r>
  <r>
    <n v="99"/>
    <x v="10"/>
    <m/>
    <x v="0"/>
    <x v="0"/>
    <s v="NO"/>
    <s v="25-00344-1"/>
    <s v="N/A"/>
    <s v="S-60 EG configuration with FDE controllers as an option, EC 26 approved (With iTher cost saving initiative)→Q1'26 production"/>
    <s v="Egypt"/>
    <x v="0"/>
    <s v="ICM"/>
    <s v="Marketing/Sales"/>
    <s v="Complete Cooler"/>
    <s v="N/A"/>
    <s v="N/A"/>
    <m/>
    <m/>
    <m/>
    <m/>
    <m/>
    <m/>
    <m/>
    <m/>
    <s v="Yes"/>
    <s v="In Progress"/>
    <m/>
    <m/>
    <m/>
    <m/>
    <m/>
    <m/>
    <s v="Commercialized"/>
    <s v="Long lead→WK37/Certification Completed_x000a_TF→Released_x000a_Testing/Customer report submission→WK40_x000a_Safety→Completed_x000a_Proto→WK50_x000a_Pilot→Jan- before commercial  production_x000a_Commercialization→Jan'26"/>
    <s v="Zakir"/>
  </r>
  <r>
    <n v="100"/>
    <x v="10"/>
    <n v="15"/>
    <x v="0"/>
    <x v="2"/>
    <s v="NO"/>
    <s v="25-00361-1"/>
    <s v="N/A"/>
    <s v="S-60 with icool2 doors &amp; FDE as an option, EC26 TCCC approved - Feasibility Study"/>
    <s v="IND"/>
    <x v="0"/>
    <s v="ICM"/>
    <s v="Marketing/Sales"/>
    <s v="Door"/>
    <s v="N/A"/>
    <s v="N/A"/>
    <n v="3"/>
    <n v="2"/>
    <s v="No"/>
    <m/>
    <m/>
    <n v="0"/>
    <m/>
    <n v="0"/>
    <s v="Yes"/>
    <s v="In Progress"/>
    <n v="1.5"/>
    <m/>
    <m/>
    <m/>
    <m/>
    <m/>
    <s v="Commercialized"/>
    <s v="-"/>
    <s v="Nikhil"/>
  </r>
  <r>
    <n v="101"/>
    <x v="10"/>
    <n v="16"/>
    <x v="0"/>
    <x v="0"/>
    <s v="NO"/>
    <s v="25-00361-5"/>
    <s v="N/A"/>
    <s v="S-45 with icool2 doors &amp; FDE as an option, EC 26 TCCC approved- - Feasibility Study"/>
    <s v="IND"/>
    <x v="0"/>
    <s v="ICM"/>
    <s v="Marketing/Sales"/>
    <s v="Door"/>
    <s v="N/A"/>
    <s v="N/A"/>
    <n v="3"/>
    <n v="2"/>
    <s v="No"/>
    <m/>
    <m/>
    <n v="0"/>
    <m/>
    <n v="0"/>
    <s v="Yes"/>
    <s v="In Progress"/>
    <n v="1.5"/>
    <m/>
    <m/>
    <m/>
    <m/>
    <m/>
    <s v="Commercialized"/>
    <s v="-"/>
    <s v="Rishi"/>
  </r>
  <r>
    <n v="102"/>
    <x v="5"/>
    <s v="NP"/>
    <x v="0"/>
    <x v="0"/>
    <s v="BC"/>
    <s v="24-00195"/>
    <s v="N/A"/>
    <s v="2026 S-350 development as per EC 26 protocol with iCool2 dooredge as an option- COKE- No revrese flow to be developed"/>
    <s v="IND"/>
    <x v="0"/>
    <s v="ICM"/>
    <s v="Marketing/Sales"/>
    <s v="Cooling Mechanism"/>
    <s v="N/A"/>
    <s v="N/A"/>
    <n v="4"/>
    <n v="4"/>
    <s v="Yes"/>
    <m/>
    <m/>
    <n v="6"/>
    <m/>
    <n v="8"/>
    <s v="Yes"/>
    <s v="In Progress"/>
    <n v="1.5"/>
    <s v="Safety- To be verified after configuration is finalized"/>
    <m/>
    <m/>
    <m/>
    <m/>
    <s v="On Hold"/>
    <s v="As per recent discussion with Marketing only frameless door to be incorporated because of low volume and other priority_x000a_Long lead by week-35_x000a_TF-WK38_x000a_Commercilaization by WK47"/>
    <s v="Rishi"/>
  </r>
  <r>
    <n v="103"/>
    <x v="11"/>
    <n v="1"/>
    <x v="0"/>
    <x v="0"/>
    <s v="IMP"/>
    <s v="25-00371"/>
    <s v="N/A"/>
    <s v="FV-1000 FVF-1000 D development as per Coke EC 26"/>
    <s v="INN"/>
    <x v="0"/>
    <s v="ICM"/>
    <s v="Marketing/Sales"/>
    <s v="Cooling Mechanism"/>
    <s v="N/A"/>
    <s v="N/A"/>
    <n v="4"/>
    <n v="4"/>
    <s v="Yes"/>
    <m/>
    <m/>
    <n v="6"/>
    <m/>
    <n v="8"/>
    <s v="Yes"/>
    <s v="Completed"/>
    <n v="1.5"/>
    <s v="Safety- To be verified after configuration is finalized"/>
    <m/>
    <m/>
    <m/>
    <m/>
    <s v="Commercialized"/>
    <s v="Decision is to go with S1100 same as India, India TF to be followed - Cabinet related changes needs to be done._x000a_Long lead item list and draft BOM already shared for study with Indonesia Team_x000a_Proto done in Wk50. _x000a_Pilot lot -Indo Team to update, Certification report submitted_x000a_Noise,Shelf &amp; Illumination report shared_x000a_Proto, pilot done on basis of shared drawings, TF released in WK13_x000a_Pilot Done on Wk10._x000a_Commercialization→Wk10_x000a_Coca cola certifcation received on 20-03-2026."/>
    <s v="Lokesh"/>
  </r>
  <r>
    <n v="104"/>
    <x v="11"/>
    <n v="2"/>
    <x v="1"/>
    <x v="0"/>
    <s v="IMP"/>
    <s v="25-00368"/>
    <s v="N/A"/>
    <s v="FV-1000 safe cooler development "/>
    <s v="SAF"/>
    <x v="0"/>
    <s v="ICM"/>
    <s v="Marketing/Sales"/>
    <s v="Cooling Mechanism"/>
    <s v="N/A"/>
    <s v="N/A"/>
    <n v="4"/>
    <n v="6"/>
    <s v="Yes"/>
    <m/>
    <m/>
    <n v="6"/>
    <m/>
    <n v="8"/>
    <s v="Yes"/>
    <s v="In Progress"/>
    <n v="1.5"/>
    <s v="Safety- To be verified after configuration is finalized"/>
    <m/>
    <m/>
    <m/>
    <m/>
    <s v="On Hold"/>
    <s v="WK-40/ED &amp; Metal Drawing/Engineering Proto is in Progress_x000a_TF to be released by Wk52/Safety→By Wk50_x000a_TF to be released on WK01 Jan'26._x000a_Proto will be done by WK02._x000a_Waiting for proto points report._x000a_Cooler has been submitted to CCBSA and we are now awaiting for feedback."/>
    <s v="Pawan"/>
  </r>
  <r>
    <n v="105"/>
    <x v="11"/>
    <n v="3"/>
    <x v="1"/>
    <x v="0"/>
    <s v="IMP"/>
    <s v="25-00367"/>
    <s v="N/A"/>
    <s v="FV-650 safe cooler development "/>
    <s v="SAF"/>
    <x v="0"/>
    <s v="ICM"/>
    <s v="Marketing/Sales"/>
    <s v="Cooling Mechanism"/>
    <s v="N/A"/>
    <s v="N/A"/>
    <n v="4"/>
    <n v="6"/>
    <s v="Yes"/>
    <m/>
    <m/>
    <n v="6"/>
    <m/>
    <n v="8"/>
    <s v="Yes"/>
    <s v="In Progress"/>
    <n v="1.5"/>
    <s v="Safety- To be verified after configuration is finalized"/>
    <m/>
    <m/>
    <m/>
    <m/>
    <s v="On Hold"/>
    <s v="WK-40/ED &amp; Metal Drawing/Engineering Proto is in Progress_x000a_TF to be released by Wk52/Safety→ Cooler preparation underway- By Dec end_x000a_Safety→By Wk52_x000a_TF released on aligned date._x000a_Proto will be done by WK02._x000a_Waiting for proto points report._x000a_Cooler has been submitted to CCBSA and we are now awaiting for feedback."/>
    <s v="Pawan"/>
  </r>
  <r>
    <n v="106"/>
    <x v="11"/>
    <m/>
    <x v="1"/>
    <x v="0"/>
    <s v="NO"/>
    <s v="25-00366"/>
    <s v="N/A"/>
    <s v="FV-650 FFD Cooler of the future development with Icool2 doors and EC 26 protocol with CCBSA points closure &amp; Cost reduction initiative"/>
    <s v="SAF"/>
    <x v="0"/>
    <s v="ICM"/>
    <s v="Marketing/Sales"/>
    <s v="Cooling Mechanism"/>
    <s v="N/A"/>
    <s v="N/A"/>
    <n v="4"/>
    <n v="6"/>
    <s v="Yes"/>
    <m/>
    <m/>
    <n v="6"/>
    <m/>
    <n v="8"/>
    <s v="Yes"/>
    <s v="In Progress"/>
    <n v="1.5"/>
    <s v="Safety- To be verified after configuration is finalized"/>
    <m/>
    <m/>
    <m/>
    <m/>
    <s v="Industrialization"/>
    <s v="Product file → Week-48_x000a_Proto- Week -44_x000a_Pilot-TBD/Ask Stauts from Quentin"/>
    <s v="Pawan"/>
  </r>
  <r>
    <n v="107"/>
    <x v="11"/>
    <m/>
    <x v="0"/>
    <x v="2"/>
    <s v="NO"/>
    <s v="24-00195"/>
    <s v="N/A"/>
    <s v="S-350 development as per EC-26 protocol with Icool2 doors  COKE"/>
    <s v="IND"/>
    <x v="0"/>
    <s v="ICM"/>
    <s v="Marketing/Sales"/>
    <s v="Cooling Mechanism"/>
    <s v="N/A"/>
    <s v="N/A"/>
    <n v="4"/>
    <n v="4"/>
    <s v="Yes"/>
    <m/>
    <m/>
    <n v="6"/>
    <m/>
    <n v="8"/>
    <s v="Yes"/>
    <s v="Completed"/>
    <n v="1.5"/>
    <s v="Safety- To be verified after configuration is finalized"/>
    <m/>
    <m/>
    <m/>
    <m/>
    <s v="On Hold"/>
    <m/>
    <s v="Rishi"/>
  </r>
  <r>
    <n v="108"/>
    <x v="5"/>
    <n v="18"/>
    <x v="0"/>
    <x v="0"/>
    <s v="IMP"/>
    <s v="25-00336"/>
    <s v="N/A"/>
    <s v="Heineiken FDE controller testing &amp; feasibility in S-60 model - Feasibility stage (sample units needs to be prepared for field testing)"/>
    <s v="IND"/>
    <x v="0"/>
    <s v="ICM"/>
    <s v="PD"/>
    <s v="Complete Cooler"/>
    <s v="N/A"/>
    <s v="N/A"/>
    <n v="3"/>
    <n v="2"/>
    <s v="No"/>
    <m/>
    <m/>
    <n v="0"/>
    <m/>
    <n v="0"/>
    <s v="Yes"/>
    <s v="Not Started"/>
    <n v="0"/>
    <m/>
    <m/>
    <m/>
    <m/>
    <m/>
    <s v="On Hold"/>
    <s v="Marketing Brief awaited"/>
    <s v="Zakir"/>
  </r>
  <r>
    <n v="109"/>
    <x v="0"/>
    <m/>
    <x v="0"/>
    <x v="0"/>
    <s v="NO"/>
    <s v="24-00197"/>
    <s v="N/A"/>
    <s v="Aesthetical upgrade in visi coolers - IN range (third party development)-Cooler models??"/>
    <s v="IND"/>
    <x v="0"/>
    <s v="ICM"/>
    <s v="Marketing/Sales"/>
    <s v="Complete Cooler"/>
    <s v="N/A"/>
    <s v="N/A"/>
    <n v="6"/>
    <n v="8"/>
    <s v="Yes"/>
    <m/>
    <m/>
    <n v="2"/>
    <m/>
    <n v="3"/>
    <s v="No"/>
    <s v="N/A"/>
    <n v="1.5"/>
    <s v="In progress with 3rd Party consultant- Renders creation in Progress, After finalization of renders costing to be done for go ahead of project, Detailing and development to be done by consultant. Project moved to B category- Need to do this for all models."/>
    <m/>
    <m/>
    <m/>
    <m/>
    <s v="Cancelled"/>
    <s v="TF dates to be communicated after Finalization of Design from consultant"/>
    <s v="Pawan"/>
  </r>
  <r>
    <n v="110"/>
    <x v="0"/>
    <n v="9"/>
    <x v="1"/>
    <x v="0"/>
    <s v="IMP"/>
    <s v="25-00289"/>
    <s v="N/A"/>
    <s v="S-60 R290 EG (PepsiCO)-Production with RM saving inititaives"/>
    <s v="Egypt"/>
    <x v="0"/>
    <s v="ICM"/>
    <s v="Marketing/Sales"/>
    <s v="Complete Cooler"/>
    <s v="N/A"/>
    <s v="N/A"/>
    <n v="4"/>
    <n v="8"/>
    <s v="Yes"/>
    <m/>
    <m/>
    <n v="6"/>
    <m/>
    <n v="0"/>
    <s v="Yes"/>
    <s v="Start Date→ 29-10-24_x000a_End Date→ 18-12-24"/>
    <n v="0"/>
    <s v="Safety completed"/>
    <m/>
    <m/>
    <m/>
    <m/>
    <s v="In Que"/>
    <s v="TF to be released with RM saving inititaives for Q2 Production - TF to Released"/>
    <s v="Zakir"/>
  </r>
  <r>
    <n v="111"/>
    <x v="0"/>
    <n v="10"/>
    <x v="1"/>
    <x v="0"/>
    <s v="IMP"/>
    <s v="25-00292"/>
    <s v="N/A"/>
    <s v="S-1100 R290 EG (PepsiCO)-Production with RM saving inititaives"/>
    <s v="Egypt"/>
    <x v="0"/>
    <s v="ICM"/>
    <s v="Marketing/Sales"/>
    <s v="Complete Cooler"/>
    <s v="N/A"/>
    <s v="N/A"/>
    <n v="4"/>
    <n v="8"/>
    <s v="Yes"/>
    <m/>
    <m/>
    <n v="6"/>
    <m/>
    <n v="0"/>
    <s v="Yes"/>
    <s v="Start Date→ 11-01-25_x000a_End Date→ 10-02-25"/>
    <n v="0"/>
    <s v="TF-1 released, TF-2 under progress"/>
    <m/>
    <m/>
    <m/>
    <m/>
    <s v="In Que"/>
    <s v="TF to be released with RM saving inititaives for Q2 Production - TF to Released"/>
    <s v="Zakir"/>
  </r>
  <r>
    <n v="112"/>
    <x v="0"/>
    <m/>
    <x v="1"/>
    <x v="0"/>
    <s v="CO"/>
    <s v="25-00251"/>
    <s v="24SAF008-1"/>
    <s v="Compressor Donper KK480WU1 as alternative to Huayi NUY120NA →FV-1000SZ C [R290] (ABI Africa)"/>
    <s v="SAF"/>
    <x v="0"/>
    <s v="ICM"/>
    <s v="Central Procurement Group"/>
    <s v="Cooling Mechanism"/>
    <s v="Cooling Components"/>
    <s v="Compressors"/>
    <n v="4"/>
    <n v="8"/>
    <s v="Yes"/>
    <m/>
    <m/>
    <n v="6"/>
    <m/>
    <n v="10"/>
    <s v="Yes"/>
    <s v="Not Started"/>
    <n v="1.5"/>
    <s v="-12 weeks for safety update-Ap per new IEC procedure this will be treated as Fresh project after sample submission"/>
    <m/>
    <m/>
    <m/>
    <m/>
    <s v="Industrialization"/>
    <s v="Testing →POC in progress, Long lead to be released early Aug'25_x000a_Certification- Need to do certification testing_x000a_Safety→To be started_x000a_TF→to be released by Aug End"/>
    <s v="Pawan"/>
  </r>
  <r>
    <n v="113"/>
    <x v="7"/>
    <m/>
    <x v="0"/>
    <x v="0"/>
    <s v="TCO"/>
    <s v="TBR"/>
    <s v="N/A"/>
    <s v="NABL &amp; ACCAB-ISO 17025, ISO9001, IS14001,45001,ORMA Audit,SGP Audit, Calibration"/>
    <s v="IND"/>
    <x v="0"/>
    <s v="ICM"/>
    <s v="PD"/>
    <m/>
    <m/>
    <m/>
    <n v="4"/>
    <m/>
    <s v="Yes"/>
    <m/>
    <m/>
    <m/>
    <m/>
    <n v="45"/>
    <s v="No"/>
    <m/>
    <n v="30"/>
    <m/>
    <m/>
    <m/>
    <m/>
    <m/>
    <s v="Development"/>
    <m/>
    <s v="Sailesh"/>
  </r>
  <r>
    <n v="114"/>
    <x v="7"/>
    <m/>
    <x v="0"/>
    <x v="0"/>
    <s v="IMP"/>
    <s v="TBR"/>
    <s v="N/A"/>
    <s v="Super-45 Design data synchronization with production (Product file)"/>
    <s v="IND"/>
    <x v="0"/>
    <s v="ICM"/>
    <s v="PD"/>
    <s v="Complete Cooler"/>
    <s v="N/A"/>
    <s v="N/A"/>
    <n v="4"/>
    <n v="3"/>
    <s v="No"/>
    <m/>
    <m/>
    <n v="0"/>
    <m/>
    <n v="0"/>
    <s v="No"/>
    <s v="N/A"/>
    <n v="0"/>
    <m/>
    <m/>
    <m/>
    <m/>
    <m/>
    <s v="On Hold"/>
    <m/>
    <s v="Zakir"/>
  </r>
  <r>
    <n v="115"/>
    <x v="7"/>
    <m/>
    <x v="0"/>
    <x v="0"/>
    <s v="IMP"/>
    <s v="TBR"/>
    <s v="N/A"/>
    <s v="Super-60 Design data synchronization with production (Product file)"/>
    <s v="IND"/>
    <x v="0"/>
    <s v="ICM"/>
    <s v="PD"/>
    <s v="Complete Cooler"/>
    <s v="N/A"/>
    <s v="N/A"/>
    <n v="4"/>
    <n v="3"/>
    <s v="No"/>
    <m/>
    <m/>
    <n v="0"/>
    <m/>
    <n v="0"/>
    <s v="No"/>
    <s v="N/A"/>
    <n v="0"/>
    <m/>
    <m/>
    <m/>
    <m/>
    <m/>
    <s v="On Hold"/>
    <m/>
    <s v="Zakir"/>
  </r>
  <r>
    <n v="116"/>
    <x v="7"/>
    <m/>
    <x v="0"/>
    <x v="0"/>
    <s v="IMP"/>
    <s v="TBR"/>
    <s v="N/A"/>
    <s v="Super-800 Design data synchronization with production (Product file)"/>
    <s v="IND"/>
    <x v="0"/>
    <s v="ICM"/>
    <s v="PD"/>
    <s v="Complete Cooler"/>
    <s v="N/A"/>
    <s v="N/A"/>
    <n v="4"/>
    <n v="3"/>
    <s v="No"/>
    <m/>
    <m/>
    <n v="0"/>
    <m/>
    <n v="0"/>
    <s v="No"/>
    <s v="N/A"/>
    <n v="0"/>
    <m/>
    <m/>
    <m/>
    <m/>
    <m/>
    <s v="On Hold"/>
    <m/>
    <s v="Zakir"/>
  </r>
  <r>
    <n v="117"/>
    <x v="7"/>
    <m/>
    <x v="0"/>
    <x v="0"/>
    <s v="IMP"/>
    <s v="TBR"/>
    <s v="N/A"/>
    <s v="Super-1100 Design data synchronization with production (Product file)"/>
    <s v="IND"/>
    <x v="0"/>
    <s v="ICM"/>
    <s v="PD"/>
    <s v="Complete Cooler"/>
    <s v="N/A"/>
    <s v="N/A"/>
    <n v="4"/>
    <n v="3"/>
    <s v="No"/>
    <m/>
    <m/>
    <n v="0"/>
    <m/>
    <n v="0"/>
    <s v="No"/>
    <s v="N/A"/>
    <n v="0"/>
    <m/>
    <m/>
    <m/>
    <m/>
    <m/>
    <s v="On Hold"/>
    <m/>
    <s v="Zakir"/>
  </r>
  <r>
    <n v="118"/>
    <x v="7"/>
    <m/>
    <x v="0"/>
    <x v="0"/>
    <s v="IMP"/>
    <s v="TBR"/>
    <s v="N/A"/>
    <s v="E-47 Design data synchronization with production (Product file)"/>
    <s v="IND"/>
    <x v="0"/>
    <s v="ICM"/>
    <s v="PD"/>
    <s v="Complete Cooler"/>
    <s v="N/A"/>
    <s v="N/A"/>
    <n v="4"/>
    <n v="3"/>
    <s v="No"/>
    <m/>
    <m/>
    <n v="0"/>
    <m/>
    <n v="0"/>
    <s v="No"/>
    <s v="N/A"/>
    <n v="0"/>
    <m/>
    <m/>
    <m/>
    <m/>
    <m/>
    <s v="On Hold"/>
    <m/>
    <s v="Rishi"/>
  </r>
  <r>
    <n v="119"/>
    <x v="0"/>
    <m/>
    <x v="0"/>
    <x v="0"/>
    <s v="CO"/>
    <s v="25-00297"/>
    <s v="25SRC010-3"/>
    <s v="Compressor Donper L76WU1 as alternative to Huayi NUS70NA→SL-640  C [R290]  (Coke Africa)"/>
    <s v="SAF"/>
    <x v="0"/>
    <s v="ICM"/>
    <s v="Central Procurement Group"/>
    <s v="Cooling Mechanism"/>
    <s v="Cooling Components"/>
    <s v="Compressors"/>
    <n v="6"/>
    <n v="6"/>
    <s v="Yes"/>
    <m/>
    <m/>
    <n v="6"/>
    <m/>
    <n v="0"/>
    <s v="Yes"/>
    <s v="Start Date→ 25-01-25_x000a_End Date→ 13-03-25"/>
    <n v="0"/>
    <s v="Safety completed"/>
    <m/>
    <m/>
    <m/>
    <m/>
    <s v="On Hold"/>
    <s v="Testing→POC completed, Certification to be planned_x000a_Safety→Completed_x000a_TF→"/>
    <s v="Pawan"/>
  </r>
  <r>
    <n v="120"/>
    <x v="0"/>
    <m/>
    <x v="0"/>
    <x v="0"/>
    <s v="CO"/>
    <s v="25-00252"/>
    <s v="25INN007-3"/>
    <s v="Change compressor WANBAO FTA55L to FKK35 FTK45-for SLP400"/>
    <s v="INN"/>
    <x v="0"/>
    <s v="ICM"/>
    <s v="Central Procurement Group"/>
    <s v="Cooling Mechanism"/>
    <s v="Cooling Components"/>
    <s v="Compressors"/>
    <n v="3"/>
    <n v="1"/>
    <s v="Yes"/>
    <m/>
    <m/>
    <n v="1"/>
    <m/>
    <n v="3"/>
    <s v="Yes"/>
    <s v="Not Started"/>
    <n v="1.5"/>
    <m/>
    <m/>
    <m/>
    <m/>
    <m/>
    <s v="Cancelled"/>
    <s v="Testing→IPD and POC will be completed by WK03'26 with some required design changes."/>
    <s v="Lokesh"/>
  </r>
  <r>
    <n v="121"/>
    <x v="8"/>
    <m/>
    <x v="0"/>
    <x v="2"/>
    <s v="CO"/>
    <s v="24-00226"/>
    <s v="N/A"/>
    <s v="Huawei PSUs"/>
    <s v="Multiplant"/>
    <x v="0"/>
    <s v="ICM"/>
    <s v="Central Procurement Group"/>
    <s v="Electrical Parts"/>
    <s v="Other"/>
    <s v="Other Materials"/>
    <n v="1"/>
    <n v="0.5"/>
    <s v="No"/>
    <m/>
    <m/>
    <n v="0"/>
    <m/>
    <n v="0"/>
    <s v="No"/>
    <s v="N/A"/>
    <n v="0"/>
    <m/>
    <m/>
    <m/>
    <m/>
    <m/>
    <s v="On Hold"/>
    <m/>
    <s v="Hindpal"/>
  </r>
  <r>
    <n v="122"/>
    <x v="4"/>
    <m/>
    <x v="0"/>
    <x v="2"/>
    <s v="CO"/>
    <s v="25-00249"/>
    <s v="N/A"/>
    <s v="Sedes Heaters for India and South Africa"/>
    <s v="Multiplant"/>
    <x v="0"/>
    <s v="ICM"/>
    <s v="Central Procurement Group"/>
    <s v="Electrical Parts"/>
    <s v="Other"/>
    <s v="Other Materials"/>
    <n v="1"/>
    <n v="0.5"/>
    <s v="No"/>
    <m/>
    <m/>
    <n v="0"/>
    <m/>
    <n v="0"/>
    <s v="No"/>
    <s v="N/A"/>
    <n v="0"/>
    <m/>
    <m/>
    <m/>
    <m/>
    <m/>
    <s v="Development"/>
    <m/>
    <s v="Mahesh"/>
  </r>
  <r>
    <n v="123"/>
    <x v="5"/>
    <m/>
    <x v="0"/>
    <x v="2"/>
    <s v="CO"/>
    <s v="25-00353"/>
    <s v="N/A"/>
    <s v="Alternative Shaded Pole 7W Xing Yuang YZF 7-20 ALUMINIUM WIRE for Hicool  83A230SAC-7W "/>
    <s v="Multiplant"/>
    <x v="0"/>
    <s v="ICM"/>
    <s v="Central Procurement Group"/>
    <s v="Electrical Parts"/>
    <s v="Other"/>
    <s v="Other Materials"/>
    <n v="1"/>
    <n v="0.5"/>
    <s v="No"/>
    <m/>
    <m/>
    <n v="0"/>
    <m/>
    <n v="0"/>
    <s v="No"/>
    <s v="N/A"/>
    <n v="0"/>
    <m/>
    <m/>
    <m/>
    <m/>
    <m/>
    <s v="On Hold"/>
    <m/>
    <s v="Mahesh"/>
  </r>
  <r>
    <n v="124"/>
    <x v="5"/>
    <m/>
    <x v="0"/>
    <x v="2"/>
    <s v="CO"/>
    <s v="25-00354"/>
    <s v="N/A"/>
    <s v="Alternative Shaded Pole 5W Xing Yuang YZF 7-20 for Hicool 83A230SAC-7W "/>
    <s v="Multiplant"/>
    <x v="0"/>
    <s v="ICM"/>
    <s v="Central Procurement Group"/>
    <s v="Electrical Parts"/>
    <s v="Other"/>
    <s v="Other Materials"/>
    <n v="1"/>
    <n v="0.5"/>
    <s v="No"/>
    <m/>
    <m/>
    <n v="0"/>
    <m/>
    <n v="0"/>
    <s v="No"/>
    <s v="N/A"/>
    <n v="0"/>
    <m/>
    <m/>
    <m/>
    <m/>
    <m/>
    <s v="On Hold"/>
    <m/>
    <s v="Mahesh"/>
  </r>
  <r>
    <n v="125"/>
    <x v="12"/>
    <m/>
    <x v="0"/>
    <x v="2"/>
    <s v="CO"/>
    <s v="24-00223"/>
    <s v="N/A"/>
    <s v="Jinbo PSUs"/>
    <s v="Multiplant"/>
    <x v="0"/>
    <s v="ICM"/>
    <s v="Central Procurement Group"/>
    <s v="Electrical Parts"/>
    <s v="Other"/>
    <s v="Other Materials"/>
    <n v="1"/>
    <n v="0.5"/>
    <s v="No"/>
    <m/>
    <m/>
    <n v="0"/>
    <m/>
    <n v="0"/>
    <s v="No"/>
    <s v="N/A"/>
    <n v="0"/>
    <m/>
    <m/>
    <m/>
    <m/>
    <m/>
    <s v="On Hold"/>
    <m/>
    <s v="Hindpal"/>
  </r>
  <r>
    <n v="126"/>
    <x v="9"/>
    <m/>
    <x v="0"/>
    <x v="2"/>
    <s v="CO"/>
    <s v="25-00347"/>
    <s v="N/A"/>
    <s v="Alternative AC Block Motor CCA WIRE Xing Yuang 20W (FM12038A2HS) for Nisiki NIS12038HS2W-ES "/>
    <s v="Multiplant"/>
    <x v="0"/>
    <s v="ICM"/>
    <s v="Central Procurement Group"/>
    <s v="Electrical Parts"/>
    <s v="Other"/>
    <s v="Other Materials"/>
    <n v="1"/>
    <n v="0.5"/>
    <s v="No"/>
    <m/>
    <m/>
    <n v="0"/>
    <m/>
    <n v="0"/>
    <s v="No"/>
    <s v="N/A"/>
    <n v="0"/>
    <m/>
    <m/>
    <m/>
    <m/>
    <m/>
    <s v="On Hold"/>
    <m/>
    <s v="Mahesh"/>
  </r>
  <r>
    <n v="127"/>
    <x v="9"/>
    <m/>
    <x v="0"/>
    <x v="2"/>
    <s v="CO"/>
    <s v="25-00348"/>
    <s v="N/A"/>
    <s v="Alternative AC Block Motor Xing Yuang 20W (FM12038A2HS) for Nisiki NIS12038HS2W-ES "/>
    <s v="Multiplant"/>
    <x v="0"/>
    <s v="ICM"/>
    <s v="Central Procurement Group"/>
    <s v="Electrical Parts"/>
    <s v="Other"/>
    <s v="Other Materials"/>
    <n v="1"/>
    <n v="0.5"/>
    <s v="No"/>
    <m/>
    <m/>
    <n v="0"/>
    <m/>
    <n v="0"/>
    <s v="No"/>
    <s v="N/A"/>
    <n v="0"/>
    <m/>
    <m/>
    <m/>
    <m/>
    <m/>
    <s v="On Hold"/>
    <m/>
    <s v="Mahesh"/>
  </r>
  <r>
    <n v="128"/>
    <x v="9"/>
    <m/>
    <x v="0"/>
    <x v="2"/>
    <s v="CO"/>
    <s v="25-00351"/>
    <s v="N/A"/>
    <s v="Alternative Shaded Pole 5W Xing Yuang  YZF 5-13 ALUMINIUM WIRE for Hicool  83A230SAC-5W "/>
    <s v="Multiplant"/>
    <x v="0"/>
    <s v="ICM"/>
    <s v="Central Procurement Group"/>
    <s v="Electrical Parts"/>
    <s v="Other"/>
    <s v="Other Materials"/>
    <n v="1"/>
    <n v="0.5"/>
    <s v="No"/>
    <m/>
    <m/>
    <n v="0"/>
    <m/>
    <n v="0"/>
    <s v="No"/>
    <s v="N/A"/>
    <n v="0"/>
    <m/>
    <m/>
    <m/>
    <m/>
    <m/>
    <s v="On Hold"/>
    <m/>
    <s v="Mahesh"/>
  </r>
  <r>
    <n v="129"/>
    <x v="9"/>
    <m/>
    <x v="0"/>
    <x v="2"/>
    <s v="CO"/>
    <s v="25-00352"/>
    <s v="N/A"/>
    <s v="Alternative Shaded Pole 5W Xing Yuang YZF 5-13 COPPER WIRE for Hicool  83A230SAC-5W "/>
    <s v="Multiplant"/>
    <x v="0"/>
    <s v="ICM"/>
    <s v="Central Procurement Group"/>
    <s v="Electrical Parts"/>
    <s v="Other"/>
    <s v="Other Materials"/>
    <n v="1"/>
    <n v="0.5"/>
    <s v="No"/>
    <m/>
    <m/>
    <n v="0"/>
    <m/>
    <n v="0"/>
    <s v="No"/>
    <s v="N/A"/>
    <n v="0"/>
    <m/>
    <m/>
    <m/>
    <m/>
    <m/>
    <s v="On Hold"/>
    <m/>
    <s v="Mahesh"/>
  </r>
  <r>
    <n v="130"/>
    <x v="9"/>
    <m/>
    <x v="0"/>
    <x v="2"/>
    <s v="CO"/>
    <s v="25-00357"/>
    <s v="N/A"/>
    <s v="Alternative Shaded Pole 16W Xing Yuang YZF 16-25 ALUMINIUM WIRE for Weiguang YZF16-25 "/>
    <s v="Multiplant"/>
    <x v="0"/>
    <s v="ICM"/>
    <s v="Central Procurement Group"/>
    <s v="Electrical Parts"/>
    <s v="Other"/>
    <s v="Other Materials"/>
    <n v="1"/>
    <n v="0.5"/>
    <s v="No"/>
    <m/>
    <m/>
    <n v="0"/>
    <m/>
    <n v="0"/>
    <s v="No"/>
    <s v="N/A"/>
    <n v="0"/>
    <m/>
    <m/>
    <m/>
    <m/>
    <m/>
    <s v="On Hold"/>
    <m/>
    <s v="Mahesh"/>
  </r>
  <r>
    <n v="131"/>
    <x v="5"/>
    <m/>
    <x v="0"/>
    <x v="0"/>
    <s v="IMP"/>
    <s v="25-00334"/>
    <s v="N/A"/>
    <s v="Easy reach connectivity device testing in S-45 models for Coke - Feasibility stage (sample units needs to be prepared for field testing)"/>
    <s v="IND"/>
    <x v="0"/>
    <s v="ICM"/>
    <s v="PD"/>
    <s v="Complete Cooler"/>
    <s v="N/A"/>
    <s v="N/A"/>
    <n v="2"/>
    <n v="2"/>
    <s v="No"/>
    <m/>
    <m/>
    <n v="0"/>
    <m/>
    <n v="0"/>
    <s v="No"/>
    <s v="Not Started"/>
    <n v="1.5"/>
    <m/>
    <m/>
    <m/>
    <m/>
    <m/>
    <s v="Cancelled"/>
    <s v="Marketing Brief awaited"/>
    <s v="Rahul"/>
  </r>
  <r>
    <n v="132"/>
    <x v="10"/>
    <m/>
    <x v="1"/>
    <x v="0"/>
    <s v="NM"/>
    <s v="24-00247"/>
    <s v="N/A"/>
    <s v="SP200 - META certification &amp; TF release"/>
    <s v="IND"/>
    <x v="0"/>
    <s v="ICM"/>
    <s v="Marketing/Sales"/>
    <s v="Cooling Mechanism"/>
    <s v="N/A"/>
    <s v="N/A"/>
    <n v="7"/>
    <n v="7"/>
    <s v="Yes"/>
    <m/>
    <m/>
    <n v="6"/>
    <m/>
    <n v="40"/>
    <s v="Yes"/>
    <s v="Not Started"/>
    <n v="1.5"/>
    <m/>
    <m/>
    <m/>
    <m/>
    <m/>
    <s v="In Que"/>
    <m/>
    <s v="Lokesh"/>
  </r>
  <r>
    <n v="133"/>
    <x v="10"/>
    <m/>
    <x v="0"/>
    <x v="0"/>
    <s v="IMP"/>
    <s v="25-00315"/>
    <s v="N/A"/>
    <s v="Aesthetical upgrade (frameless doors) in key account models -   Indian range (S-450, S-600, S-1100) - COKE"/>
    <s v="IND"/>
    <x v="0"/>
    <s v="ICM"/>
    <s v="Marketing/Sales"/>
    <s v="Door"/>
    <s v="N/A"/>
    <s v="N/A"/>
    <m/>
    <m/>
    <m/>
    <m/>
    <m/>
    <m/>
    <m/>
    <m/>
    <s v="Yes"/>
    <s v="Not Started"/>
    <m/>
    <m/>
    <m/>
    <m/>
    <m/>
    <m/>
    <s v="Cancelled"/>
    <m/>
    <s v="Rishi"/>
  </r>
  <r>
    <n v="134"/>
    <x v="10"/>
    <m/>
    <x v="0"/>
    <x v="0"/>
    <s v="IMP"/>
    <s v="25-00296"/>
    <s v="N/A"/>
    <s v="Aesthetical upgrade (frameless doors) in key account models - INDO range for all models"/>
    <s v="INN"/>
    <x v="0"/>
    <s v="ICM"/>
    <s v="Marketing/Sales"/>
    <s v="Door"/>
    <s v="N/A"/>
    <s v="N/A"/>
    <n v="4"/>
    <n v="2"/>
    <s v="Yes"/>
    <m/>
    <m/>
    <n v="1"/>
    <m/>
    <n v="0"/>
    <s v="No"/>
    <s v="N/A"/>
    <n v="0"/>
    <s v="Saftey-To be decided Later"/>
    <m/>
    <m/>
    <m/>
    <m/>
    <s v="Cancelled"/>
    <s v="No priority for this Project"/>
    <s v="Lokesh"/>
  </r>
  <r>
    <n v="135"/>
    <x v="10"/>
    <m/>
    <x v="1"/>
    <x v="0"/>
    <s v="IMP"/>
    <s v="TBR"/>
    <s v="N/A"/>
    <s v="HV71C sample cooler development as per CCBSA future cooler specs along with with icool2 edge light door option meeting EC 26 protocol- CCBSA"/>
    <s v="SAF"/>
    <x v="0"/>
    <s v="ICM"/>
    <s v="Marketing/Sales"/>
    <s v="Complete Cooler"/>
    <s v="N/A"/>
    <s v="N/A"/>
    <n v="8"/>
    <n v="6"/>
    <s v="Yes"/>
    <m/>
    <m/>
    <n v="1"/>
    <m/>
    <n v="30"/>
    <s v="No"/>
    <s v="N/A"/>
    <n v="2"/>
    <s v="Saftey-To be decided Later"/>
    <m/>
    <m/>
    <m/>
    <m/>
    <s v="In Que"/>
    <m/>
    <s v="Pawan"/>
  </r>
  <r>
    <n v="136"/>
    <x v="10"/>
    <m/>
    <x v="1"/>
    <x v="0"/>
    <s v="IMP"/>
    <s v="TBR"/>
    <s v="N/A"/>
    <s v="FV650C sample cooler development as per CCBSA future cooler specs along with with icool2 edge light door option meeting EC 26 protocol- CCBSA"/>
    <s v="SAF"/>
    <x v="0"/>
    <s v="ICM"/>
    <s v="Marketing/Sales"/>
    <s v="Complete Cooler"/>
    <s v="N/A"/>
    <s v="N/A"/>
    <n v="8"/>
    <n v="10"/>
    <s v="Yes"/>
    <m/>
    <m/>
    <n v="1"/>
    <m/>
    <n v="2"/>
    <s v="No"/>
    <s v="N/A"/>
    <n v="2"/>
    <s v="Saftey-To be decided Later"/>
    <m/>
    <m/>
    <m/>
    <m/>
    <s v="Industrialization"/>
    <m/>
    <s v="Pawan"/>
  </r>
  <r>
    <n v="137"/>
    <x v="7"/>
    <m/>
    <x v="0"/>
    <x v="0"/>
    <s v="IMP"/>
    <s v="TBR"/>
    <s v="N/A"/>
    <s v="FV650 Sub-Zero for breweries"/>
    <s v="SAF"/>
    <x v="0"/>
    <s v="ICM"/>
    <s v="PD"/>
    <s v="Complete Cooler"/>
    <s v="N/A"/>
    <s v="N/A"/>
    <n v="4"/>
    <n v="3"/>
    <s v="No"/>
    <m/>
    <m/>
    <n v="0"/>
    <m/>
    <n v="10"/>
    <s v="Yes"/>
    <s v="Not Started"/>
    <n v="3"/>
    <m/>
    <m/>
    <m/>
    <m/>
    <m/>
    <s v="Cancelled"/>
    <s v="Marketing Brief awaited"/>
    <s v="Pawan"/>
  </r>
  <r>
    <n v="138"/>
    <x v="5"/>
    <m/>
    <x v="0"/>
    <x v="0"/>
    <s v="NM"/>
    <s v="23-00134"/>
    <s v="N/A"/>
    <s v="2026 Energy Target-Coke protocol-S-250 in R600"/>
    <s v="IND"/>
    <x v="0"/>
    <s v="ICM"/>
    <s v="Marketing/Sales"/>
    <s v="Cooling Mechanism"/>
    <s v="N/A"/>
    <s v="N/A"/>
    <n v="3"/>
    <n v="2"/>
    <s v="Yes"/>
    <m/>
    <m/>
    <n v="6"/>
    <m/>
    <n v="10"/>
    <s v="Yes"/>
    <s v="Not Started"/>
    <n v="1.5"/>
    <m/>
    <m/>
    <m/>
    <m/>
    <m/>
    <s v="Cancelled"/>
    <m/>
    <s v="Nikhil"/>
  </r>
  <r>
    <n v="139"/>
    <x v="13"/>
    <m/>
    <x v="0"/>
    <x v="0"/>
    <s v="NO"/>
    <s v="TBA"/>
    <s v="N/A"/>
    <s v="S-45 SZ with frameless edgelit door"/>
    <s v="IND"/>
    <x v="0"/>
    <s v="ICM"/>
    <s v="Marketing/Sales"/>
    <s v="Door"/>
    <s v="N/A"/>
    <s v="N/A"/>
    <n v="2"/>
    <n v="0"/>
    <s v="Yes"/>
    <m/>
    <m/>
    <n v="1"/>
    <m/>
    <n v="0"/>
    <s v="No"/>
    <s v="N/A"/>
    <n v="1.5"/>
    <m/>
    <m/>
    <m/>
    <m/>
    <m/>
    <s v="Cancelled"/>
    <m/>
    <s v="Pawan"/>
  </r>
  <r>
    <n v="140"/>
    <x v="0"/>
    <m/>
    <x v="0"/>
    <x v="2"/>
    <s v="NO"/>
    <s v="25-00285"/>
    <s v="N/A"/>
    <s v="Illuminated top glass frame in VG-400"/>
    <s v="IND"/>
    <x v="0"/>
    <s v="ICM"/>
    <s v="Marketing/Sales"/>
    <s v="Door"/>
    <s v="N/A"/>
    <s v="N/A"/>
    <n v="3"/>
    <n v="3"/>
    <s v="No"/>
    <m/>
    <m/>
    <n v="0"/>
    <m/>
    <n v="0"/>
    <s v="No"/>
    <s v="N/A"/>
    <n v="0"/>
    <s v="-Safety requiremnet to be decided after finalization of Design&quot;"/>
    <m/>
    <m/>
    <m/>
    <m/>
    <s v="Cancelled"/>
    <m/>
    <m/>
  </r>
  <r>
    <n v="141"/>
    <x v="5"/>
    <m/>
    <x v="0"/>
    <x v="0"/>
    <s v="BC"/>
    <s v="25-00324"/>
    <s v="N/A"/>
    <s v="2026 Energy Target-Coke protocol-S800"/>
    <s v="IND"/>
    <x v="0"/>
    <s v="ICM"/>
    <s v="Marketing/Sales"/>
    <s v="Cooling Mechanism"/>
    <s v="N/A"/>
    <s v="N/A"/>
    <n v="3"/>
    <n v="2"/>
    <s v="Yes"/>
    <m/>
    <m/>
    <n v="6"/>
    <m/>
    <n v="10"/>
    <s v="Yes"/>
    <s v="Not Started"/>
    <n v="1.5"/>
    <s v="Safety- To be verified after configuration is finalized"/>
    <m/>
    <m/>
    <m/>
    <m/>
    <s v="On Hold"/>
    <s v="POC with TCW415 compresssor is ongoing_x000a_Long lead by week-40_x000a_TF-WK43_x000a_ Commercilaization by WK51. This project also will be on Hold"/>
    <s v="Atul"/>
  </r>
  <r>
    <n v="142"/>
    <x v="5"/>
    <m/>
    <x v="0"/>
    <x v="0"/>
    <s v="BC"/>
    <s v="25-00335"/>
    <s v="N/A"/>
    <s v="2026 Energy Target-Coke protocol-E-47"/>
    <s v="INN"/>
    <x v="0"/>
    <s v="ICM"/>
    <s v="Marketing/Sales"/>
    <s v="Cooling Mechanism"/>
    <s v="N/A"/>
    <s v="N/A"/>
    <n v="3"/>
    <n v="3"/>
    <s v="Yes"/>
    <m/>
    <m/>
    <n v="6"/>
    <m/>
    <n v="8"/>
    <s v="Yes"/>
    <s v="Not Started"/>
    <n v="1.5"/>
    <s v="Safety- To be verified after configuration is finalized"/>
    <m/>
    <m/>
    <m/>
    <m/>
    <s v="Cancelled"/>
    <s v="Duplicate Project"/>
    <s v="Rahul"/>
  </r>
  <r>
    <n v="143"/>
    <x v="7"/>
    <m/>
    <x v="0"/>
    <x v="1"/>
    <s v="NM"/>
    <s v="25-00294"/>
    <s v="N/A"/>
    <s v="350L SLIM COOLER - Indonesia"/>
    <s v="INN"/>
    <x v="0"/>
    <s v="ICM"/>
    <s v="Marketing/Sales"/>
    <s v="Complete Cooler"/>
    <s v="N/A"/>
    <s v="N/A"/>
    <n v="15"/>
    <n v="15"/>
    <s v="Yes"/>
    <m/>
    <m/>
    <n v="8"/>
    <m/>
    <n v="14"/>
    <s v="No"/>
    <s v="N/A"/>
    <n v="2"/>
    <s v="Not in priority"/>
    <m/>
    <m/>
    <m/>
    <m/>
    <s v="Cancelled"/>
    <m/>
    <s v="Lokesh"/>
  </r>
  <r>
    <n v="144"/>
    <x v="10"/>
    <m/>
    <x v="0"/>
    <x v="0"/>
    <s v="NM"/>
    <s v="25-00319"/>
    <s v="N/A"/>
    <s v="S-250 development as EC26 protocol with improved aesthetics (framesless door, premium offering as option) - export market"/>
    <s v="INN"/>
    <x v="0"/>
    <s v="ICM"/>
    <s v="Marketing/Sales"/>
    <s v="Complete Cooler"/>
    <s v="N/A"/>
    <s v="N/A"/>
    <n v="3"/>
    <n v="3"/>
    <s v="Yes"/>
    <m/>
    <m/>
    <n v="7"/>
    <m/>
    <n v="0"/>
    <s v="Yes"/>
    <s v="Not Started"/>
    <n v="1.5"/>
    <s v="VG250 with Frameless door (from China) and Coke EC2026 "/>
    <m/>
    <m/>
    <m/>
    <m/>
    <s v="Cancelled"/>
    <m/>
    <s v="Lokesh"/>
  </r>
  <r>
    <n v="145"/>
    <x v="0"/>
    <m/>
    <x v="0"/>
    <x v="0"/>
    <s v="NO"/>
    <s v="25-00287"/>
    <s v="N/A"/>
    <s v="Frameless door +front grid, inetgrated bottlle opener for complete range"/>
    <s v="IND"/>
    <x v="0"/>
    <s v="ICM"/>
    <s v="Marketing/Sales"/>
    <s v="Door"/>
    <s v="N/A"/>
    <s v="N/A"/>
    <n v="6"/>
    <n v="0"/>
    <s v="Yes"/>
    <m/>
    <m/>
    <n v="0.5"/>
    <m/>
    <n v="0"/>
    <s v="No"/>
    <s v="N/A"/>
    <n v="0"/>
    <m/>
    <m/>
    <m/>
    <m/>
    <m/>
    <s v="Cancelled"/>
    <m/>
    <s v="Rahul"/>
  </r>
  <r>
    <n v="146"/>
    <x v="0"/>
    <m/>
    <x v="0"/>
    <x v="2"/>
    <s v="NO"/>
    <s v="24-00229"/>
    <s v="N/A"/>
    <s v="GMC device in S-35*"/>
    <s v="IND"/>
    <x v="0"/>
    <s v="ICM"/>
    <s v="Marketing/Sales"/>
    <s v="Cabin Electronics"/>
    <s v="N/A"/>
    <s v="N/A"/>
    <n v="0"/>
    <n v="2"/>
    <s v="Yes"/>
    <m/>
    <m/>
    <n v="1"/>
    <m/>
    <n v="0"/>
    <s v="No"/>
    <s v="N/A"/>
    <n v="0"/>
    <m/>
    <m/>
    <m/>
    <m/>
    <m/>
    <s v="Cancelled"/>
    <m/>
    <s v="Lokesh"/>
  </r>
  <r>
    <n v="147"/>
    <x v="0"/>
    <m/>
    <x v="0"/>
    <x v="0"/>
    <s v="NO"/>
    <s v="24-00231"/>
    <s v="N/A"/>
    <s v="FDE32 field trials in S-35*"/>
    <s v="IND"/>
    <x v="0"/>
    <s v="ICM"/>
    <s v="Marketing/Sales"/>
    <s v="Cabin Electronics"/>
    <s v="N/A"/>
    <s v="N/A"/>
    <n v="0"/>
    <n v="3"/>
    <s v="Yes"/>
    <m/>
    <m/>
    <n v="1"/>
    <m/>
    <n v="0"/>
    <s v="No"/>
    <s v="N/A"/>
    <n v="0"/>
    <m/>
    <m/>
    <m/>
    <m/>
    <m/>
    <s v="Cancelled"/>
    <m/>
    <s v="Lokesh"/>
  </r>
  <r>
    <n v="148"/>
    <x v="2"/>
    <m/>
    <x v="0"/>
    <x v="0"/>
    <s v="CO"/>
    <s v="24-00188"/>
    <s v="24SRC005"/>
    <s v="EC block motor Rexnord EC-12038 S0WMP 02 as alternative to Nisiki NIS12038HS2W-EC"/>
    <s v="Multiplant"/>
    <x v="0"/>
    <s v="ICM"/>
    <s v="Central Procurement Group"/>
    <s v="Electrical Parts"/>
    <s v="Electrical Components"/>
    <s v="Block Motors"/>
    <n v="0"/>
    <n v="0"/>
    <s v="Yes"/>
    <m/>
    <m/>
    <n v="1"/>
    <m/>
    <n v="0"/>
    <s v="Yes"/>
    <s v="Start Date→  28-10-24_x000a_End Date→ 30-11-24"/>
    <m/>
    <s v="Rexnord motor rejected in field simulation."/>
    <m/>
    <m/>
    <m/>
    <m/>
    <s v="Cancelled"/>
    <m/>
    <s v="Lokesh"/>
  </r>
  <r>
    <n v="149"/>
    <x v="0"/>
    <m/>
    <x v="0"/>
    <x v="2"/>
    <s v="IMP"/>
    <s v="25-00269"/>
    <s v="N/A"/>
    <s v="Door Top Hinge Design Change and trials for Less closing force"/>
    <s v="IND"/>
    <x v="0"/>
    <s v="ICM"/>
    <s v="Service"/>
    <s v="Door"/>
    <s v="Door Components &amp; Acc."/>
    <s v="Metal Processing &amp; Components"/>
    <n v="1"/>
    <n v="1"/>
    <s v="No"/>
    <m/>
    <m/>
    <n v="0"/>
    <m/>
    <n v="0"/>
    <s v="No"/>
    <s v="N/A"/>
    <n v="0"/>
    <m/>
    <s v="Yes"/>
    <s v="Yes"/>
    <m/>
    <m/>
    <s v="Cancelled"/>
    <m/>
    <s v="Atul"/>
  </r>
  <r>
    <n v="150"/>
    <x v="0"/>
    <m/>
    <x v="0"/>
    <x v="2"/>
    <s v="CO"/>
    <s v="25-00264"/>
    <s v="25IND013-7"/>
    <s v="LED: LED cable from Bottom side of cabinet S40  &amp; Variants"/>
    <s v="IND"/>
    <x v="0"/>
    <s v="ICM"/>
    <s v="PD"/>
    <s v="Illumination"/>
    <s v="Electrical Components"/>
    <s v="Cable Harnesses"/>
    <n v="2"/>
    <n v="2"/>
    <s v="No"/>
    <m/>
    <m/>
    <n v="0"/>
    <m/>
    <n v="0"/>
    <s v="No"/>
    <s v="N/A"/>
    <n v="0"/>
    <m/>
    <s v="No"/>
    <s v="No"/>
    <m/>
    <m/>
    <s v="Cancelled"/>
    <s v="Drawing to be released after receiving Prod. Proto comments"/>
    <s v="Rishi"/>
  </r>
  <r>
    <n v="151"/>
    <x v="0"/>
    <m/>
    <x v="0"/>
    <x v="2"/>
    <s v="CO"/>
    <s v="25-00264"/>
    <s v="25IND013-8"/>
    <s v="LED: LED cable from Bottom side of cabinet S50  &amp; Variants"/>
    <s v="IND"/>
    <x v="0"/>
    <s v="ICM"/>
    <s v="PD"/>
    <s v="Illumination"/>
    <s v="Electrical Components"/>
    <s v="Cable Harnesses"/>
    <n v="2"/>
    <n v="2"/>
    <s v="No"/>
    <m/>
    <m/>
    <n v="0"/>
    <m/>
    <n v="0"/>
    <s v="No"/>
    <s v="N/A"/>
    <n v="0"/>
    <m/>
    <s v="No"/>
    <s v="No"/>
    <m/>
    <m/>
    <s v="Cancelled"/>
    <s v="Drawing to be released after receiving Prod. Proto comments"/>
    <s v="Rishi"/>
  </r>
  <r>
    <n v="152"/>
    <x v="0"/>
    <m/>
    <x v="0"/>
    <x v="0"/>
    <s v="CO"/>
    <s v="25-00295"/>
    <s v="25IND016-5"/>
    <s v="Electrical Box: Removal New small electrical box for Super-1000 &amp; Variants (Nok Coke/Non Pepsi)"/>
    <s v="IND"/>
    <x v="0"/>
    <s v="ICM"/>
    <s v="PD"/>
    <s v="Electrical Parts"/>
    <s v="Steel &amp; Parts"/>
    <s v="Steel-GI"/>
    <n v="1"/>
    <n v="1"/>
    <s v="No"/>
    <m/>
    <m/>
    <n v="0"/>
    <m/>
    <n v="0"/>
    <s v="No"/>
    <s v="N/A"/>
    <n v="0"/>
    <m/>
    <s v="Yes"/>
    <s v="Yes"/>
    <m/>
    <m/>
    <s v="Cancelled"/>
    <s v="TF released, Tooled up part received, Pilot to be planned.Waiting for blank"/>
    <s v="Rishi"/>
  </r>
  <r>
    <n v="153"/>
    <x v="0"/>
    <m/>
    <x v="0"/>
    <x v="2"/>
    <s v="CO"/>
    <s v="25-00262"/>
    <s v="25IND019-1"/>
    <s v="Roller Bracket: Redesign to smaller roller Bracket - S-200/250"/>
    <s v="IND"/>
    <x v="0"/>
    <s v="ICM"/>
    <s v="PD"/>
    <s v="Insulated Cabin"/>
    <s v="Steel &amp; Parts"/>
    <s v="Steel-GI"/>
    <n v="0"/>
    <n v="0"/>
    <s v="No"/>
    <m/>
    <m/>
    <n v="0"/>
    <m/>
    <n v="0"/>
    <s v="No"/>
    <s v="N/A"/>
    <n v="0"/>
    <m/>
    <s v="Yes"/>
    <s v="Yes"/>
    <m/>
    <m/>
    <s v="Cancelled"/>
    <s v="No Scope of cost reduction,Already optimized→Project cancelled"/>
    <s v="Rishi"/>
  </r>
  <r>
    <n v="154"/>
    <x v="0"/>
    <m/>
    <x v="0"/>
    <x v="2"/>
    <s v="CO"/>
    <s v="25-00307"/>
    <s v="25SRC032"/>
    <s v="Fastenings for S.Africa from China"/>
    <s v="SAF"/>
    <x v="0"/>
    <s v="ICM"/>
    <s v="Central Procurement Group"/>
    <s v="Other Fastening"/>
    <s v="Other"/>
    <s v="Fastening Materials"/>
    <n v="0"/>
    <n v="0"/>
    <s v="No"/>
    <m/>
    <m/>
    <n v="0"/>
    <m/>
    <n v="0"/>
    <s v="No"/>
    <s v="N/A"/>
    <n v="0"/>
    <m/>
    <m/>
    <m/>
    <m/>
    <m/>
    <s v="Cancelled"/>
    <m/>
    <s v="Sachin"/>
  </r>
  <r>
    <n v="155"/>
    <x v="0"/>
    <m/>
    <x v="0"/>
    <x v="2"/>
    <s v="CO"/>
    <s v="25-00309"/>
    <s v="25SAF005"/>
    <s v="Plastic Evap Fan Grill Localization"/>
    <s v="SAF"/>
    <x v="0"/>
    <s v="ICM"/>
    <s v="Central Procurement Group"/>
    <s v="Cooling Mechanism"/>
    <s v="Plastics"/>
    <s v="Injection Plastics"/>
    <n v="0"/>
    <n v="0"/>
    <s v="No"/>
    <m/>
    <m/>
    <n v="0"/>
    <m/>
    <n v="0"/>
    <s v="No"/>
    <s v="N/A"/>
    <n v="0"/>
    <s v="Project not needed as plan is to move to 3 motors with Metal fan casing"/>
    <m/>
    <m/>
    <m/>
    <m/>
    <s v="Cancelled"/>
    <m/>
    <s v="Ritu"/>
  </r>
  <r>
    <n v="156"/>
    <x v="2"/>
    <m/>
    <x v="0"/>
    <x v="0"/>
    <s v="CO"/>
    <s v="22-00019"/>
    <s v="24IND001"/>
    <s v="Hicool 5 Watt EC motor evaluation "/>
    <s v="IND"/>
    <x v="0"/>
    <s v="ICM"/>
    <s v="Central Procurement Group"/>
    <s v="Electrical Parts"/>
    <s v="Electrical Components"/>
    <s v="Electronic Motors"/>
    <n v="0.5"/>
    <n v="0.5"/>
    <s v="Yes"/>
    <m/>
    <m/>
    <n v="1"/>
    <m/>
    <n v="1"/>
    <s v="Yes"/>
    <s v="Start Date→  28-10-24_x000a_End Date→ 30-11-24"/>
    <n v="0"/>
    <s v="Safety completed"/>
    <m/>
    <m/>
    <m/>
    <m/>
    <s v="Cancelled"/>
    <m/>
    <s v="Lokesh"/>
  </r>
  <r>
    <n v="157"/>
    <x v="0"/>
    <m/>
    <x v="0"/>
    <x v="0"/>
    <s v="CO"/>
    <s v="25-00252"/>
    <s v="25INN007-1"/>
    <s v="Change compressor WANBAO FTA55L to FTK55X FTK45- E47R290 INDO"/>
    <s v="INN"/>
    <x v="0"/>
    <s v="ICM"/>
    <s v="Central Procurement Group"/>
    <s v="Cooling Mechanism"/>
    <s v="Cooling Components"/>
    <s v="Compressors"/>
    <n v="3"/>
    <n v="2"/>
    <s v="Yes"/>
    <m/>
    <m/>
    <n v="7"/>
    <m/>
    <n v="6"/>
    <s v="Yes"/>
    <s v="Not Started"/>
    <n v="1.5"/>
    <s v="POC failed with FTK55, FTK45 sample ordered- To be started by end of March"/>
    <m/>
    <m/>
    <m/>
    <m/>
    <s v="Cancelled"/>
    <s v="E47 EC2026 Tf released- certificcation in Progress_x000a_"/>
    <s v="Lokesh"/>
  </r>
  <r>
    <n v="158"/>
    <x v="2"/>
    <m/>
    <x v="0"/>
    <x v="0"/>
    <s v="CO"/>
    <s v="25-00259"/>
    <s v="25SRC008-1"/>
    <s v="Compressor Donper L76WU1 as alternative to Tecumseh TCW415U-C3B SP-600 R290 Pepsi"/>
    <s v="IND"/>
    <x v="0"/>
    <s v="ICM"/>
    <s v="Central Procurement Group"/>
    <s v="Cooling Mechanism"/>
    <s v="Cooling Components"/>
    <s v="Compressors"/>
    <n v="3"/>
    <n v="3"/>
    <s v="Yes"/>
    <m/>
    <m/>
    <n v="6"/>
    <m/>
    <n v="0"/>
    <s v="Yes"/>
    <s v="Start Date→ 29-10-24_x000a_End Date→ 18-12-24"/>
    <n v="0"/>
    <s v="Safety completed"/>
    <m/>
    <m/>
    <m/>
    <m/>
    <s v="On Hold"/>
    <s v="Industrialization on Hold-To be implemented after alignment with PepsiCo/Start discussion with Pepsico"/>
    <s v="Lokesh"/>
  </r>
  <r>
    <n v="159"/>
    <x v="2"/>
    <m/>
    <x v="0"/>
    <x v="0"/>
    <s v="CO"/>
    <s v="25-00257"/>
    <s v="25SRC006-1"/>
    <s v="Compressor Donper L58WU1 as alternative to Wanbao FTA55L→SP-400 R290 (Pepsi)"/>
    <s v="IND"/>
    <x v="0"/>
    <s v="ICM"/>
    <s v="Central Procurement Group"/>
    <s v="Cooling Mechanism"/>
    <s v="Cooling Components"/>
    <s v="Compressors"/>
    <n v="1"/>
    <n v="3"/>
    <s v="Yes"/>
    <m/>
    <m/>
    <n v="6"/>
    <m/>
    <n v="0"/>
    <s v="Yes"/>
    <s v="Start Date→  28-10-24_x000a_End Date→ 30-11-24"/>
    <n v="0"/>
    <s v="Safety completed"/>
    <m/>
    <m/>
    <m/>
    <m/>
    <s v="On Hold"/>
    <s v="Industrialization on Hold-To be implemented after alignment with PepsiCo/Start discussion with Pepsico"/>
    <s v="Lokesh"/>
  </r>
  <r>
    <n v="160"/>
    <x v="2"/>
    <m/>
    <x v="0"/>
    <x v="0"/>
    <s v="CO"/>
    <s v="25-00254"/>
    <s v="25SRC004-1"/>
    <s v="Compressor Donper L58WU1 as alternative to Wanbao TCW410→SP-500 R290 (Pepsi)"/>
    <s v="IND"/>
    <x v="0"/>
    <s v="ICM"/>
    <s v="Central Procurement Group"/>
    <s v="Cooling Mechanism"/>
    <s v="Cooling Components"/>
    <s v="Compressors"/>
    <n v="1"/>
    <n v="3"/>
    <s v="Yes"/>
    <m/>
    <m/>
    <n v="6"/>
    <m/>
    <n v="0"/>
    <s v="Yes"/>
    <s v="Start Date→09-11-24_x000a_End Date→20-12-24"/>
    <n v="0"/>
    <s v="Safety completed"/>
    <m/>
    <m/>
    <m/>
    <m/>
    <s v="On Hold"/>
    <s v="Industrialization on Hold-To be implemented after alignment with PepsiCo/Start discussion with Pepsico"/>
    <s v="Lokesh"/>
  </r>
  <r>
    <n v="161"/>
    <x v="0"/>
    <m/>
    <x v="0"/>
    <x v="0"/>
    <s v="CO"/>
    <s v="25-00299"/>
    <s v="25SRC010-4"/>
    <s v="Compressor Donper L76WU1 as alternative to Huayi NUS70NA→SL-1140 C [R290] HNKN"/>
    <s v="SAF"/>
    <x v="0"/>
    <s v="ICM"/>
    <s v="Central Procurement Group"/>
    <s v="Cooling Mechanism"/>
    <s v="Cooling Components"/>
    <s v="Compressors"/>
    <n v="0"/>
    <n v="0"/>
    <s v="Yes"/>
    <m/>
    <m/>
    <n v="6"/>
    <m/>
    <n v="0"/>
    <s v="Yes"/>
    <s v="Start Date→ 11-01-25_x000a_End Date→ 10-02-25"/>
    <n v="0"/>
    <s v="Safety completed, model name covered in safety report - SL-1140 [R290] FFD"/>
    <m/>
    <m/>
    <m/>
    <m/>
    <s v="On Hold"/>
    <s v="Testing →POC  &amp; reliability in progress_x000a_Safety→Completed_x000a_TF→Long lead item list released, TF by WK19_x000a_Project Cancelled as HNKN needed SZ cooler- FV1000 with Canopy SZ model"/>
    <s v="Pawan"/>
  </r>
  <r>
    <n v="162"/>
    <x v="0"/>
    <m/>
    <x v="0"/>
    <x v="0"/>
    <s v="CO"/>
    <s v="25-00253"/>
    <s v="25INN008-2"/>
    <s v="Compressor Donper L76WU1 as alternative to Huayi NUY80RAA →SLP-650 D [R290] with Canopy (Coke Indo)"/>
    <s v="INN"/>
    <x v="0"/>
    <s v="ICM"/>
    <s v="Central Procurement Group"/>
    <s v="Cooling Mechanism"/>
    <s v="Cooling Components"/>
    <s v="Compressors"/>
    <n v="2"/>
    <n v="1"/>
    <s v="Yes"/>
    <m/>
    <m/>
    <n v="6"/>
    <m/>
    <n v="0"/>
    <s v="Yes"/>
    <s v="Start Date→ 25-01-25_x000a_End Date→ 13-03-25"/>
    <n v="0"/>
    <s v="Safety completed"/>
    <m/>
    <m/>
    <m/>
    <m/>
    <s v="Cancelled"/>
    <s v="POC completed, Certification to be planned_x000a_Safety→Completed_x000a_Long lead item list released in WK19. Project cancelled- as no Order"/>
    <s v="Lokesh"/>
  </r>
  <r>
    <n v="163"/>
    <x v="0"/>
    <m/>
    <x v="0"/>
    <x v="0"/>
    <s v="CO"/>
    <s v="25-00303"/>
    <s v="25SRC011-1"/>
    <s v="Compressor Donper KK480WU1 as alternative to TCW420-UZ3B-S-1100 R290"/>
    <s v="IND"/>
    <x v="0"/>
    <s v="ICM"/>
    <s v="Central Procurement Group"/>
    <s v="Cooling Mechanism"/>
    <s v="Cooling Components"/>
    <s v="Compressors"/>
    <n v="3"/>
    <n v="2"/>
    <s v="Yes"/>
    <m/>
    <m/>
    <n v="7"/>
    <m/>
    <n v="6"/>
    <s v="Yes"/>
    <s v="Not Started"/>
    <n v="1.5"/>
    <s v="Sample to be prepared."/>
    <m/>
    <m/>
    <m/>
    <m/>
    <s v="Commercialized"/>
    <s v="Long lead→WK37_x000a_Proto→Wk-49_x000a_Pilot→Wk52_x000a_Testing/Customer report submission→Wk50_x000a_"/>
    <s v="Rishi"/>
  </r>
  <r>
    <n v="164"/>
    <x v="12"/>
    <m/>
    <x v="0"/>
    <x v="2"/>
    <s v="CO"/>
    <s v="24-00225"/>
    <s v="N/A"/>
    <s v="Bright Star PSUs"/>
    <s v="Multiplant"/>
    <x v="0"/>
    <s v="ICM"/>
    <s v="Central Procurement Group"/>
    <s v="Electrical Parts"/>
    <s v="Other"/>
    <s v="Other Materials"/>
    <n v="1"/>
    <n v="0.5"/>
    <s v="No"/>
    <m/>
    <m/>
    <n v="0"/>
    <m/>
    <n v="0"/>
    <s v="No"/>
    <s v="N/A"/>
    <n v="0"/>
    <m/>
    <m/>
    <m/>
    <m/>
    <m/>
    <s v="On Hold"/>
    <s v="PSU rejected, Revised sample recieved"/>
    <s v="Hindpal"/>
  </r>
  <r>
    <n v="165"/>
    <x v="5"/>
    <m/>
    <x v="0"/>
    <x v="1"/>
    <s v="NM"/>
    <s v="25-00282"/>
    <s v="N/A"/>
    <s v="350L premium slim cooler development, New platform project - Indonesia Pepsi"/>
    <s v="IND"/>
    <x v="0"/>
    <s v="ICM"/>
    <s v="Marketing/Sales"/>
    <s v="Complete Cooler"/>
    <s v="N/A"/>
    <s v="N/A"/>
    <n v="15"/>
    <n v="15"/>
    <s v="Yes"/>
    <m/>
    <m/>
    <n v="8"/>
    <m/>
    <n v="14"/>
    <s v="Yes"/>
    <s v="Not Started"/>
    <n v="3"/>
    <m/>
    <m/>
    <m/>
    <m/>
    <m/>
    <s v="On Hold"/>
    <m/>
    <s v="Lokesh"/>
  </r>
  <r>
    <n v="166"/>
    <x v="7"/>
    <m/>
    <x v="1"/>
    <x v="1"/>
    <s v="NM"/>
    <s v="25-00317"/>
    <s v="N/A"/>
    <s v="800L DD  SFC-1000→Super-1000 (Step cooler): New Step Cabin design"/>
    <s v="IND"/>
    <x v="1"/>
    <s v="ICM"/>
    <s v="Marketing/Sales"/>
    <s v="Complete Cooler"/>
    <s v="N/A"/>
    <s v="N/A"/>
    <n v="19"/>
    <n v="22"/>
    <s v="Yes"/>
    <m/>
    <m/>
    <n v="8"/>
    <m/>
    <n v="14"/>
    <s v="Yes"/>
    <s v="Not Started"/>
    <n v="2"/>
    <s v="Statement of changes by Mid May._x000a_Safety cooler required by 30th May."/>
    <m/>
    <m/>
    <m/>
    <m/>
    <s v="Industrialization"/>
    <s v="TF to be released by end of Septemeber/POC completed/Safety-TBD/Certification &amp; report Submission→TBD_x000a_Points closed TS is closed on 01-04-2026._x000a_TF-03 release on Wk15._x000a_Awaiting material for prototype production_x000a_All material receive._x000a_The prototype will be prepared by Week 25._x000a_Protype preparation under progress and prototype cooler will be submitted by next week._x000a_The prototype was completed and submitted to the PD team for lab testing._x000a_Go ahad will be given from PD side by Wk28."/>
    <s v="Nikhil"/>
  </r>
  <r>
    <n v="167"/>
    <x v="5"/>
    <m/>
    <x v="0"/>
    <x v="0"/>
    <s v="BC"/>
    <s v="TBR"/>
    <s v="N/A"/>
    <s v="FV-650 D, EC 26 development - SEA"/>
    <s v="INN"/>
    <x v="0"/>
    <s v="ICM"/>
    <s v="Marketing/Sales"/>
    <s v="Cooling Mechanism"/>
    <s v="N/A"/>
    <s v="N/A"/>
    <n v="3"/>
    <n v="2"/>
    <s v="Yes"/>
    <m/>
    <m/>
    <n v="6"/>
    <m/>
    <n v="0"/>
    <s v="Yes"/>
    <s v="Not Started"/>
    <n v="1.5"/>
    <m/>
    <m/>
    <m/>
    <m/>
    <m/>
    <s v="On Hold"/>
    <m/>
    <s v="Lokesh"/>
  </r>
  <r>
    <n v="168"/>
    <x v="14"/>
    <m/>
    <x v="0"/>
    <x v="2"/>
    <s v="NO"/>
    <s v="25-00369-1"/>
    <s v="N/A"/>
    <s v="S60 Reliance models standard configuration"/>
    <s v="IND"/>
    <x v="0"/>
    <s v="ICM"/>
    <s v="Marketing/Sales"/>
    <s v="Door"/>
    <s v="N/A"/>
    <s v="N/A"/>
    <n v="3"/>
    <n v="3"/>
    <s v="No"/>
    <m/>
    <m/>
    <n v="0"/>
    <m/>
    <n v="0"/>
    <s v="No"/>
    <s v="N/A"/>
    <n v="0"/>
    <m/>
    <m/>
    <m/>
    <m/>
    <m/>
    <s v="Commercialized"/>
    <s v="BOM with reliance option shared with the TS team in WK50._x000a_Commeriliazed on 08-01-26."/>
    <s v="Rishi"/>
  </r>
  <r>
    <n v="169"/>
    <x v="14"/>
    <m/>
    <x v="0"/>
    <x v="2"/>
    <s v="NO"/>
    <s v="25-00372"/>
    <s v="N/A"/>
    <s v="Coke sales rally sample preparation (2 nos. of samples each cooler)- Frameless Door- SFC1000,S500/S50-Digital canopy/S450-Gravity Shelves/Taxi canopy-S35-S200"/>
    <s v="IND"/>
    <x v="0"/>
    <s v="ICM"/>
    <s v="Marketing/Sales"/>
    <s v="Door"/>
    <s v="N/A"/>
    <s v="N/A"/>
    <n v="3"/>
    <n v="3"/>
    <s v="No"/>
    <m/>
    <m/>
    <n v="0"/>
    <m/>
    <n v="0"/>
    <s v="No"/>
    <s v="N/A"/>
    <n v="0"/>
    <m/>
    <m/>
    <m/>
    <m/>
    <m/>
    <s v="Commercialized"/>
    <s v="S-200 &amp; S-35 models,Sheetmetal &amp; assembly drawing shared with the Engineering team, for 2 cooler need to prepare for Coke exhibition._x000a_Working on canopy TV._x000a_S-35 with taxi canopy and S-50 with canopy TV coolers will be prepared by tommorow._x000a_S-35 with taxi canopy and S-50 with canopy TV coolers are ready and SFC-1000 will be ready by 24-01-2026."/>
    <s v="Rishi"/>
  </r>
  <r>
    <n v="170"/>
    <x v="0"/>
    <m/>
    <x v="1"/>
    <x v="0"/>
    <s v="CO"/>
    <s v="25-00301"/>
    <s v="25IND001"/>
    <s v="Aluminium Profiles : New Supplier Development_x000a_MM Metacraft -&gt; Jindal Al."/>
    <s v="IND"/>
    <x v="0"/>
    <s v="ICM"/>
    <s v="Central Procurement Group"/>
    <s v="Door"/>
    <s v="Door Components &amp; Acc."/>
    <s v="Aluminium Profiles"/>
    <n v="4"/>
    <n v="0"/>
    <s v="No"/>
    <m/>
    <m/>
    <n v="0"/>
    <m/>
    <n v="0"/>
    <s v="No"/>
    <s v="N/A"/>
    <n v="0"/>
    <s v="Plant to Submit/Conduct test in aligneent with PD  for Door opening"/>
    <m/>
    <m/>
    <m/>
    <m/>
    <s v="Industrialization"/>
    <s v="Plant to do door opening test in alignment with PD"/>
    <s v="Rahul"/>
  </r>
  <r>
    <n v="171"/>
    <x v="2"/>
    <m/>
    <x v="0"/>
    <x v="0"/>
    <s v="CO"/>
    <s v="25-00304"/>
    <s v="25IND017"/>
    <s v="Bottom HINGES : Neg-New supplier add- testing"/>
    <s v="IND"/>
    <x v="0"/>
    <s v="ICM"/>
    <s v="Central Procurement Group"/>
    <s v="Door"/>
    <s v="Steel &amp; Parts"/>
    <s v="Metal Processing &amp; Components"/>
    <n v="1"/>
    <n v="1"/>
    <s v="No"/>
    <m/>
    <m/>
    <n v="0"/>
    <m/>
    <n v="0"/>
    <s v="No"/>
    <s v="N/A"/>
    <n v="0"/>
    <s v="Sample recived - Testing to be aligned and planned"/>
    <m/>
    <m/>
    <m/>
    <m/>
    <s v="Commercialized"/>
    <s v="Reliability test→ passed, pilot lot of 100 pcs to be taken on Super-60 cooler, Feedback to be taken from Field (Bengal)"/>
    <s v="Atul"/>
  </r>
  <r>
    <n v="172"/>
    <x v="1"/>
    <m/>
    <x v="1"/>
    <x v="0"/>
    <s v="CO"/>
    <s v="24-00189"/>
    <s v="24IND001"/>
    <s v="Hicool 5W EC Block Motor 12P230HSEC"/>
    <s v="IND"/>
    <x v="0"/>
    <s v="ICM"/>
    <s v="Central Procurement Group"/>
    <s v="Cooling Mechanism"/>
    <s v="Electrical Components"/>
    <s v="Block Motors"/>
    <n v="4"/>
    <n v="4"/>
    <s v="Yes"/>
    <m/>
    <m/>
    <m/>
    <m/>
    <n v="0"/>
    <s v="Yes"/>
    <m/>
    <m/>
    <m/>
    <m/>
    <m/>
    <m/>
    <m/>
    <s v="Industrialization"/>
    <s v="TF memo released, 2000 motors ordered"/>
    <s v="Nikhil"/>
  </r>
  <r>
    <n v="173"/>
    <x v="2"/>
    <m/>
    <x v="1"/>
    <x v="0"/>
    <s v="CO"/>
    <s v="25-00278"/>
    <s v="24SRC006"/>
    <s v="Jinjiu (China) - AC Block Motors 120X120X38 (20~22 W)"/>
    <s v="IND"/>
    <x v="0"/>
    <s v="ICM"/>
    <s v="Central Procurement Group"/>
    <s v="Electrical Parts"/>
    <s v="Electrical Components"/>
    <s v="Block Motors"/>
    <n v="4"/>
    <n v="1"/>
    <s v="Yes"/>
    <m/>
    <m/>
    <n v="1"/>
    <m/>
    <n v="1"/>
    <s v="Yes"/>
    <s v="Start Date→ 11-01-25_x000a_End Date→ 10-02-25"/>
    <n v="0"/>
    <s v="Added in Super 1100 R290 and its variants"/>
    <m/>
    <m/>
    <m/>
    <m/>
    <s v="Industrialization"/>
    <s v="TF memo  released, 2000 pcs order released-to be recived by 20th Aug"/>
    <s v="Lokesh"/>
  </r>
  <r>
    <n v="174"/>
    <x v="2"/>
    <m/>
    <x v="0"/>
    <x v="0"/>
    <s v="CO"/>
    <s v="25-00284"/>
    <s v="24SRC033"/>
    <s v="PSU Done 8W as alternative to Tauras for 12W (Applicable model)"/>
    <s v="Multiplant"/>
    <x v="0"/>
    <s v="ICM"/>
    <s v="Central Procurement Group"/>
    <s v="Electrical Parts"/>
    <s v="Electrical Components"/>
    <s v="PSU"/>
    <n v="0.5"/>
    <m/>
    <s v="No"/>
    <m/>
    <m/>
    <n v="0"/>
    <m/>
    <n v="0"/>
    <s v="Yes"/>
    <s v="Not Started"/>
    <m/>
    <m/>
    <m/>
    <m/>
    <m/>
    <m/>
    <s v="Development"/>
    <s v="Applicable for Indonesi Romania. Evaluation completed, Plant to order PSU for field trail/ Supplier toprovide safety certificate/Certficate recived-under review/share feedback by wk6- Field trail in Progressin Indoseia-Romania to be planned"/>
    <s v="Rishi"/>
  </r>
  <r>
    <n v="175"/>
    <x v="2"/>
    <m/>
    <x v="0"/>
    <x v="0"/>
    <s v="CO"/>
    <s v="25-00286"/>
    <s v="24SRC034"/>
    <s v="PSU Done as alternative to Tauras for 15/16"/>
    <s v="Multiplant"/>
    <x v="0"/>
    <s v="ICM"/>
    <s v="Central Procurement Group"/>
    <s v="Electrical Parts"/>
    <s v="Electrical Components"/>
    <s v="PSU"/>
    <n v="0.5"/>
    <m/>
    <s v="No"/>
    <m/>
    <m/>
    <n v="1"/>
    <m/>
    <n v="0"/>
    <s v="Yes"/>
    <s v="Not Started"/>
    <m/>
    <m/>
    <m/>
    <m/>
    <m/>
    <m/>
    <s v="Development"/>
    <s v="Applicable for Indonesi Romania. Evaluation completed, Plant to order PSU for field trail/ Supplier toprovide safety certificate/Certficate recived-under review/share feedback by wk6 /Certficate recived-under review/share feedback by wk6- Field trail in Progressin Indoseia-Romania to be planned"/>
    <s v="Rishi"/>
  </r>
  <r>
    <n v="176"/>
    <x v="2"/>
    <m/>
    <x v="0"/>
    <x v="0"/>
    <s v="CO"/>
    <s v="25-00288"/>
    <s v="24SRC035"/>
    <s v="PSU Done 24W as alternative to Tauras for 24W"/>
    <s v="Multiplant"/>
    <x v="0"/>
    <s v="ICM"/>
    <s v="Central Procurement Group"/>
    <s v="Electrical Parts"/>
    <s v="Electrical Components"/>
    <s v="PSU"/>
    <n v="0.5"/>
    <m/>
    <s v="No"/>
    <m/>
    <m/>
    <n v="1"/>
    <m/>
    <n v="0"/>
    <s v="Yes"/>
    <s v="Not Started"/>
    <m/>
    <m/>
    <m/>
    <m/>
    <m/>
    <m/>
    <s v="Development"/>
    <s v="Applicable for Indonesi Romania. Evaluation completed, Plant to order PSU for field trail/ Supplier toprovide safety certificate/Certficate recived-under review/share feedback by wk6"/>
    <s v="Rishi"/>
  </r>
  <r>
    <n v="177"/>
    <x v="2"/>
    <m/>
    <x v="0"/>
    <x v="0"/>
    <s v="CO"/>
    <s v="25-00288"/>
    <s v="24SRC035"/>
    <s v="PSU Done 30W as alternative to Tauras "/>
    <s v="Multiplant"/>
    <x v="0"/>
    <s v="ICM"/>
    <s v="Central Procurement Group"/>
    <s v="Electrical Parts"/>
    <s v="Electrical Components"/>
    <s v="PSU"/>
    <n v="0.5"/>
    <m/>
    <s v="No"/>
    <m/>
    <m/>
    <n v="1"/>
    <m/>
    <n v="0"/>
    <s v="Yes"/>
    <s v="Not Started"/>
    <m/>
    <m/>
    <m/>
    <m/>
    <m/>
    <m/>
    <s v="Development"/>
    <s v="Applicable for Indonesi Romania. Evaluation completed, Plant to order PSU for field trail/ Supplier toprovide safety certificate/Certficate recived-under review/share feedback by wk6"/>
    <s v="Rishi"/>
  </r>
  <r>
    <n v="178"/>
    <x v="10"/>
    <m/>
    <x v="0"/>
    <x v="0"/>
    <s v="NM"/>
    <s v="25-00362"/>
    <s v="N/A"/>
    <s v="S-250 as per EC26 protocol, to be produced in India for CCEP indonesia with standard existing door profile with Aluminium Profile- Move in project"/>
    <s v="INN"/>
    <x v="0"/>
    <s v="ICM"/>
    <s v="Marketing/Sales"/>
    <s v="Cooling Mechanism"/>
    <s v="N/A"/>
    <s v="N/A"/>
    <n v="4"/>
    <n v="3"/>
    <s v="Yes"/>
    <m/>
    <m/>
    <n v="7"/>
    <m/>
    <n v="10"/>
    <s v="Yes"/>
    <s v="Not Started"/>
    <n v="1.5"/>
    <m/>
    <m/>
    <m/>
    <m/>
    <m/>
    <s v="Commercialized"/>
    <s v="POC → In progress to be completed by Wk47/Long lead→WK43_x000a_TF→WK47_x000a_Safety→WK1'26_x000a_Testing/Customer report submission→WK2'26/Commercialization - Feb'26_x000a_Compressor reliabity is in progress._x000a_Waiting for the new compressor._x000a_New compressor samples received; validation is currently in progress._x000a_Compressor validation has been completed._x000a_Illumination and noise testing have been completed._x000a_The shelf sagging test report will be ready by WK06._x000a_Proto completed on 26-01-2026._x000a_Proto point closure report TF shared on Wk09._x000a_Pilot Done on Wk11._x000a_Commercialization→Wk11"/>
    <s v="Lokesh"/>
  </r>
  <r>
    <n v="179"/>
    <x v="6"/>
    <m/>
    <x v="0"/>
    <x v="0"/>
    <s v="CO"/>
    <s v="TBD"/>
    <s v="N/A"/>
    <s v="New supplier WOT &amp; Evaporator samples validation- Flygrow_x000a_South Africa - 3 Type of WOT &amp; 3Type of Evaporator_x000a_Egypt -2 Type of WOT &amp; 2 Type of Evaporator"/>
    <s v="Multiplant"/>
    <x v="0"/>
    <s v="ICM"/>
    <s v="Marketing/Sales"/>
    <s v="Door"/>
    <s v="N/A"/>
    <s v="N/A"/>
    <n v="3"/>
    <n v="3"/>
    <s v="No"/>
    <m/>
    <m/>
    <n v="0"/>
    <m/>
    <n v="0"/>
    <s v="No"/>
    <s v="N/A"/>
    <n v="0"/>
    <m/>
    <m/>
    <m/>
    <m/>
    <m/>
    <s v="Development"/>
    <s v="WOT 15 samples received for S-60,S-1100 and FV-650,FV-1000 and HV-71_x000a_Evapovator 15 samples received for S-60,S-1100 and FV-650,FV-1000 and HV-71_x000a_WOT test completed for S60_x000a_Evaporator testing is started and will be complete by Wk05.  _x000a_IPD, EC, pressure, and burst tests have all been completed, and the WOT has passed._x000a_WOT samples approved for S60 from PD side- Supplier drawing awaited"/>
    <s v="Pawan"/>
  </r>
  <r>
    <n v="180"/>
    <x v="6"/>
    <m/>
    <x v="1"/>
    <x v="0"/>
    <s v="CO"/>
    <s v="TBD"/>
    <s v="N/A"/>
    <s v="New alternate compressor for S-500 (TCW410 → L58)- For Reliance"/>
    <s v="IND"/>
    <x v="0"/>
    <s v="ICM"/>
    <s v="Marketing/Sales"/>
    <s v="Door"/>
    <s v="N/A"/>
    <s v="N/A"/>
    <n v="4"/>
    <n v="3"/>
    <s v="No"/>
    <m/>
    <m/>
    <n v="0"/>
    <m/>
    <n v="0"/>
    <s v="No"/>
    <s v="N/A"/>
    <n v="0"/>
    <m/>
    <m/>
    <m/>
    <m/>
    <m/>
    <s v="Commercialized"/>
    <s v="TF released/Wk04_x000a_Waiting for Proto date._x000a_Proto completed on Wk9._x000a_Proto point will be close by Wk13._x000a_Testing will be completed by Wk13."/>
    <s v="Lokesh"/>
  </r>
  <r>
    <n v="181"/>
    <x v="6"/>
    <m/>
    <x v="0"/>
    <x v="2"/>
    <s v="CO"/>
    <s v="TBD"/>
    <s v="N/A"/>
    <s v="Assembled door from jinchen(china) for S-60,S-1100 door validation- Standard door"/>
    <s v="Egypt"/>
    <x v="0"/>
    <s v="ICM"/>
    <s v="Marketing/Sales"/>
    <s v="Door"/>
    <s v="N/A"/>
    <s v="N/A"/>
    <n v="3"/>
    <n v="3"/>
    <s v="No"/>
    <m/>
    <m/>
    <n v="0"/>
    <m/>
    <n v="0"/>
    <s v="No"/>
    <s v="N/A"/>
    <n v="0"/>
    <m/>
    <m/>
    <m/>
    <m/>
    <m/>
    <s v="Industrialization"/>
    <s v="Samples received on WK02'26.._x000a_Testing plan will be shared with india testing team._x000a_Door opening started on Wk04 for S-60 cooler and will be completed by Feb end-300K cycles completed without any issue' FPAP report awaited."/>
    <s v="Pawan"/>
  </r>
  <r>
    <n v="182"/>
    <x v="6"/>
    <m/>
    <x v="0"/>
    <x v="2"/>
    <s v="CO"/>
    <s v="TBD"/>
    <s v="N/A"/>
    <s v="Assembled door from jinchen (china) for FV-650,FV-1000 &amp; HV-71 door validation"/>
    <s v="SAF"/>
    <x v="0"/>
    <s v="ICM"/>
    <s v="Marketing/Sales"/>
    <s v="Door"/>
    <s v="N/A"/>
    <s v="N/A"/>
    <n v="3"/>
    <n v="3"/>
    <s v="No"/>
    <m/>
    <m/>
    <n v="0"/>
    <m/>
    <n v="0"/>
    <s v="No"/>
    <s v="N/A"/>
    <n v="0"/>
    <m/>
    <m/>
    <m/>
    <m/>
    <m/>
    <s v="Industrialization"/>
    <s v="Samples received on WK02'26.._x000a_Testing plan will be shared with india testing team._x000a_Door opening started on Wk04 for S-60 cooler and will be completed by Feb end.(Door will be final on the basis of india door opening test), _x000a_FPAP -Completed, Black is approved and  Sample of Grey  and Red reach by 23rd March_x000a_Pilot Done on Wk17."/>
    <s v="Pawan"/>
  </r>
  <r>
    <n v="183"/>
    <x v="6"/>
    <n v="3"/>
    <x v="1"/>
    <x v="1"/>
    <s v="NM"/>
    <s v="26-00377"/>
    <s v="N/A"/>
    <s v="BoB model double HD &amp; SD door - C condition in house production - Key accounts"/>
    <s v="IND"/>
    <x v="1"/>
    <s v="ICM"/>
    <s v="Marketing/Sales"/>
    <m/>
    <m/>
    <m/>
    <n v="19"/>
    <n v="145"/>
    <s v="Yes"/>
    <m/>
    <m/>
    <n v="80"/>
    <m/>
    <n v="85"/>
    <m/>
    <m/>
    <m/>
    <m/>
    <m/>
    <m/>
    <m/>
    <m/>
    <s v="Development"/>
    <s v="POC is in progress/ Updated drawing -Insulation and Mid coloumn"/>
    <s v="Ashish"/>
  </r>
  <r>
    <n v="184"/>
    <x v="6"/>
    <m/>
    <x v="0"/>
    <x v="1"/>
    <s v="NM"/>
    <s v="TBD"/>
    <s v="N/A"/>
    <s v="35 Lt counter top -Internal or OEM"/>
    <s v="IND"/>
    <x v="0"/>
    <s v="ICM"/>
    <s v="Marketing/Sales"/>
    <m/>
    <m/>
    <m/>
    <m/>
    <m/>
    <m/>
    <m/>
    <m/>
    <m/>
    <m/>
    <m/>
    <m/>
    <m/>
    <m/>
    <m/>
    <m/>
    <m/>
    <m/>
    <m/>
    <s v="Cancelled"/>
    <m/>
    <s v="Sailesh"/>
  </r>
  <r>
    <n v="185"/>
    <x v="11"/>
    <m/>
    <x v="1"/>
    <x v="0"/>
    <s v="NM"/>
    <s v="25-00335"/>
    <s v="N/A"/>
    <s v="E-47 development as per EC-26 protocol - CCEP INDONESIA"/>
    <s v="INN"/>
    <x v="0"/>
    <s v="ICM"/>
    <s v="Marketing/Sales"/>
    <s v="Cooling Mechanism"/>
    <s v="N/A"/>
    <s v="N/A"/>
    <n v="4"/>
    <n v="6"/>
    <s v="Yes"/>
    <m/>
    <m/>
    <n v="6"/>
    <m/>
    <n v="8"/>
    <s v="Yes"/>
    <s v="In Progress"/>
    <n v="1.5"/>
    <s v="Safety- To be verified after configuration is finalized"/>
    <m/>
    <m/>
    <m/>
    <m/>
    <s v="Industrialization"/>
    <s v="Testing→POC will be completed by WK02 Jan'26 with SJ96WY1 &amp; R600a refrigent_x000a_Long lead to be released by WK03 Jan'26_x000a_Certification to be done in between W03-Wk04 Jan'26._x000a_POC completed with SJ96WY1 compressor._x000a_SJ96WY1 new compressor samples releability testing is in progress._x000a_POC will be completed by jan end with FT55L compresor._x000a_Cooler will be prepared by Wk05 with FT55L compressor_x000a_POC with FT55L Compressor will start from Wk05/ Target Date from Tonmoy_x000a_POC completed._x000a_Long lead will be release on WK7_x000a_TF to be released by WK9_x000a_Certifacation testing will be completed by Wk14_x000a_Safety under Progress- Expected by Mid of April_x000a_TF released → Wk9_x000a_Proto pending._x000a_Certification report submission pending due to illumination fail_x000a_ "/>
    <s v="Lokesh"/>
  </r>
  <r>
    <n v="186"/>
    <x v="7"/>
    <m/>
    <x v="0"/>
    <x v="3"/>
    <s v="NM"/>
    <s v="25-00333"/>
    <s v="N/A"/>
    <s v="50L Counter - top model development from OEM"/>
    <s v="OEM-VEELINE"/>
    <x v="0"/>
    <s v="ICM"/>
    <s v="Marketing/Sales"/>
    <s v="Complete Cooler"/>
    <s v="N/A"/>
    <s v="N/A"/>
    <n v="2"/>
    <m/>
    <s v="Yes"/>
    <m/>
    <m/>
    <n v="4"/>
    <m/>
    <n v="2"/>
    <s v="Yes"/>
    <s v="Not Started"/>
    <n v="1"/>
    <m/>
    <m/>
    <m/>
    <m/>
    <m/>
    <s v="Cancelled"/>
    <m/>
    <s v="Rishi"/>
  </r>
  <r>
    <n v="187"/>
    <x v="7"/>
    <m/>
    <x v="1"/>
    <x v="0"/>
    <s v="NM"/>
    <s v="25-00327"/>
    <s v="N/A"/>
    <s v="SC-300 R290 conversions with cost effective measures - BSL (SC5-325)"/>
    <s v="IND"/>
    <x v="0"/>
    <s v="ICM"/>
    <s v="Marketing/Sales"/>
    <s v="Complete Cooler"/>
    <s v="N/A"/>
    <s v="N/A"/>
    <n v="4"/>
    <n v="2"/>
    <s v="Yes"/>
    <m/>
    <m/>
    <n v="7"/>
    <m/>
    <n v="3"/>
    <s v="No"/>
    <s v="N/A"/>
    <n v="1.5"/>
    <s v="N/A"/>
    <m/>
    <m/>
    <m/>
    <m/>
    <s v="Industrialization"/>
    <s v="Cooler are ready to send for customer approval_x000a_TF release with exploded view,spare list and technical ppt._x000a_Pilot to be done by Wk23._x000a_Pilot completed on 10-06-2026._x000a_Go-ahead will be given by PD after testing of the pilot cooler._x000a_Go-ahead will be given from PD side by Wk27._x000a_Succesfully commerciliazed."/>
    <s v="Atul"/>
  </r>
  <r>
    <n v="188"/>
    <x v="7"/>
    <m/>
    <x v="1"/>
    <x v="0"/>
    <s v="NM"/>
    <s v="25-00328"/>
    <s v="N/A"/>
    <s v="SC-375 R290 conversions with cost effective measures - BSL (SC5-400)"/>
    <s v="IND"/>
    <x v="0"/>
    <s v="ICM"/>
    <s v="Marketing/Sales"/>
    <s v="Complete Cooler"/>
    <s v="N/A"/>
    <s v="N/A"/>
    <n v="4"/>
    <n v="2"/>
    <s v="Yes"/>
    <m/>
    <m/>
    <n v="7"/>
    <m/>
    <n v="3"/>
    <s v="No"/>
    <s v="N/A"/>
    <n v="1.5"/>
    <s v="N/A"/>
    <m/>
    <m/>
    <m/>
    <m/>
    <s v="Commercialized"/>
    <s v="Cooler are ready to send for customer approval_x000a_TF release with exploded view,spare list and technical ppt._x000a_Pilot to be done by 21-05-26_x000a_Pilot Point closure and testing approval will be completed by Week 23._x000a_Successfully commercialized on 27-05-26."/>
    <s v="Atul"/>
  </r>
  <r>
    <n v="189"/>
    <x v="7"/>
    <m/>
    <x v="1"/>
    <x v="0"/>
    <s v="NM"/>
    <s v="25-00329"/>
    <s v="N/A"/>
    <s v="SC-500 R290 conversions with cost effective measures - BSL (SC5-500C)"/>
    <s v="IND"/>
    <x v="0"/>
    <s v="ICM"/>
    <s v="Marketing/Sales"/>
    <s v="Complete Cooler"/>
    <s v="N/A"/>
    <s v="N/A"/>
    <n v="4"/>
    <n v="2"/>
    <s v="Yes"/>
    <m/>
    <m/>
    <n v="7"/>
    <m/>
    <n v="3"/>
    <s v="No"/>
    <s v="N/A"/>
    <n v="1.5"/>
    <s v="N/A"/>
    <m/>
    <m/>
    <m/>
    <m/>
    <s v="Industrialization"/>
    <s v="Cooler are ready to send for customer approval_x000a_TF release to be release with exploded view,spare list and technical ppt._x000a_Pilot to be done by Wk24._x000a_Pilot done and cooler submitted to PD for testing._x000a_Go-ahead will be given from PD side by Wk28."/>
    <s v="Atul"/>
  </r>
  <r>
    <n v="190"/>
    <x v="7"/>
    <m/>
    <x v="1"/>
    <x v="0"/>
    <s v="NM"/>
    <s v="25-00330"/>
    <s v="N/A"/>
    <s v="SC-650 R290 conversions with cost effective measures - BSL (SC5-675C)"/>
    <s v="IND"/>
    <x v="0"/>
    <s v="ICM"/>
    <s v="Marketing/Sales"/>
    <s v="Complete Cooler"/>
    <s v="N/A"/>
    <s v="N/A"/>
    <n v="4"/>
    <n v="2"/>
    <s v="Yes"/>
    <m/>
    <m/>
    <n v="7"/>
    <m/>
    <n v="3"/>
    <s v="No"/>
    <s v="N/A"/>
    <n v="1.5"/>
    <s v="N/A"/>
    <m/>
    <m/>
    <m/>
    <m/>
    <s v="Industrialization"/>
    <s v="Proto submitted-PD go ahead awaited- _x000a_Cooler are ready to send for customer approval_x000a_TF release to be release with exploded view,spare list and technical ppt._x000a_Pilot to be done by Wk25._x000a_Pilot to be done by Wk28."/>
    <s v="Lokesh"/>
  </r>
  <r>
    <n v="191"/>
    <x v="7"/>
    <m/>
    <x v="1"/>
    <x v="0"/>
    <s v="NM"/>
    <s v="25-00331"/>
    <s v="N/A"/>
    <s v="SC-1000 R290 conversions with cost effective measures - BSL (SC5-1100C)"/>
    <s v="IND"/>
    <x v="0"/>
    <s v="ICM"/>
    <s v="Marketing/Sales"/>
    <s v="Complete Cooler"/>
    <s v="N/A"/>
    <s v="N/A"/>
    <n v="4"/>
    <n v="2"/>
    <s v="Yes"/>
    <m/>
    <m/>
    <n v="7"/>
    <m/>
    <n v="3"/>
    <s v="No"/>
    <s v="N/A"/>
    <n v="1.5"/>
    <s v="N/A"/>
    <m/>
    <m/>
    <m/>
    <m/>
    <s v="Industrialization"/>
    <s v="Cooler are ready to send for customer approval_x000a_TF release to be release with exploded view,spare list and technical ppt._x000a_Pilot to be done by Wk25._x000a_Pilot done and cooler submitted to PD for testing._x000a_Go-ahead will be given from PD side by Wk28._x000a_Succesfully commerciliazed."/>
    <s v="Atul"/>
  </r>
  <r>
    <n v="192"/>
    <x v="0"/>
    <m/>
    <x v="1"/>
    <x v="2"/>
    <s v="CO"/>
    <s v="25-00300"/>
    <s v="25IND014"/>
    <s v="I-Lock(Blue Star) : New Supplier Development_x000a_Keyman -&gt; Noble Lock"/>
    <s v="IND"/>
    <x v="0"/>
    <s v="ICM"/>
    <s v="Central Procurement Group"/>
    <s v="Insulated Cabin"/>
    <s v="Steel &amp; Parts"/>
    <s v="Locks"/>
    <n v="3"/>
    <n v="0.2"/>
    <s v="No"/>
    <m/>
    <m/>
    <n v="0"/>
    <m/>
    <n v="0"/>
    <s v="No"/>
    <s v="N/A"/>
    <n v="0"/>
    <s v="Sourcing team to submit correct samples."/>
    <m/>
    <m/>
    <m/>
    <m/>
    <s v="Industrialization"/>
    <s v="Sample to be recieved for Fitment check"/>
    <s v="Rahul"/>
  </r>
  <r>
    <n v="193"/>
    <x v="5"/>
    <m/>
    <x v="1"/>
    <x v="0"/>
    <s v="NM"/>
    <s v="25-00325"/>
    <s v="N/A"/>
    <s v="2026 Energy Target-Coke protocol-S200 in R600 SJ66 compressor"/>
    <s v="IND"/>
    <x v="0"/>
    <s v="ICM"/>
    <s v="Marketing/Sales"/>
    <s v="Cooling Mechanism"/>
    <s v="N/A"/>
    <s v="N/A"/>
    <n v="4"/>
    <n v="2"/>
    <s v="Yes"/>
    <m/>
    <m/>
    <n v="7"/>
    <m/>
    <n v="10"/>
    <s v="Yes"/>
    <s v="Not Started"/>
    <n v="1.5"/>
    <m/>
    <m/>
    <m/>
    <m/>
    <m/>
    <s v="Industrialization"/>
    <s v="Long lead→Wk37_x000a_Testing/Customer report submission→Wk52_x000a_Safety→Wk51_x000a_TF→Wk42 (with cost reduction initiatives)_x000a_Proto→Done in Wk51./ Go ahead by week 52_x000a_Testing/Customer report to be submitted by Wk52_x000a_Waiting for customer approval._x000a_Proto point closure report will release by WK02'26._x000a_The pilot to be done by last week of june._x000a_The pilot to be done by 1st week of July."/>
    <s v="Lokesh/Rahul"/>
  </r>
  <r>
    <n v="194"/>
    <x v="5"/>
    <m/>
    <x v="1"/>
    <x v="0"/>
    <s v="BC"/>
    <s v="25-00326"/>
    <s v="N/A"/>
    <s v="2026 Energy Target-Coke protocol-S500 with Added Options"/>
    <s v="IND"/>
    <x v="0"/>
    <s v="ICM"/>
    <s v="Marketing/Sales"/>
    <s v="Cooling Mechanism"/>
    <s v="N/A"/>
    <s v="N/A"/>
    <n v="4"/>
    <n v="3"/>
    <s v="Yes"/>
    <m/>
    <m/>
    <n v="6"/>
    <m/>
    <n v="40"/>
    <s v="Yes"/>
    <s v="Not Started"/>
    <n v="1.5"/>
    <s v="Safety- To be verified after configuration is finalized"/>
    <m/>
    <m/>
    <m/>
    <m/>
    <s v="In Que"/>
    <m/>
    <s v="Lokesh"/>
  </r>
  <r>
    <n v="195"/>
    <x v="0"/>
    <m/>
    <x v="1"/>
    <x v="2"/>
    <s v="CO"/>
    <s v="25-00268-2"/>
    <s v="25IND010-2"/>
    <s v="Plastic Fan casing Inclusion of Plastic Fan Casing in S-40/SP-500"/>
    <s v="IND"/>
    <x v="0"/>
    <s v="ICM"/>
    <s v="PD"/>
    <s v="Cooling Mechanism"/>
    <s v="Steel &amp; Parts"/>
    <s v="Steel-GI"/>
    <n v="3"/>
    <n v="0"/>
    <s v="Yes"/>
    <m/>
    <m/>
    <n v="0"/>
    <m/>
    <n v="0"/>
    <s v="Yes"/>
    <s v="Completed"/>
    <n v="0"/>
    <s v="Plastic fan casing pictures to be changed."/>
    <m/>
    <m/>
    <m/>
    <m/>
    <s v="Industrialization"/>
    <s v="IPD and EC testing will be completed by WK05, with results expected in the same week._x000a_TF will be released once the results are available._x000a_TF released in WK5._x000a_Proto completed on Wk9._x000a_Cooler testing for IPD/EC will be completed by Week 13._x000a_Proto Point closure report will be share by Wk13._x000a_Go ahead for pilot will be given by Wk14_x000a_Sales team is making new PCD for Pilot lot"/>
    <s v="Nikhil"/>
  </r>
  <r>
    <n v="196"/>
    <x v="0"/>
    <m/>
    <x v="1"/>
    <x v="2"/>
    <s v="CO"/>
    <s v="25-00268-3"/>
    <s v="25IND010-3"/>
    <s v="Plastic Fan casing Inclusion of Plastic Fan Casing in S-450"/>
    <s v="IND"/>
    <x v="0"/>
    <s v="ICM"/>
    <s v="PD"/>
    <s v="Cooling Mechanism"/>
    <s v="Steel &amp; Parts"/>
    <s v="Steel-GI"/>
    <n v="3"/>
    <n v="2"/>
    <s v="Yes"/>
    <m/>
    <m/>
    <n v="2"/>
    <m/>
    <n v="1"/>
    <s v="Yes"/>
    <s v="Completed"/>
    <n v="0"/>
    <s v="Plastic fan casing pictures to be changed."/>
    <m/>
    <m/>
    <m/>
    <m/>
    <s v="Industrialization"/>
    <s v="Testing→IPD and POC completed,result found ok_x000a_Testing→IPD and POC will be completed by WK03'26 with some required design changes._x000a_TF to be released by jan end._x000a_TF released on 19-01-2025._x000a_Prototype will be planned by WK06._x000a_Prototype point will be close by Wk09_x000a_protp point closure report shared with TS on WK08._x000a_Sales team is making new PCD for Pilot lot"/>
    <s v="Rishi"/>
  </r>
  <r>
    <n v="197"/>
    <x v="0"/>
    <m/>
    <x v="1"/>
    <x v="2"/>
    <s v="CO"/>
    <s v="25-00268-1"/>
    <s v="25IND010-1"/>
    <s v="Plastic Fan casing Inclusion of Plastic Fan Casing in S-45"/>
    <s v="IND"/>
    <x v="0"/>
    <s v="ICM"/>
    <s v="PD"/>
    <s v="Cooling Mechanism"/>
    <s v="Steel &amp; Parts"/>
    <s v="Steel-GI"/>
    <n v="3"/>
    <n v="0"/>
    <s v="Yes"/>
    <m/>
    <m/>
    <n v="0"/>
    <m/>
    <n v="0"/>
    <s v="Yes"/>
    <s v="Completed"/>
    <n v="0"/>
    <s v="Plastic fan casing pictures to be changed."/>
    <m/>
    <m/>
    <m/>
    <m/>
    <s v="Industrialization"/>
    <s v="Testing→IPD and POC completed,result found ok_x000a_Testing→IPD and POC will be completed by WK03'26 with some required design changes._x000a_TF to be released by jan end._x000a_TF released on 19-01-2025._x000a_Prototype will be planned by WK06._x000a_Prototype will be planned by WK06._x000a_Prototype point will be close by Wk09_x000a_protp point closure report shared with TS on WK08._x000a_Sales team is making new PCD for Pilot lot"/>
    <s v="Rishi"/>
  </r>
  <r>
    <n v="198"/>
    <x v="5"/>
    <m/>
    <x v="1"/>
    <x v="0"/>
    <s v="NO"/>
    <s v="23-00147-1"/>
    <s v="N/A"/>
    <s v="Illuminated Taxi canopy option in VG 200 &amp; VG250"/>
    <s v="IND"/>
    <x v="0"/>
    <s v="ICM"/>
    <s v="Marketing/Sales"/>
    <s v="Cabin Electronics"/>
    <s v="N/A"/>
    <s v="N/A"/>
    <n v="4"/>
    <n v="2"/>
    <s v="No"/>
    <m/>
    <m/>
    <n v="0.5"/>
    <m/>
    <n v="0"/>
    <s v="No"/>
    <s v="N/A"/>
    <n v="0"/>
    <s v="N/A"/>
    <m/>
    <m/>
    <m/>
    <m/>
    <s v="Industrialization"/>
    <s v="Cocnept ready Marketing/Sales go ahead needed, Safety requirement is there or not. TF to be release by end of dec._x000a_Sheetmetal part drawing shared with SCM team for laser cut sample and costing._x000a_TF to be release by end of dec._x000a_S-200 TF release on 08-01-2025"/>
    <s v="Nikhil"/>
  </r>
  <r>
    <n v="199"/>
    <x v="5"/>
    <m/>
    <x v="1"/>
    <x v="0"/>
    <s v="NO"/>
    <s v="23-00147-2"/>
    <s v="N/A"/>
    <s v="Illuminated Taxi canopy option in VG300 &amp; VG400/S35"/>
    <s v="IND"/>
    <x v="0"/>
    <s v="ICM"/>
    <s v="Marketing/Sales"/>
    <s v="Shelving"/>
    <s v="N/A"/>
    <s v="N/A"/>
    <n v="4"/>
    <n v="2"/>
    <s v="Yes"/>
    <m/>
    <m/>
    <n v="0"/>
    <m/>
    <n v="0"/>
    <s v="Yes"/>
    <s v="Not Started"/>
    <n v="0"/>
    <m/>
    <m/>
    <m/>
    <m/>
    <m/>
    <s v="Industrialization"/>
    <s v="Cocnept ready Marketing/Sales go ahead needed, Safety requirement Is there or not. TF to be released by_x000a_Sheetmetal part drawing shared with SCM team for laser cut sample and costing._x000a_S-35 TF released on 30-12-2025._x000a_The prototype will be prepared by Week 23._x000a_Samples received from the supplier are not up to the mark, so the final samples will be received by Week 25._x000a_Final samples receive from Supplier side._x000a_1 Sample prepare for Bluestar SC5-400 cooler._x000a_S-35 prototype need to done."/>
    <s v="Nikhil"/>
  </r>
  <r>
    <n v="200"/>
    <x v="10"/>
    <m/>
    <x v="1"/>
    <x v="0"/>
    <s v="BC"/>
    <s v="25-00337"/>
    <s v="N/A"/>
    <s v="S-60 testing and development  - As per Heineiken protocol"/>
    <s v="IND"/>
    <x v="0"/>
    <s v="ICM"/>
    <s v="Marketing/Sales"/>
    <s v="Complete Cooler"/>
    <s v="N/A"/>
    <s v="N/A"/>
    <n v="4"/>
    <n v="6"/>
    <s v="Yes"/>
    <m/>
    <m/>
    <n v="7"/>
    <m/>
    <n v="10"/>
    <s v="No"/>
    <s v="N/A"/>
    <n v="1.5"/>
    <s v="N/A"/>
    <m/>
    <m/>
    <m/>
    <m/>
    <s v="Development"/>
    <s v="Testing→Certifcation testing completed- Report to be submitted by end of this week_x000a_Testing completed"/>
    <s v="Zakir"/>
  </r>
  <r>
    <n v="201"/>
    <x v="10"/>
    <m/>
    <x v="1"/>
    <x v="0"/>
    <s v="NM"/>
    <s v="25-00338"/>
    <s v="N/A"/>
    <s v="S-1100 testing and development  - As per Heineiken protocol"/>
    <s v="IND"/>
    <x v="0"/>
    <s v="ICM"/>
    <s v="Marketing/Sales"/>
    <s v="Complete Cooler"/>
    <s v="N/A"/>
    <s v="N/A"/>
    <n v="8"/>
    <n v="6"/>
    <s v="Yes"/>
    <m/>
    <m/>
    <n v="10"/>
    <m/>
    <n v="40"/>
    <s v="No"/>
    <s v="N/A"/>
    <n v="1.5"/>
    <s v="N/A"/>
    <m/>
    <m/>
    <m/>
    <m/>
    <s v="On Hold"/>
    <s v="Need to follow up for testing"/>
    <s v="Nikhil"/>
  </r>
  <r>
    <n v="202"/>
    <x v="10"/>
    <m/>
    <x v="1"/>
    <x v="0"/>
    <s v="NM"/>
    <s v="25-00339"/>
    <s v="N/A"/>
    <s v="S-45  testing and development  - As per Heineiken protocol"/>
    <s v="IND"/>
    <x v="0"/>
    <s v="ICM"/>
    <s v="Marketing/Sales"/>
    <s v="Complete Cooler"/>
    <s v="N/A"/>
    <s v="N/A"/>
    <n v="8"/>
    <n v="8"/>
    <s v="Yes"/>
    <m/>
    <m/>
    <n v="10"/>
    <m/>
    <n v="40"/>
    <s v="No"/>
    <s v="N/A"/>
    <n v="1.5"/>
    <s v="N/A"/>
    <m/>
    <m/>
    <m/>
    <m/>
    <s v="On Hold"/>
    <s v="Need to follow up for testing"/>
    <s v="Rishi"/>
  </r>
  <r>
    <n v="203"/>
    <x v="7"/>
    <m/>
    <x v="1"/>
    <x v="0"/>
    <s v="BC"/>
    <s v="25-00370-1"/>
    <s v="N/A"/>
    <s v="S-45 SZ Feasibility Study EEI&gt;15% ~20%"/>
    <s v="IND"/>
    <x v="0"/>
    <s v="ICM"/>
    <s v="PD"/>
    <s v="Complete Cooler"/>
    <s v="N/A"/>
    <s v="N/A"/>
    <n v="4"/>
    <n v="3"/>
    <s v="Yes"/>
    <m/>
    <m/>
    <n v="8"/>
    <m/>
    <n v="70"/>
    <s v="Yes"/>
    <s v="Not Started"/>
    <n v="0"/>
    <m/>
    <m/>
    <m/>
    <m/>
    <m/>
    <s v="Development"/>
    <s v="Testing→POC is in progress._x000a_Feasibility study  - In progress"/>
    <s v="Lokesh"/>
  </r>
  <r>
    <n v="204"/>
    <x v="7"/>
    <m/>
    <x v="0"/>
    <x v="0"/>
    <s v="BC"/>
    <s v="25-00370-2"/>
    <s v="N/A"/>
    <s v="S-60 SZ Feasibility Study EEI&gt;15% ~20%"/>
    <s v="IND"/>
    <x v="0"/>
    <s v="ICM"/>
    <s v="PD"/>
    <s v="Complete Cooler"/>
    <s v="N/A"/>
    <s v="N/A"/>
    <n v="3"/>
    <n v="3"/>
    <s v="Yes"/>
    <m/>
    <m/>
    <n v="8"/>
    <m/>
    <n v="0"/>
    <s v="Yes"/>
    <s v="Not Started"/>
    <n v="0"/>
    <m/>
    <m/>
    <m/>
    <m/>
    <m/>
    <s v="Cancelled"/>
    <m/>
    <s v="Rishi"/>
  </r>
  <r>
    <n v="205"/>
    <x v="6"/>
    <m/>
    <x v="1"/>
    <x v="0"/>
    <s v="NM"/>
    <s v="TBD"/>
    <s v="N/A"/>
    <s v="8 facing FFD C rating for EU (S-500 ex India)"/>
    <s v="IND"/>
    <x v="0"/>
    <s v="ICM"/>
    <s v="Marketing/Sales"/>
    <m/>
    <m/>
    <m/>
    <n v="8"/>
    <n v="8"/>
    <m/>
    <m/>
    <m/>
    <m/>
    <m/>
    <m/>
    <m/>
    <m/>
    <m/>
    <m/>
    <m/>
    <m/>
    <m/>
    <m/>
    <s v="In Que"/>
    <m/>
    <s v="Rishi"/>
  </r>
  <r>
    <n v="206"/>
    <x v="6"/>
    <m/>
    <x v="0"/>
    <x v="0"/>
    <s v="IMP"/>
    <s v="TBD"/>
    <s v="N/A"/>
    <s v="Frameless look alike aesthetics for India models "/>
    <s v="IND"/>
    <x v="0"/>
    <s v="ICM"/>
    <s v="Marketing/Sales"/>
    <m/>
    <m/>
    <m/>
    <m/>
    <m/>
    <m/>
    <m/>
    <m/>
    <m/>
    <m/>
    <m/>
    <m/>
    <m/>
    <m/>
    <m/>
    <m/>
    <m/>
    <m/>
    <m/>
    <s v="Cancelled"/>
    <m/>
    <m/>
  </r>
  <r>
    <n v="207"/>
    <x v="5"/>
    <m/>
    <x v="0"/>
    <x v="0"/>
    <s v="BC"/>
    <s v="24-00218"/>
    <s v="N/A"/>
    <s v="VG 200 R290 - 5 star (All models in cabin)"/>
    <s v="IND"/>
    <x v="0"/>
    <s v="ICM"/>
    <s v="Marketing/Sales"/>
    <s v="Cooling Mechanism"/>
    <s v="N/A"/>
    <s v="N/A"/>
    <n v="3"/>
    <n v="2"/>
    <s v="Yes"/>
    <m/>
    <m/>
    <n v="6"/>
    <m/>
    <n v="2"/>
    <s v="Yes"/>
    <s v="Not Started"/>
    <n v="1"/>
    <s v="Safety- To be verified after configuration is finalized"/>
    <m/>
    <m/>
    <m/>
    <m/>
    <s v="Cancelled"/>
    <m/>
    <s v="Rahul"/>
  </r>
  <r>
    <n v="208"/>
    <x v="5"/>
    <m/>
    <x v="0"/>
    <x v="0"/>
    <s v="BC"/>
    <s v="24-00220"/>
    <s v="N/A"/>
    <s v="VG 250 R290 - 5 star (All models in cabin)"/>
    <s v="IND"/>
    <x v="0"/>
    <s v="ICM"/>
    <s v="Marketing/Sales"/>
    <s v="Cooling Mechanism"/>
    <s v="N/A"/>
    <s v="N/A"/>
    <n v="3"/>
    <n v="2"/>
    <s v="Yes"/>
    <m/>
    <m/>
    <n v="6"/>
    <m/>
    <n v="2"/>
    <s v="Yes"/>
    <s v="Not Started"/>
    <n v="1"/>
    <s v="Safety- To be verified after configuration is finalized"/>
    <m/>
    <m/>
    <m/>
    <m/>
    <s v="Cancelled"/>
    <m/>
    <s v="Rahul"/>
  </r>
  <r>
    <n v="209"/>
    <x v="5"/>
    <m/>
    <x v="0"/>
    <x v="0"/>
    <s v="BC"/>
    <s v="24-00208"/>
    <s v="N/A"/>
    <s v="VG 400 R290 - 5 star (All models in cabin)"/>
    <s v="IND"/>
    <x v="0"/>
    <s v="ICM"/>
    <s v="Marketing/Sales"/>
    <s v="Cooling Mechanism"/>
    <s v="N/A"/>
    <s v="N/A"/>
    <n v="3"/>
    <n v="2"/>
    <s v="Yes"/>
    <m/>
    <m/>
    <n v="6"/>
    <m/>
    <n v="2"/>
    <s v="Yes"/>
    <s v="Not Started"/>
    <n v="1"/>
    <s v="Safety- To be verified after configuration is finalized"/>
    <m/>
    <m/>
    <m/>
    <m/>
    <s v="Cancelled"/>
    <m/>
    <s v="Nikhil"/>
  </r>
  <r>
    <n v="210"/>
    <x v="5"/>
    <m/>
    <x v="0"/>
    <x v="0"/>
    <s v="BC"/>
    <s v="24-00209"/>
    <s v="N/A"/>
    <s v="VG 300 R290 - 5 star (All models in cabin)"/>
    <s v="IND"/>
    <x v="0"/>
    <s v="ICM"/>
    <s v="Marketing/Sales"/>
    <s v="Cooling Mechanism"/>
    <s v="N/A"/>
    <s v="N/A"/>
    <n v="3"/>
    <n v="2"/>
    <s v="Yes"/>
    <m/>
    <m/>
    <n v="6"/>
    <m/>
    <n v="2"/>
    <s v="Yes"/>
    <s v="Not Started"/>
    <n v="1"/>
    <s v="Safety- To be verified after configuration is finalized"/>
    <m/>
    <m/>
    <m/>
    <m/>
    <s v="Cancelled"/>
    <m/>
    <s v="Nikhil"/>
  </r>
  <r>
    <n v="211"/>
    <x v="5"/>
    <m/>
    <x v="0"/>
    <x v="0"/>
    <s v="BC"/>
    <s v="24-00210"/>
    <s v="N/A"/>
    <s v="VG 450 R290 - 5 star (All models in cabin)"/>
    <s v="IND"/>
    <x v="0"/>
    <s v="ICM"/>
    <s v="Marketing/Sales"/>
    <s v="Cooling Mechanism"/>
    <s v="N/A"/>
    <s v="N/A"/>
    <n v="3"/>
    <n v="2"/>
    <s v="Yes"/>
    <m/>
    <m/>
    <n v="6"/>
    <m/>
    <n v="2"/>
    <s v="Yes"/>
    <s v="Not Started"/>
    <n v="1"/>
    <s v="Safety- To be verified after configuration is finalized"/>
    <m/>
    <m/>
    <m/>
    <m/>
    <s v="Cancelled"/>
    <m/>
    <s v="Nikhil"/>
  </r>
  <r>
    <n v="212"/>
    <x v="5"/>
    <m/>
    <x v="0"/>
    <x v="0"/>
    <s v="BC"/>
    <s v="24-00213"/>
    <s v="N/A"/>
    <s v="VG500 R290 - 5 star (All models in cabin)"/>
    <s v="IND"/>
    <x v="0"/>
    <s v="ICM"/>
    <s v="Marketing/Sales"/>
    <s v="Cooling Mechanism"/>
    <s v="N/A"/>
    <s v="N/A"/>
    <n v="3"/>
    <n v="2"/>
    <s v="Yes"/>
    <m/>
    <m/>
    <n v="6"/>
    <m/>
    <n v="2"/>
    <s v="Yes"/>
    <s v="Not Started"/>
    <n v="1"/>
    <s v="Safety- To be verified after configuration is finalized"/>
    <m/>
    <m/>
    <m/>
    <m/>
    <s v="Cancelled"/>
    <m/>
    <s v="Nikhil"/>
  </r>
  <r>
    <n v="213"/>
    <x v="10"/>
    <m/>
    <x v="0"/>
    <x v="0"/>
    <s v="BC"/>
    <s v="24-00216"/>
    <s v="N/A"/>
    <s v="VG 550 R290 - 5 star (All models in cabin)"/>
    <s v="IND"/>
    <x v="0"/>
    <s v="ICM"/>
    <s v="Marketing/Sales"/>
    <s v="Cooling Mechanism"/>
    <s v="N/A"/>
    <s v="N/A"/>
    <n v="3"/>
    <n v="2"/>
    <s v="Yes"/>
    <m/>
    <m/>
    <n v="6"/>
    <m/>
    <n v="2"/>
    <s v="Yes"/>
    <s v="Not Started"/>
    <n v="1"/>
    <s v="Safety- To be verified after configuration is finalized"/>
    <m/>
    <m/>
    <m/>
    <m/>
    <s v="Cancelled"/>
    <m/>
    <s v="Rahul"/>
  </r>
  <r>
    <n v="214"/>
    <x v="5"/>
    <m/>
    <x v="0"/>
    <x v="0"/>
    <s v="BC"/>
    <s v="24-00211"/>
    <s v="N/A"/>
    <s v="VG600 R290 - 5 star (All models in cabin)"/>
    <s v="IND"/>
    <x v="0"/>
    <s v="ICM"/>
    <s v="Marketing/Sales"/>
    <s v="Cooling Mechanism"/>
    <s v="N/A"/>
    <s v="N/A"/>
    <n v="3"/>
    <n v="2"/>
    <s v="Yes"/>
    <m/>
    <m/>
    <n v="6"/>
    <m/>
    <n v="2"/>
    <s v="Yes"/>
    <s v="Not Started"/>
    <n v="1"/>
    <s v="Safety- To be verified after configuration is finalized"/>
    <m/>
    <m/>
    <m/>
    <m/>
    <s v="Cancelled"/>
    <m/>
    <s v="Nikhil"/>
  </r>
  <r>
    <n v="215"/>
    <x v="10"/>
    <m/>
    <x v="0"/>
    <x v="0"/>
    <s v="BC"/>
    <s v="24-00217"/>
    <s v="N/A"/>
    <s v="VG 650 R290 - 5 star (All models in cabin)"/>
    <s v="IND"/>
    <x v="0"/>
    <s v="ICM"/>
    <s v="Marketing/Sales"/>
    <s v="Cooling Mechanism"/>
    <s v="N/A"/>
    <s v="N/A"/>
    <n v="3"/>
    <n v="2"/>
    <s v="Yes"/>
    <m/>
    <m/>
    <n v="6"/>
    <m/>
    <n v="2"/>
    <s v="Yes"/>
    <s v="Not Started"/>
    <n v="1"/>
    <s v="Safety- To be verified after configuration is finalized"/>
    <m/>
    <m/>
    <m/>
    <m/>
    <s v="Cancelled"/>
    <m/>
    <s v="Rahul"/>
  </r>
  <r>
    <n v="216"/>
    <x v="5"/>
    <m/>
    <x v="0"/>
    <x v="0"/>
    <s v="BC"/>
    <s v="24-00215"/>
    <s v="N/A"/>
    <s v="VG700 R290 - 5 star (All models in cabin)"/>
    <s v="IND"/>
    <x v="0"/>
    <s v="ICM"/>
    <s v="Marketing/Sales"/>
    <s v="Cooling Mechanism"/>
    <s v="N/A"/>
    <s v="N/A"/>
    <n v="3"/>
    <n v="2"/>
    <s v="Yes"/>
    <m/>
    <m/>
    <n v="6"/>
    <m/>
    <n v="2"/>
    <s v="Yes"/>
    <s v="Not Started"/>
    <n v="1"/>
    <s v="Safety- To be verified after configuration is finalized"/>
    <m/>
    <m/>
    <m/>
    <m/>
    <s v="Cancelled"/>
    <m/>
    <s v="Nikhil"/>
  </r>
  <r>
    <n v="217"/>
    <x v="5"/>
    <m/>
    <x v="0"/>
    <x v="0"/>
    <s v="BC"/>
    <s v="24-00214"/>
    <s v="N/A"/>
    <s v="VG950 R290 - 5 star (All models in cabin)"/>
    <s v="IND"/>
    <x v="0"/>
    <s v="ICM"/>
    <s v="Marketing/Sales"/>
    <s v="Cooling Mechanism"/>
    <s v="N/A"/>
    <s v="N/A"/>
    <n v="3"/>
    <n v="2"/>
    <s v="Yes"/>
    <m/>
    <m/>
    <n v="6"/>
    <m/>
    <n v="2"/>
    <s v="Yes"/>
    <s v="Not Started"/>
    <n v="1"/>
    <s v="Safety- To be verified after configuration is finalized"/>
    <m/>
    <m/>
    <m/>
    <m/>
    <s v="Cancelled"/>
    <m/>
    <s v="Nikhil"/>
  </r>
  <r>
    <n v="218"/>
    <x v="10"/>
    <m/>
    <x v="0"/>
    <x v="0"/>
    <s v="BC"/>
    <s v="24-00219"/>
    <s v="N/A"/>
    <s v="VG 1100 R290 - 5 star (All models in cabin)"/>
    <s v="IND"/>
    <x v="0"/>
    <s v="ICM"/>
    <s v="Marketing/Sales"/>
    <s v="Cooling Mechanism"/>
    <s v="N/A"/>
    <s v="N/A"/>
    <n v="3"/>
    <n v="2"/>
    <s v="Yes"/>
    <m/>
    <m/>
    <n v="6"/>
    <m/>
    <n v="2"/>
    <s v="Yes"/>
    <s v="Not Started"/>
    <n v="1"/>
    <s v="Safety- To be verified after configuration is finalized"/>
    <m/>
    <m/>
    <m/>
    <m/>
    <s v="Cancelled"/>
    <m/>
    <s v="Nikhil"/>
  </r>
  <r>
    <n v="219"/>
    <x v="10"/>
    <m/>
    <x v="0"/>
    <x v="0"/>
    <s v="BC"/>
    <s v="25-00290"/>
    <s v="N/A"/>
    <s v="SLF-500 R290 V2-5 star (All models in cabin)"/>
    <s v="IND"/>
    <x v="0"/>
    <s v="ICM"/>
    <s v="Marketing/Sales"/>
    <s v="Cooling Mechanism"/>
    <s v="N/A"/>
    <s v="N/A"/>
    <n v="3"/>
    <n v="2"/>
    <s v="Yes"/>
    <m/>
    <m/>
    <n v="10"/>
    <m/>
    <n v="2"/>
    <s v="Yes"/>
    <s v="Not Started"/>
    <n v="1"/>
    <s v="Safety- To be verified after configuration is finalized"/>
    <m/>
    <m/>
    <m/>
    <m/>
    <s v="Cancelled"/>
    <m/>
    <s v="Rahul"/>
  </r>
  <r>
    <n v="220"/>
    <x v="2"/>
    <m/>
    <x v="1"/>
    <x v="2"/>
    <s v="CO"/>
    <s v="22-00060"/>
    <s v="24IND016"/>
    <s v="ON OFF switch development"/>
    <s v="IND"/>
    <x v="0"/>
    <s v="ICM"/>
    <s v="Central Procurement Group"/>
    <s v="Electrical Parts"/>
    <s v="Other"/>
    <s v="Other Materials"/>
    <n v="3"/>
    <n v="2"/>
    <s v="No"/>
    <m/>
    <m/>
    <n v="0"/>
    <m/>
    <n v="0"/>
    <s v="No"/>
    <s v="N/A"/>
    <n v="0"/>
    <m/>
    <m/>
    <m/>
    <m/>
    <m/>
    <s v="In Que"/>
    <m/>
    <s v="Rahul"/>
  </r>
  <r>
    <n v="221"/>
    <x v="6"/>
    <m/>
    <x v="1"/>
    <x v="0"/>
    <s v="BC"/>
    <s v="TBD"/>
    <s v="N/A"/>
    <s v="FV-1000 SZ for Heineken - Feasibility to define cost &amp; CAPEX for EEI&lt;15 &amp; EEI&lt;20"/>
    <s v="SAF"/>
    <x v="0"/>
    <s v="ICM"/>
    <s v="Marketing/Sales"/>
    <m/>
    <m/>
    <m/>
    <n v="4"/>
    <n v="8"/>
    <s v="Yes"/>
    <m/>
    <m/>
    <n v="10"/>
    <m/>
    <n v="70"/>
    <m/>
    <m/>
    <m/>
    <m/>
    <m/>
    <m/>
    <m/>
    <m/>
    <s v="In Que"/>
    <m/>
    <s v="Pawan"/>
  </r>
  <r>
    <n v="222"/>
    <x v="6"/>
    <m/>
    <x v="0"/>
    <x v="0"/>
    <s v="BC"/>
    <s v="TBD"/>
    <s v="N/A"/>
    <s v="HV-71 safe cooler development "/>
    <s v="SAF"/>
    <x v="0"/>
    <s v="ICM"/>
    <s v="Marketing/Sales"/>
    <m/>
    <m/>
    <m/>
    <n v="6"/>
    <n v="8"/>
    <m/>
    <m/>
    <m/>
    <m/>
    <m/>
    <m/>
    <m/>
    <m/>
    <m/>
    <m/>
    <m/>
    <m/>
    <m/>
    <m/>
    <s v="On Hold"/>
    <s v="TF to be released as per new communication for Meeting EC target"/>
    <s v="Pawan"/>
  </r>
  <r>
    <n v="223"/>
    <x v="10"/>
    <n v="3"/>
    <x v="1"/>
    <x v="0"/>
    <s v="IMP"/>
    <s v="25-00315"/>
    <s v="N/A"/>
    <s v="Aesthetical upgrade (frameless doors) in key account models - S. African range (SL640, SL1140, FV 1000 SZ) - Key accounts/Door outsourcing from China- for all models"/>
    <s v="SAF"/>
    <x v="0"/>
    <s v="ICM"/>
    <s v="Marketing/Sales"/>
    <s v="Door"/>
    <s v="N/A"/>
    <s v="N/A"/>
    <n v="4"/>
    <n v="0"/>
    <s v="No"/>
    <m/>
    <m/>
    <m/>
    <m/>
    <m/>
    <s v="Yes"/>
    <s v="Not Started"/>
    <m/>
    <m/>
    <m/>
    <m/>
    <m/>
    <m/>
    <s v="In Que"/>
    <m/>
    <s v="Pawan"/>
  </r>
  <r>
    <n v="224"/>
    <x v="6"/>
    <m/>
    <x v="0"/>
    <x v="0"/>
    <s v="NO"/>
    <s v="TBD"/>
    <s v="N/A"/>
    <s v="Optional features for S60 EG &amp; S-1100 EG : Castor Wheel, visible temperature display &amp; EMI filter for Morocco."/>
    <s v="Egypt"/>
    <x v="0"/>
    <s v="ICM"/>
    <s v="Marketing/Sales"/>
    <m/>
    <m/>
    <m/>
    <m/>
    <m/>
    <m/>
    <m/>
    <m/>
    <m/>
    <m/>
    <m/>
    <m/>
    <m/>
    <m/>
    <m/>
    <m/>
    <m/>
    <m/>
    <m/>
    <s v="Cancelled"/>
    <m/>
    <s v="Zakir"/>
  </r>
  <r>
    <n v="225"/>
    <x v="6"/>
    <m/>
    <x v="0"/>
    <x v="0"/>
    <s v="NO"/>
    <s v="TBD"/>
    <s v="N/A"/>
    <s v="S-60 &amp; S-1100 Cost saving project→Electrical box Removal (optimization),Shelf pilaster replacement from GI to aluminium, Shelf clip replacement from SS to aluminium,_x000a_Condenser redesign for ease of manufacturing"/>
    <s v="Egypt"/>
    <x v="0"/>
    <s v="ICM"/>
    <s v="Marketing/Sales"/>
    <m/>
    <m/>
    <m/>
    <m/>
    <m/>
    <m/>
    <m/>
    <m/>
    <m/>
    <m/>
    <m/>
    <m/>
    <m/>
    <m/>
    <m/>
    <m/>
    <m/>
    <m/>
    <m/>
    <s v="Cancelled"/>
    <m/>
    <s v="Zakir"/>
  </r>
  <r>
    <n v="226"/>
    <x v="5"/>
    <m/>
    <x v="0"/>
    <x v="0"/>
    <s v="BC"/>
    <s v="TBR"/>
    <s v="N/A"/>
    <s v="FV-1000 D, EC 26 development - SEA"/>
    <s v="INN"/>
    <x v="0"/>
    <s v="ICM"/>
    <s v="Marketing/Sales"/>
    <s v="Cooling Mechanism"/>
    <s v="N/A"/>
    <s v="N/A"/>
    <n v="3"/>
    <n v="2"/>
    <s v="Yes"/>
    <m/>
    <m/>
    <n v="6"/>
    <m/>
    <n v="2"/>
    <s v="Yes"/>
    <s v="Not Started"/>
    <n v="1.5"/>
    <m/>
    <m/>
    <m/>
    <m/>
    <m/>
    <s v="Cancelled"/>
    <s v="New project registerered for this FVF-1000."/>
    <s v="Lokesh"/>
  </r>
  <r>
    <n v="227"/>
    <x v="6"/>
    <m/>
    <x v="1"/>
    <x v="0"/>
    <s v="NM"/>
    <s v="26-00380"/>
    <s v="N/A"/>
    <s v="SFC-700 HC @  60HZ &amp; D-Condition with back airflow &amp; Meet CC EC26 requirement "/>
    <s v="IND"/>
    <x v="0"/>
    <s v="ICM"/>
    <s v="Marketing/Sales"/>
    <m/>
    <m/>
    <m/>
    <n v="8"/>
    <n v="6"/>
    <s v="Yes"/>
    <m/>
    <m/>
    <n v="10"/>
    <m/>
    <n v="70"/>
    <m/>
    <m/>
    <m/>
    <m/>
    <m/>
    <m/>
    <m/>
    <m/>
    <s v="Cancelled"/>
    <m/>
    <s v="Lokesh"/>
  </r>
  <r>
    <n v="227"/>
    <x v="6"/>
    <n v="2"/>
    <x v="1"/>
    <x v="0"/>
    <s v="NM"/>
    <s v="26-00409"/>
    <s v="N/A"/>
    <s v="SFC-700 HC @  60HZ &amp; D-Condition with back airflow &amp; Meet CC EC26 requirement "/>
    <s v="IND"/>
    <x v="0"/>
    <s v="ICM"/>
    <s v="Marketing/Sales"/>
    <m/>
    <m/>
    <m/>
    <n v="8"/>
    <n v="6"/>
    <s v="Yes"/>
    <m/>
    <m/>
    <n v="10"/>
    <m/>
    <n v="70"/>
    <m/>
    <m/>
    <m/>
    <m/>
    <m/>
    <m/>
    <m/>
    <m/>
    <s v="In Que"/>
    <m/>
    <s v="Lokesh"/>
  </r>
  <r>
    <n v="228"/>
    <x v="6"/>
    <m/>
    <x v="0"/>
    <x v="0"/>
    <s v="NM"/>
    <s v="TBD"/>
    <s v="N/A"/>
    <s v="S-60 R134 model @ 60HZ and Back airflow with optional Castor Wheel and visible temperature display"/>
    <s v="Egypt"/>
    <x v="0"/>
    <s v="ICM"/>
    <s v="Marketing/Sales"/>
    <m/>
    <m/>
    <m/>
    <m/>
    <m/>
    <m/>
    <m/>
    <m/>
    <m/>
    <m/>
    <m/>
    <m/>
    <m/>
    <m/>
    <m/>
    <m/>
    <m/>
    <m/>
    <m/>
    <s v="Cancelled"/>
    <m/>
    <s v="Zakir"/>
  </r>
  <r>
    <n v="229"/>
    <x v="6"/>
    <m/>
    <x v="0"/>
    <x v="0"/>
    <s v="NM"/>
    <s v="TBD"/>
    <s v="N/A"/>
    <s v="S-1100 R134a model @ 60Hz and back airflow with optional Castor Wheel and visible temperature display"/>
    <s v="Egypt"/>
    <x v="0"/>
    <s v="ICM"/>
    <s v="Marketing/Sales"/>
    <m/>
    <m/>
    <m/>
    <m/>
    <m/>
    <m/>
    <m/>
    <m/>
    <m/>
    <m/>
    <m/>
    <m/>
    <m/>
    <m/>
    <m/>
    <m/>
    <m/>
    <m/>
    <m/>
    <s v="Cancelled"/>
    <m/>
    <s v="Zakir"/>
  </r>
  <r>
    <n v="230"/>
    <x v="6"/>
    <m/>
    <x v="0"/>
    <x v="1"/>
    <s v="NM"/>
    <s v="TBD"/>
    <s v="N/A"/>
    <s v="1200 L Double door cooler Sliding &amp; Hinged door @ 50&amp;60Hz with optional :  Full Glass door, Castor Wheel and visible temperature display"/>
    <s v="Egypt"/>
    <x v="0"/>
    <s v="ICM"/>
    <m/>
    <m/>
    <m/>
    <m/>
    <m/>
    <m/>
    <m/>
    <m/>
    <m/>
    <m/>
    <m/>
    <m/>
    <m/>
    <m/>
    <m/>
    <m/>
    <m/>
    <m/>
    <m/>
    <m/>
    <s v="Cancelled"/>
    <m/>
    <s v="Zakir"/>
  </r>
  <r>
    <n v="231"/>
    <x v="6"/>
    <m/>
    <x v="0"/>
    <x v="1"/>
    <s v="NM"/>
    <s v="TBD"/>
    <s v="N/A"/>
    <s v="400 L model (S-45 cabin) @50Hz with optional : Fulll glass door with Neon LED, Castor Wheel, visible temperature display &amp; EMI filter for Morocco"/>
    <s v="Egypt"/>
    <x v="0"/>
    <s v="ICM"/>
    <m/>
    <m/>
    <m/>
    <m/>
    <m/>
    <m/>
    <m/>
    <m/>
    <m/>
    <m/>
    <m/>
    <m/>
    <m/>
    <m/>
    <m/>
    <m/>
    <m/>
    <m/>
    <m/>
    <m/>
    <s v="Cancelled"/>
    <m/>
    <s v="Zakir"/>
  </r>
  <r>
    <n v="232"/>
    <x v="6"/>
    <m/>
    <x v="0"/>
    <x v="0"/>
    <s v="NM"/>
    <s v="TBD"/>
    <s v="N/A"/>
    <s v="400 L (S-45 cabin)  R134a model @ 60 Hz  with back airflow and optional :Castor Wheel &amp;visible temperature display (Saudi region)"/>
    <s v="Egypt"/>
    <x v="0"/>
    <s v="ICM"/>
    <m/>
    <m/>
    <m/>
    <m/>
    <m/>
    <m/>
    <m/>
    <m/>
    <m/>
    <m/>
    <m/>
    <m/>
    <m/>
    <m/>
    <m/>
    <m/>
    <m/>
    <m/>
    <m/>
    <m/>
    <s v="Cancelled"/>
    <m/>
    <s v="Zakir"/>
  </r>
  <r>
    <n v="233"/>
    <x v="6"/>
    <m/>
    <x v="1"/>
    <x v="0"/>
    <s v="CO"/>
    <s v="TBD"/>
    <s v="26IND014"/>
    <s v="IPS Size Optimization S-35 and S-45 MFSL70 to MFSL60-Coke/CokeExport"/>
    <s v="IND"/>
    <x v="0"/>
    <s v="ICM"/>
    <s v="Central R&amp;PD"/>
    <m/>
    <m/>
    <m/>
    <n v="4"/>
    <n v="4"/>
    <s v="Yes"/>
    <m/>
    <m/>
    <m/>
    <m/>
    <n v="20"/>
    <m/>
    <m/>
    <m/>
    <m/>
    <m/>
    <m/>
    <m/>
    <m/>
    <s v="In Que"/>
    <m/>
    <s v="Rishi"/>
  </r>
  <r>
    <n v="234"/>
    <x v="6"/>
    <m/>
    <x v="1"/>
    <x v="0"/>
    <s v="CO"/>
    <s v="TBD"/>
    <s v="26IND015"/>
    <s v="IPS Size Optimization S-60 MFSL100 to MFSL70- COKE India"/>
    <s v="IND"/>
    <x v="0"/>
    <s v="ICM"/>
    <s v="Central R&amp;PD"/>
    <m/>
    <m/>
    <m/>
    <n v="4"/>
    <n v="4"/>
    <s v="Yes"/>
    <m/>
    <m/>
    <m/>
    <m/>
    <n v="10"/>
    <m/>
    <m/>
    <m/>
    <m/>
    <m/>
    <m/>
    <m/>
    <m/>
    <s v="In Que"/>
    <m/>
    <s v="Rishi"/>
  </r>
  <r>
    <n v="235"/>
    <x v="6"/>
    <m/>
    <x v="1"/>
    <x v="0"/>
    <s v="CO"/>
    <s v="TBD"/>
    <s v="26IND016"/>
    <s v="Single Evap Fan Motor for VG300 &amp; VG400  SC300 Bluestar &amp;  equivalent Reliance Models"/>
    <s v="IND"/>
    <x v="0"/>
    <s v="ICM"/>
    <s v="Central R&amp;PD"/>
    <m/>
    <m/>
    <m/>
    <n v="4"/>
    <n v="4"/>
    <s v="Yes"/>
    <m/>
    <m/>
    <m/>
    <m/>
    <n v="10"/>
    <m/>
    <m/>
    <m/>
    <m/>
    <m/>
    <m/>
    <m/>
    <m/>
    <s v="In Que"/>
    <m/>
    <s v="Ashish"/>
  </r>
  <r>
    <n v="236"/>
    <x v="6"/>
    <m/>
    <x v="1"/>
    <x v="2"/>
    <s v="CO"/>
    <s v="TBD"/>
    <s v="26IND017"/>
    <s v="Cabinet Sheet Metal thickness reduction for DD – 0.45 à 0.4mm in S1100 Chassis"/>
    <s v="IND"/>
    <x v="0"/>
    <s v="ICM"/>
    <s v="Central R&amp;PD"/>
    <m/>
    <m/>
    <m/>
    <n v="3"/>
    <n v="2"/>
    <m/>
    <m/>
    <m/>
    <m/>
    <m/>
    <m/>
    <m/>
    <m/>
    <m/>
    <m/>
    <m/>
    <m/>
    <m/>
    <m/>
    <s v="Development"/>
    <s v="The drawing has been shared with the Procurement team for sample ordering._x000a_Delay in sample receipt due to ongoing geopolitical conditions._x000a_Waiting for the Material._x000a_Material will be receive by Wk25._x000a_Sheet samples with a thickness of 0.4 mm have been received from the Procurement team. The cooler will be prepared using these new samples, and testing will commence after sample preparation is completed."/>
    <s v="Rishi"/>
  </r>
  <r>
    <n v="237"/>
    <x v="6"/>
    <m/>
    <x v="1"/>
    <x v="2"/>
    <s v="CO"/>
    <s v="TBD"/>
    <s v="26IND018"/>
    <s v="Cabinet Sheet Metal thickness reduction for DD – 0.45 à 0.4mm in S35 Chassis"/>
    <s v="IND"/>
    <x v="0"/>
    <s v="ICM"/>
    <s v="Central R&amp;PD"/>
    <m/>
    <m/>
    <m/>
    <n v="3"/>
    <n v="2"/>
    <m/>
    <m/>
    <m/>
    <m/>
    <m/>
    <m/>
    <m/>
    <m/>
    <m/>
    <m/>
    <m/>
    <m/>
    <m/>
    <m/>
    <s v="Development"/>
    <s v="The drawing has been shared with the Procurement team for sample ordering._x000a_Delay in sample receipt due to ongoing geopolitical conditions._x000a_Waiting for the Material._x000a_Material will be receive by Wk25._x000a_Sheet samples with a thickness of 0.4 mm have been received from the Procurement team. The cooler will be prepared using these new samples, and testing will commence after sample preparation is completed."/>
    <s v="Rishi"/>
  </r>
  <r>
    <n v="238"/>
    <x v="6"/>
    <m/>
    <x v="1"/>
    <x v="2"/>
    <s v="CO"/>
    <s v="TBD"/>
    <s v="26IND019"/>
    <s v="Cabinet Sheet Metal thickness reduction for DD – 0.45 à 0.4mm in S45 Chassis "/>
    <s v="IND"/>
    <x v="0"/>
    <s v="ICM"/>
    <s v="Central R&amp;PD"/>
    <m/>
    <m/>
    <m/>
    <n v="3"/>
    <n v="2"/>
    <m/>
    <m/>
    <m/>
    <m/>
    <m/>
    <m/>
    <m/>
    <m/>
    <m/>
    <m/>
    <m/>
    <m/>
    <m/>
    <m/>
    <s v="Development"/>
    <s v="The drawing has been shared with the Procurement team for sample ordering._x000a_Delay in sample receipt due to ongoing geopolitical conditions._x000a_Waiting for the Material._x000a_We have received 10 samples of the required blank size; the next step is to prepare the cooler with the help of the plant for testing purposes_x000a_Sheet samples with a thickness of 0.4 mm have been received from the Procurement team. The cooler will be prepared using these new samples, and testing will commence after sample preparation is completed."/>
    <s v="Atul"/>
  </r>
  <r>
    <n v="239"/>
    <x v="6"/>
    <m/>
    <x v="1"/>
    <x v="2"/>
    <s v="CO"/>
    <s v="TBD"/>
    <s v="26IND020"/>
    <s v="Cabinet Sheet Metal thickness reduction for DD – 0.45 à 0.4mm in S60 Chassis"/>
    <s v="IND"/>
    <x v="0"/>
    <s v="ICM"/>
    <s v="Central R&amp;PD"/>
    <m/>
    <m/>
    <m/>
    <n v="3"/>
    <n v="2"/>
    <m/>
    <m/>
    <m/>
    <m/>
    <m/>
    <m/>
    <m/>
    <m/>
    <m/>
    <m/>
    <m/>
    <m/>
    <m/>
    <m/>
    <s v="Development"/>
    <s v="The drawing has been shared with the Procurement team for sample ordering._x000a_Delay in sample receipt due to ongoing geopolitical conditions._x000a_Waiting for the Material._x000a_Material will be receive by Wk25._x000a_Sheet samples with a thickness of 0.4 mm have been received from the Procurement team. The cooler will be prepared using these new samples, and testing will commence after sample preparation is completed."/>
    <s v="Atul"/>
  </r>
  <r>
    <n v="240"/>
    <x v="6"/>
    <m/>
    <x v="1"/>
    <x v="0"/>
    <s v="CO"/>
    <s v="TBD"/>
    <s v="26IND021"/>
    <s v="Inbuilt roller in roller bracket S35,"/>
    <s v="IND"/>
    <x v="0"/>
    <s v="ICM"/>
    <s v="Central R&amp;PD"/>
    <m/>
    <m/>
    <m/>
    <n v="8"/>
    <n v="4"/>
    <m/>
    <m/>
    <m/>
    <m/>
    <m/>
    <m/>
    <m/>
    <m/>
    <m/>
    <m/>
    <m/>
    <m/>
    <m/>
    <m/>
    <s v="Development"/>
    <s v="Feasibility study in progress"/>
    <s v="Rishi"/>
  </r>
  <r>
    <n v="241"/>
    <x v="6"/>
    <m/>
    <x v="1"/>
    <x v="2"/>
    <s v="CO"/>
    <s v="TBD"/>
    <s v="26IND022"/>
    <s v="Inbuilt roller in roller bracket S45, "/>
    <s v="IND"/>
    <x v="0"/>
    <s v="ICM"/>
    <s v="Central R&amp;PD"/>
    <m/>
    <m/>
    <m/>
    <n v="8"/>
    <n v="3"/>
    <m/>
    <m/>
    <m/>
    <m/>
    <m/>
    <m/>
    <m/>
    <m/>
    <m/>
    <m/>
    <m/>
    <m/>
    <m/>
    <m/>
    <s v="In Que"/>
    <m/>
    <s v="Lokesh"/>
  </r>
  <r>
    <n v="242"/>
    <x v="6"/>
    <m/>
    <x v="1"/>
    <x v="0"/>
    <s v="CO"/>
    <s v="TBD"/>
    <s v="26IND023"/>
    <s v="Inbuilt roller in roller bracket S60, "/>
    <s v="IND"/>
    <x v="0"/>
    <s v="ICM"/>
    <s v="Central R&amp;PD"/>
    <m/>
    <m/>
    <m/>
    <n v="8"/>
    <n v="4"/>
    <m/>
    <m/>
    <m/>
    <m/>
    <m/>
    <m/>
    <m/>
    <m/>
    <m/>
    <m/>
    <m/>
    <m/>
    <m/>
    <m/>
    <s v="In Que"/>
    <m/>
    <s v="Lokesh"/>
  </r>
  <r>
    <n v="243"/>
    <x v="6"/>
    <m/>
    <x v="1"/>
    <x v="0"/>
    <s v="CO"/>
    <s v="TBD"/>
    <s v="26IND024"/>
    <s v="Non retractable base in S35 Coke India"/>
    <s v="IND"/>
    <x v="0"/>
    <s v="ICM"/>
    <s v="Central R&amp;PD"/>
    <m/>
    <m/>
    <m/>
    <n v="8"/>
    <n v="8"/>
    <m/>
    <m/>
    <m/>
    <m/>
    <m/>
    <m/>
    <m/>
    <m/>
    <m/>
    <m/>
    <m/>
    <m/>
    <m/>
    <m/>
    <s v="On Hold"/>
    <m/>
    <s v="Rishi"/>
  </r>
  <r>
    <n v="244"/>
    <x v="6"/>
    <m/>
    <x v="1"/>
    <x v="0"/>
    <s v="CO"/>
    <s v="TBD"/>
    <s v="26IND025"/>
    <s v="Non retractable base in S45 Coke India"/>
    <s v="IND"/>
    <x v="0"/>
    <s v="ICM"/>
    <s v="Central R&amp;PD"/>
    <m/>
    <m/>
    <m/>
    <n v="8"/>
    <n v="8"/>
    <m/>
    <m/>
    <m/>
    <m/>
    <m/>
    <m/>
    <m/>
    <m/>
    <m/>
    <m/>
    <m/>
    <m/>
    <m/>
    <m/>
    <s v="Cancelled"/>
    <m/>
    <s v="Nikhil"/>
  </r>
  <r>
    <n v="245"/>
    <x v="6"/>
    <m/>
    <x v="1"/>
    <x v="0"/>
    <s v="CO"/>
    <s v="TBD"/>
    <s v="26IND026"/>
    <s v="Non retractable base in S60 Coke India"/>
    <s v="IND"/>
    <x v="0"/>
    <s v="ICM"/>
    <s v="Central R&amp;PD"/>
    <m/>
    <m/>
    <m/>
    <n v="8"/>
    <n v="8"/>
    <m/>
    <m/>
    <m/>
    <m/>
    <m/>
    <m/>
    <m/>
    <m/>
    <m/>
    <m/>
    <m/>
    <m/>
    <m/>
    <m/>
    <s v="Cancelled"/>
    <m/>
    <s v="Nikhil"/>
  </r>
  <r>
    <n v="246"/>
    <x v="6"/>
    <m/>
    <x v="1"/>
    <x v="2"/>
    <s v="CO"/>
    <s v="TBD"/>
    <s v="26INN001-1"/>
    <s v="Reed switch Ease as alternative to AIN Tech. for 1m cable"/>
    <s v="INN"/>
    <x v="0"/>
    <s v="ICM"/>
    <s v="Central Supply Chain"/>
    <m/>
    <m/>
    <m/>
    <n v="3"/>
    <n v="2"/>
    <m/>
    <m/>
    <m/>
    <m/>
    <m/>
    <m/>
    <m/>
    <m/>
    <m/>
    <m/>
    <m/>
    <m/>
    <m/>
    <m/>
    <s v="Development"/>
    <s v="Feasibility done, need to release to INN plant"/>
    <s v="Zakir"/>
  </r>
  <r>
    <n v="247"/>
    <x v="6"/>
    <m/>
    <x v="1"/>
    <x v="2"/>
    <s v="CO"/>
    <s v="TBD"/>
    <s v="26INN001-2"/>
    <s v="Reed switch Ease as alternative to AIN Tech. for 1m cable"/>
    <s v="IND"/>
    <x v="0"/>
    <s v="ICM"/>
    <s v="Central Supply Chain"/>
    <m/>
    <m/>
    <m/>
    <n v="3"/>
    <n v="2"/>
    <m/>
    <m/>
    <m/>
    <m/>
    <m/>
    <m/>
    <m/>
    <m/>
    <m/>
    <m/>
    <m/>
    <m/>
    <m/>
    <m/>
    <s v="Development"/>
    <m/>
    <s v="Zakir"/>
  </r>
  <r>
    <n v="248"/>
    <x v="6"/>
    <m/>
    <x v="1"/>
    <x v="2"/>
    <s v="CO"/>
    <s v="TBD"/>
    <s v="26INN002"/>
    <s v="Localization Thermostat Foshan to Jiujiang Hengtong Thermostat"/>
    <s v="INN"/>
    <x v="0"/>
    <s v="ICM"/>
    <s v="Central Supply Chain"/>
    <m/>
    <m/>
    <m/>
    <n v="3"/>
    <n v="3"/>
    <m/>
    <m/>
    <m/>
    <m/>
    <m/>
    <m/>
    <m/>
    <m/>
    <m/>
    <m/>
    <m/>
    <m/>
    <m/>
    <m/>
    <s v="Industrialization"/>
    <s v="TF released in E47 &amp; S250, added as alternate item"/>
    <s v="Lokesh"/>
  </r>
  <r>
    <n v="249"/>
    <x v="6"/>
    <m/>
    <x v="1"/>
    <x v="2"/>
    <s v="CO"/>
    <s v="TBD"/>
    <s v="26INN003"/>
    <s v="Cooling base  plate thickness 1.5 to 1 mm Thickness in E47"/>
    <s v="INN"/>
    <x v="0"/>
    <s v="ICM"/>
    <s v="Central R&amp;PD"/>
    <m/>
    <m/>
    <m/>
    <n v="3"/>
    <n v="3"/>
    <m/>
    <m/>
    <m/>
    <m/>
    <m/>
    <m/>
    <m/>
    <m/>
    <m/>
    <m/>
    <m/>
    <m/>
    <m/>
    <m/>
    <s v="Development"/>
    <s v="Prepare sample- Syaiful/Testing-Stability,Drop test→ INN/Vibration- India"/>
    <s v="Lokesh"/>
  </r>
  <r>
    <n v="250"/>
    <x v="6"/>
    <m/>
    <x v="1"/>
    <x v="2"/>
    <s v="CO"/>
    <s v="TBD"/>
    <s v="26INN004"/>
    <s v="Alternate sourcing of cable harness "/>
    <s v="INN"/>
    <x v="0"/>
    <s v="ICM"/>
    <s v="Local Supply Chain"/>
    <m/>
    <m/>
    <m/>
    <n v="3"/>
    <n v="1"/>
    <m/>
    <m/>
    <m/>
    <m/>
    <m/>
    <m/>
    <m/>
    <m/>
    <m/>
    <m/>
    <m/>
    <m/>
    <m/>
    <m/>
    <s v="In Que"/>
    <s v="PD involvement needed/ Get sample from Indonesia/Pull test- Commercialization Date:"/>
    <s v="Lokesh"/>
  </r>
  <r>
    <n v="251"/>
    <x v="6"/>
    <m/>
    <x v="1"/>
    <x v="2"/>
    <s v="CO"/>
    <s v="TBD"/>
    <s v="26INN005"/>
    <s v="Alternate sourcing of Armouflex"/>
    <s v="INN"/>
    <x v="0"/>
    <s v="ICM"/>
    <s v="Local Supply Chain"/>
    <m/>
    <m/>
    <m/>
    <n v="3"/>
    <n v="0.5"/>
    <m/>
    <m/>
    <m/>
    <m/>
    <m/>
    <m/>
    <m/>
    <m/>
    <m/>
    <m/>
    <m/>
    <m/>
    <m/>
    <m/>
    <s v="In Que"/>
    <m/>
    <s v="Lokesh"/>
  </r>
  <r>
    <n v="252"/>
    <x v="6"/>
    <m/>
    <x v="1"/>
    <x v="2"/>
    <s v="CO"/>
    <s v="TBD"/>
    <s v="26INN006"/>
    <s v="Alternate sourcing of conduit non Flamebale"/>
    <s v="INN"/>
    <x v="0"/>
    <s v="ICM"/>
    <s v="Local Supply Chain"/>
    <m/>
    <m/>
    <m/>
    <n v="3"/>
    <n v="1"/>
    <m/>
    <m/>
    <m/>
    <m/>
    <m/>
    <m/>
    <m/>
    <m/>
    <m/>
    <m/>
    <m/>
    <m/>
    <m/>
    <m/>
    <s v="In Que"/>
    <m/>
    <s v="Lokesh"/>
  </r>
  <r>
    <n v="253"/>
    <x v="6"/>
    <m/>
    <x v="1"/>
    <x v="0"/>
    <s v="CO"/>
    <s v="TBD"/>
    <s v="26INN007"/>
    <s v="Localization drip tray S250 India to local supplier"/>
    <s v="INN"/>
    <x v="0"/>
    <s v="ICM"/>
    <s v="Local Supply Chain"/>
    <m/>
    <m/>
    <m/>
    <n v="4"/>
    <n v="0.5"/>
    <m/>
    <m/>
    <m/>
    <m/>
    <m/>
    <m/>
    <m/>
    <m/>
    <m/>
    <m/>
    <m/>
    <m/>
    <m/>
    <m/>
    <s v="In Que"/>
    <m/>
    <s v="Lokesh"/>
  </r>
  <r>
    <n v="254"/>
    <x v="6"/>
    <m/>
    <x v="1"/>
    <x v="2"/>
    <s v="CO"/>
    <s v="TBD"/>
    <s v="26INN008"/>
    <s v="Condenser motor direct to compressor"/>
    <s v="INN"/>
    <x v="0"/>
    <s v="ICM"/>
    <s v="Central R&amp;PD"/>
    <m/>
    <m/>
    <s v="Shaded Pole Motors &amp; Blades"/>
    <n v="3"/>
    <n v="1"/>
    <m/>
    <m/>
    <m/>
    <m/>
    <m/>
    <m/>
    <m/>
    <m/>
    <m/>
    <m/>
    <m/>
    <m/>
    <m/>
    <m/>
    <s v="In Que"/>
    <m/>
    <s v="Lokesh"/>
  </r>
  <r>
    <n v="255"/>
    <x v="6"/>
    <m/>
    <x v="1"/>
    <x v="2"/>
    <s v="CO"/>
    <s v="TBD"/>
    <s v="26INN009"/>
    <s v="Reduce Length conduit by 1 meter"/>
    <s v="INN"/>
    <x v="0"/>
    <s v="ICM"/>
    <s v="Central R&amp;PD"/>
    <m/>
    <m/>
    <m/>
    <n v="3"/>
    <n v="1"/>
    <m/>
    <m/>
    <m/>
    <m/>
    <m/>
    <m/>
    <m/>
    <m/>
    <m/>
    <m/>
    <m/>
    <m/>
    <m/>
    <m/>
    <s v="In Que"/>
    <m/>
    <s v="Lokesh"/>
  </r>
  <r>
    <n v="256"/>
    <x v="6"/>
    <m/>
    <x v="1"/>
    <x v="2"/>
    <s v="CO"/>
    <s v="TBD"/>
    <s v="26INN010"/>
    <s v="Replace Thermostat base &amp; cover with metal bracket"/>
    <s v="INN"/>
    <x v="0"/>
    <s v="ICM"/>
    <s v="Central R&amp;PD"/>
    <m/>
    <m/>
    <m/>
    <n v="3"/>
    <n v="3"/>
    <m/>
    <m/>
    <m/>
    <m/>
    <m/>
    <m/>
    <m/>
    <m/>
    <m/>
    <m/>
    <m/>
    <m/>
    <m/>
    <m/>
    <s v="In Que"/>
    <m/>
    <s v="Lokesh"/>
  </r>
  <r>
    <n v="257"/>
    <x v="6"/>
    <m/>
    <x v="1"/>
    <x v="2"/>
    <s v="CO"/>
    <s v="TBD"/>
    <s v="26INN011"/>
    <s v="Castor wheel 80 mm to castor 50 mm HD"/>
    <s v="INN"/>
    <x v="0"/>
    <s v="ICM"/>
    <s v="Central R&amp;PD"/>
    <m/>
    <m/>
    <m/>
    <n v="8"/>
    <n v="4"/>
    <m/>
    <m/>
    <m/>
    <m/>
    <m/>
    <m/>
    <m/>
    <m/>
    <m/>
    <m/>
    <m/>
    <m/>
    <m/>
    <m/>
    <s v="In Que"/>
    <m/>
    <s v="Lokesh"/>
  </r>
  <r>
    <n v="258"/>
    <x v="6"/>
    <m/>
    <x v="1"/>
    <x v="2"/>
    <s v="CO"/>
    <s v="TBD"/>
    <s v="26INN012"/>
    <s v="Change from long spring to short"/>
    <s v="INN"/>
    <x v="0"/>
    <s v="ICM"/>
    <s v="Central R&amp;PD"/>
    <m/>
    <m/>
    <m/>
    <n v="4"/>
    <n v="4"/>
    <m/>
    <m/>
    <m/>
    <m/>
    <m/>
    <m/>
    <m/>
    <m/>
    <m/>
    <m/>
    <m/>
    <m/>
    <m/>
    <m/>
    <s v="In Que"/>
    <m/>
    <s v="Lokesh"/>
  </r>
  <r>
    <n v="259"/>
    <x v="6"/>
    <m/>
    <x v="1"/>
    <x v="2"/>
    <s v="CO"/>
    <s v="TBD"/>
    <s v="26INN013"/>
    <s v="Power Cord PRCD reduce from 3.2m to 2.1m"/>
    <s v="INN"/>
    <x v="0"/>
    <s v="ICM"/>
    <s v="Central R&amp;PD"/>
    <m/>
    <m/>
    <m/>
    <n v="3"/>
    <n v="1"/>
    <m/>
    <m/>
    <m/>
    <m/>
    <m/>
    <m/>
    <m/>
    <m/>
    <m/>
    <m/>
    <m/>
    <m/>
    <m/>
    <m/>
    <s v="In Que"/>
    <m/>
    <s v="Lokesh"/>
  </r>
  <r>
    <n v="260"/>
    <x v="6"/>
    <m/>
    <x v="1"/>
    <x v="2"/>
    <s v="CO"/>
    <s v="TBD"/>
    <s v="26INN014"/>
    <s v="Power Cord SNI from 3.2m to 1.8m"/>
    <s v="INN"/>
    <x v="0"/>
    <s v="ICM"/>
    <s v="Central R&amp;PD"/>
    <m/>
    <m/>
    <m/>
    <n v="3"/>
    <n v="1"/>
    <m/>
    <m/>
    <m/>
    <m/>
    <m/>
    <m/>
    <m/>
    <m/>
    <m/>
    <m/>
    <m/>
    <m/>
    <m/>
    <m/>
    <s v="In Que"/>
    <m/>
    <s v="Lokesh"/>
  </r>
  <r>
    <n v="261"/>
    <x v="6"/>
    <m/>
    <x v="1"/>
    <x v="0"/>
    <s v="CO"/>
    <s v="TBD"/>
    <s v="26SAF001"/>
    <s v="DOOR ASSEMBLY FV650FFD"/>
    <s v="SAF"/>
    <x v="0"/>
    <s v="ICM"/>
    <s v="Central R&amp;PD"/>
    <m/>
    <m/>
    <m/>
    <n v="4"/>
    <n v="2"/>
    <m/>
    <m/>
    <m/>
    <m/>
    <m/>
    <m/>
    <m/>
    <m/>
    <m/>
    <m/>
    <m/>
    <m/>
    <m/>
    <m/>
    <s v="Industrialization"/>
    <s v="Door ordered from china."/>
    <s v="Pawan"/>
  </r>
  <r>
    <n v="262"/>
    <x v="6"/>
    <m/>
    <x v="1"/>
    <x v="0"/>
    <s v="CO"/>
    <s v="TBD"/>
    <s v="26SAF002"/>
    <s v="DOOR ASSEMBLY  FV-1000FFD LEFT &amp; RIGHT"/>
    <s v="SAF"/>
    <x v="0"/>
    <s v="ICM"/>
    <s v="Central R&amp;PD"/>
    <m/>
    <m/>
    <m/>
    <n v="4"/>
    <n v="2"/>
    <m/>
    <m/>
    <m/>
    <m/>
    <m/>
    <m/>
    <m/>
    <m/>
    <m/>
    <m/>
    <m/>
    <m/>
    <m/>
    <m/>
    <s v="Industrialization"/>
    <s v="Door ordered from china."/>
    <s v="Pawan"/>
  </r>
  <r>
    <n v="263"/>
    <x v="6"/>
    <m/>
    <x v="1"/>
    <x v="0"/>
    <s v="CO"/>
    <s v="TBD"/>
    <s v="26SAF003"/>
    <s v="DOOR ASSEMBLY  FV-1000CSZ - LEFT &amp; RIGHT"/>
    <s v="SAF"/>
    <x v="0"/>
    <s v="ICM"/>
    <s v="Central R&amp;PD"/>
    <m/>
    <m/>
    <m/>
    <n v="4"/>
    <n v="2"/>
    <m/>
    <m/>
    <m/>
    <m/>
    <m/>
    <m/>
    <m/>
    <m/>
    <m/>
    <m/>
    <m/>
    <m/>
    <m/>
    <m/>
    <s v="Industrialization"/>
    <s v="Door ordered from china."/>
    <s v="Pawan"/>
  </r>
  <r>
    <n v="264"/>
    <x v="6"/>
    <m/>
    <x v="1"/>
    <x v="0"/>
    <s v="CO"/>
    <s v="TBD"/>
    <s v="26SAF004"/>
    <s v="DOOR ASSEMBLY FV-1000(REDBULL)  LEFT &amp; RIGHT"/>
    <s v="SAF"/>
    <x v="0"/>
    <s v="ICM"/>
    <s v="Central R&amp;PD"/>
    <m/>
    <m/>
    <m/>
    <n v="4"/>
    <n v="2"/>
    <m/>
    <m/>
    <m/>
    <m/>
    <m/>
    <m/>
    <m/>
    <m/>
    <m/>
    <m/>
    <m/>
    <m/>
    <m/>
    <m/>
    <s v="Industrialization"/>
    <s v="Door ordered from china."/>
    <s v="Pawan"/>
  </r>
  <r>
    <n v="265"/>
    <x v="6"/>
    <m/>
    <x v="1"/>
    <x v="0"/>
    <s v="CO"/>
    <s v="TBD"/>
    <s v="26SAF005"/>
    <s v="DOOR ASSEMBLY SL640  (REDBULL)"/>
    <s v="SAF"/>
    <x v="0"/>
    <s v="ICM"/>
    <s v="Central R&amp;PD"/>
    <m/>
    <m/>
    <m/>
    <n v="4"/>
    <n v="1"/>
    <m/>
    <m/>
    <m/>
    <m/>
    <m/>
    <m/>
    <m/>
    <m/>
    <m/>
    <m/>
    <m/>
    <m/>
    <m/>
    <m/>
    <s v="Industrialization"/>
    <s v="Door ordered from china."/>
    <s v="Pawan"/>
  </r>
  <r>
    <n v="266"/>
    <x v="6"/>
    <m/>
    <x v="1"/>
    <x v="0"/>
    <s v="CO"/>
    <s v="TBD"/>
    <s v="26SAF006"/>
    <s v="DOOR ASSEMBLY  HV-71 (Standard)"/>
    <s v="SAF"/>
    <x v="0"/>
    <s v="ICM"/>
    <s v="Central R&amp;PD"/>
    <m/>
    <m/>
    <m/>
    <n v="4"/>
    <n v="1"/>
    <m/>
    <m/>
    <m/>
    <m/>
    <m/>
    <m/>
    <m/>
    <m/>
    <m/>
    <m/>
    <m/>
    <m/>
    <m/>
    <m/>
    <s v="On Hold"/>
    <s v="Add monster door in project list, as confirmed order is there for this year"/>
    <s v="Pawan"/>
  </r>
  <r>
    <n v="267"/>
    <x v="6"/>
    <m/>
    <x v="1"/>
    <x v="2"/>
    <s v="CO"/>
    <s v="TBD"/>
    <s v="26SAF007"/>
    <s v="Alternate Supplier for Brazing Materials"/>
    <s v="SAF"/>
    <x v="0"/>
    <s v="ICM"/>
    <s v="Central Procurement Group"/>
    <m/>
    <m/>
    <m/>
    <n v="3"/>
    <n v="0.5"/>
    <m/>
    <m/>
    <m/>
    <m/>
    <m/>
    <m/>
    <m/>
    <m/>
    <m/>
    <m/>
    <m/>
    <m/>
    <m/>
    <m/>
    <s v="In Que"/>
    <m/>
    <s v="Pawan"/>
  </r>
  <r>
    <n v="268"/>
    <x v="6"/>
    <m/>
    <x v="1"/>
    <x v="0"/>
    <s v="CO"/>
    <s v="TBD"/>
    <s v="26SAF008"/>
    <s v="Reduction of upper suction line entering accumulator FV1000sz"/>
    <s v="SAF"/>
    <x v="0"/>
    <s v="ICM"/>
    <s v="Central R&amp;PD"/>
    <m/>
    <m/>
    <m/>
    <n v="4"/>
    <m/>
    <m/>
    <m/>
    <m/>
    <m/>
    <m/>
    <m/>
    <m/>
    <m/>
    <m/>
    <m/>
    <m/>
    <m/>
    <m/>
    <m/>
    <s v="In Que"/>
    <m/>
    <s v="Pawan"/>
  </r>
  <r>
    <n v="269"/>
    <x v="6"/>
    <m/>
    <x v="1"/>
    <x v="2"/>
    <s v="CO"/>
    <s v="TBD"/>
    <s v="26SAF009"/>
    <s v="Cable length reduction including power cord CCBSA FV1000 &amp; FV650"/>
    <s v="SAF"/>
    <x v="0"/>
    <s v="ICM"/>
    <s v="Central R&amp;PD"/>
    <m/>
    <m/>
    <m/>
    <n v="3"/>
    <n v="1"/>
    <m/>
    <m/>
    <m/>
    <m/>
    <m/>
    <m/>
    <m/>
    <m/>
    <m/>
    <m/>
    <m/>
    <m/>
    <m/>
    <m/>
    <s v="In Que"/>
    <m/>
    <s v="Pawan"/>
  </r>
  <r>
    <n v="270"/>
    <x v="6"/>
    <m/>
    <x v="1"/>
    <x v="2"/>
    <s v="CO"/>
    <s v="TBD"/>
    <s v="26SAF010"/>
    <s v="Alternate supplier for Fastening Materials"/>
    <s v="SAF"/>
    <x v="0"/>
    <s v="ICM"/>
    <s v="Central Procurement Group"/>
    <m/>
    <m/>
    <m/>
    <n v="3"/>
    <n v="1"/>
    <m/>
    <m/>
    <m/>
    <m/>
    <m/>
    <m/>
    <m/>
    <m/>
    <m/>
    <m/>
    <m/>
    <m/>
    <m/>
    <m/>
    <s v="In Que"/>
    <m/>
    <s v="Pawan"/>
  </r>
  <r>
    <n v="271"/>
    <x v="6"/>
    <m/>
    <x v="1"/>
    <x v="2"/>
    <s v="CO"/>
    <s v="TBD"/>
    <s v="26SAF011"/>
    <s v="Condenser 4 ROW WOT Flygrow as alternative to Jicheng"/>
    <s v="SAF"/>
    <x v="0"/>
    <s v="ICM"/>
    <s v="Central Procurement Group"/>
    <m/>
    <m/>
    <m/>
    <n v="3"/>
    <n v="8"/>
    <m/>
    <m/>
    <m/>
    <n v="2"/>
    <m/>
    <n v="2"/>
    <m/>
    <m/>
    <m/>
    <m/>
    <m/>
    <m/>
    <m/>
    <m/>
    <s v="Development"/>
    <s v="Discussion with quality by today and give final approval after that."/>
    <s v="Pawan"/>
  </r>
  <r>
    <n v="272"/>
    <x v="6"/>
    <m/>
    <x v="1"/>
    <x v="2"/>
    <s v="CO"/>
    <s v="TBD"/>
    <s v="26SAF012"/>
    <s v="Condenser 6 ROW WOT Flygrow as alternative to Jicheng"/>
    <s v="SAF"/>
    <x v="0"/>
    <s v="ICM"/>
    <s v="Central Procurement Group"/>
    <m/>
    <m/>
    <m/>
    <n v="3"/>
    <n v="8"/>
    <m/>
    <m/>
    <m/>
    <n v="2"/>
    <m/>
    <n v="2"/>
    <m/>
    <m/>
    <m/>
    <m/>
    <m/>
    <m/>
    <m/>
    <m/>
    <s v="Industrialization"/>
    <s v="FPAP done._x000a_Equivalent testing done and result found satisfactory."/>
    <s v="Pawan"/>
  </r>
  <r>
    <n v="273"/>
    <x v="6"/>
    <m/>
    <x v="1"/>
    <x v="2"/>
    <s v="CO"/>
    <s v="TBD"/>
    <s v="26SAF013"/>
    <s v="Condenser 6ROW, CROSS FLOW WOT Flygrow as alternative to Jicheng"/>
    <s v="SAF"/>
    <x v="0"/>
    <s v="ICM"/>
    <s v="Central Procurement Group"/>
    <m/>
    <m/>
    <m/>
    <n v="3"/>
    <n v="8"/>
    <m/>
    <m/>
    <m/>
    <n v="2"/>
    <m/>
    <n v="2"/>
    <m/>
    <m/>
    <m/>
    <m/>
    <m/>
    <m/>
    <m/>
    <m/>
    <s v="Industrialization"/>
    <s v="FPAP done._x000a_Equivalent testing done and result found satisfactory."/>
    <s v="Pawan"/>
  </r>
  <r>
    <n v="274"/>
    <x v="6"/>
    <m/>
    <x v="1"/>
    <x v="2"/>
    <s v="CO"/>
    <s v="TBD"/>
    <s v="26SAF014"/>
    <s v="Condenser 8ROW, CROSS FLOW WOT Flygrow as alternative to Jicheng"/>
    <s v="SAF"/>
    <x v="0"/>
    <s v="ICM"/>
    <s v="Central Procurement Group"/>
    <m/>
    <m/>
    <m/>
    <n v="3"/>
    <n v="8"/>
    <m/>
    <m/>
    <m/>
    <n v="2"/>
    <m/>
    <n v="2"/>
    <m/>
    <m/>
    <m/>
    <m/>
    <m/>
    <m/>
    <m/>
    <m/>
    <s v="Development"/>
    <s v="IPD and EC testing will be completed result found satisfactory._x000a_Discussion with quality by today and give final approval after that."/>
    <s v="Pawan"/>
  </r>
  <r>
    <n v="275"/>
    <x v="6"/>
    <m/>
    <x v="1"/>
    <x v="2"/>
    <s v="CO"/>
    <s v="TBD"/>
    <s v="26SAF015"/>
    <s v="Evaporator ALU FIN &amp; ALU TUBE, Ø8, 2 ROW Flygrow as alternative to Tongxing"/>
    <s v="SAF"/>
    <x v="0"/>
    <s v="ICM"/>
    <s v="Central Procurement Group"/>
    <m/>
    <m/>
    <m/>
    <n v="3"/>
    <n v="8"/>
    <m/>
    <m/>
    <m/>
    <n v="2"/>
    <m/>
    <n v="2"/>
    <m/>
    <m/>
    <m/>
    <m/>
    <m/>
    <m/>
    <m/>
    <m/>
    <s v="Development"/>
    <s v="Discussion with quality by today and give final approval after that._x000a_The FPAP report has been shared with Andreas. We are currently awaiting feedback from the supplier."/>
    <s v="Pawan"/>
  </r>
  <r>
    <n v="276"/>
    <x v="6"/>
    <m/>
    <x v="1"/>
    <x v="2"/>
    <s v="CO"/>
    <s v="TBD"/>
    <s v="26SAF016"/>
    <s v="Evaporator COIL FV1000 R290 Flygrow as alternative to Tongxing"/>
    <s v="SAF"/>
    <x v="0"/>
    <s v="ICM"/>
    <s v="Central Procurement Group"/>
    <m/>
    <m/>
    <m/>
    <n v="3"/>
    <n v="8"/>
    <m/>
    <m/>
    <m/>
    <n v="2"/>
    <m/>
    <n v="2"/>
    <m/>
    <m/>
    <m/>
    <m/>
    <m/>
    <m/>
    <m/>
    <m/>
    <s v="Development"/>
    <s v="Discussion with quality by today and give final approval after that._x000a_The FPAP report has been shared with Andreas. We are currently awaiting feedback from the supplier."/>
    <s v="Pawan"/>
  </r>
  <r>
    <n v="277"/>
    <x v="6"/>
    <m/>
    <x v="1"/>
    <x v="2"/>
    <s v="CO"/>
    <s v="TBD"/>
    <s v="26SAF017"/>
    <s v="Evaporator FV650 R290 Flygrow as alternative to Tongxing"/>
    <s v="SAF"/>
    <x v="0"/>
    <s v="ICM"/>
    <s v="Central Procurement Group"/>
    <m/>
    <m/>
    <m/>
    <n v="3"/>
    <n v="8"/>
    <m/>
    <m/>
    <m/>
    <n v="2"/>
    <m/>
    <n v="2"/>
    <m/>
    <m/>
    <m/>
    <m/>
    <m/>
    <m/>
    <m/>
    <m/>
    <s v="Development"/>
    <s v="Discussion with quality by today and give final approval after that._x000a_The FPAP report has been shared with Andreas. We are currently awaiting feedback from the supplier."/>
    <s v="Pawan"/>
  </r>
  <r>
    <n v="278"/>
    <x v="6"/>
    <m/>
    <x v="1"/>
    <x v="2"/>
    <s v="CO"/>
    <s v="TBD"/>
    <s v="26SAF018"/>
    <s v="Alternate supplier for for Magnetic Gaskets ( Seal Cool to ILPEA)\ FV1000"/>
    <s v="SAF"/>
    <x v="0"/>
    <s v="ICM"/>
    <s v="Central Procurement Group"/>
    <m/>
    <m/>
    <m/>
    <n v="3"/>
    <n v="8"/>
    <m/>
    <m/>
    <m/>
    <n v="2"/>
    <m/>
    <n v="2"/>
    <m/>
    <m/>
    <m/>
    <m/>
    <m/>
    <m/>
    <m/>
    <m/>
    <s v="Development"/>
    <m/>
    <s v="Pawan"/>
  </r>
  <r>
    <n v="279"/>
    <x v="6"/>
    <m/>
    <x v="1"/>
    <x v="2"/>
    <s v="CO"/>
    <s v="TBD"/>
    <s v="26SAF019"/>
    <s v="Gasket material spec change/In house gasket"/>
    <s v="SAF"/>
    <x v="0"/>
    <s v="ICM"/>
    <s v="Central Procurement Group"/>
    <m/>
    <m/>
    <m/>
    <n v="3"/>
    <n v="3"/>
    <m/>
    <m/>
    <m/>
    <m/>
    <m/>
    <m/>
    <m/>
    <m/>
    <m/>
    <m/>
    <m/>
    <m/>
    <m/>
    <m/>
    <s v="In Que"/>
    <m/>
    <s v="Pawan"/>
  </r>
  <r>
    <n v="280"/>
    <x v="6"/>
    <m/>
    <x v="0"/>
    <x v="2"/>
    <s v="CO"/>
    <s v="TBD"/>
    <s v="26SAF020"/>
    <s v="Alternate Supplier for FV1000 CCBSA Front Grids"/>
    <s v="SAF"/>
    <x v="0"/>
    <s v="ICM"/>
    <m/>
    <m/>
    <m/>
    <m/>
    <m/>
    <m/>
    <m/>
    <m/>
    <m/>
    <m/>
    <m/>
    <m/>
    <m/>
    <m/>
    <m/>
    <m/>
    <m/>
    <m/>
    <m/>
    <m/>
    <s v="Cancelled"/>
    <s v="PD involvement not Needed"/>
    <s v="Pawan"/>
  </r>
  <r>
    <n v="281"/>
    <x v="6"/>
    <m/>
    <x v="0"/>
    <x v="2"/>
    <s v="CO"/>
    <s v="TBD"/>
    <s v="26SAF021"/>
    <s v="Alternate Supplier for FV1000 Non- CCBSA Front Grids"/>
    <s v="SAF"/>
    <x v="0"/>
    <s v="ICM"/>
    <m/>
    <m/>
    <m/>
    <m/>
    <m/>
    <m/>
    <m/>
    <m/>
    <m/>
    <m/>
    <m/>
    <m/>
    <m/>
    <m/>
    <m/>
    <m/>
    <m/>
    <m/>
    <m/>
    <m/>
    <s v="Cancelled"/>
    <s v="PD involvement not Needed"/>
    <s v="Pawan"/>
  </r>
  <r>
    <n v="282"/>
    <x v="6"/>
    <m/>
    <x v="0"/>
    <x v="2"/>
    <s v="CO"/>
    <s v="TBD"/>
    <s v="26SAF022"/>
    <s v="Alternate Supplier for FV650 CCBSA Front Grids"/>
    <s v="SAF"/>
    <x v="0"/>
    <s v="ICM"/>
    <m/>
    <m/>
    <m/>
    <m/>
    <m/>
    <m/>
    <m/>
    <m/>
    <m/>
    <m/>
    <m/>
    <m/>
    <m/>
    <m/>
    <m/>
    <m/>
    <m/>
    <m/>
    <m/>
    <m/>
    <s v="Cancelled"/>
    <s v="PD involvement not Needed"/>
    <s v="Pawan"/>
  </r>
  <r>
    <n v="283"/>
    <x v="6"/>
    <m/>
    <x v="0"/>
    <x v="2"/>
    <s v="CO"/>
    <s v="TBD"/>
    <s v="26SAF023"/>
    <s v="Alternate Supplier for FV650 non- CCBSA Front Grids"/>
    <s v="SAF"/>
    <x v="0"/>
    <s v="ICM"/>
    <m/>
    <m/>
    <m/>
    <m/>
    <m/>
    <m/>
    <m/>
    <m/>
    <m/>
    <m/>
    <m/>
    <m/>
    <m/>
    <m/>
    <m/>
    <m/>
    <m/>
    <m/>
    <m/>
    <m/>
    <s v="Cancelled"/>
    <s v="PD involvement not Needed"/>
    <s v="Pawan"/>
  </r>
  <r>
    <n v="284"/>
    <x v="6"/>
    <m/>
    <x v="0"/>
    <x v="2"/>
    <s v="CO"/>
    <s v="TBD"/>
    <s v="26SAF024"/>
    <s v="Alternate Supplier for Other Metal Processing and Components"/>
    <s v="SAF"/>
    <x v="0"/>
    <s v="ICM"/>
    <m/>
    <m/>
    <m/>
    <s v="Steel-GI"/>
    <m/>
    <m/>
    <m/>
    <m/>
    <m/>
    <m/>
    <m/>
    <m/>
    <m/>
    <m/>
    <m/>
    <m/>
    <m/>
    <m/>
    <m/>
    <m/>
    <s v="Cancelled"/>
    <s v="PD involvement not Needed"/>
    <s v="Pawan"/>
  </r>
  <r>
    <n v="285"/>
    <x v="6"/>
    <m/>
    <x v="0"/>
    <x v="2"/>
    <s v="CO"/>
    <s v="TBD"/>
    <s v="26SAF025"/>
    <s v="Bottom hook &amp; reinforce(in house)\ All exc SL1140"/>
    <s v="SAF"/>
    <x v="0"/>
    <s v="ICM"/>
    <m/>
    <m/>
    <m/>
    <m/>
    <m/>
    <m/>
    <m/>
    <m/>
    <m/>
    <m/>
    <m/>
    <m/>
    <m/>
    <m/>
    <m/>
    <m/>
    <m/>
    <m/>
    <m/>
    <m/>
    <s v="Cancelled"/>
    <s v="PD involvement not Needed"/>
    <s v="Pawan"/>
  </r>
  <r>
    <n v="286"/>
    <x v="6"/>
    <m/>
    <x v="0"/>
    <x v="2"/>
    <s v="CO"/>
    <s v="TBD"/>
    <s v="26SAF026"/>
    <s v="Door handle tool transfer from ROM-SAF\All models exc SL1140 &amp; FV1000 red \SL640 Red bull &amp; HV71 Monster"/>
    <s v="SAF"/>
    <x v="0"/>
    <s v="ICM"/>
    <m/>
    <m/>
    <m/>
    <m/>
    <m/>
    <m/>
    <m/>
    <m/>
    <m/>
    <m/>
    <m/>
    <m/>
    <m/>
    <m/>
    <m/>
    <m/>
    <m/>
    <m/>
    <m/>
    <m/>
    <s v="Cancelled"/>
    <s v="PD involvement not Needed"/>
    <s v="Pawan"/>
  </r>
  <r>
    <n v="287"/>
    <x v="6"/>
    <m/>
    <x v="0"/>
    <x v="2"/>
    <s v="CO"/>
    <s v="TBD"/>
    <s v="26SAF027"/>
    <s v="FV1000 Evaporator Main cover press tool\ FV1000"/>
    <s v="SAF"/>
    <x v="0"/>
    <s v="ICM"/>
    <m/>
    <m/>
    <m/>
    <m/>
    <m/>
    <m/>
    <m/>
    <m/>
    <m/>
    <m/>
    <m/>
    <m/>
    <m/>
    <m/>
    <m/>
    <m/>
    <m/>
    <m/>
    <m/>
    <m/>
    <s v="Cancelled"/>
    <s v="PD involvement not Needed"/>
    <s v="Pawan"/>
  </r>
  <r>
    <n v="288"/>
    <x v="6"/>
    <m/>
    <x v="0"/>
    <x v="2"/>
    <s v="CO"/>
    <s v="TBD"/>
    <s v="26SAF028"/>
    <s v="FV650 Evaporator Main cover press tool\ FV650 &amp; SL640"/>
    <s v="SAF"/>
    <x v="0"/>
    <s v="ICM"/>
    <m/>
    <m/>
    <m/>
    <m/>
    <m/>
    <m/>
    <m/>
    <m/>
    <m/>
    <m/>
    <m/>
    <m/>
    <m/>
    <m/>
    <m/>
    <m/>
    <m/>
    <m/>
    <m/>
    <m/>
    <s v="Cancelled"/>
    <s v="PD involvement not Needed"/>
    <s v="Pawan"/>
  </r>
  <r>
    <n v="289"/>
    <x v="6"/>
    <m/>
    <x v="0"/>
    <x v="2"/>
    <s v="CO"/>
    <s v="TBD"/>
    <s v="26SAF029"/>
    <s v="Intergrating Back Column &amp; Shelf Pilaster on FV1000"/>
    <s v="SAF"/>
    <x v="0"/>
    <s v="ICM"/>
    <m/>
    <m/>
    <m/>
    <m/>
    <m/>
    <m/>
    <m/>
    <m/>
    <m/>
    <m/>
    <m/>
    <m/>
    <m/>
    <m/>
    <m/>
    <m/>
    <m/>
    <m/>
    <m/>
    <m/>
    <s v="Cancelled"/>
    <s v="PD involvement not Needed"/>
    <s v="Pawan"/>
  </r>
  <r>
    <n v="290"/>
    <x v="6"/>
    <m/>
    <x v="0"/>
    <x v="2"/>
    <s v="CO"/>
    <s v="TBD"/>
    <s v="26SAF030"/>
    <s v="Multi Press tool for Front Grid Hooks (In house)\All exc SL1140"/>
    <s v="SAF"/>
    <x v="0"/>
    <s v="ICM"/>
    <m/>
    <m/>
    <m/>
    <m/>
    <m/>
    <m/>
    <m/>
    <m/>
    <m/>
    <m/>
    <m/>
    <m/>
    <m/>
    <m/>
    <m/>
    <m/>
    <m/>
    <m/>
    <m/>
    <m/>
    <s v="Cancelled"/>
    <s v="PD involvement not Needed"/>
    <s v="Pawan"/>
  </r>
  <r>
    <n v="291"/>
    <x v="6"/>
    <m/>
    <x v="1"/>
    <x v="2"/>
    <s v="CO"/>
    <s v="TBD"/>
    <s v="26SAF032"/>
    <s v="Alternate Supplier for Alu Foil Tape"/>
    <s v="SAF"/>
    <x v="0"/>
    <s v="ICM"/>
    <s v="Central Procurement Group"/>
    <m/>
    <m/>
    <m/>
    <n v="3"/>
    <n v="0.5"/>
    <m/>
    <m/>
    <m/>
    <m/>
    <m/>
    <m/>
    <m/>
    <m/>
    <m/>
    <m/>
    <m/>
    <m/>
    <m/>
    <m/>
    <s v="In Que"/>
    <s v="Check if PD involvement is needed"/>
    <s v="Pawan"/>
  </r>
  <r>
    <n v="292"/>
    <x v="6"/>
    <m/>
    <x v="1"/>
    <x v="2"/>
    <s v="IMP"/>
    <s v="TBD"/>
    <s v="N/A"/>
    <s v="Blue star Pallet/Packing customer field"/>
    <s v="IND"/>
    <x v="0"/>
    <s v="ICM"/>
    <s v="Service"/>
    <m/>
    <m/>
    <m/>
    <n v="3"/>
    <m/>
    <m/>
    <m/>
    <m/>
    <m/>
    <m/>
    <m/>
    <m/>
    <m/>
    <m/>
    <m/>
    <m/>
    <m/>
    <m/>
    <m/>
    <s v="Development"/>
    <s v="Proposal PPT prepared- align on solution._x000a_The drawing has been updated and shared with the procurement team. We are awaiting samples as per the drawing. Vibration and drop tests will be conducted after receiving the samples._x000a_Samples were received, and the sample broke during the drop test. New samples need to be arranged with the required improvements, and the drop test will be performed again._x000a_New sample with updated design receive and drop test will be perform in Wk11._x000a_Support PAD with reduced shore value receive and pass in drop test._x000a_The pallet drawing has been shared, and approval has been given to proceed with the next production lot. The TF memo will be released after validation on the S-60 cooler (drop test for rubber pad)._x000a_Cooler preparation is in progress for Front grid damage evaluation through the drop test._x000a_The pallet has been commercialized for the single-door cooler._x000a_Cooler prepared and drop test performed on one door; the second door needs to be prepared for option 2 testing to address the front grid damage issue."/>
    <s v="Nikhil"/>
  </r>
  <r>
    <n v="293"/>
    <x v="6"/>
    <m/>
    <x v="0"/>
    <x v="2"/>
    <s v="SER"/>
    <s v="TBD"/>
    <s v="N/A"/>
    <s v="Field issue-Rodent entry interim solution for S-35/S-45"/>
    <s v="IND"/>
    <x v="0"/>
    <s v="ICM"/>
    <s v="Service"/>
    <m/>
    <m/>
    <m/>
    <m/>
    <m/>
    <m/>
    <m/>
    <m/>
    <m/>
    <m/>
    <m/>
    <m/>
    <m/>
    <m/>
    <m/>
    <m/>
    <m/>
    <m/>
    <m/>
    <s v="On Hold"/>
    <s v="S-35 &amp; S-45 bracket design and align with respecting members.Drawing share with procurement team for sample arrangement._x000a_Sample shared with the customer for S-35 &amp; S-45 Cooler._x000a_Waiting for customer feedback."/>
    <s v="Atul"/>
  </r>
  <r>
    <n v="294"/>
    <x v="6"/>
    <m/>
    <x v="1"/>
    <x v="2"/>
    <s v="IMP"/>
    <s v="TBD"/>
    <s v="N/A"/>
    <s v="TF Memo for common thermostat and controller parameter for all plant "/>
    <s v="Multiplant"/>
    <x v="0"/>
    <s v="ICM"/>
    <s v="PD"/>
    <m/>
    <m/>
    <m/>
    <m/>
    <m/>
    <m/>
    <m/>
    <m/>
    <n v="4"/>
    <m/>
    <n v="4"/>
    <m/>
    <m/>
    <m/>
    <m/>
    <m/>
    <m/>
    <m/>
    <m/>
    <s v="Commercialized"/>
    <s v="Updated Memo to be shared with Plant → By April'26, Internal discussion with TS, Quality- Rakesh to share findings on email."/>
    <s v="Atul"/>
  </r>
  <r>
    <n v="295"/>
    <x v="6"/>
    <n v="2"/>
    <x v="1"/>
    <x v="0"/>
    <s v="NO"/>
    <s v="26-00375_01"/>
    <s v="N/A"/>
    <s v="Frameless Lookalike Door Coolers Development S-35 cabins &amp; their Variants"/>
    <s v="Multiplant"/>
    <x v="0"/>
    <s v="ICM"/>
    <s v="Marketing/Sales"/>
    <m/>
    <m/>
    <m/>
    <m/>
    <m/>
    <m/>
    <m/>
    <m/>
    <m/>
    <m/>
    <m/>
    <m/>
    <m/>
    <m/>
    <m/>
    <m/>
    <m/>
    <m/>
    <m/>
    <s v="Industrialization"/>
    <s v="The RP model has been prepared using a 3D printer to check fitment. Drawings for the aluminium profile, cast corner, and other components need to be prepared and shared with the procurement team_x000a_Drawing release to procument team for tooling._x000a_Drawing released to Chinese supplier for RP parts._x000a_One door will prepare with the help of TS with 3D printer parts. and review with all stakeholders._x000a_Tooled‑up aluminum profiles have been received and sent for the milling process for the recessed handle and LED back cover._x000a_RP parts are received._x000a_The door will be assembled once all parts are received._x000a_Waiting for the inspection report from the supplier for the aluminium die-cast parts, and the SAR report from the Quality team for the aluminium profile._x000a_Aluminium die-cast parts will be submitted to the Quality team today for SAR._x000a_Door prepation is in progreess._x000a_The door has been prepared by PD and reviewed with all stakeholders._x000a_The go-ahead for aluminium die-cast corner tooling has been given from the PD side._x000a_The aluminium profile received from the HMM supplier is not up to the mark, with fitment issues observed during assembly; an improved sample needs to be provided by the supplier._x000a_A new aluminium profile from the MM Meta supplier will be received by Week 25._x000a_A new plastic door back cover samples will be received by Week 25._x000a_Waiting for updated Alu profile with all corrections._x000a_Plastic back cover receive by the procurement team they will submit the sample for inspection and to ts for fitemtn trial._x000a_TS will prepare the cooler using the MM Meta aluminium profile &amp; plastic door back cover to check the door fixture feasibility from the plant side._x000a_"/>
    <s v="Rishi"/>
  </r>
  <r>
    <n v="296"/>
    <x v="6"/>
    <n v="2"/>
    <x v="1"/>
    <x v="0"/>
    <s v="NO"/>
    <s v="26-00375_02"/>
    <s v="N/A"/>
    <s v="Frameless Lookalike Door Coolers Development S-40 cabins &amp; their Variants."/>
    <s v="Multiplant"/>
    <x v="0"/>
    <s v="ICM"/>
    <s v="Marketing/Sales"/>
    <m/>
    <m/>
    <m/>
    <m/>
    <m/>
    <m/>
    <m/>
    <m/>
    <m/>
    <m/>
    <m/>
    <m/>
    <m/>
    <m/>
    <m/>
    <m/>
    <m/>
    <m/>
    <m/>
    <s v="Development"/>
    <s v="TF preparation is in progress. /EC2026 to be met with edge light LED_x000a_TF on hold all TF will be relase after prototype of S-45 cooler."/>
    <s v="Atul"/>
  </r>
  <r>
    <n v="297"/>
    <x v="6"/>
    <n v="2"/>
    <x v="1"/>
    <x v="0"/>
    <s v="NO"/>
    <s v="26-00375_03"/>
    <s v="N/A"/>
    <s v="Frameless Lookalike Door Coolers Development S-45 cabins &amp; their Variants.)"/>
    <s v="Multiplant"/>
    <x v="0"/>
    <s v="ICM"/>
    <s v="Marketing/Sales"/>
    <m/>
    <m/>
    <m/>
    <m/>
    <m/>
    <m/>
    <m/>
    <m/>
    <m/>
    <m/>
    <m/>
    <m/>
    <m/>
    <m/>
    <m/>
    <m/>
    <m/>
    <m/>
    <m/>
    <s v="Industrialization"/>
    <s v="The RP model has been prepared using a 3D printer to check fitment. Drawings for the aluminium profile, cast corner, and other components need to be prepared and shared with the procurement team_x000a_Drawing release to procument team for tooling._x000a_Drawing released to Chinese supplier for RP parts._x000a_One door will prepare with the help of TS with 3D printer parts. and review with all stakeholders._x000a_Tooled‑up aluminum profiles have been received and sent for the milling process for the recessed handle and LED back cover._x000a_RP parts are received._x000a_The door will be assembled once all parts are received._x000a_Waiting for the inspection report from the supplier for the aluminium die-cast parts, and the SAR report from the Quality team for the aluminium profile._x000a_Aluminium die-cast parts will be submitted to the Quality team today for SAR._x000a_Door prepation is in progreess._x000a_The door has been prepared by PD and reviewed with all stakeholders._x000a_The go-ahead for aluminium die-cast corner tooling has been given from the PD side._x000a_The aluminium profile received from the HMM supplier is not up to the mark, with fitment issues observed during assembly; an improved sample needs to be provided by the supplier._x000a_A new aluminium profile from the MM Meta supplier will be received by Week 25._x000a_A new plastic door back cover samples will be received by Week 25_x000a_Waiting for updated Alu profile with all corrections._x000a_Plastic back cover receive by the procurement team they will submit the sample for inspection and to ts for fitemtn trial._x000a_TS will prepare the cooler using the MM Meta aluminium profile &amp; plastic door back cover to check the door fixture feasibility from the plant side."/>
    <s v="Rishi"/>
  </r>
  <r>
    <n v="298"/>
    <x v="6"/>
    <n v="2"/>
    <x v="1"/>
    <x v="0"/>
    <s v="NO"/>
    <s v="26-00375_04"/>
    <s v="N/A"/>
    <s v="Frameless Lookalike Door Coolers Development S-500 cabins &amp; their Variants.)"/>
    <s v="Multiplant"/>
    <x v="0"/>
    <s v="ICM"/>
    <s v="Marketing/Sales"/>
    <m/>
    <m/>
    <m/>
    <m/>
    <m/>
    <m/>
    <m/>
    <m/>
    <m/>
    <m/>
    <m/>
    <m/>
    <m/>
    <m/>
    <m/>
    <m/>
    <m/>
    <m/>
    <m/>
    <s v="In Que"/>
    <s v="TF is currently on hold and will be released after the completion of the S-45 cooler prototype."/>
    <s v="Rishi"/>
  </r>
  <r>
    <n v="299"/>
    <x v="6"/>
    <n v="2"/>
    <x v="1"/>
    <x v="0"/>
    <s v="NO"/>
    <s v="26-00375_05"/>
    <s v="N/A"/>
    <s v="Frameless Lookalike Door Coolers Development S-50 cabins &amp; their Variants.)"/>
    <s v="Multiplant"/>
    <x v="0"/>
    <s v="ICM"/>
    <s v="Marketing/Sales"/>
    <m/>
    <m/>
    <m/>
    <m/>
    <m/>
    <m/>
    <m/>
    <m/>
    <m/>
    <m/>
    <m/>
    <m/>
    <m/>
    <m/>
    <m/>
    <m/>
    <m/>
    <m/>
    <m/>
    <s v="In Que"/>
    <s v="TF is currently on hold and will be released after the completion of the S-45 cooler prototype."/>
    <s v="Atul"/>
  </r>
  <r>
    <n v="300"/>
    <x v="6"/>
    <n v="2"/>
    <x v="1"/>
    <x v="0"/>
    <s v="NO"/>
    <s v="26-00375_06"/>
    <s v="N/A"/>
    <s v="Frameless Lookalike Door Coolers Development S-60 cabins &amp; their Variants.)"/>
    <s v="Multiplant"/>
    <x v="0"/>
    <s v="ICM"/>
    <s v="Marketing/Sales"/>
    <m/>
    <m/>
    <m/>
    <m/>
    <m/>
    <m/>
    <m/>
    <m/>
    <m/>
    <m/>
    <m/>
    <m/>
    <m/>
    <m/>
    <m/>
    <m/>
    <m/>
    <m/>
    <m/>
    <s v="Development"/>
    <s v="TF preparation is in progress. /EC2026 to be met with edge light LED_x000a_TF on hold all TF will be relase after prototype of S-45 cooler."/>
    <s v="Rishi"/>
  </r>
  <r>
    <n v="301"/>
    <x v="6"/>
    <n v="2"/>
    <x v="1"/>
    <x v="0"/>
    <s v="NO"/>
    <s v="26-00375_07"/>
    <s v="N/A"/>
    <s v="Frameless Lookalike Door Coolers Development S-800 cabins &amp; their Variants.)"/>
    <s v="Multiplant"/>
    <x v="0"/>
    <s v="ICM"/>
    <s v="Marketing/Sales"/>
    <m/>
    <m/>
    <m/>
    <m/>
    <m/>
    <m/>
    <m/>
    <m/>
    <m/>
    <m/>
    <m/>
    <m/>
    <m/>
    <m/>
    <m/>
    <m/>
    <m/>
    <m/>
    <m/>
    <s v="In Que"/>
    <s v="TF is currently on hold and will be released after the completion of the S-45 cooler prototype."/>
    <s v="Atul"/>
  </r>
  <r>
    <n v="302"/>
    <x v="6"/>
    <n v="2"/>
    <x v="1"/>
    <x v="0"/>
    <s v="NO"/>
    <s v="26-00375_08"/>
    <s v="N/A"/>
    <s v="Frameless Lookalike Door Coolers Development S-1100 cabins &amp; their Variants.)"/>
    <s v="Multiplant"/>
    <x v="0"/>
    <s v="ICM"/>
    <s v="Marketing/Sales"/>
    <m/>
    <m/>
    <m/>
    <m/>
    <m/>
    <m/>
    <m/>
    <m/>
    <m/>
    <m/>
    <m/>
    <m/>
    <m/>
    <m/>
    <m/>
    <m/>
    <m/>
    <m/>
    <m/>
    <s v="In Que"/>
    <s v="TF is currently on hold and will be released after the completion of the S-45 cooler prototype."/>
    <s v="Rishi"/>
  </r>
  <r>
    <n v="303"/>
    <x v="6"/>
    <n v="2"/>
    <x v="1"/>
    <x v="0"/>
    <s v="NO"/>
    <s v="26-00375_09"/>
    <s v="N/A"/>
    <s v="Frameless Lookalike Door Coolers Development E-47 cabins &amp; their Variants.)"/>
    <s v="Multiplant"/>
    <x v="0"/>
    <s v="ICM"/>
    <s v="Marketing/Sales"/>
    <m/>
    <m/>
    <m/>
    <m/>
    <m/>
    <m/>
    <m/>
    <m/>
    <m/>
    <m/>
    <m/>
    <m/>
    <m/>
    <m/>
    <m/>
    <m/>
    <m/>
    <m/>
    <m/>
    <s v="In Que"/>
    <s v="TF is currently on hold and will be released after the completion of the S-45 cooler prototype."/>
    <s v="Atul"/>
  </r>
  <r>
    <n v="304"/>
    <x v="6"/>
    <n v="2"/>
    <x v="1"/>
    <x v="0"/>
    <s v="NO"/>
    <s v="26-00375_10"/>
    <s v="N/A"/>
    <s v="Frameless Lookalike Door Coolers Development S-200 cabins &amp; their Variants.)"/>
    <s v="Multiplant"/>
    <x v="0"/>
    <s v="ICM"/>
    <s v="Marketing/Sales"/>
    <m/>
    <m/>
    <m/>
    <m/>
    <m/>
    <m/>
    <m/>
    <m/>
    <m/>
    <m/>
    <m/>
    <m/>
    <m/>
    <m/>
    <m/>
    <m/>
    <m/>
    <m/>
    <m/>
    <s v="In Que"/>
    <s v="TF is currently on hold and will be released after the completion of the S-45 cooler prototype."/>
    <s v="Atul"/>
  </r>
  <r>
    <n v="305"/>
    <x v="6"/>
    <n v="2"/>
    <x v="1"/>
    <x v="0"/>
    <s v="NO"/>
    <s v="26-00375_11"/>
    <s v="N/A"/>
    <s v="Frameless Lookalike Door Coolers Development S-250 cabins &amp; their Variants.)"/>
    <s v="Multiplant"/>
    <x v="0"/>
    <s v="ICM"/>
    <s v="Marketing/Sales"/>
    <m/>
    <m/>
    <m/>
    <m/>
    <m/>
    <m/>
    <m/>
    <m/>
    <m/>
    <m/>
    <m/>
    <m/>
    <m/>
    <m/>
    <m/>
    <m/>
    <m/>
    <m/>
    <m/>
    <s v="In Que"/>
    <s v="TF is currently on hold and will be released after the completion of the S-45 cooler prototype."/>
    <s v="Rishi"/>
  </r>
  <r>
    <n v="306"/>
    <x v="6"/>
    <n v="2"/>
    <x v="1"/>
    <x v="0"/>
    <s v="NO"/>
    <s v="26-00375_12"/>
    <s v="N/A"/>
    <s v="Frameless Lookalike Door Coolers Development S-1000 cabins &amp; their Variants.)"/>
    <s v="Multiplant"/>
    <x v="0"/>
    <s v="ICM"/>
    <s v="Marketing/Sales"/>
    <m/>
    <m/>
    <m/>
    <m/>
    <m/>
    <m/>
    <m/>
    <m/>
    <m/>
    <m/>
    <m/>
    <m/>
    <m/>
    <m/>
    <m/>
    <m/>
    <m/>
    <m/>
    <m/>
    <s v="In Que"/>
    <s v="TF is currently on hold and will be released after the completion of the S-45 cooler prototype."/>
    <s v="Rishi"/>
  </r>
  <r>
    <n v="307"/>
    <x v="15"/>
    <m/>
    <x v="1"/>
    <x v="2"/>
    <s v="NO"/>
    <s v="26-00384"/>
    <s v="N/A"/>
    <s v="VistaZ Power Cable Installation to Super 45 SZ"/>
    <s v="IND"/>
    <x v="0"/>
    <s v="ICM"/>
    <s v="Marketing/Sales"/>
    <m/>
    <m/>
    <m/>
    <n v="3"/>
    <m/>
    <m/>
    <m/>
    <m/>
    <m/>
    <m/>
    <m/>
    <m/>
    <m/>
    <m/>
    <m/>
    <m/>
    <m/>
    <m/>
    <m/>
    <s v="Commercialized"/>
    <s v="Feability study completed._x000a_One sample is ready for checking routing as per requirement._x000a_Work instruction for camera cable installation ready._x000a_Currently, the project is on hold as the supplier will provide the required cable along with all necessary certifications._x000a_TF will be release by after finalization of cable._x000a_TF release in Week 14_x000a_Prototype completed in Week 19_x000a_Prototype points closure in Week 20_x000a_Pilot completed in Week 20_x000a_Commercialization planned for Week 21_x000a_Successfully commercialized!"/>
    <s v="Rishi"/>
  </r>
  <r>
    <n v="308"/>
    <x v="6"/>
    <n v="1"/>
    <x v="1"/>
    <x v="2"/>
    <s v="NO"/>
    <s v="26-00376"/>
    <s v="N/A"/>
    <s v="FV1000sz Heineken 2026 Cladding (HNKN requested for flat canopy and cladding solutions)"/>
    <s v="SAF"/>
    <x v="0"/>
    <s v="ICM"/>
    <s v="Marketing/Sales"/>
    <m/>
    <m/>
    <m/>
    <n v="3"/>
    <m/>
    <m/>
    <m/>
    <m/>
    <m/>
    <m/>
    <m/>
    <m/>
    <m/>
    <m/>
    <m/>
    <m/>
    <m/>
    <m/>
    <m/>
    <s v="Development"/>
    <s v="SAF team to receive Cladding solution from Customer, only after that feasibility study to be completed and TF to be relased, Share pics with Stratos_x000a_Proto Done./Arrange a short call with SAF team-02-06-26_x000a_Meeting done with SAF team all 4 clading design need to modified as per discussion with SAF team._x000a_The CAD has been received  from the supplier end. We are currently awaiting instructions from the SAF team, after which TF preparation will start."/>
    <s v="Pawan"/>
  </r>
  <r>
    <n v="309"/>
    <x v="16"/>
    <n v="5"/>
    <x v="1"/>
    <x v="0"/>
    <s v="NO"/>
    <s v="26-00378_01"/>
    <s v="N/A"/>
    <s v="S-60 Coke Egypt development for other Coke locations (Options development and applicability of the model in other markets served from Fresh, Egypt)"/>
    <s v="Egypt"/>
    <x v="0"/>
    <s v="ICM"/>
    <s v="Marketing/Sales"/>
    <m/>
    <m/>
    <m/>
    <n v="4"/>
    <n v="4"/>
    <m/>
    <m/>
    <m/>
    <m/>
    <m/>
    <m/>
    <m/>
    <m/>
    <m/>
    <m/>
    <m/>
    <m/>
    <m/>
    <m/>
    <s v="Development"/>
    <s v="TF preparation is in progress._x000a_TF will be release by Wk25._x000a_TF release on 16-06-2026."/>
    <s v="Zakir"/>
  </r>
  <r>
    <n v="309"/>
    <x v="16"/>
    <n v="5"/>
    <x v="1"/>
    <x v="0"/>
    <s v="NO"/>
    <s v="26-00378_02"/>
    <s v="N/A"/>
    <s v="S-1100 Coke Egypt development for other Coke locations (Options development and applicability of the model in other markets served from Fresh, Egypt)"/>
    <s v="Egypt"/>
    <x v="0"/>
    <s v="ICM"/>
    <s v="Marketing/Sales"/>
    <m/>
    <m/>
    <m/>
    <n v="4"/>
    <n v="4"/>
    <m/>
    <m/>
    <m/>
    <m/>
    <m/>
    <m/>
    <m/>
    <m/>
    <m/>
    <m/>
    <m/>
    <m/>
    <m/>
    <m/>
    <s v="Development"/>
    <s v="TF preparation is in progress._x000a_TF will be release by Wk27."/>
    <s v="Zakir"/>
  </r>
  <r>
    <n v="310"/>
    <x v="6"/>
    <m/>
    <x v="1"/>
    <x v="0"/>
    <s v="NO"/>
    <s v="26-00379_01"/>
    <s v="N/A"/>
    <s v="S-60 Egypt - Pepsi and key accounts development (Options development and applicability of the model in other markets served from Fresh, Egypt)"/>
    <s v="Egypt"/>
    <x v="0"/>
    <s v="ICM"/>
    <s v="Marketing/Sales"/>
    <m/>
    <m/>
    <m/>
    <n v="4"/>
    <n v="4"/>
    <m/>
    <m/>
    <m/>
    <m/>
    <m/>
    <m/>
    <m/>
    <m/>
    <m/>
    <m/>
    <m/>
    <m/>
    <m/>
    <m/>
    <s v="In Que"/>
    <s v="TF will be release by Wk25."/>
    <s v="Zakir"/>
  </r>
  <r>
    <n v="310"/>
    <x v="6"/>
    <m/>
    <x v="1"/>
    <x v="0"/>
    <s v="NO"/>
    <s v="26-00379_02"/>
    <s v="N/A"/>
    <s v="S-1100 Egypt - Pepsi and key accounts development (Options development and applicability of the model in other markets served from Fresh, Egypt)"/>
    <s v="Egypt"/>
    <x v="0"/>
    <s v="ICM"/>
    <s v="Marketing/Sales"/>
    <m/>
    <m/>
    <m/>
    <n v="4"/>
    <n v="4"/>
    <m/>
    <m/>
    <m/>
    <m/>
    <m/>
    <m/>
    <m/>
    <m/>
    <m/>
    <m/>
    <m/>
    <m/>
    <m/>
    <m/>
    <s v="In Que"/>
    <m/>
    <s v="Zakir"/>
  </r>
  <r>
    <n v="311"/>
    <x v="17"/>
    <n v="4"/>
    <x v="1"/>
    <x v="1"/>
    <s v="NM"/>
    <s v="26-00381"/>
    <s v="N/A"/>
    <s v="50L counter top feasibility and development"/>
    <s v="IND"/>
    <x v="0"/>
    <s v="ICM"/>
    <s v="Marketing/Sales"/>
    <s v="Complete Cooler"/>
    <s v="N/A"/>
    <s v="N/A"/>
    <n v="19"/>
    <n v="19"/>
    <s v="Yes"/>
    <n v="30"/>
    <m/>
    <n v="6"/>
    <m/>
    <n v="6"/>
    <s v="Yes"/>
    <s v="Not Started"/>
    <n v="1"/>
    <m/>
    <m/>
    <m/>
    <m/>
    <m/>
    <s v="Development"/>
    <s v="Feasibility Study presented to India Plant team, BOM costing is awaited"/>
    <s v="Antonis"/>
  </r>
  <r>
    <n v="312"/>
    <x v="6"/>
    <m/>
    <x v="1"/>
    <x v="0"/>
    <s v="NM"/>
    <s v="26-00382"/>
    <s v="N/A"/>
    <s v="Super 550 development in C class"/>
    <s v="IND"/>
    <x v="0"/>
    <s v="ICM"/>
    <m/>
    <m/>
    <m/>
    <m/>
    <n v="4"/>
    <m/>
    <m/>
    <m/>
    <m/>
    <m/>
    <m/>
    <m/>
    <m/>
    <m/>
    <m/>
    <m/>
    <m/>
    <m/>
    <m/>
    <m/>
    <s v="Cancelled"/>
    <m/>
    <s v="Atul"/>
  </r>
  <r>
    <n v="312"/>
    <x v="6"/>
    <n v="7"/>
    <x v="1"/>
    <x v="0"/>
    <s v="NM"/>
    <s v="26-00411"/>
    <s v="N/A"/>
    <s v="Super 550 development in C class"/>
    <s v="IND"/>
    <x v="0"/>
    <s v="ICM"/>
    <s v="Marketing/Sales"/>
    <m/>
    <m/>
    <m/>
    <n v="4"/>
    <m/>
    <m/>
    <m/>
    <m/>
    <m/>
    <m/>
    <m/>
    <m/>
    <m/>
    <m/>
    <m/>
    <m/>
    <m/>
    <m/>
    <m/>
    <s v="In Que"/>
    <m/>
    <s v="Atul"/>
  </r>
  <r>
    <n v="312"/>
    <x v="6"/>
    <n v="8"/>
    <x v="1"/>
    <x v="0"/>
    <s v="NM"/>
    <s v="26-00410"/>
    <s v="N/A"/>
    <s v="Super 550 development in D class"/>
    <s v="IND"/>
    <x v="0"/>
    <s v="ICM"/>
    <s v="Marketing/Sales"/>
    <m/>
    <m/>
    <m/>
    <n v="4"/>
    <m/>
    <m/>
    <m/>
    <m/>
    <m/>
    <m/>
    <m/>
    <m/>
    <m/>
    <m/>
    <m/>
    <m/>
    <m/>
    <m/>
    <m/>
    <s v="In Que"/>
    <s v="Evaluate"/>
    <s v="Atul"/>
  </r>
  <r>
    <n v="313"/>
    <x v="6"/>
    <m/>
    <x v="1"/>
    <x v="0"/>
    <s v="AC"/>
    <s v="TBD"/>
    <s v="N/A"/>
    <s v="Security of supply: Alternate supplier for Fan blade"/>
    <s v="IND"/>
    <x v="0"/>
    <s v="ICM"/>
    <s v="Local Supply Chain"/>
    <m/>
    <m/>
    <m/>
    <n v="4"/>
    <m/>
    <m/>
    <m/>
    <m/>
    <m/>
    <m/>
    <m/>
    <m/>
    <m/>
    <m/>
    <m/>
    <m/>
    <m/>
    <m/>
    <m/>
    <s v="On Hold"/>
    <m/>
    <s v="Nikhil"/>
  </r>
  <r>
    <n v="314"/>
    <x v="6"/>
    <m/>
    <x v="1"/>
    <x v="2"/>
    <s v="BC"/>
    <s v="26-00383"/>
    <s v="N/A"/>
    <s v="sample cooler for Relaince technology day (preparation of coolers to participate in Reliance technology day)"/>
    <s v="IND"/>
    <x v="0"/>
    <s v="ICM"/>
    <s v="Marketing/Sales"/>
    <m/>
    <m/>
    <m/>
    <n v="3"/>
    <m/>
    <m/>
    <m/>
    <m/>
    <m/>
    <m/>
    <m/>
    <m/>
    <m/>
    <m/>
    <m/>
    <m/>
    <m/>
    <m/>
    <m/>
    <s v="Commercialized"/>
    <s v="Drawing prepared and  shared with Supplier, Expected sample dispatch date is 18th Of March_x000a_All doors are ready at John’s location. Supply Chain will now coordinate the pickup from China"/>
    <s v="Atul"/>
  </r>
  <r>
    <n v="315"/>
    <x v="6"/>
    <m/>
    <x v="1"/>
    <x v="2"/>
    <s v="BC"/>
    <s v="TBR"/>
    <s v="N/A"/>
    <s v="Localization project of Egypt"/>
    <s v="Egypt"/>
    <x v="0"/>
    <s v="ICM"/>
    <s v="Central Procurement Group"/>
    <m/>
    <m/>
    <m/>
    <n v="3"/>
    <n v="5"/>
    <m/>
    <m/>
    <m/>
    <n v="4"/>
    <m/>
    <n v="4"/>
    <m/>
    <m/>
    <m/>
    <m/>
    <m/>
    <m/>
    <m/>
    <m/>
    <s v="Development"/>
    <s v="To be splitted in Different project- Gasket, Shelf, Metal processing parts etc._x000a_Gasket and shelf development have been completed locally. Sheet metal localization is currently in progress."/>
    <s v="Zakir"/>
  </r>
  <r>
    <n v="316"/>
    <x v="6"/>
    <m/>
    <x v="1"/>
    <x v="2"/>
    <s v="BC"/>
    <s v="TBR"/>
    <s v="N/A"/>
    <s v="Egypt Lead Time Optimization Project"/>
    <s v="Egypt"/>
    <x v="0"/>
    <s v="ICM"/>
    <s v="Central Procurement Group"/>
    <m/>
    <m/>
    <m/>
    <n v="3"/>
    <n v="3"/>
    <m/>
    <m/>
    <m/>
    <m/>
    <m/>
    <m/>
    <m/>
    <m/>
    <m/>
    <m/>
    <m/>
    <m/>
    <m/>
    <m/>
    <s v="Development"/>
    <s v="Common item list within configuration and across models with sourcing details shared with Fresh team._x000a_Final BOM already shared from PD side with egypt team."/>
    <s v="Zakir"/>
  </r>
  <r>
    <n v="317"/>
    <x v="18"/>
    <m/>
    <x v="1"/>
    <x v="0"/>
    <s v="NM"/>
    <s v="26-00385_1"/>
    <s v="N/A"/>
    <s v="Safe cooler kit implementation-FV650"/>
    <s v="SAF"/>
    <x v="0"/>
    <s v="ICM"/>
    <s v="Marketing/Sales"/>
    <m/>
    <m/>
    <m/>
    <n v="4"/>
    <m/>
    <s v="Yes"/>
    <m/>
    <m/>
    <m/>
    <m/>
    <n v="70"/>
    <m/>
    <m/>
    <m/>
    <m/>
    <m/>
    <m/>
    <m/>
    <m/>
    <s v="On Hold"/>
    <m/>
    <s v="Pawan"/>
  </r>
  <r>
    <n v="318"/>
    <x v="18"/>
    <m/>
    <x v="1"/>
    <x v="0"/>
    <s v="NM"/>
    <s v="26-00385_2"/>
    <s v="N/A"/>
    <s v="Safe cooler kit implementation-FV1000"/>
    <s v="SAF"/>
    <x v="0"/>
    <s v="ICM"/>
    <s v="Marketing/Sales"/>
    <m/>
    <m/>
    <m/>
    <n v="4"/>
    <m/>
    <s v="Yes"/>
    <m/>
    <m/>
    <m/>
    <m/>
    <n v="70"/>
    <m/>
    <m/>
    <m/>
    <m/>
    <m/>
    <m/>
    <m/>
    <m/>
    <s v="Development"/>
    <s v="BOM release to south africa plant_x000a_Waiting for motor samples._x000a_Proto to be done."/>
    <s v="Pawan"/>
  </r>
  <r>
    <n v="319"/>
    <x v="18"/>
    <m/>
    <x v="1"/>
    <x v="0"/>
    <s v="NM"/>
    <s v="26-00385_3"/>
    <s v="N/A"/>
    <s v="Safe cooler kit implementation-HV71"/>
    <s v="SAF"/>
    <x v="0"/>
    <s v="ICM"/>
    <m/>
    <m/>
    <m/>
    <m/>
    <n v="4"/>
    <m/>
    <m/>
    <m/>
    <m/>
    <m/>
    <m/>
    <m/>
    <m/>
    <m/>
    <m/>
    <m/>
    <m/>
    <m/>
    <m/>
    <m/>
    <s v="Cancelled"/>
    <m/>
    <s v="Pawan"/>
  </r>
  <r>
    <n v="320"/>
    <x v="18"/>
    <m/>
    <x v="1"/>
    <x v="2"/>
    <s v="IMP"/>
    <s v="26-00386"/>
    <s v="N/A"/>
    <s v="Implementation of FDEx3"/>
    <s v="Multiplant"/>
    <x v="0"/>
    <s v="ICM"/>
    <s v="Marketing/Sales"/>
    <m/>
    <m/>
    <m/>
    <n v="3"/>
    <n v="2"/>
    <m/>
    <m/>
    <m/>
    <m/>
    <m/>
    <m/>
    <m/>
    <m/>
    <m/>
    <m/>
    <m/>
    <m/>
    <m/>
    <m/>
    <s v="In Que"/>
    <m/>
    <s v="Zakir"/>
  </r>
  <r>
    <n v="321"/>
    <x v="18"/>
    <n v="11"/>
    <x v="0"/>
    <x v="2"/>
    <s v="NO"/>
    <s v="26-00387"/>
    <s v="N/A"/>
    <s v="Telemetry solution in brewery"/>
    <s v="SAF"/>
    <x v="0"/>
    <s v="ICM"/>
    <s v="Marketing/Sales"/>
    <m/>
    <m/>
    <m/>
    <n v="3"/>
    <n v="3"/>
    <m/>
    <m/>
    <m/>
    <m/>
    <m/>
    <m/>
    <m/>
    <m/>
    <m/>
    <m/>
    <m/>
    <m/>
    <m/>
    <m/>
    <s v="In Que"/>
    <m/>
    <s v="Pawan"/>
  </r>
  <r>
    <n v="322"/>
    <x v="18"/>
    <m/>
    <x v="1"/>
    <x v="0"/>
    <s v="BC"/>
    <s v="26-00389_1"/>
    <s v="N/A"/>
    <s v="BEE star labelling-SC5-400 (Bluestar Configuration)"/>
    <s v="IND"/>
    <x v="0"/>
    <s v="ICM"/>
    <s v="Marketing/Sales"/>
    <m/>
    <m/>
    <m/>
    <n v="4"/>
    <n v="2"/>
    <s v="Yes"/>
    <m/>
    <m/>
    <m/>
    <m/>
    <n v="12"/>
    <m/>
    <m/>
    <m/>
    <m/>
    <m/>
    <m/>
    <m/>
    <m/>
    <s v="Development"/>
    <s v="Testing done.and also shared draft report with team._x000a_Testing need to redone."/>
    <s v="Dipak"/>
  </r>
  <r>
    <n v="323"/>
    <x v="18"/>
    <m/>
    <x v="1"/>
    <x v="0"/>
    <s v="BC"/>
    <s v="26-00389_2"/>
    <s v="N/A"/>
    <s v="BEE star labelling-SC5-325 (Bluestar Configuration)"/>
    <s v="IND"/>
    <x v="0"/>
    <s v="ICM"/>
    <s v="Marketing/Sales"/>
    <m/>
    <m/>
    <m/>
    <n v="4"/>
    <n v="2"/>
    <s v="Yes"/>
    <m/>
    <m/>
    <m/>
    <m/>
    <n v="12"/>
    <m/>
    <m/>
    <m/>
    <m/>
    <m/>
    <m/>
    <m/>
    <m/>
    <s v="Development"/>
    <s v="Testing is in progress._x000a_Testing need to redone."/>
    <s v="Dipak"/>
  </r>
  <r>
    <n v="324"/>
    <x v="18"/>
    <m/>
    <x v="1"/>
    <x v="0"/>
    <s v="BC"/>
    <s v="26-00389_3"/>
    <s v="N/A"/>
    <s v="BEE star labelling-SC5-500C (Bluestar Configuration)"/>
    <s v="IND"/>
    <x v="0"/>
    <s v="ICM"/>
    <s v="Marketing/Sales"/>
    <m/>
    <m/>
    <m/>
    <n v="4"/>
    <n v="2"/>
    <s v="Yes"/>
    <m/>
    <m/>
    <m/>
    <m/>
    <n v="12"/>
    <m/>
    <m/>
    <m/>
    <m/>
    <m/>
    <m/>
    <m/>
    <m/>
    <s v="Development"/>
    <s v="Testing to be done by today._x000a_Testing need to redone."/>
    <s v="Dipak"/>
  </r>
  <r>
    <n v="325"/>
    <x v="18"/>
    <m/>
    <x v="1"/>
    <x v="0"/>
    <s v="BC"/>
    <s v="26-00389_4"/>
    <s v="N/A"/>
    <s v="BEE star labelling-SC5-675C (Bluestar Configuration)"/>
    <s v="IND"/>
    <x v="0"/>
    <s v="ICM"/>
    <s v="Marketing/Sales"/>
    <m/>
    <m/>
    <m/>
    <n v="4"/>
    <n v="2"/>
    <s v="Yes"/>
    <m/>
    <m/>
    <m/>
    <m/>
    <n v="12"/>
    <m/>
    <m/>
    <m/>
    <m/>
    <m/>
    <m/>
    <m/>
    <m/>
    <s v="Development"/>
    <s v="Testing done.and alos shared drawft report with team._x000a_Testing need to redone."/>
    <s v="Dipak"/>
  </r>
  <r>
    <n v="326"/>
    <x v="18"/>
    <m/>
    <x v="1"/>
    <x v="0"/>
    <s v="BC"/>
    <s v="26-00389_5"/>
    <s v="N/A"/>
    <s v="BEE star labelling-SC5-1100C (Bluestar Configuration)"/>
    <s v="IND"/>
    <x v="0"/>
    <s v="ICM"/>
    <s v="Marketing/Sales"/>
    <m/>
    <m/>
    <m/>
    <n v="4"/>
    <n v="2"/>
    <s v="Yes"/>
    <m/>
    <m/>
    <m/>
    <m/>
    <n v="12"/>
    <m/>
    <m/>
    <m/>
    <m/>
    <m/>
    <m/>
    <m/>
    <m/>
    <s v="Development"/>
    <s v="Testing done ._x000a_Report submitted on 11-06-26."/>
    <s v="Dipak"/>
  </r>
  <r>
    <n v="327"/>
    <x v="18"/>
    <m/>
    <x v="1"/>
    <x v="0"/>
    <s v="BC"/>
    <s v="26-00389_6"/>
    <s v="N/A"/>
    <s v="BEE star labelling-S35 (Coke configuration)"/>
    <s v="IND"/>
    <x v="0"/>
    <s v="ICM"/>
    <s v="Marketing/Sales"/>
    <m/>
    <m/>
    <m/>
    <n v="4"/>
    <n v="2"/>
    <s v="Yes"/>
    <m/>
    <m/>
    <m/>
    <m/>
    <n v="12"/>
    <m/>
    <m/>
    <m/>
    <m/>
    <m/>
    <m/>
    <m/>
    <m/>
    <s v="In Que"/>
    <m/>
    <s v="Dipak"/>
  </r>
  <r>
    <n v="328"/>
    <x v="18"/>
    <m/>
    <x v="1"/>
    <x v="0"/>
    <s v="BC"/>
    <s v="26-00389_7"/>
    <s v="N/A"/>
    <s v="BEE star labelling-S45 (Coke configuration)"/>
    <s v="IND"/>
    <x v="0"/>
    <s v="ICM"/>
    <s v="Marketing/Sales"/>
    <m/>
    <m/>
    <m/>
    <n v="4"/>
    <n v="2"/>
    <s v="Yes"/>
    <m/>
    <m/>
    <m/>
    <m/>
    <n v="12"/>
    <m/>
    <m/>
    <m/>
    <m/>
    <m/>
    <m/>
    <m/>
    <m/>
    <s v="In Que"/>
    <m/>
    <s v="Dipak"/>
  </r>
  <r>
    <n v="329"/>
    <x v="18"/>
    <m/>
    <x v="1"/>
    <x v="0"/>
    <s v="BC"/>
    <s v="26-00389_8"/>
    <s v="N/A"/>
    <s v="BEE star labelling-VG400 (White Market Account configuration)"/>
    <s v="IND"/>
    <x v="0"/>
    <s v="ICM"/>
    <s v="Marketing/Sales"/>
    <m/>
    <m/>
    <m/>
    <n v="4"/>
    <n v="2"/>
    <s v="Yes"/>
    <m/>
    <m/>
    <m/>
    <m/>
    <n v="7"/>
    <m/>
    <m/>
    <m/>
    <m/>
    <m/>
    <m/>
    <m/>
    <m/>
    <s v="In Que"/>
    <s v="Pass for BEE start labeling, What needs to be done for Capacitor: which we received with compressor (BIS). Also new Capacitor to be developed for S1100 (TCW). Check with BIS consultant- If we can use capacitor which we got with Donper"/>
    <s v="Dipak"/>
  </r>
  <r>
    <n v="330"/>
    <x v="18"/>
    <m/>
    <x v="1"/>
    <x v="0"/>
    <s v="BC"/>
    <s v="26-00389_9"/>
    <s v="N/A"/>
    <s v="BEE star labelling-SP500 (Pepsico configuration)"/>
    <s v="IND"/>
    <x v="0"/>
    <s v="ICM"/>
    <s v="Marketing/Sales"/>
    <m/>
    <m/>
    <m/>
    <n v="4"/>
    <n v="2"/>
    <s v="Yes"/>
    <m/>
    <m/>
    <m/>
    <m/>
    <n v="7"/>
    <m/>
    <m/>
    <m/>
    <m/>
    <m/>
    <m/>
    <m/>
    <m/>
    <s v="In Que"/>
    <m/>
    <s v="Dipak"/>
  </r>
  <r>
    <n v="331"/>
    <x v="18"/>
    <m/>
    <x v="1"/>
    <x v="0"/>
    <s v="BC"/>
    <s v="26-00389_10"/>
    <s v="N/A"/>
    <s v="BEE star labelling-S500 (Reliance configuration)"/>
    <s v="IND"/>
    <x v="0"/>
    <s v="ICM"/>
    <s v="Marketing/Sales"/>
    <m/>
    <m/>
    <m/>
    <n v="4"/>
    <n v="2"/>
    <s v="Yes"/>
    <m/>
    <m/>
    <m/>
    <m/>
    <n v="12"/>
    <m/>
    <m/>
    <m/>
    <m/>
    <m/>
    <m/>
    <m/>
    <m/>
    <s v="In Que"/>
    <m/>
    <s v="Dipak"/>
  </r>
  <r>
    <n v="332"/>
    <x v="18"/>
    <m/>
    <x v="1"/>
    <x v="0"/>
    <s v="BC"/>
    <s v="26-00389_11"/>
    <s v="N/A"/>
    <s v="BEE star labelling-S60 (Coke configuration)"/>
    <s v="IND"/>
    <x v="0"/>
    <s v="ICM"/>
    <s v="Marketing/Sales"/>
    <m/>
    <m/>
    <m/>
    <n v="4"/>
    <n v="2"/>
    <s v="Yes"/>
    <m/>
    <m/>
    <m/>
    <m/>
    <n v="12"/>
    <m/>
    <m/>
    <m/>
    <m/>
    <m/>
    <m/>
    <m/>
    <m/>
    <s v="In Que"/>
    <m/>
    <s v="Dipak"/>
  </r>
  <r>
    <n v="333"/>
    <x v="18"/>
    <m/>
    <x v="1"/>
    <x v="0"/>
    <s v="BC"/>
    <s v="26-00389_12"/>
    <s v="N/A"/>
    <s v="BEE star labelling-SP-600 (Pepsico configuration)"/>
    <s v="IND"/>
    <x v="0"/>
    <s v="ICM"/>
    <s v="Marketing/Sales"/>
    <m/>
    <m/>
    <m/>
    <n v="4"/>
    <n v="2"/>
    <s v="Yes"/>
    <m/>
    <m/>
    <m/>
    <m/>
    <n v="7"/>
    <m/>
    <m/>
    <m/>
    <m/>
    <m/>
    <m/>
    <m/>
    <m/>
    <s v="In Que"/>
    <m/>
    <s v="Dipak"/>
  </r>
  <r>
    <n v="334"/>
    <x v="18"/>
    <m/>
    <x v="1"/>
    <x v="0"/>
    <s v="BC"/>
    <s v="26-00389_13"/>
    <s v="N/A"/>
    <s v="BEE star labelling-S1100 (Coke configuration)"/>
    <s v="IND"/>
    <x v="0"/>
    <s v="ICM"/>
    <s v="Marketing/Sales"/>
    <m/>
    <m/>
    <m/>
    <n v="4"/>
    <n v="2"/>
    <s v="Yes"/>
    <m/>
    <m/>
    <m/>
    <m/>
    <n v="12"/>
    <m/>
    <m/>
    <m/>
    <m/>
    <m/>
    <m/>
    <m/>
    <m/>
    <s v="In Que"/>
    <m/>
    <s v="Dipak"/>
  </r>
  <r>
    <n v="335"/>
    <x v="18"/>
    <m/>
    <x v="1"/>
    <x v="0"/>
    <s v="BC"/>
    <s v="26-00389_14"/>
    <s v="N/A"/>
    <s v="BEE star labelling-SP-800 (Pepsico configuration)"/>
    <s v="IND"/>
    <x v="0"/>
    <s v="ICM"/>
    <s v="Marketing/Sales"/>
    <m/>
    <m/>
    <m/>
    <n v="4"/>
    <n v="2"/>
    <s v="Yes"/>
    <m/>
    <m/>
    <m/>
    <m/>
    <n v="7"/>
    <m/>
    <m/>
    <m/>
    <m/>
    <m/>
    <m/>
    <m/>
    <m/>
    <s v="In Que"/>
    <m/>
    <s v="Dipak"/>
  </r>
  <r>
    <n v="336"/>
    <x v="18"/>
    <m/>
    <x v="1"/>
    <x v="0"/>
    <s v="BC"/>
    <s v="26-00389_15"/>
    <s v="N/A"/>
    <s v="BEE star labelling-SL200 (Key Account configuration)"/>
    <s v="IND"/>
    <x v="0"/>
    <s v="ICM"/>
    <s v="Marketing/Sales"/>
    <m/>
    <m/>
    <m/>
    <n v="4"/>
    <n v="2"/>
    <s v="Yes"/>
    <m/>
    <m/>
    <m/>
    <m/>
    <n v="7"/>
    <m/>
    <m/>
    <m/>
    <m/>
    <m/>
    <m/>
    <m/>
    <m/>
    <s v="In Que"/>
    <m/>
    <s v="Dipak"/>
  </r>
  <r>
    <n v="337"/>
    <x v="18"/>
    <m/>
    <x v="1"/>
    <x v="0"/>
    <s v="BC"/>
    <s v="26-00389_16"/>
    <s v="N/A"/>
    <s v="BEE star labelling-S200 (Coke configuration)"/>
    <s v="IND"/>
    <x v="0"/>
    <s v="ICM"/>
    <s v="Marketing/Sales"/>
    <m/>
    <m/>
    <m/>
    <n v="4"/>
    <n v="2"/>
    <s v="Yes"/>
    <m/>
    <m/>
    <m/>
    <m/>
    <n v="7"/>
    <m/>
    <m/>
    <m/>
    <m/>
    <m/>
    <m/>
    <m/>
    <m/>
    <s v="In Que"/>
    <m/>
    <s v="Dipak"/>
  </r>
  <r>
    <n v="338"/>
    <x v="18"/>
    <m/>
    <x v="1"/>
    <x v="0"/>
    <s v="BC"/>
    <s v="26-00389_17"/>
    <s v="N/A"/>
    <s v="BEE star labelling-SL-250 (Key Account configuration)"/>
    <s v="IND"/>
    <x v="0"/>
    <s v="ICM"/>
    <s v="Marketing/Sales"/>
    <m/>
    <m/>
    <m/>
    <n v="4"/>
    <n v="2"/>
    <s v="Yes"/>
    <m/>
    <m/>
    <m/>
    <m/>
    <n v="7"/>
    <m/>
    <m/>
    <m/>
    <m/>
    <m/>
    <m/>
    <m/>
    <m/>
    <s v="In Que"/>
    <m/>
    <s v="Dipak"/>
  </r>
  <r>
    <n v="339"/>
    <x v="18"/>
    <m/>
    <x v="1"/>
    <x v="0"/>
    <s v="BC"/>
    <s v="26-00389_18"/>
    <s v="N/A"/>
    <s v="BEE star labelling-Super1000  (Coke configuration)"/>
    <s v="IND"/>
    <x v="0"/>
    <s v="ICM"/>
    <s v="Marketing/Sales"/>
    <m/>
    <m/>
    <m/>
    <n v="4"/>
    <n v="2"/>
    <s v="Yes"/>
    <m/>
    <m/>
    <m/>
    <m/>
    <n v="12"/>
    <m/>
    <m/>
    <m/>
    <m/>
    <m/>
    <m/>
    <m/>
    <m/>
    <s v="In Que"/>
    <m/>
    <s v="Dipak"/>
  </r>
  <r>
    <n v="340"/>
    <x v="18"/>
    <m/>
    <x v="1"/>
    <x v="0"/>
    <s v="BC"/>
    <s v="26-00389_19"/>
    <s v="N/A"/>
    <s v="BEE star labelling-Super1000  ( PepsiCo configuration)"/>
    <s v="IND"/>
    <x v="0"/>
    <s v="ICM"/>
    <s v="Marketing/Sales"/>
    <m/>
    <m/>
    <m/>
    <n v="4"/>
    <n v="2"/>
    <s v="Yes"/>
    <m/>
    <m/>
    <m/>
    <m/>
    <n v="7"/>
    <m/>
    <m/>
    <m/>
    <m/>
    <m/>
    <m/>
    <m/>
    <m/>
    <s v="In Que"/>
    <m/>
    <s v="Dipak"/>
  </r>
  <r>
    <n v="341"/>
    <x v="18"/>
    <m/>
    <x v="1"/>
    <x v="0"/>
    <s v="BC"/>
    <s v="26-00389_20"/>
    <s v="N/A"/>
    <s v="BEE star labelling-SL-1100 (Key Account configuration)"/>
    <s v="IND"/>
    <x v="0"/>
    <s v="ICM"/>
    <s v="Marketing/Sales"/>
    <m/>
    <m/>
    <m/>
    <n v="4"/>
    <n v="2"/>
    <s v="Yes"/>
    <m/>
    <m/>
    <m/>
    <m/>
    <n v="7"/>
    <m/>
    <m/>
    <m/>
    <m/>
    <m/>
    <m/>
    <m/>
    <m/>
    <s v="In Que"/>
    <m/>
    <s v="Dipak"/>
  </r>
  <r>
    <n v="342"/>
    <x v="18"/>
    <m/>
    <x v="1"/>
    <x v="0"/>
    <s v="BC"/>
    <s v="26-00389_21"/>
    <s v="N/A"/>
    <s v="BEE star labelling-SL-500 (Key Account configuration)"/>
    <s v="IND"/>
    <x v="0"/>
    <s v="ICM"/>
    <s v="Marketing/Sales"/>
    <m/>
    <m/>
    <m/>
    <n v="4"/>
    <n v="2"/>
    <s v="Yes"/>
    <m/>
    <m/>
    <m/>
    <m/>
    <n v="12"/>
    <m/>
    <m/>
    <m/>
    <m/>
    <m/>
    <m/>
    <m/>
    <m/>
    <s v="In Que"/>
    <m/>
    <s v="Dipak"/>
  </r>
  <r>
    <n v="343"/>
    <x v="18"/>
    <m/>
    <x v="1"/>
    <x v="0"/>
    <s v="BC"/>
    <s v="26-00389_22"/>
    <s v="N/A"/>
    <s v="BEE star labelling-SL-700 (Key Account configuration)"/>
    <s v="IND"/>
    <x v="0"/>
    <s v="ICM"/>
    <s v="Marketing/Sales"/>
    <m/>
    <m/>
    <m/>
    <n v="4"/>
    <n v="2"/>
    <s v="Yes"/>
    <m/>
    <m/>
    <m/>
    <m/>
    <n v="12"/>
    <m/>
    <m/>
    <m/>
    <m/>
    <m/>
    <m/>
    <m/>
    <m/>
    <s v="In Que"/>
    <m/>
    <s v="Dipak"/>
  </r>
  <r>
    <n v="344"/>
    <x v="18"/>
    <m/>
    <x v="1"/>
    <x v="0"/>
    <s v="BC"/>
    <s v="26-00389_23"/>
    <s v="N/A"/>
    <s v="BEE star labelling-SL-550 (Key Account configuration)"/>
    <s v="IND"/>
    <x v="0"/>
    <s v="ICM"/>
    <s v="Marketing/Sales"/>
    <m/>
    <m/>
    <m/>
    <n v="4"/>
    <n v="2"/>
    <s v="Yes"/>
    <m/>
    <m/>
    <m/>
    <m/>
    <n v="7"/>
    <m/>
    <m/>
    <m/>
    <m/>
    <m/>
    <m/>
    <m/>
    <m/>
    <s v="In Que"/>
    <m/>
    <s v="Dipak"/>
  </r>
  <r>
    <n v="345"/>
    <x v="18"/>
    <m/>
    <x v="1"/>
    <x v="0"/>
    <s v="BC"/>
    <s v="26-00389_24"/>
    <s v="N/A"/>
    <s v="BEE star labelling-VG300 (White Market Account configuration)"/>
    <s v="IND"/>
    <x v="0"/>
    <s v="ICM"/>
    <s v="Marketing/Sales"/>
    <m/>
    <m/>
    <m/>
    <n v="4"/>
    <n v="2"/>
    <s v="Yes"/>
    <m/>
    <m/>
    <m/>
    <m/>
    <n v="7"/>
    <m/>
    <m/>
    <m/>
    <m/>
    <m/>
    <m/>
    <m/>
    <m/>
    <s v="In Que"/>
    <m/>
    <s v="Dipak"/>
  </r>
  <r>
    <n v="346"/>
    <x v="18"/>
    <m/>
    <x v="1"/>
    <x v="0"/>
    <s v="BC"/>
    <s v="26-00389_25"/>
    <s v="N/A"/>
    <s v="BEE star labelling-TBD (Bluestar Account configuration) (SFP-500)"/>
    <s v="IND"/>
    <x v="0"/>
    <s v="ICM"/>
    <s v="Marketing/Sales"/>
    <m/>
    <m/>
    <m/>
    <n v="4"/>
    <n v="2"/>
    <s v="Yes"/>
    <m/>
    <m/>
    <m/>
    <m/>
    <n v="7"/>
    <m/>
    <m/>
    <m/>
    <m/>
    <m/>
    <m/>
    <m/>
    <m/>
    <s v="In Que"/>
    <m/>
    <s v="Dipak"/>
  </r>
  <r>
    <n v="347"/>
    <x v="18"/>
    <m/>
    <x v="1"/>
    <x v="0"/>
    <s v="BC"/>
    <s v="26-00389_26"/>
    <s v="N/A"/>
    <s v="BEE star labelling-TBD (Bluestar Account configuration) (Super-250)"/>
    <s v="IND"/>
    <x v="0"/>
    <s v="ICM"/>
    <s v="Marketing/Sales"/>
    <m/>
    <m/>
    <m/>
    <n v="4"/>
    <n v="2"/>
    <s v="Yes"/>
    <m/>
    <m/>
    <m/>
    <m/>
    <n v="12"/>
    <m/>
    <m/>
    <m/>
    <m/>
    <m/>
    <m/>
    <m/>
    <m/>
    <s v="In Que"/>
    <m/>
    <s v="Dipak"/>
  </r>
  <r>
    <n v="348"/>
    <x v="18"/>
    <m/>
    <x v="1"/>
    <x v="0"/>
    <s v="BC"/>
    <s v="26-00389_27"/>
    <s v="N/A"/>
    <s v="BEE star labelling-TBD (Bluestar Account configuration) (Super-500)"/>
    <s v="IND"/>
    <x v="0"/>
    <s v="ICM"/>
    <s v="Marketing/Sales"/>
    <m/>
    <m/>
    <m/>
    <n v="4"/>
    <n v="2"/>
    <s v="Yes"/>
    <m/>
    <m/>
    <m/>
    <m/>
    <n v="7"/>
    <m/>
    <m/>
    <m/>
    <m/>
    <m/>
    <m/>
    <m/>
    <m/>
    <s v="In Que"/>
    <m/>
    <s v="Dipak"/>
  </r>
  <r>
    <n v="349"/>
    <x v="18"/>
    <m/>
    <x v="1"/>
    <x v="0"/>
    <s v="BC"/>
    <s v="26-00389_28"/>
    <s v="N/A"/>
    <s v="BEE star labelling-TBD (Bluestar Account configuration) (Super-200)"/>
    <s v="IND"/>
    <x v="0"/>
    <s v="ICM"/>
    <s v="Marketing/Sales"/>
    <m/>
    <m/>
    <m/>
    <n v="4"/>
    <n v="2"/>
    <s v="Yes"/>
    <m/>
    <m/>
    <m/>
    <m/>
    <n v="7"/>
    <m/>
    <m/>
    <m/>
    <m/>
    <m/>
    <m/>
    <m/>
    <m/>
    <s v="In Que"/>
    <m/>
    <s v="Dipak"/>
  </r>
  <r>
    <n v="350"/>
    <x v="18"/>
    <m/>
    <x v="1"/>
    <x v="2"/>
    <s v="IMP"/>
    <s v="26-00390"/>
    <s v="N/A"/>
    <s v="HV-71 modifications as per CCBSA"/>
    <s v="SAF"/>
    <x v="0"/>
    <s v="ICM"/>
    <s v="Marketing/Sales"/>
    <m/>
    <m/>
    <m/>
    <n v="3"/>
    <n v="3"/>
    <m/>
    <m/>
    <m/>
    <m/>
    <m/>
    <m/>
    <m/>
    <m/>
    <m/>
    <m/>
    <m/>
    <m/>
    <m/>
    <m/>
    <s v="In Que"/>
    <m/>
    <s v="Pawan"/>
  </r>
  <r>
    <n v="351"/>
    <x v="18"/>
    <n v="12"/>
    <x v="1"/>
    <x v="2"/>
    <s v="NO"/>
    <s v="26-00391"/>
    <s v="N/A"/>
    <s v="Extra shelf for Coke Feasibility"/>
    <s v="IND"/>
    <x v="0"/>
    <s v="ICM"/>
    <s v="Marketing/Sales"/>
    <m/>
    <m/>
    <m/>
    <n v="3"/>
    <n v="3"/>
    <m/>
    <m/>
    <m/>
    <n v="2"/>
    <m/>
    <n v="1"/>
    <m/>
    <m/>
    <m/>
    <m/>
    <m/>
    <m/>
    <m/>
    <m/>
    <s v="In Que"/>
    <m/>
    <s v="Dipak"/>
  </r>
  <r>
    <n v="352"/>
    <x v="18"/>
    <n v="13"/>
    <x v="1"/>
    <x v="0"/>
    <s v="NO"/>
    <s v="26-00392"/>
    <s v="N/A"/>
    <s v="DD to TD (non refrigerated space)"/>
    <s v="IND"/>
    <x v="0"/>
    <s v="ICM"/>
    <s v="Marketing/Sales"/>
    <m/>
    <m/>
    <m/>
    <n v="0"/>
    <n v="0"/>
    <m/>
    <m/>
    <m/>
    <m/>
    <m/>
    <m/>
    <m/>
    <m/>
    <m/>
    <m/>
    <m/>
    <m/>
    <m/>
    <m/>
    <s v="On Hold"/>
    <m/>
    <s v="Lokesh"/>
  </r>
  <r>
    <n v="353"/>
    <x v="19"/>
    <m/>
    <x v="1"/>
    <x v="0"/>
    <s v="BC"/>
    <s v="TBD"/>
    <s v="N/A"/>
    <s v="Super-200 [R290] - Alt Compressor[BIS] Certification Coke"/>
    <s v="IND"/>
    <x v="0"/>
    <s v="ICM"/>
    <s v="Marketing/Sales"/>
    <m/>
    <m/>
    <m/>
    <n v="4"/>
    <n v="4"/>
    <s v="Yes"/>
    <m/>
    <m/>
    <n v="14"/>
    <m/>
    <n v="85"/>
    <m/>
    <m/>
    <m/>
    <m/>
    <m/>
    <m/>
    <m/>
    <m/>
    <s v="In Que"/>
    <m/>
    <s v="Dipak"/>
  </r>
  <r>
    <n v="354"/>
    <x v="19"/>
    <m/>
    <x v="1"/>
    <x v="0"/>
    <s v="BC"/>
    <s v="TBD"/>
    <s v="N/A"/>
    <s v="Super-35 [R290] - Alt Compressor[BIS] Certification Coke"/>
    <s v="IND"/>
    <x v="0"/>
    <s v="ICM"/>
    <s v="Marketing/Sales"/>
    <m/>
    <m/>
    <m/>
    <n v="4"/>
    <n v="4"/>
    <s v="Yes"/>
    <m/>
    <m/>
    <n v="14"/>
    <m/>
    <n v="85"/>
    <m/>
    <m/>
    <m/>
    <m/>
    <m/>
    <m/>
    <m/>
    <m/>
    <s v="In Que"/>
    <m/>
    <s v="Dipak"/>
  </r>
  <r>
    <n v="355"/>
    <x v="19"/>
    <m/>
    <x v="1"/>
    <x v="0"/>
    <s v="BC"/>
    <s v="TBD"/>
    <s v="N/A"/>
    <s v="S-350 [R290] - Alt Compressor[BIS] Certification Coke"/>
    <s v="IND"/>
    <x v="0"/>
    <s v="ICM"/>
    <s v="Marketing/Sales"/>
    <m/>
    <m/>
    <m/>
    <n v="4"/>
    <n v="4"/>
    <s v="Yes"/>
    <m/>
    <m/>
    <n v="10"/>
    <m/>
    <n v="50"/>
    <m/>
    <m/>
    <m/>
    <m/>
    <m/>
    <m/>
    <m/>
    <m/>
    <s v="In Que"/>
    <m/>
    <s v="Dipak"/>
  </r>
  <r>
    <n v="356"/>
    <x v="19"/>
    <m/>
    <x v="1"/>
    <x v="0"/>
    <s v="BC"/>
    <s v="TBD"/>
    <s v="N/A"/>
    <s v="SP-400 [R290] - Alt Compressor[BIS] Certification META"/>
    <s v="IND"/>
    <x v="0"/>
    <s v="ICM"/>
    <s v="Marketing/Sales"/>
    <m/>
    <m/>
    <m/>
    <n v="4"/>
    <n v="4"/>
    <s v="Yes"/>
    <m/>
    <m/>
    <n v="10"/>
    <m/>
    <n v="50"/>
    <m/>
    <m/>
    <m/>
    <m/>
    <m/>
    <m/>
    <m/>
    <m/>
    <s v="In Que"/>
    <m/>
    <s v="Dipak"/>
  </r>
  <r>
    <n v="357"/>
    <x v="19"/>
    <m/>
    <x v="1"/>
    <x v="0"/>
    <s v="BC"/>
    <s v="TBD"/>
    <s v="N/A"/>
    <s v="Super-450 [R290] - Alt Compressor[BIS] Certification Coke"/>
    <s v="IND"/>
    <x v="0"/>
    <s v="ICM"/>
    <s v="Marketing/Sales"/>
    <m/>
    <m/>
    <m/>
    <n v="4"/>
    <n v="4"/>
    <s v="Yes"/>
    <m/>
    <m/>
    <n v="10"/>
    <m/>
    <n v="50"/>
    <m/>
    <m/>
    <m/>
    <m/>
    <m/>
    <m/>
    <m/>
    <m/>
    <s v="In Que"/>
    <m/>
    <s v="Dipak"/>
  </r>
  <r>
    <n v="358"/>
    <x v="19"/>
    <m/>
    <x v="1"/>
    <x v="0"/>
    <s v="BC"/>
    <s v="TBD"/>
    <s v="N/A"/>
    <s v="Super-45 [R290] - Alt Compressor[BIS] Certification Coke"/>
    <s v="IND"/>
    <x v="0"/>
    <s v="ICM"/>
    <s v="Marketing/Sales"/>
    <m/>
    <m/>
    <m/>
    <n v="4"/>
    <n v="4"/>
    <s v="Yes"/>
    <m/>
    <m/>
    <n v="10"/>
    <m/>
    <n v="50"/>
    <m/>
    <m/>
    <m/>
    <m/>
    <m/>
    <m/>
    <m/>
    <m/>
    <s v="In Que"/>
    <m/>
    <s v="Dipak"/>
  </r>
  <r>
    <n v="359"/>
    <x v="19"/>
    <m/>
    <x v="1"/>
    <x v="0"/>
    <s v="BC"/>
    <s v="TBD"/>
    <s v="N/A"/>
    <s v="S-450 [R290] - K2 - Alt Compressor[BIS] Certification HNKN"/>
    <s v="IND"/>
    <x v="0"/>
    <s v="ICM"/>
    <s v="Marketing/Sales"/>
    <m/>
    <m/>
    <m/>
    <n v="4"/>
    <n v="4"/>
    <s v="Yes"/>
    <m/>
    <m/>
    <n v="14"/>
    <m/>
    <n v="85"/>
    <m/>
    <m/>
    <m/>
    <m/>
    <m/>
    <m/>
    <m/>
    <m/>
    <s v="In Que"/>
    <m/>
    <s v="Dipak"/>
  </r>
  <r>
    <n v="360"/>
    <x v="19"/>
    <m/>
    <x v="1"/>
    <x v="0"/>
    <s v="BC"/>
    <s v="TBD"/>
    <s v="N/A"/>
    <s v="Super-45 SZ - K3 - Alt Compressor[BIS] Certification HNKN"/>
    <s v="IND"/>
    <x v="0"/>
    <s v="ICM"/>
    <s v="Marketing/Sales"/>
    <m/>
    <m/>
    <m/>
    <n v="4"/>
    <n v="4"/>
    <s v="Yes"/>
    <m/>
    <m/>
    <n v="10"/>
    <m/>
    <n v="50"/>
    <m/>
    <m/>
    <m/>
    <m/>
    <m/>
    <m/>
    <m/>
    <m/>
    <s v="In Que"/>
    <m/>
    <s v="Dipak"/>
  </r>
  <r>
    <n v="361"/>
    <x v="19"/>
    <m/>
    <x v="1"/>
    <x v="0"/>
    <s v="BC"/>
    <s v="TBD"/>
    <s v="N/A"/>
    <s v="SP-500 [R290] - Alt Compressor[BIS] Certification META"/>
    <s v="IND"/>
    <x v="0"/>
    <s v="ICM"/>
    <s v="Marketing/Sales"/>
    <m/>
    <m/>
    <m/>
    <n v="4"/>
    <n v="4"/>
    <s v="Yes"/>
    <m/>
    <m/>
    <n v="10"/>
    <m/>
    <n v="50"/>
    <m/>
    <m/>
    <m/>
    <m/>
    <m/>
    <m/>
    <m/>
    <m/>
    <s v="In Que"/>
    <m/>
    <s v="Dipak"/>
  </r>
  <r>
    <n v="362"/>
    <x v="19"/>
    <m/>
    <x v="1"/>
    <x v="0"/>
    <s v="BC"/>
    <s v="TBD"/>
    <s v="N/A"/>
    <s v="SP-600 [R290] - Alt Compressor[BIS] Certification META"/>
    <s v="IND"/>
    <x v="0"/>
    <s v="ICM"/>
    <s v="Marketing/Sales"/>
    <m/>
    <m/>
    <m/>
    <n v="4"/>
    <n v="4"/>
    <s v="Yes"/>
    <m/>
    <m/>
    <n v="10"/>
    <m/>
    <n v="50"/>
    <m/>
    <m/>
    <m/>
    <m/>
    <m/>
    <m/>
    <m/>
    <m/>
    <s v="In Que"/>
    <m/>
    <s v="Dipak"/>
  </r>
  <r>
    <n v="363"/>
    <x v="19"/>
    <m/>
    <x v="1"/>
    <x v="0"/>
    <s v="BC"/>
    <s v="TBD"/>
    <s v="N/A"/>
    <s v="S-600 [R290] - Alt Compressor[BIS] Certification Coke"/>
    <s v="IND"/>
    <x v="0"/>
    <s v="ICM"/>
    <s v="Marketing/Sales"/>
    <m/>
    <m/>
    <m/>
    <n v="4"/>
    <n v="4"/>
    <s v="Yes"/>
    <m/>
    <m/>
    <n v="10"/>
    <m/>
    <n v="50"/>
    <m/>
    <m/>
    <m/>
    <m/>
    <m/>
    <m/>
    <m/>
    <m/>
    <s v="In Que"/>
    <m/>
    <s v="Dipak"/>
  </r>
  <r>
    <n v="364"/>
    <x v="19"/>
    <m/>
    <x v="1"/>
    <x v="0"/>
    <s v="BC"/>
    <s v="TBD"/>
    <s v="N/A"/>
    <s v="S-600 [R290] - K2 - Alt Compressor[BIS] Certification HNKN"/>
    <s v="IND"/>
    <x v="0"/>
    <s v="ICM"/>
    <s v="Marketing/Sales"/>
    <m/>
    <m/>
    <m/>
    <n v="4"/>
    <n v="4"/>
    <s v="Yes"/>
    <m/>
    <m/>
    <n v="10"/>
    <m/>
    <n v="50"/>
    <m/>
    <m/>
    <m/>
    <m/>
    <m/>
    <m/>
    <m/>
    <m/>
    <s v="In Que"/>
    <m/>
    <s v="Dipak"/>
  </r>
  <r>
    <n v="365"/>
    <x v="19"/>
    <m/>
    <x v="1"/>
    <x v="0"/>
    <s v="BC"/>
    <s v="TBD"/>
    <s v="N/A"/>
    <s v="Super 60 [R290] W LED - Alt Compressor[BIS] Certification Coke"/>
    <s v="IND"/>
    <x v="0"/>
    <s v="ICM"/>
    <s v="Marketing/Sales"/>
    <m/>
    <m/>
    <m/>
    <n v="4"/>
    <n v="4"/>
    <s v="Yes"/>
    <m/>
    <m/>
    <n v="14"/>
    <m/>
    <n v="85"/>
    <m/>
    <m/>
    <m/>
    <m/>
    <m/>
    <m/>
    <m/>
    <m/>
    <s v="In Que"/>
    <m/>
    <s v="Dipak"/>
  </r>
  <r>
    <n v="366"/>
    <x v="19"/>
    <m/>
    <x v="1"/>
    <x v="0"/>
    <s v="BC"/>
    <s v="TBD"/>
    <s v="N/A"/>
    <s v="Super-60 [R290] - K2 - Alt Compressor[BIS] Certification HNKN"/>
    <s v="IND"/>
    <x v="0"/>
    <s v="ICM"/>
    <s v="Marketing/Sales"/>
    <m/>
    <m/>
    <m/>
    <n v="4"/>
    <n v="4"/>
    <s v="Yes"/>
    <m/>
    <m/>
    <n v="14"/>
    <m/>
    <n v="85"/>
    <m/>
    <m/>
    <m/>
    <m/>
    <m/>
    <m/>
    <m/>
    <m/>
    <s v="In Que"/>
    <m/>
    <s v="Dipak"/>
  </r>
  <r>
    <n v="367"/>
    <x v="19"/>
    <m/>
    <x v="1"/>
    <x v="0"/>
    <s v="BC"/>
    <s v="TBD"/>
    <s v="N/A"/>
    <s v="SP-800 [R290] - Alt Compressor[BIS] Certification META"/>
    <s v="IND"/>
    <x v="0"/>
    <s v="ICM"/>
    <s v="Marketing/Sales"/>
    <m/>
    <m/>
    <m/>
    <n v="4"/>
    <n v="4"/>
    <s v="Yes"/>
    <m/>
    <m/>
    <n v="10"/>
    <m/>
    <n v="50"/>
    <m/>
    <m/>
    <m/>
    <m/>
    <m/>
    <m/>
    <m/>
    <m/>
    <s v="In Que"/>
    <m/>
    <s v="Dipak"/>
  </r>
  <r>
    <n v="368"/>
    <x v="19"/>
    <m/>
    <x v="1"/>
    <x v="0"/>
    <s v="BC"/>
    <s v="TBD"/>
    <s v="N/A"/>
    <s v="Super-1100 [R290] W LED - Alt Compressor[BIS] Certification Coke"/>
    <s v="IND"/>
    <x v="0"/>
    <s v="ICM"/>
    <s v="Marketing/Sales"/>
    <m/>
    <m/>
    <m/>
    <n v="4"/>
    <n v="4"/>
    <s v="Yes"/>
    <m/>
    <m/>
    <n v="14"/>
    <m/>
    <n v="85"/>
    <m/>
    <m/>
    <m/>
    <m/>
    <m/>
    <m/>
    <m/>
    <m/>
    <s v="In Que"/>
    <m/>
    <s v="Dipak"/>
  </r>
  <r>
    <n v="369"/>
    <x v="19"/>
    <m/>
    <x v="1"/>
    <x v="0"/>
    <s v="BC"/>
    <s v="TBD"/>
    <s v="N/A"/>
    <s v="Super-1100 [R290] - K2 -Alt Compressor[BIS] Certification HNKN"/>
    <s v="IND"/>
    <x v="0"/>
    <s v="ICM"/>
    <s v="Marketing/Sales"/>
    <m/>
    <m/>
    <m/>
    <n v="4"/>
    <n v="4"/>
    <s v="Yes"/>
    <m/>
    <m/>
    <n v="14"/>
    <m/>
    <n v="85"/>
    <m/>
    <m/>
    <m/>
    <m/>
    <m/>
    <m/>
    <m/>
    <m/>
    <s v="In Que"/>
    <m/>
    <s v="Dipak"/>
  </r>
  <r>
    <n v="370"/>
    <x v="19"/>
    <m/>
    <x v="1"/>
    <x v="0"/>
    <s v="BC"/>
    <s v="TBD"/>
    <s v="N/A"/>
    <s v="S-1100 P [R290] - Alt Compressor[BIS] Certification Coke"/>
    <s v="IND"/>
    <x v="0"/>
    <s v="ICM"/>
    <s v="Marketing/Sales"/>
    <m/>
    <m/>
    <m/>
    <n v="4"/>
    <n v="4"/>
    <s v="Yes"/>
    <m/>
    <m/>
    <n v="10"/>
    <m/>
    <n v="50"/>
    <m/>
    <m/>
    <m/>
    <m/>
    <m/>
    <m/>
    <m/>
    <m/>
    <s v="In Que"/>
    <m/>
    <s v="Dipak"/>
  </r>
  <r>
    <n v="371"/>
    <x v="19"/>
    <m/>
    <x v="1"/>
    <x v="0"/>
    <s v="BC"/>
    <s v="TBD"/>
    <s v="N/A"/>
    <s v="Super-500 [R290] - Alt Compressor[BIS] Certification Coke"/>
    <s v="IND"/>
    <x v="0"/>
    <s v="ICM"/>
    <s v="Marketing/Sales"/>
    <m/>
    <m/>
    <m/>
    <n v="4"/>
    <n v="4"/>
    <s v="Yes"/>
    <m/>
    <m/>
    <n v="10"/>
    <m/>
    <n v="50"/>
    <m/>
    <m/>
    <m/>
    <m/>
    <m/>
    <m/>
    <m/>
    <m/>
    <s v="In Que"/>
    <m/>
    <s v="Dipak"/>
  </r>
  <r>
    <n v="372"/>
    <x v="19"/>
    <m/>
    <x v="1"/>
    <x v="0"/>
    <s v="BC"/>
    <s v="TBD"/>
    <s v="N/A"/>
    <s v="SFP-500 [R290] - Alt Compressor[BIS] Certification META"/>
    <s v="IND"/>
    <x v="0"/>
    <s v="ICM"/>
    <s v="Marketing/Sales"/>
    <m/>
    <m/>
    <m/>
    <n v="4"/>
    <n v="4"/>
    <s v="Yes"/>
    <m/>
    <m/>
    <n v="10"/>
    <m/>
    <n v="50"/>
    <m/>
    <m/>
    <m/>
    <m/>
    <m/>
    <m/>
    <m/>
    <m/>
    <s v="In Que"/>
    <m/>
    <s v="Dipak"/>
  </r>
  <r>
    <n v="373"/>
    <x v="19"/>
    <m/>
    <x v="1"/>
    <x v="0"/>
    <s v="BC"/>
    <s v="TBD"/>
    <s v="N/A"/>
    <s v="Super-1000 [R290] - Alt Compressor[BIS] Certification Coke"/>
    <s v="IND"/>
    <x v="0"/>
    <s v="ICM"/>
    <s v="Marketing/Sales"/>
    <m/>
    <m/>
    <m/>
    <n v="4"/>
    <n v="4"/>
    <s v="Yes"/>
    <m/>
    <m/>
    <n v="10"/>
    <m/>
    <n v="50"/>
    <m/>
    <m/>
    <m/>
    <m/>
    <m/>
    <m/>
    <m/>
    <m/>
    <s v="In Que"/>
    <m/>
    <s v="Dipak"/>
  </r>
  <r>
    <n v="374"/>
    <x v="19"/>
    <m/>
    <x v="1"/>
    <x v="0"/>
    <s v="BC"/>
    <s v="TBD"/>
    <s v="N/A"/>
    <s v="SP-1000 [R290] - Alt Compressor[BIS] Certification META"/>
    <s v="IND"/>
    <x v="0"/>
    <s v="ICM"/>
    <s v="Marketing/Sales"/>
    <m/>
    <m/>
    <m/>
    <n v="4"/>
    <n v="4"/>
    <s v="Yes"/>
    <m/>
    <m/>
    <n v="10"/>
    <m/>
    <n v="50"/>
    <m/>
    <m/>
    <m/>
    <m/>
    <m/>
    <m/>
    <m/>
    <m/>
    <s v="In Que"/>
    <m/>
    <s v="Dipak"/>
  </r>
  <r>
    <n v="375"/>
    <x v="18"/>
    <m/>
    <x v="0"/>
    <x v="0"/>
    <s v="BC"/>
    <m/>
    <m/>
    <s v="NABL and ACCAB Lab Acreditation"/>
    <s v="IND"/>
    <x v="0"/>
    <s v="ICM"/>
    <s v="PD"/>
    <m/>
    <m/>
    <m/>
    <m/>
    <m/>
    <m/>
    <m/>
    <m/>
    <m/>
    <m/>
    <n v="12"/>
    <m/>
    <m/>
    <m/>
    <m/>
    <m/>
    <m/>
    <m/>
    <m/>
    <s v="Development"/>
    <m/>
    <s v="Dipak"/>
  </r>
  <r>
    <n v="376"/>
    <x v="20"/>
    <n v="1"/>
    <x v="1"/>
    <x v="0"/>
    <s v="NO"/>
    <s v="26-00404_1"/>
    <s v="N/A"/>
    <s v="S-250 Edge light doors options for CCEP Indonesia + EC2026 with FCR32Z"/>
    <s v="INN"/>
    <x v="0"/>
    <s v="ICM"/>
    <s v="Marketing/Sales"/>
    <s v="Cooling Mechanism"/>
    <s v="N/A"/>
    <s v="N/A"/>
    <n v="4"/>
    <n v="4"/>
    <s v="Yes"/>
    <m/>
    <m/>
    <n v="6"/>
    <m/>
    <n v="8"/>
    <s v="Yes"/>
    <s v="In Progress"/>
    <n v="1.5"/>
    <s v="Safety- To be verified after configuration is finalized"/>
    <m/>
    <m/>
    <m/>
    <m/>
    <s v="Development"/>
    <s v="The In-Out BOM for costing has been shared with the Procurement team. The lab plan needs to be prepared by Wk27 for testing."/>
    <s v="Lokesh"/>
  </r>
  <r>
    <n v="377"/>
    <x v="20"/>
    <m/>
    <x v="1"/>
    <x v="0"/>
    <s v="NO"/>
    <s v="26-00404_2"/>
    <s v="N/A"/>
    <s v="Edge light doors options for CCEP Indonesia SFC-700"/>
    <s v="INN"/>
    <x v="0"/>
    <s v="ICM"/>
    <s v="Marketing/Sales"/>
    <s v="Cooling Mechanism"/>
    <s v="N/A"/>
    <s v="N/A"/>
    <n v="4"/>
    <n v="4"/>
    <s v="Yes"/>
    <m/>
    <m/>
    <n v="6"/>
    <m/>
    <n v="8"/>
    <s v="Yes"/>
    <s v="In Progress"/>
    <n v="1.5"/>
    <s v="Safety- To be verified after configuration is finalized"/>
    <m/>
    <m/>
    <m/>
    <m/>
    <s v="In Que"/>
    <m/>
    <s v="Lokesh"/>
  </r>
  <r>
    <n v="378"/>
    <x v="20"/>
    <m/>
    <x v="1"/>
    <x v="0"/>
    <s v="NO"/>
    <s v="26-00404_3"/>
    <s v="N/A"/>
    <s v="_x0009_Edge light doors options for CCEP Indonesia FVF-1000"/>
    <s v="INN"/>
    <x v="0"/>
    <s v="ICM"/>
    <s v="Marketing/Sales"/>
    <s v="Cooling Mechanism"/>
    <s v="N/A"/>
    <s v="N/A"/>
    <n v="4"/>
    <n v="4"/>
    <s v="Yes"/>
    <m/>
    <m/>
    <n v="6"/>
    <m/>
    <n v="8"/>
    <s v="Yes"/>
    <s v="In Progress"/>
    <n v="1.5"/>
    <s v="Safety- To be verified after configuration is finalized"/>
    <m/>
    <m/>
    <m/>
    <m/>
    <s v="In Que"/>
    <m/>
    <s v="Lokesh"/>
  </r>
  <r>
    <n v="379"/>
    <x v="20"/>
    <m/>
    <x v="1"/>
    <x v="0"/>
    <s v="CO"/>
    <s v="TBD"/>
    <s v="N/A"/>
    <s v="Development for S-60 Coke De-rating Project + Optional features:Castor Wheel, visible temperature display &amp; EMI filter for Morocco."/>
    <s v="Egypt"/>
    <x v="0"/>
    <s v="ICM"/>
    <s v="Marketing/Sales"/>
    <s v="Cooling Mechanism"/>
    <s v="N/A"/>
    <s v="N/A"/>
    <n v="4"/>
    <n v="4"/>
    <s v="Yes"/>
    <m/>
    <m/>
    <n v="6"/>
    <m/>
    <n v="8"/>
    <s v="Yes"/>
    <s v="In Progress"/>
    <n v="1.5"/>
    <s v="Safety- To be verified after configuration is finalized"/>
    <m/>
    <m/>
    <m/>
    <m/>
    <s v="In Que"/>
    <m/>
    <s v="Zakir"/>
  </r>
  <r>
    <n v="379"/>
    <x v="20"/>
    <m/>
    <x v="1"/>
    <x v="0"/>
    <s v="CO"/>
    <s v="TBD"/>
    <s v="N/A"/>
    <s v="Development for S-1100 Coke De-rating Project + Optional features:Castor Wheel, visible temperature display &amp; EMI filter for Morocco."/>
    <s v="Egypt"/>
    <x v="0"/>
    <s v="ICM"/>
    <s v="Marketing/Sales"/>
    <s v="Cooling Mechanism"/>
    <s v="N/A"/>
    <s v="N/A"/>
    <n v="4"/>
    <n v="4"/>
    <s v="Yes"/>
    <m/>
    <m/>
    <n v="6"/>
    <m/>
    <n v="8"/>
    <s v="Yes"/>
    <s v="In Progress"/>
    <n v="1.5"/>
    <s v="Safety- To be verified after configuration is finalized"/>
    <m/>
    <m/>
    <m/>
    <m/>
    <s v="In Que"/>
    <m/>
    <s v="Zakir"/>
  </r>
  <r>
    <n v="376"/>
    <x v="20"/>
    <m/>
    <x v="1"/>
    <x v="0"/>
    <s v="NO"/>
    <s v="TBD"/>
    <s v="N/A"/>
    <s v="CCBSA option PRCD Power cord bracket "/>
    <s v="IND"/>
    <x v="0"/>
    <s v="ICM"/>
    <s v="Marketing/Sales"/>
    <s v="Cooling Mechanism"/>
    <s v="N/A"/>
    <s v="N/A"/>
    <n v="4"/>
    <n v="4"/>
    <s v="Yes"/>
    <m/>
    <m/>
    <n v="6"/>
    <m/>
    <n v="8"/>
    <s v="Yes"/>
    <s v="In Progress"/>
    <n v="1.5"/>
    <s v="Safety- To be verified after configuration is finalized"/>
    <m/>
    <m/>
    <m/>
    <m/>
    <s v="Development"/>
    <s v="Bracket design finalize.TF will be release by Wk25._x000a_TF release on 19-06-2026."/>
    <s v="Lokesh"/>
  </r>
  <r>
    <n v="376"/>
    <x v="20"/>
    <n v="3"/>
    <x v="1"/>
    <x v="0"/>
    <s v="CO"/>
    <s v="26-00408"/>
    <s v="N/A"/>
    <s v="HV-71, Monster door implementation"/>
    <s v="SAF"/>
    <x v="0"/>
    <s v="ICM"/>
    <s v="Marketing/Sales"/>
    <s v="Cooling Mechanism"/>
    <s v="N/A"/>
    <s v="N/A"/>
    <n v="4"/>
    <n v="4"/>
    <s v="Yes"/>
    <m/>
    <m/>
    <n v="6"/>
    <m/>
    <n v="8"/>
    <s v="Yes"/>
    <s v="In Progress"/>
    <n v="1.5"/>
    <s v="Safety- To be verified after configuration is finalized"/>
    <m/>
    <m/>
    <m/>
    <m/>
    <s v="Development"/>
    <s v="Buying the complete door assembly from our Chinese supplier and be TCCC EC 26 approved. "/>
    <s v="Pawan"/>
  </r>
  <r>
    <n v="317"/>
    <x v="21"/>
    <n v="6"/>
    <x v="1"/>
    <x v="0"/>
    <s v="NM"/>
    <s v="26-00407"/>
    <s v="N/A"/>
    <s v="Reliance energy drink proposal - demo cooler-S-250"/>
    <s v="IND"/>
    <x v="0"/>
    <s v="ICM"/>
    <s v="Marketing/Sales"/>
    <m/>
    <m/>
    <m/>
    <n v="4"/>
    <m/>
    <s v="Yes"/>
    <m/>
    <m/>
    <m/>
    <m/>
    <n v="70"/>
    <m/>
    <m/>
    <m/>
    <m/>
    <m/>
    <m/>
    <m/>
    <m/>
    <s v="Development"/>
    <s v="The concept has been finalized in alignment with all stakeholders. Currently, work is in progress on preparing an engineering prototype sample to present to marketing and other stakeholders to get approval."/>
    <s v="Nikhil"/>
  </r>
  <r>
    <n v="410"/>
    <x v="22"/>
    <m/>
    <x v="0"/>
    <x v="0"/>
    <s v="CO"/>
    <s v="25-00589"/>
    <s v="Missing"/>
    <s v="Saiwei 5W EC compact motor"/>
    <s v="IND"/>
    <x v="0"/>
    <s v="ICM"/>
    <s v="Central Procurement Group"/>
    <s v="Cooling Mechanism"/>
    <s v="Electrical Components"/>
    <s v="Block Motors"/>
    <n v="1.5"/>
    <n v="4"/>
    <s v="Yes"/>
    <m/>
    <m/>
    <m/>
    <m/>
    <n v="2"/>
    <m/>
    <m/>
    <m/>
    <m/>
    <m/>
    <m/>
    <m/>
    <m/>
    <s v="Development"/>
    <s v="Field test in progress_x000a_TF will be release by Wk28./Wwait for feedback from MR"/>
    <s v="Nikhil"/>
  </r>
  <r>
    <n v="380"/>
    <x v="8"/>
    <m/>
    <x v="1"/>
    <x v="0"/>
    <s v="NO"/>
    <s v="24-00523"/>
    <s v="NA"/>
    <s v="Plus-450 Vending cooler - Vision IOT"/>
    <s v="ROM"/>
    <x v="2"/>
    <s v="ICM"/>
    <s v="Marketing/Sales"/>
    <s v="Electrical Parts"/>
    <s v="Electrical Components"/>
    <s v="Other Materials"/>
    <n v="20"/>
    <n v="20"/>
    <s v="No"/>
    <m/>
    <m/>
    <n v="70"/>
    <n v="10"/>
    <n v="38"/>
    <s v="Yes"/>
    <m/>
    <m/>
    <s v="12.04.25 Pending quotation from Nemko"/>
    <m/>
    <m/>
    <m/>
    <m/>
    <s v="Industrialization"/>
    <m/>
    <s v="Stef"/>
  </r>
  <r>
    <n v="381"/>
    <x v="23"/>
    <m/>
    <x v="1"/>
    <x v="0"/>
    <s v="NO"/>
    <s v="TBA"/>
    <s v="NA"/>
    <s v="MAX-750 Vending  cooler - VisionIOT"/>
    <s v="ROM"/>
    <x v="2"/>
    <s v="ICM"/>
    <s v="Marketing/Sales"/>
    <m/>
    <m/>
    <m/>
    <n v="20"/>
    <n v="20"/>
    <s v="Yes"/>
    <m/>
    <m/>
    <n v="70"/>
    <n v="10"/>
    <n v="38"/>
    <m/>
    <m/>
    <m/>
    <m/>
    <m/>
    <m/>
    <m/>
    <m/>
    <s v="Industrialization"/>
    <m/>
    <s v="Stef"/>
  </r>
  <r>
    <n v="382"/>
    <x v="11"/>
    <m/>
    <x v="0"/>
    <x v="0"/>
    <s v="NO"/>
    <s v="25-00630"/>
    <m/>
    <s v="3d low-e illuminated &quot;floating&quot; logo on glass-door"/>
    <s v="ROM"/>
    <x v="2"/>
    <s v="ICM"/>
    <s v="Marketing/Sales"/>
    <m/>
    <m/>
    <m/>
    <m/>
    <m/>
    <m/>
    <m/>
    <m/>
    <n v="10"/>
    <n v="2"/>
    <n v="3"/>
    <m/>
    <m/>
    <m/>
    <m/>
    <m/>
    <m/>
    <m/>
    <m/>
    <s v="On Hold"/>
    <s v="CC 3D logo for Plus 450/900"/>
    <s v="Bianca"/>
  </r>
  <r>
    <n v="383"/>
    <x v="24"/>
    <m/>
    <x v="0"/>
    <x v="2"/>
    <s v="NO"/>
    <s v="25-00628"/>
    <s v="NA"/>
    <s v="Max 750 Sub Zero"/>
    <s v="ROM"/>
    <x v="2"/>
    <s v="ICM"/>
    <s v="Marketing/Sales"/>
    <m/>
    <m/>
    <m/>
    <n v="3"/>
    <n v="2"/>
    <m/>
    <m/>
    <m/>
    <m/>
    <m/>
    <m/>
    <m/>
    <m/>
    <m/>
    <m/>
    <m/>
    <m/>
    <m/>
    <m/>
    <s v="In Que"/>
    <s v="Max 750 with temperature spam -3,5C to 0 and EEI &lt;25%"/>
    <s v="Elena Micu"/>
  </r>
  <r>
    <n v="384"/>
    <x v="25"/>
    <m/>
    <x v="1"/>
    <x v="0"/>
    <s v="CER"/>
    <s v="25-00640"/>
    <s v="NA"/>
    <s v="K2 controller settings for MAX B range &amp; PoC for EEI&lt;15 (Heineken)"/>
    <s v="ROM"/>
    <x v="2"/>
    <s v="ICM"/>
    <s v="Marketing/Sales"/>
    <m/>
    <m/>
    <m/>
    <n v="20"/>
    <n v="15"/>
    <m/>
    <m/>
    <m/>
    <n v="70"/>
    <n v="5"/>
    <n v="75"/>
    <m/>
    <m/>
    <m/>
    <m/>
    <m/>
    <m/>
    <m/>
    <m/>
    <s v="On Hold"/>
    <s v="Includes feasibility study for Heineken EEI &lt;15 for 2027. Certification testing acc. to Heineken protocol pending for M 450 and M700. Based on results to proceed forward for other models"/>
    <s v="Elena Micu"/>
  </r>
  <r>
    <n v="385"/>
    <x v="26"/>
    <m/>
    <x v="0"/>
    <x v="2"/>
    <s v="NO"/>
    <s v="25-00638"/>
    <m/>
    <s v="Max 450 B Carton box"/>
    <s v="ROM"/>
    <x v="2"/>
    <s v="ICM"/>
    <s v="Marketing/Sales"/>
    <m/>
    <m/>
    <m/>
    <m/>
    <m/>
    <m/>
    <m/>
    <m/>
    <m/>
    <m/>
    <m/>
    <m/>
    <m/>
    <m/>
    <m/>
    <m/>
    <m/>
    <m/>
    <m/>
    <s v="Commercialized"/>
    <m/>
    <s v="Bianca"/>
  </r>
  <r>
    <n v="386"/>
    <x v="25"/>
    <m/>
    <x v="1"/>
    <x v="2"/>
    <s v="NO"/>
    <s v="25-00642"/>
    <s v="NA"/>
    <s v="3D logo Hell for Max 1000 C"/>
    <s v="ROM"/>
    <x v="2"/>
    <s v="ICM"/>
    <m/>
    <m/>
    <m/>
    <m/>
    <n v="15"/>
    <n v="8"/>
    <m/>
    <m/>
    <m/>
    <n v="0"/>
    <n v="10"/>
    <n v="10"/>
    <m/>
    <m/>
    <m/>
    <m/>
    <m/>
    <m/>
    <m/>
    <m/>
    <s v="Commercialized"/>
    <m/>
    <s v="Bianca"/>
  </r>
  <r>
    <n v="387"/>
    <x v="0"/>
    <m/>
    <x v="0"/>
    <x v="2"/>
    <s v="CER"/>
    <s v="25-00641"/>
    <m/>
    <s v="Carel controller with K2 settings for ICOOL 2 1000 and Max 700 C"/>
    <s v="ROM"/>
    <x v="2"/>
    <s v="ICM"/>
    <m/>
    <m/>
    <m/>
    <m/>
    <m/>
    <m/>
    <m/>
    <m/>
    <m/>
    <n v="2"/>
    <m/>
    <n v="2"/>
    <m/>
    <m/>
    <m/>
    <m/>
    <m/>
    <m/>
    <m/>
    <m/>
    <s v="Commercialized"/>
    <m/>
    <s v="Bianca"/>
  </r>
  <r>
    <n v="388"/>
    <x v="14"/>
    <m/>
    <x v="1"/>
    <x v="0"/>
    <s v="NO"/>
    <s v="TBA"/>
    <s v="NA"/>
    <s v="MAX-750 NU vending solution"/>
    <s v="ROM"/>
    <x v="2"/>
    <s v="ICM"/>
    <m/>
    <m/>
    <m/>
    <m/>
    <n v="20"/>
    <n v="60"/>
    <m/>
    <m/>
    <m/>
    <n v="70"/>
    <n v="10"/>
    <n v="38"/>
    <m/>
    <m/>
    <m/>
    <m/>
    <m/>
    <m/>
    <m/>
    <m/>
    <s v="Commercialized"/>
    <s v="100 cooler batch by Mid-June"/>
    <s v="Alin"/>
  </r>
  <r>
    <n v="389"/>
    <x v="27"/>
    <m/>
    <x v="0"/>
    <x v="2"/>
    <s v="NO"/>
    <s v="26-00649"/>
    <m/>
    <s v="ICOOL2 door with Neon LED for MAX 900 C"/>
    <s v="ROM"/>
    <x v="2"/>
    <s v="ICM"/>
    <m/>
    <m/>
    <m/>
    <m/>
    <m/>
    <m/>
    <m/>
    <m/>
    <m/>
    <m/>
    <m/>
    <m/>
    <m/>
    <m/>
    <m/>
    <m/>
    <m/>
    <m/>
    <m/>
    <m/>
    <s v="Commercialized"/>
    <m/>
    <s v="Bianca"/>
  </r>
  <r>
    <n v="390"/>
    <x v="27"/>
    <m/>
    <x v="0"/>
    <x v="2"/>
    <s v="NO"/>
    <s v="26-00650"/>
    <m/>
    <s v="MAX 450 B and Plus 450 B with FDE device and heater"/>
    <s v="ROM"/>
    <x v="2"/>
    <s v="ICM"/>
    <m/>
    <m/>
    <m/>
    <m/>
    <m/>
    <m/>
    <m/>
    <m/>
    <m/>
    <m/>
    <m/>
    <m/>
    <m/>
    <m/>
    <m/>
    <m/>
    <m/>
    <m/>
    <m/>
    <m/>
    <s v="Commercialized"/>
    <m/>
    <s v="Bianca"/>
  </r>
  <r>
    <n v="391"/>
    <x v="27"/>
    <m/>
    <x v="0"/>
    <x v="2"/>
    <s v="NO"/>
    <s v="25-00643"/>
    <m/>
    <s v="EasyPick C optional light switch and parameter's update to deactivate the door switch alarm"/>
    <s v="ROM"/>
    <x v="2"/>
    <s v="ICM"/>
    <m/>
    <m/>
    <m/>
    <m/>
    <m/>
    <m/>
    <m/>
    <m/>
    <m/>
    <m/>
    <m/>
    <m/>
    <m/>
    <m/>
    <m/>
    <m/>
    <m/>
    <m/>
    <m/>
    <m/>
    <s v="Commercialized"/>
    <m/>
    <s v="Bianca"/>
  </r>
  <r>
    <n v="392"/>
    <x v="5"/>
    <m/>
    <x v="1"/>
    <x v="2"/>
    <s v="NO"/>
    <s v="25-00617"/>
    <s v="NA"/>
    <s v="Easy Pick new pallet design"/>
    <s v="ROM"/>
    <x v="2"/>
    <s v="ICM"/>
    <s v="Marketing/Sales"/>
    <m/>
    <m/>
    <m/>
    <n v="15"/>
    <n v="15"/>
    <m/>
    <m/>
    <m/>
    <m/>
    <m/>
    <m/>
    <m/>
    <m/>
    <m/>
    <m/>
    <m/>
    <m/>
    <m/>
    <m/>
    <s v="Industrialization"/>
    <m/>
    <s v="Adrian"/>
  </r>
  <r>
    <n v="393"/>
    <x v="7"/>
    <m/>
    <x v="0"/>
    <x v="2"/>
    <s v="NO"/>
    <s v="25-00611"/>
    <m/>
    <s v="Feasibility study of MAX 900 B for US market"/>
    <s v="ROM"/>
    <x v="2"/>
    <s v="ICM"/>
    <s v="Marketing/Sales"/>
    <m/>
    <m/>
    <m/>
    <m/>
    <m/>
    <m/>
    <m/>
    <m/>
    <m/>
    <m/>
    <m/>
    <m/>
    <m/>
    <m/>
    <m/>
    <m/>
    <m/>
    <m/>
    <m/>
    <s v="Commercialized"/>
    <m/>
    <s v="Elena Micu"/>
  </r>
  <r>
    <n v="394"/>
    <x v="10"/>
    <m/>
    <x v="0"/>
    <x v="0"/>
    <s v="NM"/>
    <s v="25-00615"/>
    <m/>
    <s v="MAX-750 A rating cooler for Coke"/>
    <s v="ROM"/>
    <x v="2"/>
    <s v="ICM"/>
    <m/>
    <m/>
    <m/>
    <m/>
    <n v="2"/>
    <n v="0"/>
    <m/>
    <m/>
    <m/>
    <m/>
    <m/>
    <m/>
    <m/>
    <m/>
    <m/>
    <m/>
    <m/>
    <m/>
    <m/>
    <m/>
    <s v="Commercialized"/>
    <m/>
    <s v="Adrian"/>
  </r>
  <r>
    <n v="395"/>
    <x v="10"/>
    <m/>
    <x v="0"/>
    <x v="0"/>
    <s v="NM"/>
    <s v="25-00622"/>
    <m/>
    <s v="MAX-750 A rating for non-Coke"/>
    <s v="ROM"/>
    <x v="2"/>
    <s v="ICM"/>
    <m/>
    <m/>
    <m/>
    <m/>
    <n v="2"/>
    <n v="0"/>
    <m/>
    <m/>
    <m/>
    <m/>
    <m/>
    <m/>
    <m/>
    <m/>
    <m/>
    <m/>
    <m/>
    <m/>
    <m/>
    <m/>
    <s v="Commercialized"/>
    <m/>
    <s v="Adrian"/>
  </r>
  <r>
    <n v="396"/>
    <x v="10"/>
    <m/>
    <x v="0"/>
    <x v="0"/>
    <s v="NM"/>
    <s v="25-00621"/>
    <m/>
    <s v="MAX-1200 HD A Rating for non-Coke"/>
    <s v="ROM"/>
    <x v="2"/>
    <s v="ICM"/>
    <m/>
    <m/>
    <m/>
    <m/>
    <n v="2"/>
    <n v="0"/>
    <m/>
    <m/>
    <m/>
    <m/>
    <m/>
    <m/>
    <m/>
    <m/>
    <m/>
    <m/>
    <m/>
    <m/>
    <m/>
    <m/>
    <s v="Commercialized"/>
    <m/>
    <s v="Bianca"/>
  </r>
  <r>
    <n v="397"/>
    <x v="10"/>
    <m/>
    <x v="0"/>
    <x v="0"/>
    <s v="NM"/>
    <s v="25-00620"/>
    <m/>
    <s v="MAX-1200 A rating cooler for Coke"/>
    <s v="ROM"/>
    <x v="2"/>
    <s v="ICM"/>
    <m/>
    <m/>
    <m/>
    <m/>
    <n v="2"/>
    <n v="0"/>
    <m/>
    <m/>
    <m/>
    <m/>
    <m/>
    <m/>
    <m/>
    <m/>
    <m/>
    <m/>
    <m/>
    <m/>
    <m/>
    <m/>
    <s v="Commercialized"/>
    <m/>
    <s v="Bianca"/>
  </r>
  <r>
    <n v="398"/>
    <x v="10"/>
    <m/>
    <x v="0"/>
    <x v="2"/>
    <s v="NO"/>
    <s v="25-00626"/>
    <m/>
    <s v="Optional FDE Device for MAX 300/750/900"/>
    <s v="ROM"/>
    <x v="2"/>
    <s v="ICM"/>
    <m/>
    <m/>
    <m/>
    <m/>
    <m/>
    <m/>
    <m/>
    <m/>
    <m/>
    <m/>
    <m/>
    <m/>
    <m/>
    <m/>
    <m/>
    <m/>
    <m/>
    <m/>
    <m/>
    <m/>
    <s v="Commercialized"/>
    <m/>
    <s v="Bianca"/>
  </r>
  <r>
    <n v="399"/>
    <x v="28"/>
    <m/>
    <x v="0"/>
    <x v="0"/>
    <s v="CO"/>
    <s v="TBA"/>
    <s v="24ROM002_6"/>
    <s v="Max 1000 B_  META Certification VFTB72 Compressor "/>
    <s v="ROM"/>
    <x v="2"/>
    <s v="ICM"/>
    <s v="Central Supply Chain"/>
    <s v="Cooling Mechanism"/>
    <s v="Cooling Components"/>
    <s v="Compressors"/>
    <n v="0"/>
    <m/>
    <s v="Yes"/>
    <m/>
    <m/>
    <n v="3"/>
    <m/>
    <n v="6"/>
    <m/>
    <m/>
    <m/>
    <m/>
    <m/>
    <m/>
    <m/>
    <m/>
    <s v="Commercialized"/>
    <m/>
    <s v="Elena Micu"/>
  </r>
  <r>
    <n v="400"/>
    <x v="28"/>
    <m/>
    <x v="0"/>
    <x v="0"/>
    <s v="CO"/>
    <s v="TBA"/>
    <s v="24ROM002_4"/>
    <s v="Max 900 B _Meta Certification with VFTB72 Compressor "/>
    <s v="ROM"/>
    <x v="2"/>
    <s v="ICM"/>
    <s v="Central Supply Chain"/>
    <s v="Cooling Mechanism"/>
    <s v="Cooling Components"/>
    <s v="Compressors"/>
    <n v="0"/>
    <m/>
    <s v="Yes"/>
    <m/>
    <m/>
    <m/>
    <m/>
    <n v="6"/>
    <m/>
    <m/>
    <m/>
    <m/>
    <m/>
    <m/>
    <m/>
    <m/>
    <s v="Commercialized"/>
    <m/>
    <s v="Elena Micu"/>
  </r>
  <r>
    <n v="401"/>
    <x v="28"/>
    <m/>
    <x v="0"/>
    <x v="0"/>
    <s v="CO"/>
    <s v="TBA"/>
    <s v="24ROM002_3"/>
    <s v="Max 700 B _Meta Certification with VFTB72 Compressor "/>
    <s v="ROM"/>
    <x v="2"/>
    <s v="ICM"/>
    <s v="Central Supply Chain"/>
    <s v="Cooling Mechanism"/>
    <s v="Cooling Components"/>
    <s v="Compressors"/>
    <n v="0"/>
    <m/>
    <s v="Yes"/>
    <m/>
    <m/>
    <m/>
    <m/>
    <n v="6"/>
    <m/>
    <m/>
    <m/>
    <m/>
    <m/>
    <m/>
    <m/>
    <m/>
    <s v="Commercialized"/>
    <m/>
    <s v="Elena Micu"/>
  </r>
  <r>
    <n v="402"/>
    <x v="29"/>
    <m/>
    <x v="0"/>
    <x v="0"/>
    <s v="CO"/>
    <s v="24-00551"/>
    <s v="25SRC012_2"/>
    <s v="Max-450[R290]  C _  Meta Certification "/>
    <s v="ROM"/>
    <x v="2"/>
    <s v="ICM"/>
    <s v="Central Supply Chain"/>
    <s v="Cooling Mechanism"/>
    <s v="Cooling Components"/>
    <m/>
    <n v="0"/>
    <m/>
    <s v="Yes"/>
    <m/>
    <m/>
    <m/>
    <m/>
    <n v="6"/>
    <m/>
    <m/>
    <m/>
    <m/>
    <m/>
    <m/>
    <m/>
    <m/>
    <s v="Cancelled"/>
    <m/>
    <s v="Elena Micu"/>
  </r>
  <r>
    <n v="403"/>
    <x v="29"/>
    <m/>
    <x v="1"/>
    <x v="0"/>
    <s v="CO"/>
    <s v="24-00550"/>
    <s v="25SRC059"/>
    <s v="Alternative compressor to Wanbao FTB45 -Donper SZ43WU1"/>
    <s v="ROM"/>
    <x v="2"/>
    <s v="ICM"/>
    <s v="Central Procurement Group"/>
    <s v="Cooling Mechanism"/>
    <s v="Cooling Components"/>
    <s v="Compressors"/>
    <n v="20"/>
    <n v="13"/>
    <s v="Yes"/>
    <m/>
    <m/>
    <m/>
    <m/>
    <m/>
    <m/>
    <m/>
    <m/>
    <m/>
    <m/>
    <m/>
    <m/>
    <m/>
    <s v="On Hold"/>
    <m/>
    <s v="Elena Micu"/>
  </r>
  <r>
    <n v="404"/>
    <x v="1"/>
    <m/>
    <x v="0"/>
    <x v="0"/>
    <s v="CO"/>
    <s v="24-00526"/>
    <s v="Missing"/>
    <s v="NINGBO Combine Refrigeration Equipment HEXs"/>
    <s v="ROM"/>
    <x v="2"/>
    <s v="ICM"/>
    <s v="Central Procurement Group"/>
    <s v="Cooling Mechanism"/>
    <s v="Cooling Components"/>
    <s v="HEX"/>
    <n v="0"/>
    <n v="4"/>
    <s v="Yes"/>
    <m/>
    <m/>
    <m/>
    <m/>
    <n v="0"/>
    <s v="N/A"/>
    <m/>
    <m/>
    <m/>
    <m/>
    <m/>
    <m/>
    <m/>
    <s v="Commercialized"/>
    <m/>
    <s v="Adrian"/>
  </r>
  <r>
    <n v="405"/>
    <x v="28"/>
    <m/>
    <x v="0"/>
    <x v="0"/>
    <s v="CO"/>
    <s v="25-00610"/>
    <s v="24ROM002"/>
    <s v="Wanbao VFTZ72"/>
    <s v="ROM"/>
    <x v="2"/>
    <s v="ICM"/>
    <s v="Central Procurement Group"/>
    <s v="Cooling Mechanism"/>
    <s v="Cooling Components"/>
    <s v="Compressors"/>
    <n v="2"/>
    <n v="4"/>
    <s v="Yes"/>
    <m/>
    <m/>
    <m/>
    <m/>
    <n v="0"/>
    <s v="Yes"/>
    <m/>
    <m/>
    <m/>
    <m/>
    <m/>
    <m/>
    <m/>
    <s v="Commercialized"/>
    <m/>
    <s v="Stef"/>
  </r>
  <r>
    <n v="406"/>
    <x v="28"/>
    <m/>
    <x v="0"/>
    <x v="0"/>
    <s v="CO"/>
    <s v="25-00605"/>
    <s v="24ROM002_1"/>
    <s v="Icool 2 Eco 800 [R290] B + NBR evaporator"/>
    <s v="ROM"/>
    <x v="2"/>
    <s v="ICM"/>
    <s v="Central Supply Chain"/>
    <s v="Cooling Mechanism"/>
    <s v="Cooling Components"/>
    <m/>
    <n v="0"/>
    <m/>
    <s v="Yes"/>
    <m/>
    <m/>
    <m/>
    <m/>
    <n v="1"/>
    <m/>
    <m/>
    <m/>
    <m/>
    <m/>
    <m/>
    <m/>
    <m/>
    <s v="Commercialized"/>
    <m/>
    <s v="Elena Micu"/>
  </r>
  <r>
    <n v="407"/>
    <x v="22"/>
    <m/>
    <x v="0"/>
    <x v="2"/>
    <s v="CO"/>
    <s v="25-00586"/>
    <s v="Missing"/>
    <s v="iPixel LEDs as alternative to Refond"/>
    <s v="ROM"/>
    <x v="2"/>
    <s v="ICM"/>
    <s v="Central Procurement Group"/>
    <s v="Illumination"/>
    <s v="Electrical Components"/>
    <s v="LED"/>
    <n v="1.5"/>
    <n v="2"/>
    <s v="No"/>
    <m/>
    <m/>
    <m/>
    <m/>
    <n v="0"/>
    <s v="Yes"/>
    <m/>
    <m/>
    <m/>
    <m/>
    <m/>
    <m/>
    <m/>
    <s v="On Hold"/>
    <m/>
    <s v="Adrian"/>
  </r>
  <r>
    <n v="408"/>
    <x v="22"/>
    <m/>
    <x v="0"/>
    <x v="2"/>
    <s v="CO"/>
    <s v="25-00587"/>
    <s v="Missing"/>
    <s v="Hengtong LEDs as alternative to Refond"/>
    <s v="ROM"/>
    <x v="2"/>
    <s v="ICM"/>
    <s v="Central Procurement Group"/>
    <s v="Illumination"/>
    <s v="Electrical Components"/>
    <s v="LED"/>
    <n v="1.5"/>
    <n v="2"/>
    <s v="No"/>
    <m/>
    <m/>
    <m/>
    <m/>
    <n v="0"/>
    <s v="Yes"/>
    <m/>
    <m/>
    <m/>
    <m/>
    <m/>
    <m/>
    <m/>
    <s v="Cancelled"/>
    <m/>
    <s v="Adrian"/>
  </r>
  <r>
    <n v="409"/>
    <x v="22"/>
    <m/>
    <x v="0"/>
    <x v="0"/>
    <s v="CO"/>
    <s v="25-00588"/>
    <s v="Missing"/>
    <s v="Tauras new cost reduced 3kV series"/>
    <s v="ROM"/>
    <x v="2"/>
    <s v="ICM"/>
    <s v="Central Procurement Group"/>
    <s v="Electrical Parts"/>
    <s v="Electrical Components"/>
    <s v="PSU"/>
    <n v="2"/>
    <n v="4"/>
    <s v="No"/>
    <m/>
    <m/>
    <m/>
    <m/>
    <n v="0"/>
    <s v="Yes"/>
    <m/>
    <m/>
    <s v="Certification available "/>
    <m/>
    <m/>
    <m/>
    <m/>
    <s v="Commercialized"/>
    <m/>
    <s v="Adrian"/>
  </r>
  <r>
    <n v="410"/>
    <x v="22"/>
    <m/>
    <x v="0"/>
    <x v="0"/>
    <s v="CO"/>
    <s v="25-00589"/>
    <s v="Missing"/>
    <s v="Saiwei 5W EC compact motor"/>
    <s v="ROM"/>
    <x v="2"/>
    <s v="ICM"/>
    <s v="Central Procurement Group"/>
    <s v="Cooling Mechanism"/>
    <s v="Electrical Components"/>
    <s v="Block Motors"/>
    <n v="1.5"/>
    <n v="4"/>
    <s v="Yes"/>
    <m/>
    <m/>
    <m/>
    <m/>
    <n v="2"/>
    <m/>
    <m/>
    <m/>
    <m/>
    <m/>
    <m/>
    <m/>
    <m/>
    <s v="Industrialization"/>
    <s v="Field test in progress"/>
    <s v="Stef"/>
  </r>
  <r>
    <n v="411"/>
    <x v="22"/>
    <m/>
    <x v="0"/>
    <x v="0"/>
    <s v="CO"/>
    <s v="25-00591"/>
    <s v="Missing"/>
    <s v="Honker controller"/>
    <s v="ROM"/>
    <x v="2"/>
    <s v="ICM"/>
    <s v="Central Procurement Group"/>
    <s v="Electrical Parts"/>
    <s v="Electrical Components"/>
    <s v="Electronic Motors"/>
    <n v="2.5"/>
    <n v="4"/>
    <s v="Yes"/>
    <m/>
    <m/>
    <m/>
    <m/>
    <n v="0"/>
    <s v="Yes"/>
    <m/>
    <m/>
    <m/>
    <m/>
    <m/>
    <m/>
    <m/>
    <s v="Industrialization"/>
    <s v="Field test in progress"/>
    <s v="Adrian"/>
  </r>
  <r>
    <n v="412"/>
    <x v="1"/>
    <m/>
    <x v="0"/>
    <x v="0"/>
    <s v="CO"/>
    <s v="24-00531"/>
    <s v="Missing"/>
    <s v="BMR HEXs"/>
    <s v="ROM"/>
    <x v="2"/>
    <s v="ICM"/>
    <s v="Central Procurement Group"/>
    <s v="Cooling Mechanism"/>
    <s v="Cooling Components"/>
    <s v="HEX"/>
    <n v="0.5"/>
    <n v="4"/>
    <s v="Yes"/>
    <m/>
    <m/>
    <m/>
    <m/>
    <n v="0"/>
    <s v="N/A"/>
    <m/>
    <m/>
    <m/>
    <m/>
    <m/>
    <m/>
    <m/>
    <s v="Commercialized"/>
    <m/>
    <s v="Adrian"/>
  </r>
  <r>
    <n v="413"/>
    <x v="30"/>
    <m/>
    <x v="0"/>
    <x v="0"/>
    <s v="CO"/>
    <s v="25-00585"/>
    <s v="Missing"/>
    <s v="Retekool HEX"/>
    <s v="ROM"/>
    <x v="2"/>
    <s v="ICM"/>
    <s v="Central Procurement Group"/>
    <s v="Cooling Mechanism"/>
    <s v="Cooling Components"/>
    <s v="HEX"/>
    <n v="0.5"/>
    <n v="4"/>
    <s v="Yes"/>
    <m/>
    <m/>
    <m/>
    <m/>
    <n v="0"/>
    <s v="N/A"/>
    <m/>
    <m/>
    <m/>
    <m/>
    <m/>
    <m/>
    <m/>
    <s v="Commercialized"/>
    <m/>
    <s v="Adrian"/>
  </r>
  <r>
    <n v="414"/>
    <x v="30"/>
    <m/>
    <x v="0"/>
    <x v="0"/>
    <s v="CO"/>
    <s v="25-00585"/>
    <s v="Missing_1"/>
    <s v="Condenser Retekool  as alternative to  Konveyor Max 700 C "/>
    <s v="ROM"/>
    <x v="2"/>
    <s v="ICM"/>
    <s v="Central Supply Chain"/>
    <s v="Cooling Mechanism"/>
    <s v="Cooling Components"/>
    <m/>
    <n v="0"/>
    <m/>
    <s v="Yes"/>
    <m/>
    <m/>
    <m/>
    <m/>
    <n v="1"/>
    <m/>
    <m/>
    <m/>
    <m/>
    <m/>
    <m/>
    <m/>
    <m/>
    <s v="Commercialized"/>
    <m/>
    <s v="Elena Micu"/>
  </r>
  <r>
    <n v="415"/>
    <x v="29"/>
    <m/>
    <x v="0"/>
    <x v="0"/>
    <s v="CO"/>
    <s v="24-00557"/>
    <s v="24SRC035-2"/>
    <s v="PSU Done 24W"/>
    <s v="ROM"/>
    <x v="2"/>
    <s v="ICM"/>
    <s v="Central Procurement Group"/>
    <s v="Electrical Parts"/>
    <s v="Electrical Components"/>
    <s v="PSU"/>
    <n v="0.75"/>
    <n v="4"/>
    <s v="No"/>
    <m/>
    <m/>
    <m/>
    <m/>
    <n v="0"/>
    <s v="Yes"/>
    <m/>
    <m/>
    <s v="12.04.25 Pending new samples for component testing"/>
    <m/>
    <m/>
    <m/>
    <m/>
    <s v="Industrialization"/>
    <s v="Field test in progress"/>
    <s v="Stef"/>
  </r>
  <r>
    <n v="416"/>
    <x v="29"/>
    <m/>
    <x v="0"/>
    <x v="0"/>
    <s v="CO"/>
    <s v="24-00556"/>
    <s v="24SRC034-1"/>
    <s v="PSU Done 16W"/>
    <s v="ROM"/>
    <x v="2"/>
    <s v="ICM"/>
    <s v="Central Procurement Group"/>
    <s v="Electrical Parts"/>
    <s v="Electrical Components"/>
    <s v="PSU"/>
    <n v="0.75"/>
    <n v="4"/>
    <s v="No"/>
    <m/>
    <m/>
    <m/>
    <m/>
    <n v="0"/>
    <s v="Yes"/>
    <m/>
    <m/>
    <s v="12.04.25 Pending new samples for component testing"/>
    <m/>
    <m/>
    <m/>
    <m/>
    <s v="Industrialization"/>
    <s v="Field test in progress"/>
    <s v="Stef"/>
  </r>
  <r>
    <n v="417"/>
    <x v="29"/>
    <m/>
    <x v="0"/>
    <x v="0"/>
    <s v="CO"/>
    <s v="24-00555"/>
    <s v="24SRC033-2"/>
    <s v="PSU Done 12W"/>
    <s v="ROM"/>
    <x v="2"/>
    <s v="ICM"/>
    <s v="Central Procurement Group"/>
    <s v="Electrical Parts"/>
    <s v="Electrical Components"/>
    <s v="PSU"/>
    <n v="0.75"/>
    <n v="4"/>
    <s v="No"/>
    <m/>
    <m/>
    <m/>
    <m/>
    <n v="0"/>
    <s v="Yes"/>
    <m/>
    <m/>
    <s v="12.04.25 Pending new samples for component testing"/>
    <m/>
    <m/>
    <m/>
    <m/>
    <s v="Industrialization"/>
    <s v="Field test in progress"/>
    <s v="Stef"/>
  </r>
  <r>
    <n v="418"/>
    <x v="2"/>
    <m/>
    <x v="0"/>
    <x v="0"/>
    <s v="CO"/>
    <s v="25-00605"/>
    <s v="25ROM004_2"/>
    <s v="Max-300 [R290] C and 1/4 return line pipe + NBR evaporator"/>
    <s v="ROM"/>
    <x v="2"/>
    <s v="ICM"/>
    <s v="Central Supply Chain"/>
    <s v="Cooling Mechanism"/>
    <s v="Cooling Components"/>
    <m/>
    <n v="0"/>
    <m/>
    <s v="Yes"/>
    <m/>
    <m/>
    <m/>
    <m/>
    <n v="3"/>
    <m/>
    <m/>
    <m/>
    <m/>
    <m/>
    <m/>
    <m/>
    <m/>
    <s v="Commercialized"/>
    <m/>
    <s v="Elena Micu"/>
  </r>
  <r>
    <n v="419"/>
    <x v="2"/>
    <m/>
    <x v="0"/>
    <x v="0"/>
    <s v="CO"/>
    <s v="25-00605"/>
    <s v="25ROM004_3"/>
    <s v="Max-1000 [R290] C and 1/4 return line pipe + NBR evaporator"/>
    <s v="ROM"/>
    <x v="2"/>
    <s v="ICM"/>
    <s v="Central Supply Chain"/>
    <s v="Cooling Mechanism"/>
    <s v="Cooling Components"/>
    <m/>
    <n v="0"/>
    <m/>
    <s v="Yes"/>
    <m/>
    <m/>
    <m/>
    <m/>
    <n v="4"/>
    <m/>
    <m/>
    <m/>
    <m/>
    <m/>
    <m/>
    <m/>
    <m/>
    <s v="Commercialized"/>
    <m/>
    <s v="Elena Micu"/>
  </r>
  <r>
    <n v="420"/>
    <x v="2"/>
    <m/>
    <x v="0"/>
    <x v="0"/>
    <s v="CO"/>
    <s v="25-00605"/>
    <s v="25ROM004_4"/>
    <s v="Max-450 [R290] C and 1/4 return line pipe + NBR evaporator"/>
    <s v="ROM"/>
    <x v="2"/>
    <s v="ICM"/>
    <s v="Central Supply Chain"/>
    <s v="Cooling Mechanism"/>
    <s v="Cooling Components"/>
    <m/>
    <n v="0"/>
    <m/>
    <s v="Yes"/>
    <m/>
    <m/>
    <m/>
    <m/>
    <n v="4"/>
    <m/>
    <m/>
    <m/>
    <m/>
    <m/>
    <m/>
    <m/>
    <m/>
    <s v="Commercialized"/>
    <m/>
    <s v="Elena Micu"/>
  </r>
  <r>
    <n v="421"/>
    <x v="2"/>
    <m/>
    <x v="0"/>
    <x v="0"/>
    <s v="CO"/>
    <s v="25-00605"/>
    <s v="25ROM004_5"/>
    <s v="Max-900 [R290] C and 1/4 return line pipe + NBR evaporator"/>
    <s v="ROM"/>
    <x v="2"/>
    <s v="ICM"/>
    <s v="Central Supply Chain"/>
    <s v="Cooling Mechanism"/>
    <s v="Cooling Components"/>
    <m/>
    <n v="0"/>
    <m/>
    <s v="Yes"/>
    <m/>
    <m/>
    <m/>
    <m/>
    <n v="4"/>
    <m/>
    <m/>
    <m/>
    <m/>
    <m/>
    <m/>
    <m/>
    <m/>
    <s v="Commercialized"/>
    <m/>
    <s v="Elena Micu"/>
  </r>
  <r>
    <n v="422"/>
    <x v="2"/>
    <m/>
    <x v="0"/>
    <x v="2"/>
    <s v="CO"/>
    <s v="25-00601"/>
    <s v="25ROM006"/>
    <s v="Change argon with air for Plus/MAX doors"/>
    <s v="ROM"/>
    <x v="2"/>
    <s v="ICM"/>
    <s v="PD"/>
    <s v="Door"/>
    <s v="Door Components &amp; Acc."/>
    <s v="Glass"/>
    <n v="1"/>
    <n v="2"/>
    <s v="Yes"/>
    <m/>
    <m/>
    <m/>
    <m/>
    <n v="0"/>
    <s v="N/A"/>
    <m/>
    <m/>
    <m/>
    <m/>
    <m/>
    <m/>
    <m/>
    <s v="Commercialized"/>
    <s v="Commercialized. Pending only TF release"/>
    <s v="Adrian"/>
  </r>
  <r>
    <n v="423"/>
    <x v="2"/>
    <m/>
    <x v="0"/>
    <x v="2"/>
    <s v="CO"/>
    <s v="25-00602"/>
    <s v="25ROM007"/>
    <s v="Change inner glass pane from tempered to floating for IC2 doors "/>
    <s v="ROM"/>
    <x v="2"/>
    <s v="ICM"/>
    <s v="PD"/>
    <s v="Door"/>
    <s v="Door Components &amp; Acc."/>
    <s v="Assembled Door"/>
    <n v="2"/>
    <n v="2"/>
    <s v="No"/>
    <m/>
    <m/>
    <m/>
    <m/>
    <n v="0"/>
    <s v="Yes"/>
    <m/>
    <m/>
    <m/>
    <m/>
    <m/>
    <m/>
    <m/>
    <s v="Commercialized"/>
    <s v="Commercialized. Pending only TF release"/>
    <s v="Adrian"/>
  </r>
  <r>
    <n v="424"/>
    <x v="2"/>
    <m/>
    <x v="0"/>
    <x v="2"/>
    <s v="CO"/>
    <s v="Combined with other TF"/>
    <s v="25ROM008"/>
    <s v="Eliminate evaporator compartment spacers ( plastic supports)"/>
    <s v="ROM"/>
    <x v="2"/>
    <s v="ICM"/>
    <s v="PD"/>
    <s v="Insulated Cabin"/>
    <s v="Other"/>
    <s v="Other Materials"/>
    <n v="1"/>
    <n v="2"/>
    <s v="No"/>
    <m/>
    <m/>
    <m/>
    <m/>
    <n v="0"/>
    <s v="N/A"/>
    <m/>
    <m/>
    <m/>
    <m/>
    <m/>
    <m/>
    <m/>
    <s v="Commercialized"/>
    <m/>
    <s v="Adrian"/>
  </r>
  <r>
    <n v="425"/>
    <x v="2"/>
    <m/>
    <x v="0"/>
    <x v="2"/>
    <s v="CO"/>
    <s v="25-00603"/>
    <s v="25ROM009"/>
    <s v="Eliminate RCCB tap and FFXY cover"/>
    <s v="ROM"/>
    <x v="2"/>
    <s v="ICM"/>
    <s v="PD"/>
    <s v="Electrical Parts"/>
    <s v="Plastics"/>
    <s v="Injection Plastics"/>
    <n v="1"/>
    <n v="2"/>
    <s v="No"/>
    <m/>
    <m/>
    <m/>
    <m/>
    <n v="0"/>
    <s v="No"/>
    <m/>
    <m/>
    <m/>
    <m/>
    <m/>
    <m/>
    <m/>
    <s v="Commercialized"/>
    <m/>
    <s v="Alin"/>
  </r>
  <r>
    <n v="426"/>
    <x v="2"/>
    <m/>
    <x v="1"/>
    <x v="0"/>
    <s v="CO"/>
    <s v="_x0009_25-00604"/>
    <s v="25ROM014"/>
    <s v="3mm glass pane vs 4mm pane for all models"/>
    <s v="ROM"/>
    <x v="2"/>
    <s v="ICM"/>
    <s v="PD"/>
    <s v="Door"/>
    <s v="Door Components &amp; Acc."/>
    <s v="Assembled Door"/>
    <n v="20"/>
    <n v="12"/>
    <s v="No"/>
    <m/>
    <m/>
    <m/>
    <m/>
    <m/>
    <s v="Yes"/>
    <m/>
    <m/>
    <m/>
    <m/>
    <m/>
    <m/>
    <m/>
    <s v="Industrialization"/>
    <s v="FPAP done. Pending TF update. Greenlight for next orders "/>
    <s v="Adrian"/>
  </r>
  <r>
    <n v="427"/>
    <x v="2"/>
    <m/>
    <x v="0"/>
    <x v="2"/>
    <s v="CO"/>
    <s v="25-00607"/>
    <s v="25ROM016"/>
    <s v="Cable kit wire cross section optimization"/>
    <s v="ROM"/>
    <x v="2"/>
    <s v="ICM"/>
    <s v="PD"/>
    <s v="Electrical Parts"/>
    <s v="Electrical Components"/>
    <s v="Cable Harnesses"/>
    <n v="3"/>
    <n v="2"/>
    <s v="No"/>
    <m/>
    <m/>
    <m/>
    <m/>
    <n v="1"/>
    <s v="Yes"/>
    <m/>
    <m/>
    <m/>
    <m/>
    <m/>
    <m/>
    <m/>
    <s v="Commercialized"/>
    <s v="Phase 2 in development for optimizing cross sections of sensor wires "/>
    <s v="Alin"/>
  </r>
  <r>
    <n v="428"/>
    <x v="2"/>
    <m/>
    <x v="0"/>
    <x v="2"/>
    <s v="CO"/>
    <s v="25-00607"/>
    <s v="25ROM017"/>
    <s v="Power cable wire cross sections optimization"/>
    <s v="ROM"/>
    <x v="2"/>
    <s v="ICM"/>
    <s v="PD"/>
    <s v="Electrical Parts"/>
    <s v="Electrical Components"/>
    <s v="Power Cables"/>
    <n v="2"/>
    <n v="2"/>
    <s v="No"/>
    <m/>
    <m/>
    <m/>
    <m/>
    <n v="0"/>
    <s v="Yes"/>
    <m/>
    <m/>
    <m/>
    <m/>
    <m/>
    <m/>
    <m/>
    <s v="Commercialized"/>
    <m/>
    <s v="Adrian"/>
  </r>
  <r>
    <n v="429"/>
    <x v="29"/>
    <m/>
    <x v="0"/>
    <x v="2"/>
    <s v="CO"/>
    <s v="24-00554"/>
    <s v="25SRC029/30"/>
    <s v="Reed switch Ease MC37-C"/>
    <s v="ROM"/>
    <x v="2"/>
    <s v="ICM"/>
    <s v="Central Procurement Group"/>
    <s v="Electrical Parts"/>
    <s v="Electrical Components"/>
    <s v="Electrical Components"/>
    <n v="0.5"/>
    <n v="2"/>
    <s v="No"/>
    <m/>
    <m/>
    <m/>
    <m/>
    <n v="0"/>
    <s v="Yes"/>
    <m/>
    <m/>
    <m/>
    <m/>
    <m/>
    <m/>
    <m/>
    <s v="Commercialized"/>
    <m/>
    <s v="Adrian"/>
  </r>
  <r>
    <n v="430"/>
    <x v="0"/>
    <m/>
    <x v="0"/>
    <x v="2"/>
    <s v="NO"/>
    <s v="24-00574"/>
    <s v="N/A"/>
    <s v="Optional EM lock for MAX-750 [R290] B &amp; MAX-750 [R290] C "/>
    <s v="ROM"/>
    <x v="2"/>
    <s v="ICM"/>
    <s v="Marketing/Sales"/>
    <s v="Electrical Parts"/>
    <s v="Electrical Components"/>
    <s v="Locks"/>
    <n v="0"/>
    <m/>
    <s v="No"/>
    <m/>
    <m/>
    <m/>
    <m/>
    <n v="0"/>
    <s v="Yes"/>
    <m/>
    <m/>
    <m/>
    <m/>
    <m/>
    <m/>
    <m/>
    <s v="Commercialized"/>
    <m/>
    <s v="Stef"/>
  </r>
  <r>
    <n v="431"/>
    <x v="8"/>
    <m/>
    <x v="0"/>
    <x v="0"/>
    <s v="NO"/>
    <s v="24-00540"/>
    <s v="N/A"/>
    <s v="450 Lt model with New Monster branding"/>
    <s v="ROM"/>
    <x v="2"/>
    <s v="ICM"/>
    <s v="Marketing/Sales"/>
    <s v="Door"/>
    <s v="Door Components &amp; Acc."/>
    <s v="Assembled Door"/>
    <n v="0"/>
    <m/>
    <s v="No"/>
    <m/>
    <m/>
    <m/>
    <m/>
    <n v="0"/>
    <m/>
    <m/>
    <m/>
    <m/>
    <m/>
    <m/>
    <m/>
    <m/>
    <s v="Commercialized"/>
    <s v="Project was droped."/>
    <m/>
  </r>
  <r>
    <n v="432"/>
    <x v="31"/>
    <m/>
    <x v="0"/>
    <x v="0"/>
    <s v="CO"/>
    <s v="24-00536"/>
    <s v="Missing"/>
    <s v="New pilaster"/>
    <s v="ROM"/>
    <x v="2"/>
    <s v="ICM"/>
    <s v="PD"/>
    <s v="Insulated Cabin"/>
    <s v="Steel &amp; Parts"/>
    <s v="Metal Processing &amp; Components"/>
    <n v="0"/>
    <m/>
    <s v="No"/>
    <m/>
    <m/>
    <m/>
    <m/>
    <n v="0"/>
    <s v="N/A"/>
    <m/>
    <m/>
    <m/>
    <m/>
    <m/>
    <m/>
    <m/>
    <s v="Cancelled"/>
    <m/>
    <s v="Catalin"/>
  </r>
  <r>
    <n v="433"/>
    <x v="32"/>
    <m/>
    <x v="0"/>
    <x v="2"/>
    <s v="CO"/>
    <s v="24-00507"/>
    <s v="Missing"/>
    <s v="New plastic reinforcements"/>
    <s v="ROM"/>
    <x v="2"/>
    <s v="ICM"/>
    <s v="PD"/>
    <s v="Insulated Cabin"/>
    <s v="Other"/>
    <s v="Other Materials"/>
    <n v="0.5"/>
    <n v="2"/>
    <s v="No"/>
    <m/>
    <m/>
    <m/>
    <m/>
    <n v="0"/>
    <s v="N/A"/>
    <m/>
    <m/>
    <m/>
    <m/>
    <m/>
    <m/>
    <m/>
    <s v="Commercialized"/>
    <m/>
    <s v="Adrian"/>
  </r>
  <r>
    <n v="434"/>
    <x v="8"/>
    <m/>
    <x v="0"/>
    <x v="0"/>
    <s v="NO"/>
    <s v="24-00542"/>
    <s v="N/A"/>
    <s v="IC 2 300 Eco with New Monster branding"/>
    <s v="ROM"/>
    <x v="2"/>
    <s v="ICM"/>
    <s v="Marketing/Sales"/>
    <s v="Door"/>
    <s v="Door Components &amp; Acc."/>
    <s v="Assembled Door"/>
    <n v="0"/>
    <m/>
    <s v="No"/>
    <m/>
    <m/>
    <m/>
    <m/>
    <n v="0"/>
    <m/>
    <m/>
    <m/>
    <m/>
    <m/>
    <m/>
    <m/>
    <m/>
    <s v="Commercialized"/>
    <s v="Project was droped."/>
    <m/>
  </r>
  <r>
    <n v="435"/>
    <x v="2"/>
    <m/>
    <x v="0"/>
    <x v="0"/>
    <s v="NO"/>
    <s v="24-00569"/>
    <s v="N/A"/>
    <s v="Optional L-R door for Plus 450 with LED including new production with left hand hinged door"/>
    <s v="ROM"/>
    <x v="2"/>
    <s v="ICM"/>
    <s v="Marketing/Sales"/>
    <s v="Door"/>
    <s v="Door Components &amp; Acc."/>
    <s v="Assembled Door"/>
    <n v="0"/>
    <m/>
    <s v="No"/>
    <m/>
    <m/>
    <m/>
    <m/>
    <n v="0"/>
    <s v="Yes"/>
    <m/>
    <m/>
    <m/>
    <m/>
    <m/>
    <m/>
    <m/>
    <s v="Commercialized"/>
    <m/>
    <s v="Catalin"/>
  </r>
  <r>
    <n v="436"/>
    <x v="33"/>
    <m/>
    <x v="0"/>
    <x v="2"/>
    <s v="NO"/>
    <s v="24-00565"/>
    <s v="N/A"/>
    <s v="ICOOL2 Door with Neon LED  for Max 450 - 700 -1000"/>
    <s v="ROM"/>
    <x v="2"/>
    <s v="ICM"/>
    <s v="Marketing/Sales"/>
    <s v="Door"/>
    <s v="Door Components &amp; Acc."/>
    <s v="Assembled Door"/>
    <n v="1"/>
    <n v="2"/>
    <s v="No"/>
    <m/>
    <m/>
    <m/>
    <m/>
    <n v="0"/>
    <s v="Yes"/>
    <m/>
    <m/>
    <m/>
    <m/>
    <m/>
    <m/>
    <m/>
    <s v="Commercialized"/>
    <m/>
    <s v="Adrian"/>
  </r>
  <r>
    <n v="437"/>
    <x v="2"/>
    <m/>
    <x v="0"/>
    <x v="2"/>
    <s v="NO"/>
    <s v="24-00576"/>
    <s v="N/A"/>
    <s v="Frameless &amp; ICOOL2 Spring type doors for Max B range"/>
    <s v="ROM"/>
    <x v="2"/>
    <s v="ICM"/>
    <s v="Marketing/Sales"/>
    <s v="Door"/>
    <s v="Door Components &amp; Acc."/>
    <s v="Assembled Door"/>
    <n v="2.5"/>
    <n v="2"/>
    <s v="No"/>
    <m/>
    <m/>
    <m/>
    <m/>
    <n v="0"/>
    <s v="Yes"/>
    <m/>
    <m/>
    <m/>
    <m/>
    <m/>
    <m/>
    <m/>
    <s v="Commercialized"/>
    <m/>
    <s v="Adrian"/>
  </r>
  <r>
    <n v="438"/>
    <x v="0"/>
    <m/>
    <x v="0"/>
    <x v="2"/>
    <s v="NO"/>
    <s v="25-00578"/>
    <s v="N/A"/>
    <s v="Monster aesthetics for ICOOL2ECO-300 B"/>
    <s v="ROM"/>
    <x v="2"/>
    <s v="ICM"/>
    <s v="Marketing/Sales"/>
    <s v="Door"/>
    <s v="Door Components &amp; Acc."/>
    <s v="Assembled Door"/>
    <n v="0"/>
    <n v="2"/>
    <s v="No"/>
    <m/>
    <m/>
    <m/>
    <m/>
    <n v="0"/>
    <s v="Yes"/>
    <m/>
    <m/>
    <m/>
    <m/>
    <m/>
    <m/>
    <m/>
    <s v="Commercialized"/>
    <m/>
    <s v="Alin"/>
  </r>
  <r>
    <n v="439"/>
    <x v="0"/>
    <m/>
    <x v="0"/>
    <x v="2"/>
    <s v="NO"/>
    <s v="25-00579"/>
    <s v="N/A"/>
    <s v="ICOOL2ECO-450 [R290] B with Monster aesthetics"/>
    <s v="ROM"/>
    <x v="2"/>
    <s v="ICM"/>
    <s v="Marketing/Sales"/>
    <s v="Door"/>
    <s v="Door Components &amp; Acc."/>
    <s v="Assembled Door"/>
    <n v="0.5"/>
    <n v="2"/>
    <s v="No"/>
    <m/>
    <m/>
    <m/>
    <m/>
    <n v="0"/>
    <s v="Yes"/>
    <m/>
    <m/>
    <m/>
    <m/>
    <m/>
    <m/>
    <m/>
    <s v="Commercialized"/>
    <m/>
    <s v="Alin"/>
  </r>
  <r>
    <n v="440"/>
    <x v="0"/>
    <m/>
    <x v="0"/>
    <x v="2"/>
    <s v="NO"/>
    <s v="25-00581"/>
    <s v="N/A"/>
    <s v="ICOOL2ECO door with 3D illuminated Hell logo for MAX-450 C"/>
    <s v="ROM"/>
    <x v="2"/>
    <s v="ICM"/>
    <s v="Marketing/Sales"/>
    <s v="Door"/>
    <s v="Door Components &amp; Acc."/>
    <s v="Assembled Door"/>
    <n v="0.5"/>
    <n v="2"/>
    <s v="No"/>
    <m/>
    <m/>
    <m/>
    <m/>
    <n v="0"/>
    <s v="Yes"/>
    <m/>
    <m/>
    <m/>
    <m/>
    <m/>
    <m/>
    <m/>
    <s v="Commercialized"/>
    <m/>
    <s v="Adrian"/>
  </r>
  <r>
    <n v="441"/>
    <x v="0"/>
    <m/>
    <x v="0"/>
    <x v="0"/>
    <s v="NO"/>
    <s v="25-00582"/>
    <s v="N/A"/>
    <s v="ICOOL2ECO door with 3D illuminated HELL logo for MAX-700 C"/>
    <s v="ROM"/>
    <x v="2"/>
    <s v="ICM"/>
    <s v="Marketing/Sales"/>
    <s v="Door"/>
    <s v="Door Components &amp; Acc."/>
    <s v="Assembled Door"/>
    <n v="0.5"/>
    <n v="4"/>
    <s v="No"/>
    <m/>
    <m/>
    <m/>
    <m/>
    <n v="0"/>
    <s v="Yes"/>
    <m/>
    <m/>
    <m/>
    <m/>
    <m/>
    <m/>
    <m/>
    <s v="Commercialized"/>
    <m/>
    <s v="Adrian"/>
  </r>
  <r>
    <n v="442"/>
    <x v="2"/>
    <m/>
    <x v="0"/>
    <x v="2"/>
    <s v="NO"/>
    <s v="24-00564"/>
    <s v="N/A"/>
    <s v="New Coca-Cola branding for CCEP Europe"/>
    <s v="ROM"/>
    <x v="2"/>
    <s v="ICM"/>
    <s v="Marketing/Sales"/>
    <s v="Insulated Cabin"/>
    <s v="Other"/>
    <s v="Printing Materials"/>
    <n v="0"/>
    <m/>
    <s v="No"/>
    <m/>
    <m/>
    <m/>
    <m/>
    <n v="0"/>
    <s v="N/A"/>
    <m/>
    <m/>
    <m/>
    <m/>
    <m/>
    <m/>
    <m/>
    <s v="On Hold"/>
    <m/>
    <s v="Stef"/>
  </r>
  <r>
    <n v="443"/>
    <x v="34"/>
    <m/>
    <x v="0"/>
    <x v="1"/>
    <s v="NM"/>
    <s v="24-00548"/>
    <s v="N/A"/>
    <s v="MAX-1200 HD [R290] B commercialization ex Romania "/>
    <s v="ROM"/>
    <x v="2"/>
    <s v="ICM"/>
    <s v="Marketing/Sales"/>
    <s v="Complete Cooler"/>
    <s v="N/A"/>
    <s v="N/A"/>
    <n v="2"/>
    <n v="2"/>
    <s v="Yes"/>
    <m/>
    <m/>
    <m/>
    <m/>
    <n v="0"/>
    <s v="Yes"/>
    <m/>
    <m/>
    <m/>
    <m/>
    <m/>
    <m/>
    <m/>
    <s v="Commercialized"/>
    <m/>
    <s v="Alin"/>
  </r>
  <r>
    <n v="444"/>
    <x v="34"/>
    <m/>
    <x v="0"/>
    <x v="1"/>
    <s v="NM"/>
    <s v="24-00547"/>
    <s v="N/A"/>
    <s v="MAX-750 [R290] B commercialization ex Romania"/>
    <s v="ROM"/>
    <x v="2"/>
    <s v="ICM"/>
    <s v="Marketing/Sales"/>
    <s v="Complete Cooler"/>
    <s v="N/A"/>
    <s v="N/A"/>
    <n v="2"/>
    <n v="2"/>
    <s v="Yes"/>
    <m/>
    <m/>
    <m/>
    <m/>
    <n v="0"/>
    <s v="Yes"/>
    <m/>
    <m/>
    <m/>
    <m/>
    <m/>
    <m/>
    <m/>
    <s v="Commercialized"/>
    <m/>
    <s v="Alin"/>
  </r>
  <r>
    <n v="445"/>
    <x v="2"/>
    <m/>
    <x v="0"/>
    <x v="2"/>
    <s v="CO"/>
    <s v="24-00572"/>
    <s v="25ROM011"/>
    <s v="L- Shape handle new design to Max, Plus &amp; ICOOL2 models  "/>
    <s v="ROM"/>
    <x v="2"/>
    <s v="ICM"/>
    <s v="Marketing/Sales"/>
    <s v="Door"/>
    <s v="Steel &amp; Parts"/>
    <s v="Metal Processing &amp; Components"/>
    <n v="0"/>
    <n v="2"/>
    <s v="No"/>
    <m/>
    <m/>
    <m/>
    <m/>
    <n v="0"/>
    <s v="N/A"/>
    <m/>
    <m/>
    <m/>
    <m/>
    <m/>
    <m/>
    <m/>
    <s v="Commercialized"/>
    <m/>
    <s v="Alin"/>
  </r>
  <r>
    <n v="446"/>
    <x v="7"/>
    <m/>
    <x v="0"/>
    <x v="2"/>
    <s v="NO"/>
    <s v="25-00612"/>
    <s v="N/A"/>
    <s v="Stabilization/Support kit for Plus 900 HD to prevent sagging of cooling mechanism due to customer mis-use"/>
    <s v="ROM"/>
    <x v="2"/>
    <m/>
    <s v="Marketing/Sales"/>
    <m/>
    <m/>
    <m/>
    <m/>
    <m/>
    <m/>
    <m/>
    <m/>
    <m/>
    <m/>
    <m/>
    <m/>
    <m/>
    <m/>
    <m/>
    <m/>
    <m/>
    <m/>
    <m/>
    <s v="On Hold"/>
    <m/>
    <s v="Alin"/>
  </r>
  <r>
    <n v="447"/>
    <x v="4"/>
    <m/>
    <x v="0"/>
    <x v="2"/>
    <s v="NO"/>
    <s v="25-00609"/>
    <s v="N/A"/>
    <s v="Full door sticker for Max 750 and Max 1200"/>
    <s v="ROM"/>
    <x v="2"/>
    <s v="ICM"/>
    <s v="Marketing/Sales"/>
    <m/>
    <m/>
    <m/>
    <m/>
    <m/>
    <m/>
    <m/>
    <m/>
    <m/>
    <m/>
    <m/>
    <m/>
    <m/>
    <m/>
    <m/>
    <m/>
    <m/>
    <m/>
    <m/>
    <s v="Commercialized"/>
    <m/>
    <s v="Adrian"/>
  </r>
  <r>
    <n v="448"/>
    <x v="5"/>
    <m/>
    <x v="0"/>
    <x v="2"/>
    <s v="NO"/>
    <s v="25-00616"/>
    <s v="N/A"/>
    <s v="Update of the FDE parameters list in ICOOL2ECO-300/500/450/900/1000 models"/>
    <s v="ROM"/>
    <x v="2"/>
    <m/>
    <m/>
    <m/>
    <m/>
    <m/>
    <m/>
    <m/>
    <m/>
    <m/>
    <m/>
    <m/>
    <m/>
    <m/>
    <m/>
    <m/>
    <m/>
    <m/>
    <m/>
    <m/>
    <m/>
    <m/>
    <s v="Commercialized"/>
    <m/>
    <s v="Alin"/>
  </r>
  <r>
    <n v="449"/>
    <x v="10"/>
    <m/>
    <x v="0"/>
    <x v="2"/>
    <s v="NO"/>
    <s v="25-00614"/>
    <s v="N/A"/>
    <s v="Dimmer for Max 450 B"/>
    <s v="ROM"/>
    <x v="2"/>
    <s v="ICM"/>
    <s v="Marketing/Sales"/>
    <s v="PDD-N"/>
    <s v="Adrian"/>
    <d v="2025-04-25T00:00:00"/>
    <m/>
    <m/>
    <m/>
    <m/>
    <m/>
    <m/>
    <m/>
    <m/>
    <m/>
    <m/>
    <m/>
    <m/>
    <m/>
    <m/>
    <m/>
    <m/>
    <s v="Commercialized"/>
    <m/>
    <s v="Adrian"/>
  </r>
  <r>
    <n v="450"/>
    <x v="10"/>
    <m/>
    <x v="0"/>
    <x v="2"/>
    <s v="NO"/>
    <s v="25-00619"/>
    <s v="N/A"/>
    <s v="Pepsi 3D Branding for MAX 450 B"/>
    <s v="ROM"/>
    <x v="2"/>
    <s v="ICM"/>
    <s v="Marketing/Sales"/>
    <m/>
    <m/>
    <m/>
    <m/>
    <m/>
    <m/>
    <m/>
    <m/>
    <m/>
    <m/>
    <m/>
    <m/>
    <m/>
    <m/>
    <m/>
    <m/>
    <m/>
    <m/>
    <m/>
    <s v="Commercialized"/>
    <m/>
    <s v="Adrian"/>
  </r>
  <r>
    <n v="451"/>
    <x v="22"/>
    <m/>
    <x v="0"/>
    <x v="2"/>
    <s v="CO"/>
    <s v="25-00593"/>
    <s v="Missing"/>
    <s v="Qingda Reed Switch"/>
    <s v="ROM"/>
    <x v="2"/>
    <s v="ICM"/>
    <s v="Central Procurement Group"/>
    <s v="Electrical Parts"/>
    <s v="Electrical Components"/>
    <s v="Electrical Components"/>
    <n v="0.5"/>
    <n v="2"/>
    <s v="No"/>
    <m/>
    <m/>
    <m/>
    <m/>
    <n v="0"/>
    <s v="Yes"/>
    <m/>
    <m/>
    <m/>
    <m/>
    <m/>
    <m/>
    <m/>
    <s v="Commercialized"/>
    <m/>
    <s v="Adrian"/>
  </r>
  <r>
    <n v="452"/>
    <x v="33"/>
    <m/>
    <x v="0"/>
    <x v="0"/>
    <s v="CO"/>
    <s v="24-00568"/>
    <s v="25SRC013"/>
    <s v="Compressor Huayi NUF45NA as alternative to Wanbao FTB45"/>
    <s v="ROM"/>
    <x v="2"/>
    <s v="ICM"/>
    <s v="Central Procurement Group"/>
    <s v="Cooling Mechanism"/>
    <s v="Cooling Components"/>
    <s v="Compressors"/>
    <n v="0.5"/>
    <n v="4"/>
    <s v="Yes"/>
    <m/>
    <m/>
    <m/>
    <m/>
    <n v="0"/>
    <s v="Yes"/>
    <m/>
    <m/>
    <m/>
    <m/>
    <m/>
    <m/>
    <m/>
    <s v="Commercialized"/>
    <m/>
    <s v="Adrian"/>
  </r>
  <r>
    <n v="453"/>
    <x v="33"/>
    <m/>
    <x v="0"/>
    <x v="0"/>
    <s v="CO"/>
    <s v="24-00568"/>
    <s v="25SRC013_2"/>
    <s v="Max-450 [R290] B Meta Certification "/>
    <s v="ROM"/>
    <x v="2"/>
    <s v="ICM"/>
    <s v="Central Supply Chain"/>
    <s v="Cooling Mechanism"/>
    <s v="Cooling Components"/>
    <m/>
    <n v="0"/>
    <m/>
    <s v="Yes"/>
    <m/>
    <m/>
    <m/>
    <m/>
    <n v="6"/>
    <m/>
    <m/>
    <m/>
    <m/>
    <m/>
    <m/>
    <m/>
    <m/>
    <s v="Cancelled"/>
    <m/>
    <s v="Elena Micu"/>
  </r>
  <r>
    <n v="454"/>
    <x v="34"/>
    <m/>
    <x v="0"/>
    <x v="0"/>
    <s v="NO"/>
    <s v="24-00551"/>
    <s v="Missing"/>
    <s v="Max 450 C _x000a_Donper SK43CU1_x000a_Su 50 DU1  "/>
    <s v="ROM"/>
    <x v="2"/>
    <s v="ICM"/>
    <m/>
    <m/>
    <m/>
    <m/>
    <n v="0"/>
    <m/>
    <s v="Yes"/>
    <m/>
    <m/>
    <m/>
    <m/>
    <n v="10"/>
    <m/>
    <m/>
    <m/>
    <m/>
    <m/>
    <m/>
    <m/>
    <m/>
    <s v="Cancelled"/>
    <m/>
    <s v="Elena Micu"/>
  </r>
  <r>
    <n v="455"/>
    <x v="35"/>
    <m/>
    <x v="0"/>
    <x v="0"/>
    <s v="NO"/>
    <s v="TBA"/>
    <s v="Missing"/>
    <s v="Alternative compressor_x000a_ Donper VFLJ070  to Wanbao VFTB72_x000a_"/>
    <s v="ROM"/>
    <x v="2"/>
    <s v="ICM"/>
    <s v="Central Procurement Group"/>
    <m/>
    <m/>
    <m/>
    <n v="0"/>
    <m/>
    <s v="Yes"/>
    <m/>
    <m/>
    <m/>
    <m/>
    <n v="10"/>
    <m/>
    <m/>
    <m/>
    <m/>
    <m/>
    <m/>
    <m/>
    <m/>
    <s v="On Hold"/>
    <m/>
    <s v="Elena Micu"/>
  </r>
  <r>
    <n v="456"/>
    <x v="34"/>
    <m/>
    <x v="0"/>
    <x v="0"/>
    <s v="NO"/>
    <s v="24-00563"/>
    <s v="N/A"/>
    <s v="IC2-500 &amp; IC2-800 D Condition : Feasibility Study"/>
    <s v="ROM"/>
    <x v="2"/>
    <s v="ICM"/>
    <s v="Marketing/Sales"/>
    <s v="Cooling Mechanism"/>
    <s v="Other"/>
    <s v="Other Materials"/>
    <n v="3"/>
    <n v="4"/>
    <s v="Yes"/>
    <m/>
    <m/>
    <m/>
    <m/>
    <n v="8"/>
    <m/>
    <m/>
    <m/>
    <m/>
    <m/>
    <m/>
    <m/>
    <m/>
    <s v="Cancelled"/>
    <m/>
    <s v="Alin"/>
  </r>
  <r>
    <n v="457"/>
    <x v="36"/>
    <m/>
    <x v="0"/>
    <x v="0"/>
    <s v="CO"/>
    <s v="25-00606"/>
    <s v="25ROM015"/>
    <s v="Small electrical box for Plus/Max/IC2"/>
    <s v="ROM"/>
    <x v="2"/>
    <s v="ICM"/>
    <s v="PD"/>
    <s v="Electrical Parts"/>
    <s v="Electrical Components"/>
    <s v="Injection Plastics"/>
    <n v="4"/>
    <n v="4"/>
    <s v="Yes"/>
    <m/>
    <m/>
    <m/>
    <m/>
    <n v="1"/>
    <s v="Yes"/>
    <m/>
    <m/>
    <m/>
    <m/>
    <m/>
    <m/>
    <m/>
    <s v="Cancelled"/>
    <s v="Project droped due to FDE signal issues, increasing manufacturing complexity"/>
    <s v="Alin"/>
  </r>
  <r>
    <n v="458"/>
    <x v="22"/>
    <m/>
    <x v="0"/>
    <x v="2"/>
    <s v="CO"/>
    <s v="25-00594"/>
    <s v="Missing"/>
    <s v="Yongxing Switch"/>
    <s v="ROM"/>
    <x v="2"/>
    <s v="ICM"/>
    <s v="Central Procurement Group"/>
    <s v="Electrical Parts"/>
    <s v="Electrical Components"/>
    <s v="Electrical Components"/>
    <n v="0.5"/>
    <n v="2"/>
    <s v="No"/>
    <m/>
    <m/>
    <m/>
    <m/>
    <n v="0"/>
    <s v="Yes"/>
    <m/>
    <m/>
    <m/>
    <m/>
    <m/>
    <m/>
    <m/>
    <s v="Commercialized"/>
    <m/>
    <s v="Adrian"/>
  </r>
  <r>
    <n v="459"/>
    <x v="22"/>
    <m/>
    <x v="0"/>
    <x v="2"/>
    <s v="CO"/>
    <s v="25-00596"/>
    <s v="Missing"/>
    <s v="Bubujing Electronic Switch"/>
    <s v="ROM"/>
    <x v="2"/>
    <s v="ICM"/>
    <s v="Central Procurement Group"/>
    <s v="Electrical Parts"/>
    <s v="Electrical Components"/>
    <s v="Electrical Components"/>
    <n v="0.5"/>
    <n v="2"/>
    <s v="No"/>
    <m/>
    <m/>
    <m/>
    <m/>
    <n v="0"/>
    <s v="Yes"/>
    <m/>
    <m/>
    <m/>
    <m/>
    <m/>
    <m/>
    <m/>
    <s v="Cancelled"/>
    <s v="Failed testing"/>
    <s v="Adrian"/>
  </r>
  <r>
    <n v="460"/>
    <x v="22"/>
    <m/>
    <x v="0"/>
    <x v="2"/>
    <s v="CO"/>
    <s v="25-00597"/>
    <s v="Missing"/>
    <s v="Coolwell TCB"/>
    <s v="ROM"/>
    <x v="2"/>
    <s v="ICM"/>
    <s v="Central Procurement Group"/>
    <s v="Electrical Parts"/>
    <s v="Electrical Components"/>
    <s v="Electrical Components"/>
    <n v="0.5"/>
    <n v="2"/>
    <s v="No"/>
    <m/>
    <m/>
    <m/>
    <m/>
    <n v="0"/>
    <s v="Yes"/>
    <m/>
    <m/>
    <m/>
    <m/>
    <m/>
    <m/>
    <m/>
    <s v="Commercialized"/>
    <m/>
    <s v="Adrian"/>
  </r>
  <r>
    <n v="461"/>
    <x v="22"/>
    <m/>
    <x v="0"/>
    <x v="2"/>
    <s v="CO"/>
    <s v="25-00598"/>
    <s v="Missing"/>
    <s v="Qingda TCB"/>
    <s v="ROM"/>
    <x v="2"/>
    <s v="ICM"/>
    <s v="Central Procurement Group"/>
    <s v="Electrical Parts"/>
    <s v="Electrical Components"/>
    <s v="Electrical Components"/>
    <n v="0.5"/>
    <n v="2"/>
    <s v="No"/>
    <m/>
    <m/>
    <m/>
    <m/>
    <n v="0"/>
    <s v="Yes"/>
    <m/>
    <m/>
    <m/>
    <m/>
    <m/>
    <m/>
    <m/>
    <s v="Commercialized"/>
    <m/>
    <s v="Adrian"/>
  </r>
  <r>
    <n v="462"/>
    <x v="22"/>
    <m/>
    <x v="0"/>
    <x v="2"/>
    <s v="CO"/>
    <s v="25-00599"/>
    <s v="Missing"/>
    <s v="Oxvardar Glass"/>
    <s v="ROM"/>
    <x v="2"/>
    <s v="ICM"/>
    <s v="Central Procurement Group"/>
    <s v="Door"/>
    <s v="Door Components &amp; Acc."/>
    <s v="Glass"/>
    <n v="0"/>
    <n v="2"/>
    <s v="No"/>
    <m/>
    <m/>
    <m/>
    <m/>
    <n v="0"/>
    <s v="Yes"/>
    <m/>
    <m/>
    <s v="12.04.25 Safety test PASS"/>
    <m/>
    <m/>
    <m/>
    <m/>
    <s v="Commercialized"/>
    <m/>
    <s v="Adrian"/>
  </r>
  <r>
    <n v="463"/>
    <x v="24"/>
    <m/>
    <x v="0"/>
    <x v="2"/>
    <s v="NO"/>
    <s v="25-00627"/>
    <m/>
    <s v="_x0009_ICOOL2 Eco range with Door Neon LED"/>
    <s v="ROM"/>
    <x v="2"/>
    <s v="ICM"/>
    <s v="Marketing/Sales"/>
    <s v="Door"/>
    <s v="Door Components &amp; Acc."/>
    <s v="Assembled Door"/>
    <m/>
    <m/>
    <s v="No"/>
    <m/>
    <m/>
    <m/>
    <m/>
    <m/>
    <s v="Yes"/>
    <m/>
    <m/>
    <m/>
    <m/>
    <m/>
    <m/>
    <m/>
    <s v="Commercialized"/>
    <m/>
    <s v="Adrian"/>
  </r>
  <r>
    <n v="464"/>
    <x v="31"/>
    <m/>
    <x v="0"/>
    <x v="2"/>
    <s v="CO"/>
    <s v="24-00535"/>
    <s v="25SRC054/56"/>
    <s v="LUK LEDs LRB B/S/G Series"/>
    <s v="ROM"/>
    <x v="2"/>
    <s v="ICM"/>
    <s v="Central Procurement Group"/>
    <s v="Illumination"/>
    <s v="Electrical Components"/>
    <s v="LED"/>
    <n v="1.5"/>
    <n v="2"/>
    <s v="No"/>
    <m/>
    <m/>
    <m/>
    <m/>
    <n v="0"/>
    <s v="Yes"/>
    <m/>
    <m/>
    <m/>
    <m/>
    <m/>
    <m/>
    <m/>
    <s v="Commercialized"/>
    <m/>
    <s v="Adrian"/>
  </r>
  <r>
    <n v="465"/>
    <x v="31"/>
    <m/>
    <x v="0"/>
    <x v="2"/>
    <s v="CO"/>
    <s v="24-00534"/>
    <s v="25SRC021/27"/>
    <s v="Conrun LEDs LRB B/S/G series"/>
    <s v="ROM"/>
    <x v="2"/>
    <s v="ICM"/>
    <s v="Central Procurement Group"/>
    <s v="Illumination"/>
    <s v="Electrical Components"/>
    <s v="LED"/>
    <n v="1.5"/>
    <n v="2"/>
    <s v="No"/>
    <m/>
    <m/>
    <m/>
    <m/>
    <n v="0"/>
    <s v="Yes"/>
    <m/>
    <m/>
    <m/>
    <m/>
    <m/>
    <m/>
    <m/>
    <s v="Commercialized"/>
    <m/>
    <s v="Adrian"/>
  </r>
  <r>
    <n v="466"/>
    <x v="37"/>
    <m/>
    <x v="0"/>
    <x v="0"/>
    <s v="NO"/>
    <s v="TBA"/>
    <s v="N/A"/>
    <s v="MAX-1200 B _META Certification VFTB72 Compressor "/>
    <s v="ROM"/>
    <x v="2"/>
    <s v="ICM"/>
    <m/>
    <m/>
    <m/>
    <m/>
    <n v="0"/>
    <m/>
    <s v="Yes"/>
    <m/>
    <m/>
    <m/>
    <m/>
    <n v="11"/>
    <m/>
    <m/>
    <m/>
    <m/>
    <m/>
    <m/>
    <m/>
    <m/>
    <s v="Commercialized"/>
    <m/>
    <s v="Elena Micu"/>
  </r>
  <r>
    <n v="467"/>
    <x v="1"/>
    <m/>
    <x v="0"/>
    <x v="0"/>
    <s v="CO"/>
    <s v="24-00530"/>
    <s v="Missing"/>
    <s v="Weiguang 5W EC Block Motor ECM12038"/>
    <s v="ROM"/>
    <x v="2"/>
    <s v="ICM"/>
    <s v="Central Procurement Group"/>
    <s v="Cooling Mechanism"/>
    <s v="Electrical Components"/>
    <s v="Block Motors"/>
    <n v="1.5"/>
    <n v="4"/>
    <s v="Yes"/>
    <m/>
    <m/>
    <m/>
    <m/>
    <n v="0"/>
    <s v="Yes"/>
    <m/>
    <m/>
    <m/>
    <m/>
    <m/>
    <m/>
    <m/>
    <s v="Cancelled"/>
    <m/>
    <s v="Stef"/>
  </r>
  <r>
    <n v="468"/>
    <x v="1"/>
    <m/>
    <x v="0"/>
    <x v="0"/>
    <s v="CO"/>
    <s v="24-00529"/>
    <s v="Missing"/>
    <s v="XRL 5W EC Block Motor RJM1238S2"/>
    <s v="ROM"/>
    <x v="2"/>
    <s v="ICM"/>
    <s v="Central Procurement Group"/>
    <s v="Cooling Mechanism"/>
    <s v="Electrical Components"/>
    <s v="Block Motors"/>
    <n v="1.5"/>
    <n v="4"/>
    <s v="Yes"/>
    <m/>
    <m/>
    <m/>
    <m/>
    <n v="0"/>
    <s v="Yes"/>
    <m/>
    <m/>
    <m/>
    <m/>
    <m/>
    <m/>
    <m/>
    <s v="Cancelled"/>
    <m/>
    <s v="Stef"/>
  </r>
  <r>
    <n v="469"/>
    <x v="1"/>
    <m/>
    <x v="0"/>
    <x v="0"/>
    <s v="CO"/>
    <s v="24-00528"/>
    <s v="Missing"/>
    <s v="Hicool 5W EC Block Motor 12P230HSEC"/>
    <s v="ROM"/>
    <x v="2"/>
    <s v="ICM"/>
    <s v="Central Procurement Group"/>
    <s v="Cooling Mechanism"/>
    <s v="Electrical Components"/>
    <s v="Block Motors"/>
    <n v="1.5"/>
    <n v="4"/>
    <s v="Yes"/>
    <m/>
    <m/>
    <m/>
    <m/>
    <n v="0"/>
    <s v="Yes"/>
    <m/>
    <m/>
    <m/>
    <m/>
    <m/>
    <m/>
    <m/>
    <s v="Commercialized"/>
    <s v="Orders placed 86k."/>
    <s v="Adrian"/>
  </r>
  <r>
    <n v="470"/>
    <x v="1"/>
    <m/>
    <x v="0"/>
    <x v="0"/>
    <s v="CO"/>
    <s v="24-00527"/>
    <s v="24SRC005-1"/>
    <s v="Rexnord 5W EC Block Motor"/>
    <s v="ROM"/>
    <x v="2"/>
    <s v="ICM"/>
    <s v="Central Procurement Group"/>
    <s v="Cooling Mechanism"/>
    <s v="Electrical Components"/>
    <s v="Block Motors"/>
    <n v="1.5"/>
    <n v="4"/>
    <s v="Yes"/>
    <m/>
    <m/>
    <m/>
    <m/>
    <n v="0"/>
    <s v="Yes"/>
    <m/>
    <m/>
    <m/>
    <m/>
    <m/>
    <m/>
    <m/>
    <s v="Cancelled"/>
    <m/>
    <s v="Stef"/>
  </r>
  <r>
    <n v="471"/>
    <x v="37"/>
    <m/>
    <x v="0"/>
    <x v="0"/>
    <s v="NO"/>
    <s v="TBA"/>
    <s v="N/A"/>
    <s v="MAX-750 B _ META Certification VFTB72 Compressor "/>
    <s v="ROM"/>
    <x v="2"/>
    <s v="ICM"/>
    <m/>
    <m/>
    <m/>
    <m/>
    <n v="0"/>
    <m/>
    <s v="Yes"/>
    <m/>
    <m/>
    <m/>
    <m/>
    <n v="11"/>
    <m/>
    <m/>
    <m/>
    <m/>
    <m/>
    <m/>
    <m/>
    <m/>
    <s v="Commercialized"/>
    <m/>
    <s v="Elena Micu"/>
  </r>
  <r>
    <n v="472"/>
    <x v="35"/>
    <m/>
    <x v="0"/>
    <x v="0"/>
    <s v="CER"/>
    <s v="TBA"/>
    <m/>
    <s v="IC2-40 CC Certification"/>
    <s v="ROM"/>
    <x v="2"/>
    <s v="ICM"/>
    <s v="PD"/>
    <m/>
    <m/>
    <m/>
    <n v="0"/>
    <m/>
    <s v="Yes"/>
    <m/>
    <m/>
    <m/>
    <m/>
    <n v="4"/>
    <m/>
    <m/>
    <m/>
    <m/>
    <m/>
    <m/>
    <m/>
    <m/>
    <s v="On Hold"/>
    <s v="Marketing request"/>
    <s v="Elena Micu"/>
  </r>
  <r>
    <n v="473"/>
    <x v="0"/>
    <m/>
    <x v="0"/>
    <x v="2"/>
    <s v="IMP"/>
    <s v="TBA"/>
    <s v="N/A"/>
    <s v="SM-Updates Romania"/>
    <s v="ROM"/>
    <x v="2"/>
    <s v="ICM"/>
    <s v="PD"/>
    <m/>
    <m/>
    <m/>
    <n v="3"/>
    <n v="0"/>
    <s v="No"/>
    <m/>
    <m/>
    <m/>
    <m/>
    <m/>
    <m/>
    <m/>
    <m/>
    <m/>
    <m/>
    <m/>
    <m/>
    <m/>
    <s v="Commercialized"/>
    <s v="New SM releases planned 25th of March"/>
    <m/>
  </r>
  <r>
    <n v="474"/>
    <x v="22"/>
    <m/>
    <x v="0"/>
    <x v="2"/>
    <s v="NM"/>
    <s v="25-00600"/>
    <s v="N/A"/>
    <s v="ICOOL2ECO-900 HD [R290] B with Monster Aesthetics"/>
    <s v="ROM"/>
    <x v="2"/>
    <s v="ICM"/>
    <s v="Marketing/Sales"/>
    <s v="Door"/>
    <s v="Door Components &amp; Acc."/>
    <s v="Assembled Door"/>
    <n v="0.5"/>
    <n v="2"/>
    <s v="No"/>
    <m/>
    <m/>
    <m/>
    <m/>
    <n v="0"/>
    <s v="Yes"/>
    <m/>
    <m/>
    <m/>
    <m/>
    <m/>
    <m/>
    <m/>
    <s v="Commercialized"/>
    <m/>
    <s v="Adrian"/>
  </r>
  <r>
    <n v="475"/>
    <x v="2"/>
    <m/>
    <x v="0"/>
    <x v="0"/>
    <s v="CO"/>
    <s v="25-00590"/>
    <s v="25SRC027"/>
    <s v="Keepthink controller"/>
    <s v="ROM"/>
    <x v="2"/>
    <s v="ICM"/>
    <s v="Central Procurement Group"/>
    <s v="Electrical Parts"/>
    <s v="Electrical Components"/>
    <s v="Electronic Controllers &amp; Acces"/>
    <n v="2.5"/>
    <n v="4"/>
    <s v="Yes"/>
    <m/>
    <m/>
    <m/>
    <m/>
    <n v="1"/>
    <s v="Yes"/>
    <m/>
    <m/>
    <m/>
    <m/>
    <m/>
    <m/>
    <m/>
    <s v="Cancelled"/>
    <m/>
    <s v="Stef"/>
  </r>
  <r>
    <n v="476"/>
    <x v="29"/>
    <m/>
    <x v="0"/>
    <x v="0"/>
    <s v="CO"/>
    <s v="24-00553"/>
    <s v="25SRC009"/>
    <s v="Alternative compressor to Huayi NUY90RAb - Wanbao Icool 2 1000 C _FTK95ML"/>
    <s v="ROM"/>
    <x v="2"/>
    <s v="ICM"/>
    <s v="Central Procurement Group"/>
    <s v="Cooling Mechanism"/>
    <s v="Cooling Components"/>
    <s v="Compressors"/>
    <n v="2"/>
    <n v="4"/>
    <s v="Yes"/>
    <m/>
    <m/>
    <m/>
    <m/>
    <n v="0"/>
    <s v="Yes"/>
    <m/>
    <m/>
    <m/>
    <m/>
    <m/>
    <m/>
    <m/>
    <s v="Commercialized"/>
    <m/>
    <s v="Alin"/>
  </r>
  <r>
    <n v="477"/>
    <x v="29"/>
    <m/>
    <x v="0"/>
    <x v="0"/>
    <s v="CO"/>
    <s v="24-00553"/>
    <s v="25SRC009_0"/>
    <s v="META Certification Max 1000 C "/>
    <s v="ROM"/>
    <x v="2"/>
    <s v="ICM"/>
    <s v="Central Supply Chain"/>
    <s v="Cooling Mechanism"/>
    <s v="Cooling Components"/>
    <m/>
    <n v="0"/>
    <m/>
    <s v="Yes"/>
    <m/>
    <m/>
    <m/>
    <m/>
    <n v="6"/>
    <m/>
    <m/>
    <m/>
    <m/>
    <m/>
    <m/>
    <m/>
    <m/>
    <s v="Cancelled"/>
    <m/>
    <s v="Elena Micu"/>
  </r>
  <r>
    <n v="478"/>
    <x v="29"/>
    <m/>
    <x v="0"/>
    <x v="0"/>
    <s v="CO"/>
    <s v="24-00553"/>
    <s v="25SRC009_1"/>
    <s v="META Certification Max- 900C "/>
    <s v="ROM"/>
    <x v="2"/>
    <s v="ICM"/>
    <s v="Central Supply Chain"/>
    <s v="Cooling Mechanism"/>
    <s v="Cooling Components"/>
    <m/>
    <n v="0"/>
    <m/>
    <s v="Yes"/>
    <m/>
    <m/>
    <m/>
    <m/>
    <n v="6"/>
    <m/>
    <m/>
    <m/>
    <m/>
    <m/>
    <m/>
    <m/>
    <m/>
    <s v="Cancelled"/>
    <m/>
    <s v="Elena Micu"/>
  </r>
  <r>
    <n v="479"/>
    <x v="29"/>
    <m/>
    <x v="0"/>
    <x v="0"/>
    <s v="CO"/>
    <s v="24-00551"/>
    <s v="25SRC012"/>
    <s v="Alternative compressor to Wanbao FTA45L - GMCC PA50EME  "/>
    <s v="ROM"/>
    <x v="2"/>
    <s v="ICM"/>
    <s v="Central Procurement Group"/>
    <s v="Cooling Mechanism"/>
    <s v="Cooling Components"/>
    <s v="Compressors"/>
    <n v="2"/>
    <n v="4"/>
    <s v="Yes"/>
    <m/>
    <m/>
    <m/>
    <m/>
    <n v="0"/>
    <s v="Yes"/>
    <m/>
    <m/>
    <m/>
    <m/>
    <m/>
    <m/>
    <m/>
    <s v="Cancelled"/>
    <m/>
    <s v="Elena Micu"/>
  </r>
  <r>
    <n v="480"/>
    <x v="38"/>
    <m/>
    <x v="1"/>
    <x v="3"/>
    <s v="NM"/>
    <m/>
    <s v="N/A"/>
    <s v="NGC 450 Project B rating"/>
    <s v="ROM"/>
    <x v="3"/>
    <s v="ICM"/>
    <s v="Marketing/Sales"/>
    <m/>
    <s v="N/A"/>
    <s v="N/A"/>
    <n v="30"/>
    <m/>
    <s v="Yes"/>
    <n v="20"/>
    <m/>
    <n v="4"/>
    <m/>
    <n v="8"/>
    <m/>
    <m/>
    <m/>
    <m/>
    <m/>
    <m/>
    <m/>
    <m/>
    <s v="Development"/>
    <m/>
    <s v="Vaggelis"/>
  </r>
  <r>
    <n v="481"/>
    <x v="6"/>
    <m/>
    <x v="1"/>
    <x v="0"/>
    <s v="NM"/>
    <s v="TBA"/>
    <s v="N/A"/>
    <s v="MAX-1200 A Huayi Alternative Compressor"/>
    <s v="ROM"/>
    <x v="3"/>
    <s v="ICM"/>
    <s v="Marketing/Sales"/>
    <m/>
    <s v="N/A"/>
    <s v="N/A"/>
    <n v="5"/>
    <m/>
    <s v="Yes"/>
    <n v="55"/>
    <m/>
    <m/>
    <m/>
    <n v="7"/>
    <m/>
    <m/>
    <m/>
    <m/>
    <m/>
    <m/>
    <m/>
    <m/>
    <s v="Development"/>
    <m/>
    <s v="Theoni"/>
  </r>
  <r>
    <n v="482"/>
    <x v="6"/>
    <m/>
    <x v="1"/>
    <x v="0"/>
    <s v="NM"/>
    <s v="TBA"/>
    <s v="N/A"/>
    <s v="MAX-750 A Huayi Alternative Compressor"/>
    <s v="ROM"/>
    <x v="3"/>
    <s v="ICM"/>
    <s v="Marketing/Sales"/>
    <m/>
    <s v="N/A"/>
    <s v="N/A"/>
    <n v="5"/>
    <m/>
    <s v="Yes"/>
    <n v="60"/>
    <m/>
    <m/>
    <m/>
    <n v="2"/>
    <m/>
    <m/>
    <m/>
    <m/>
    <m/>
    <m/>
    <m/>
    <m/>
    <s v="Development"/>
    <m/>
    <s v="Theoni"/>
  </r>
  <r>
    <n v="483"/>
    <x v="39"/>
    <m/>
    <x v="0"/>
    <x v="3"/>
    <s v="NM"/>
    <m/>
    <s v="N/A"/>
    <s v="MAX-750 [R290] A"/>
    <s v="ROM"/>
    <x v="3"/>
    <s v="ICM"/>
    <s v="Marketing/Sales"/>
    <m/>
    <s v="N/A"/>
    <s v="N/A"/>
    <n v="4"/>
    <m/>
    <s v="Yes"/>
    <m/>
    <m/>
    <n v="5"/>
    <m/>
    <n v="5"/>
    <m/>
    <m/>
    <m/>
    <m/>
    <m/>
    <m/>
    <m/>
    <m/>
    <s v="Commercialized"/>
    <m/>
    <s v="Theoni"/>
  </r>
  <r>
    <n v="484"/>
    <x v="1"/>
    <m/>
    <x v="0"/>
    <x v="1"/>
    <s v="NM"/>
    <m/>
    <s v="N/A"/>
    <s v="MAX-750 [R290] B"/>
    <s v="ROM"/>
    <x v="3"/>
    <s v="ICM"/>
    <s v="Marketing/Sales"/>
    <s v="Complete Cooler"/>
    <s v="N/A"/>
    <s v="N/A"/>
    <n v="1"/>
    <m/>
    <m/>
    <m/>
    <m/>
    <n v="8"/>
    <m/>
    <n v="0"/>
    <m/>
    <m/>
    <m/>
    <m/>
    <m/>
    <m/>
    <m/>
    <m/>
    <s v="Commercialized"/>
    <m/>
    <s v="Theoni"/>
  </r>
  <r>
    <n v="485"/>
    <x v="6"/>
    <m/>
    <x v="1"/>
    <x v="1"/>
    <s v="NM"/>
    <s v="TBA"/>
    <s v="N/A"/>
    <s v="NGC 450 A rating Project"/>
    <s v="ROM"/>
    <x v="3"/>
    <s v="ICM"/>
    <s v="Marketing/Sales"/>
    <s v="Complete Cooler"/>
    <s v="N/A"/>
    <s v="N/A"/>
    <n v="20"/>
    <m/>
    <s v="Yes"/>
    <n v="70"/>
    <m/>
    <m/>
    <m/>
    <n v="1"/>
    <m/>
    <m/>
    <m/>
    <m/>
    <m/>
    <m/>
    <m/>
    <m/>
    <s v="In Que"/>
    <m/>
    <s v="Theoni"/>
  </r>
  <r>
    <n v="486"/>
    <x v="34"/>
    <m/>
    <x v="0"/>
    <x v="4"/>
    <s v="NM"/>
    <m/>
    <s v="N/A"/>
    <s v="Corner Fridge"/>
    <s v="OEM-Seitek"/>
    <x v="4"/>
    <s v="HA"/>
    <s v="Marketing/Sales"/>
    <s v="Complete Cooler"/>
    <s v="N/A"/>
    <s v="N/A"/>
    <n v="3"/>
    <m/>
    <m/>
    <m/>
    <m/>
    <m/>
    <m/>
    <n v="0"/>
    <m/>
    <m/>
    <m/>
    <m/>
    <m/>
    <m/>
    <m/>
    <n v="1"/>
    <s v="Commercialized"/>
    <m/>
    <s v="Theoni"/>
  </r>
  <r>
    <n v="487"/>
    <x v="29"/>
    <m/>
    <x v="0"/>
    <x v="5"/>
    <s v="NM"/>
    <m/>
    <s v="N/A"/>
    <s v="MONSTER 2.0 40"/>
    <s v="OEM-HCK"/>
    <x v="5"/>
    <s v="ICM"/>
    <s v="Marketing/Sales"/>
    <s v="Complete Cooler"/>
    <s v="N/A"/>
    <s v="N/A"/>
    <n v="0"/>
    <m/>
    <m/>
    <m/>
    <m/>
    <m/>
    <m/>
    <n v="0"/>
    <m/>
    <m/>
    <m/>
    <m/>
    <m/>
    <m/>
    <m/>
    <m/>
    <s v="Commercialized"/>
    <m/>
    <s v="Theoni"/>
  </r>
  <r>
    <n v="488"/>
    <x v="8"/>
    <m/>
    <x v="0"/>
    <x v="5"/>
    <s v="NM"/>
    <m/>
    <s v="N/A"/>
    <s v="MONSTER 2.0 130"/>
    <s v="OEM-Seitek"/>
    <x v="4"/>
    <s v="ICM"/>
    <s v="Marketing/Sales"/>
    <s v="Complete Cooler"/>
    <s v="N/A"/>
    <s v="N/A"/>
    <n v="0"/>
    <m/>
    <m/>
    <m/>
    <m/>
    <m/>
    <m/>
    <n v="0"/>
    <m/>
    <m/>
    <m/>
    <m/>
    <m/>
    <m/>
    <m/>
    <m/>
    <s v="Commercialized"/>
    <m/>
    <s v="Theoni"/>
  </r>
  <r>
    <n v="489"/>
    <x v="8"/>
    <m/>
    <x v="0"/>
    <x v="5"/>
    <s v="NM"/>
    <m/>
    <s v="N/A"/>
    <s v="MONSTER EREX3.0"/>
    <s v="OEM-Seitek"/>
    <x v="4"/>
    <s v="ICM"/>
    <s v="Marketing/Sales"/>
    <s v="Complete Cooler"/>
    <s v="N/A"/>
    <s v="N/A"/>
    <n v="1"/>
    <m/>
    <s v="Yes"/>
    <m/>
    <m/>
    <m/>
    <m/>
    <n v="2"/>
    <m/>
    <m/>
    <m/>
    <m/>
    <m/>
    <m/>
    <m/>
    <m/>
    <s v="Commercialized"/>
    <m/>
    <s v="Theoni"/>
  </r>
  <r>
    <n v="490"/>
    <x v="29"/>
    <m/>
    <x v="0"/>
    <x v="5"/>
    <s v="NM"/>
    <m/>
    <s v="N/A"/>
    <s v="MONSTER 2.0 290"/>
    <s v="OEM-HCK"/>
    <x v="5"/>
    <s v="ICM"/>
    <s v="Marketing/Sales"/>
    <s v="Complete Cooler"/>
    <s v="N/A"/>
    <s v="N/A"/>
    <n v="0"/>
    <m/>
    <m/>
    <m/>
    <m/>
    <m/>
    <m/>
    <n v="0"/>
    <m/>
    <m/>
    <m/>
    <m/>
    <m/>
    <m/>
    <m/>
    <m/>
    <s v="Commercialized"/>
    <m/>
    <s v="Theoni"/>
  </r>
  <r>
    <n v="491"/>
    <x v="8"/>
    <m/>
    <x v="0"/>
    <x v="5"/>
    <s v="NM"/>
    <m/>
    <s v="N/A"/>
    <s v="CU-350 re-design"/>
    <s v="OEM-Seitek"/>
    <x v="4"/>
    <s v="ICM"/>
    <s v="Quality"/>
    <s v="Cooling Mechanism"/>
    <s v="N/A"/>
    <s v="N/A"/>
    <n v="1"/>
    <m/>
    <m/>
    <m/>
    <m/>
    <m/>
    <m/>
    <n v="0"/>
    <m/>
    <m/>
    <m/>
    <m/>
    <m/>
    <m/>
    <m/>
    <m/>
    <s v="Commercialized"/>
    <m/>
    <s v="Theoni"/>
  </r>
  <r>
    <n v="492"/>
    <x v="31"/>
    <m/>
    <x v="0"/>
    <x v="5"/>
    <s v="NO"/>
    <m/>
    <s v="N/A"/>
    <s v="IC2-150 WITH GMC CONNECTIVITY DEVICE_x000a_"/>
    <s v="OEM-Seitek"/>
    <x v="4"/>
    <s v="ICM"/>
    <s v="Marketing/Sales"/>
    <s v="Cabin Electronics"/>
    <s v="N/A"/>
    <s v="N/A"/>
    <n v="1"/>
    <m/>
    <m/>
    <m/>
    <m/>
    <m/>
    <m/>
    <n v="0"/>
    <m/>
    <m/>
    <m/>
    <m/>
    <m/>
    <m/>
    <m/>
    <m/>
    <s v="Commercialized"/>
    <m/>
    <s v="Theoni"/>
  </r>
  <r>
    <n v="493"/>
    <x v="31"/>
    <m/>
    <x v="0"/>
    <x v="5"/>
    <s v="NO"/>
    <m/>
    <s v="N/A"/>
    <s v="FLEX-130 GMC CONNECTIVITY DEVICE_x000a_"/>
    <s v="OEM-Seitek"/>
    <x v="4"/>
    <s v="ICM"/>
    <s v="Marketing/Sales"/>
    <s v="Cabin Electronics"/>
    <s v="N/A"/>
    <s v="N/A"/>
    <n v="1"/>
    <m/>
    <m/>
    <m/>
    <m/>
    <m/>
    <m/>
    <n v="0"/>
    <m/>
    <m/>
    <m/>
    <m/>
    <m/>
    <m/>
    <m/>
    <m/>
    <s v="Commercialized"/>
    <m/>
    <s v="Theoni"/>
  </r>
  <r>
    <n v="494"/>
    <x v="31"/>
    <m/>
    <x v="0"/>
    <x v="5"/>
    <s v="NO"/>
    <m/>
    <s v="N/A"/>
    <s v="EREX3.0 WITH GMC CONNECTIVITY DEVICE_x000a_"/>
    <s v="OEM-Seitek"/>
    <x v="4"/>
    <s v="ICM"/>
    <s v="Marketing/Sales"/>
    <s v="Cabin Electronics"/>
    <s v="N/A"/>
    <s v="N/A"/>
    <n v="1"/>
    <m/>
    <m/>
    <m/>
    <m/>
    <m/>
    <m/>
    <n v="0"/>
    <m/>
    <m/>
    <m/>
    <m/>
    <m/>
    <m/>
    <m/>
    <m/>
    <s v="Commercialized"/>
    <m/>
    <s v="Theoni"/>
  </r>
  <r>
    <n v="495"/>
    <x v="31"/>
    <m/>
    <x v="0"/>
    <x v="5"/>
    <s v="NO"/>
    <m/>
    <s v="N/A"/>
    <s v="IC2-40 WITH GMC CONNECTIVITY DEVICE_x000a_"/>
    <s v="OEM-HCK"/>
    <x v="5"/>
    <s v="ICM"/>
    <s v="Marketing/Sales"/>
    <s v="Cabin Electronics"/>
    <s v="N/A"/>
    <s v="N/A"/>
    <n v="1"/>
    <m/>
    <m/>
    <m/>
    <m/>
    <m/>
    <m/>
    <n v="0"/>
    <m/>
    <m/>
    <m/>
    <m/>
    <m/>
    <m/>
    <m/>
    <m/>
    <s v="Commercialized"/>
    <m/>
    <s v="Theoni"/>
  </r>
  <r>
    <n v="496"/>
    <x v="2"/>
    <m/>
    <x v="0"/>
    <x v="5"/>
    <s v="NM"/>
    <m/>
    <s v="N/A"/>
    <s v="Premium Slim 200 (BR208 for Kazakhstan) "/>
    <s v="OEM-Seitek"/>
    <x v="4"/>
    <s v="ICM"/>
    <s v="Marketing/Sales"/>
    <s v="Complete Cooler"/>
    <s v="N/A"/>
    <s v="N/A"/>
    <n v="2"/>
    <m/>
    <s v="Yes"/>
    <m/>
    <m/>
    <m/>
    <m/>
    <n v="3"/>
    <m/>
    <m/>
    <m/>
    <m/>
    <m/>
    <m/>
    <m/>
    <m/>
    <s v="Commercialized"/>
    <m/>
    <s v="Theoni"/>
  </r>
  <r>
    <n v="497"/>
    <x v="33"/>
    <m/>
    <x v="0"/>
    <x v="5"/>
    <s v="NO"/>
    <m/>
    <s v="N/A"/>
    <s v="ERE3.0 voltage stabilizer  and SONCAP"/>
    <s v="OEM-Seitek"/>
    <x v="4"/>
    <s v="ICM"/>
    <s v="Marketing/Sales"/>
    <s v="Cooling Mechanism"/>
    <s v="N/A"/>
    <s v="N/A"/>
    <n v="1"/>
    <m/>
    <m/>
    <m/>
    <m/>
    <m/>
    <m/>
    <n v="0"/>
    <m/>
    <m/>
    <m/>
    <m/>
    <m/>
    <m/>
    <m/>
    <m/>
    <s v="Commercialized"/>
    <m/>
    <s v="Theoni"/>
  </r>
  <r>
    <n v="498"/>
    <x v="2"/>
    <m/>
    <x v="0"/>
    <x v="5"/>
    <s v="NM"/>
    <m/>
    <s v="N/A"/>
    <s v="SD 605 Kazakhstan"/>
    <s v="OEM-HCK"/>
    <x v="5"/>
    <s v="ICM"/>
    <s v="Marketing/Sales"/>
    <s v="Complete Cooler"/>
    <s v="N/A"/>
    <s v="N/A"/>
    <n v="0"/>
    <m/>
    <m/>
    <m/>
    <m/>
    <m/>
    <m/>
    <n v="0"/>
    <m/>
    <m/>
    <m/>
    <m/>
    <m/>
    <m/>
    <m/>
    <m/>
    <s v="Cancelled"/>
    <m/>
    <s v="Theoni"/>
  </r>
  <r>
    <n v="499"/>
    <x v="6"/>
    <m/>
    <x v="0"/>
    <x v="5"/>
    <s v="NO"/>
    <s v="TBA"/>
    <s v="N/A"/>
    <s v="FLEX-400 @ K2 (HEINEKEN PROTOCOL)"/>
    <s v="OEM-HCK"/>
    <x v="5"/>
    <s v="ICM"/>
    <s v="Marketing/Sales"/>
    <s v="Cooling Mechanism"/>
    <s v="N/A"/>
    <s v="N/A"/>
    <n v="2"/>
    <m/>
    <m/>
    <m/>
    <m/>
    <m/>
    <m/>
    <n v="0"/>
    <m/>
    <m/>
    <m/>
    <m/>
    <m/>
    <m/>
    <m/>
    <m/>
    <s v="On Hold"/>
    <m/>
    <s v="Theoni"/>
  </r>
  <r>
    <n v="500"/>
    <x v="0"/>
    <m/>
    <x v="0"/>
    <x v="5"/>
    <s v="IMP"/>
    <m/>
    <s v="N/A"/>
    <s v="Flex 35 Tall EER Improvement (@K1, EEI&lt;20)"/>
    <s v="OEM-HCK"/>
    <x v="5"/>
    <s v="ICM"/>
    <s v="Marketing/Sales"/>
    <s v="Complete Cooler"/>
    <s v="N/A"/>
    <s v="N/A"/>
    <n v="2"/>
    <m/>
    <m/>
    <m/>
    <m/>
    <m/>
    <m/>
    <n v="0"/>
    <m/>
    <m/>
    <m/>
    <m/>
    <m/>
    <m/>
    <m/>
    <m/>
    <s v="Commercialized"/>
    <m/>
    <s v="Theoni"/>
  </r>
  <r>
    <n v="501"/>
    <x v="0"/>
    <m/>
    <x v="0"/>
    <x v="5"/>
    <s v="IMP"/>
    <m/>
    <s v="N/A"/>
    <s v="IC2-40 EER Improvement (@K4, EEI&lt;20)"/>
    <s v="OEM-HCK"/>
    <x v="5"/>
    <s v="ICM"/>
    <s v="Marketing/Sales"/>
    <s v="Complete Cooler"/>
    <s v="N/A"/>
    <s v="N/A"/>
    <n v="2"/>
    <m/>
    <s v="Yes"/>
    <m/>
    <m/>
    <m/>
    <m/>
    <n v="4"/>
    <m/>
    <m/>
    <m/>
    <m/>
    <m/>
    <m/>
    <m/>
    <m/>
    <s v="Commercialized"/>
    <m/>
    <s v="Theoni"/>
  </r>
  <r>
    <n v="502"/>
    <x v="0"/>
    <m/>
    <x v="1"/>
    <x v="5"/>
    <s v="IMP"/>
    <m/>
    <s v="N/A"/>
    <s v="IC2-40 CC Certification"/>
    <s v="OEM-HCK"/>
    <x v="5"/>
    <s v="ICM"/>
    <s v="Marketing/Sales"/>
    <s v="Complete Cooler"/>
    <s v="N/A"/>
    <s v="N/A"/>
    <n v="5"/>
    <m/>
    <s v="Yes"/>
    <m/>
    <m/>
    <m/>
    <m/>
    <n v="4"/>
    <m/>
    <m/>
    <m/>
    <m/>
    <m/>
    <m/>
    <m/>
    <m/>
    <s v="On Hold"/>
    <m/>
    <s v="Theoni"/>
  </r>
  <r>
    <n v="503"/>
    <x v="0"/>
    <m/>
    <x v="0"/>
    <x v="5"/>
    <s v="IMP"/>
    <s v="TBA"/>
    <s v="N/A"/>
    <s v="IC2-40 ECO WITH FDE32"/>
    <s v="OEM-HCK"/>
    <x v="5"/>
    <s v="ICM"/>
    <s v="Marketing/Sales"/>
    <s v="Complete Cooler"/>
    <s v="N/A"/>
    <s v="N/A"/>
    <n v="2"/>
    <m/>
    <m/>
    <m/>
    <m/>
    <m/>
    <m/>
    <n v="0"/>
    <s v="Yes"/>
    <m/>
    <m/>
    <m/>
    <m/>
    <m/>
    <m/>
    <m/>
    <s v="Industrialization"/>
    <m/>
    <s v="Theoni"/>
  </r>
  <r>
    <n v="504"/>
    <x v="0"/>
    <m/>
    <x v="0"/>
    <x v="5"/>
    <s v="NO"/>
    <m/>
    <s v="N/A"/>
    <s v="EREX3.0 META CERTIFICATION "/>
    <s v="OEM-Seitek"/>
    <x v="4"/>
    <s v="ICM"/>
    <s v="Marketing/Sales"/>
    <s v="Cooling Mechanism"/>
    <s v="N/A"/>
    <s v="N/A"/>
    <n v="0"/>
    <m/>
    <m/>
    <m/>
    <m/>
    <m/>
    <m/>
    <n v="0"/>
    <m/>
    <m/>
    <m/>
    <m/>
    <m/>
    <m/>
    <m/>
    <m/>
    <s v="Commercialized"/>
    <m/>
    <s v="Theoni"/>
  </r>
  <r>
    <n v="505"/>
    <x v="6"/>
    <m/>
    <x v="0"/>
    <x v="5"/>
    <s v="NO"/>
    <s v="TBA"/>
    <s v="N/A"/>
    <s v="EREX3.0 [R600a] C WIITH DANFOSS CONTROLLER AND PROSA "/>
    <s v="OEM-Seitek"/>
    <x v="4"/>
    <s v="ICM"/>
    <s v="Marketing/Sales"/>
    <s v="Cooling Mechanism"/>
    <s v="N/A"/>
    <s v="N/A"/>
    <n v="2"/>
    <m/>
    <s v="Yes"/>
    <m/>
    <m/>
    <m/>
    <m/>
    <n v="2"/>
    <m/>
    <m/>
    <m/>
    <m/>
    <m/>
    <m/>
    <m/>
    <m/>
    <s v="Cancelled"/>
    <m/>
    <s v="Theoni"/>
  </r>
  <r>
    <n v="506"/>
    <x v="6"/>
    <m/>
    <x v="0"/>
    <x v="4"/>
    <s v="NM"/>
    <s v="TBA"/>
    <s v="N/A"/>
    <s v="S8 for Kazakhstan"/>
    <s v="OEM-Seitek"/>
    <x v="4"/>
    <s v="ICM"/>
    <s v="Marketing/Sales"/>
    <s v="Complete Cooler"/>
    <s v="N/A"/>
    <s v="N/A"/>
    <n v="4"/>
    <m/>
    <s v="Yes"/>
    <m/>
    <m/>
    <m/>
    <m/>
    <n v="3"/>
    <m/>
    <m/>
    <m/>
    <m/>
    <m/>
    <m/>
    <m/>
    <m/>
    <s v="Commercialized"/>
    <m/>
    <s v="Theoni"/>
  </r>
  <r>
    <n v="507"/>
    <x v="6"/>
    <m/>
    <x v="0"/>
    <x v="5"/>
    <s v="NM"/>
    <s v="TBA"/>
    <s v="N/A"/>
    <s v="BAR-150 HEINEKEN"/>
    <s v="OEM-HCK"/>
    <x v="5"/>
    <s v="ICM"/>
    <s v="Marketing/Sales"/>
    <s v="Complete Cooler"/>
    <s v="N/A"/>
    <s v="N/A"/>
    <n v="1"/>
    <m/>
    <m/>
    <m/>
    <m/>
    <m/>
    <m/>
    <n v="0"/>
    <m/>
    <m/>
    <m/>
    <m/>
    <m/>
    <m/>
    <m/>
    <m/>
    <s v="Cancelled"/>
    <m/>
    <s v="Theoni"/>
  </r>
  <r>
    <n v="508"/>
    <x v="40"/>
    <m/>
    <x v="1"/>
    <x v="4"/>
    <s v="NM"/>
    <m/>
    <s v="N/A"/>
    <s v="Family Fridge"/>
    <s v="OEM-Seitek"/>
    <x v="4"/>
    <s v="HA"/>
    <s v="Marketing/Sales"/>
    <s v="Complete Cooler"/>
    <s v="N/A"/>
    <s v="N/A"/>
    <n v="40"/>
    <m/>
    <m/>
    <m/>
    <m/>
    <m/>
    <m/>
    <n v="0"/>
    <m/>
    <m/>
    <m/>
    <m/>
    <m/>
    <m/>
    <m/>
    <n v="3"/>
    <s v="On Hold"/>
    <m/>
    <s v="Theoni"/>
  </r>
  <r>
    <n v="509"/>
    <x v="6"/>
    <m/>
    <x v="1"/>
    <x v="5"/>
    <s v="NM"/>
    <s v="TBA"/>
    <s v="N/A"/>
    <s v="Drawer Freezer Climate ST"/>
    <s v="OEM-HCK"/>
    <x v="5"/>
    <s v="ICM"/>
    <s v="Marketing/Sales"/>
    <s v="Complete Cooler"/>
    <s v="N/A"/>
    <s v="N/A"/>
    <n v="5"/>
    <m/>
    <m/>
    <m/>
    <m/>
    <m/>
    <m/>
    <n v="0"/>
    <m/>
    <m/>
    <m/>
    <m/>
    <m/>
    <m/>
    <m/>
    <m/>
    <s v="Development"/>
    <m/>
    <s v="Theoni"/>
  </r>
  <r>
    <n v="510"/>
    <x v="6"/>
    <m/>
    <x v="1"/>
    <x v="5"/>
    <s v="NM"/>
    <s v="TBA"/>
    <s v="N/A"/>
    <s v="Drawer Fridge Climate ST"/>
    <s v="OEM-HCK"/>
    <x v="5"/>
    <s v="ICM"/>
    <s v="Marketing/Sales"/>
    <s v="Cooling Mechanism"/>
    <s v="N/A"/>
    <s v="N/A"/>
    <n v="5"/>
    <m/>
    <m/>
    <m/>
    <m/>
    <m/>
    <m/>
    <n v="0"/>
    <m/>
    <m/>
    <m/>
    <m/>
    <m/>
    <m/>
    <m/>
    <m/>
    <s v="Development"/>
    <m/>
    <s v="Theoni"/>
  </r>
  <r>
    <n v="511"/>
    <x v="0"/>
    <m/>
    <x v="0"/>
    <x v="5"/>
    <s v="NO"/>
    <s v="25-00580"/>
    <s v="N/A"/>
    <s v="Flex-290 HELL"/>
    <s v="OEM-HCK"/>
    <x v="5"/>
    <s v="ICM"/>
    <s v="Marketing/Sales"/>
    <s v="Door"/>
    <s v="N/A"/>
    <s v="N/A"/>
    <n v="2"/>
    <m/>
    <m/>
    <m/>
    <m/>
    <m/>
    <m/>
    <n v="0"/>
    <m/>
    <m/>
    <m/>
    <m/>
    <m/>
    <m/>
    <m/>
    <m/>
    <s v="Commercialized"/>
    <m/>
    <s v="Theoni"/>
  </r>
  <r>
    <n v="512"/>
    <x v="0"/>
    <m/>
    <x v="0"/>
    <x v="0"/>
    <s v="IMP"/>
    <m/>
    <s v="N/A"/>
    <s v="SM Updates-6 SM"/>
    <s v="Multiplant"/>
    <x v="3"/>
    <s v="ICM"/>
    <s v="Central Procurement Group"/>
    <s v="Complete Cooler"/>
    <s v="N/A"/>
    <s v="N/A"/>
    <n v="12"/>
    <m/>
    <m/>
    <m/>
    <m/>
    <m/>
    <m/>
    <n v="0"/>
    <m/>
    <m/>
    <m/>
    <m/>
    <m/>
    <m/>
    <m/>
    <m/>
    <s v="Development"/>
    <m/>
    <s v="Antonis"/>
  </r>
  <r>
    <n v="513"/>
    <x v="29"/>
    <m/>
    <x v="0"/>
    <x v="2"/>
    <s v="IMP"/>
    <m/>
    <s v="N/A"/>
    <s v="SM Revision Polyurethane"/>
    <s v="Multiplant"/>
    <x v="3"/>
    <s v="Other"/>
    <s v="Central Procurement Group"/>
    <s v="Complete Cooler"/>
    <s v="N/A"/>
    <s v="N/A"/>
    <n v="0"/>
    <m/>
    <m/>
    <m/>
    <m/>
    <m/>
    <m/>
    <n v="0"/>
    <m/>
    <m/>
    <m/>
    <m/>
    <m/>
    <m/>
    <m/>
    <m/>
    <s v="Commercialized"/>
    <m/>
    <s v="Antonis"/>
  </r>
  <r>
    <n v="514"/>
    <x v="29"/>
    <m/>
    <x v="0"/>
    <x v="2"/>
    <s v="IMP"/>
    <m/>
    <s v="N/A"/>
    <s v="SM Revision Harnesses/Cables"/>
    <s v="Multiplant"/>
    <x v="3"/>
    <s v="Other"/>
    <s v="Central Procurement Group"/>
    <s v="Complete Cooler"/>
    <s v="N/A"/>
    <s v="N/A"/>
    <n v="0"/>
    <m/>
    <m/>
    <m/>
    <m/>
    <m/>
    <m/>
    <n v="0"/>
    <m/>
    <m/>
    <m/>
    <m/>
    <m/>
    <m/>
    <m/>
    <m/>
    <s v="Commercialized"/>
    <m/>
    <s v="Antonis"/>
  </r>
  <r>
    <n v="515"/>
    <x v="29"/>
    <m/>
    <x v="1"/>
    <x v="2"/>
    <s v="IMP"/>
    <m/>
    <s v="N/A"/>
    <s v="SM Revision Outsourced doors"/>
    <s v="Multiplant"/>
    <x v="3"/>
    <s v="Other"/>
    <s v="Central Procurement Group"/>
    <s v="Complete Cooler"/>
    <s v="N/A"/>
    <s v="N/A"/>
    <n v="5"/>
    <m/>
    <m/>
    <m/>
    <m/>
    <m/>
    <m/>
    <n v="0"/>
    <m/>
    <m/>
    <m/>
    <m/>
    <m/>
    <m/>
    <m/>
    <m/>
    <s v="Development"/>
    <s v="Revision to include Lowe 3d logo and Engraved plexiglass doors"/>
    <s v="Theoni"/>
  </r>
  <r>
    <n v="516"/>
    <x v="29"/>
    <m/>
    <x v="0"/>
    <x v="0"/>
    <s v="CO"/>
    <s v="24-00553"/>
    <s v="25SRC009_H2"/>
    <s v="Huaiy NUM90RAa"/>
    <s v="ROM"/>
    <x v="2"/>
    <s v="ICM"/>
    <s v="Central Supply Chain"/>
    <s v="Cooling Mechanism"/>
    <s v="Cooling Components"/>
    <m/>
    <n v="0"/>
    <m/>
    <s v="Yes"/>
    <m/>
    <m/>
    <m/>
    <m/>
    <n v="8"/>
    <m/>
    <m/>
    <m/>
    <m/>
    <m/>
    <m/>
    <m/>
    <m/>
    <s v="Cancelled"/>
    <m/>
    <s v="Elena Micu"/>
  </r>
  <r>
    <n v="517"/>
    <x v="29"/>
    <m/>
    <x v="0"/>
    <x v="0"/>
    <s v="CO"/>
    <s v="24-00552"/>
    <s v="25SRC007"/>
    <s v="Alternative compressor to Huayi NUY80RAa - Wanbao FTK80X "/>
    <s v="ROM"/>
    <x v="2"/>
    <s v="ICM"/>
    <s v="Central Procurement Group"/>
    <s v="Cooling Mechanism"/>
    <s v="Cooling Components"/>
    <s v="Compressors"/>
    <n v="2"/>
    <n v="4"/>
    <s v="Yes"/>
    <m/>
    <m/>
    <m/>
    <m/>
    <n v="0"/>
    <s v="Yes"/>
    <m/>
    <m/>
    <m/>
    <m/>
    <m/>
    <m/>
    <m/>
    <s v="Commercialized"/>
    <m/>
    <s v="Alin"/>
  </r>
  <r>
    <n v="518"/>
    <x v="29"/>
    <m/>
    <x v="0"/>
    <x v="0"/>
    <s v="CO"/>
    <s v="24-00552"/>
    <s v="25SRC007_H1"/>
    <s v="Huaiy NFG80Ra"/>
    <s v="ROM"/>
    <x v="2"/>
    <s v="ICM"/>
    <s v="Central Supply Chain"/>
    <s v="Cooling Mechanism"/>
    <s v="Cooling Components"/>
    <m/>
    <n v="0"/>
    <m/>
    <s v="Yes"/>
    <m/>
    <m/>
    <m/>
    <m/>
    <n v="8"/>
    <m/>
    <m/>
    <m/>
    <m/>
    <m/>
    <m/>
    <m/>
    <m/>
    <s v="Cancelled"/>
    <m/>
    <s v="Elena Micu"/>
  </r>
  <r>
    <n v="519"/>
    <x v="2"/>
    <m/>
    <x v="1"/>
    <x v="0"/>
    <s v="CO"/>
    <s v="25-00605"/>
    <s v="25ROM004"/>
    <s v="Migration to small suction line 5/16 &gt; Ø6mm for 300/700/800/900/1000 coolers range "/>
    <s v="ROM"/>
    <x v="2"/>
    <s v="ICM"/>
    <s v="PD"/>
    <s v="Cooling Mechanism"/>
    <s v="Cooling Components"/>
    <s v="Copper Tubes"/>
    <n v="20"/>
    <n v="10"/>
    <s v="Yes"/>
    <m/>
    <m/>
    <m/>
    <m/>
    <m/>
    <s v="No"/>
    <m/>
    <m/>
    <m/>
    <m/>
    <m/>
    <m/>
    <m/>
    <s v="Industrialization"/>
    <m/>
    <s v="Alin"/>
  </r>
  <r>
    <n v="520"/>
    <x v="13"/>
    <m/>
    <x v="0"/>
    <x v="5"/>
    <s v="IMP"/>
    <m/>
    <s v="N/A"/>
    <s v="FLEX-290 EEI&lt;20 @ K1"/>
    <s v="OEM-HCK"/>
    <x v="5"/>
    <s v="ICM"/>
    <s v="Marketing/Sales"/>
    <s v="Complete Cooler"/>
    <s v="N/A"/>
    <m/>
    <m/>
    <m/>
    <m/>
    <m/>
    <m/>
    <m/>
    <m/>
    <m/>
    <m/>
    <m/>
    <m/>
    <m/>
    <m/>
    <m/>
    <m/>
    <m/>
    <s v="Development"/>
    <m/>
    <m/>
  </r>
  <r>
    <n v="521"/>
    <x v="10"/>
    <m/>
    <x v="0"/>
    <x v="5"/>
    <s v="NM"/>
    <m/>
    <s v="N/A"/>
    <s v="Slim CT"/>
    <s v="OEM-Seitek"/>
    <x v="4"/>
    <s v="ICM"/>
    <s v="Marketing/Sales"/>
    <s v="Complete Cooler"/>
    <s v="N/A"/>
    <m/>
    <m/>
    <m/>
    <m/>
    <m/>
    <m/>
    <m/>
    <m/>
    <m/>
    <m/>
    <m/>
    <m/>
    <m/>
    <m/>
    <m/>
    <m/>
    <m/>
    <s v="Commercialized"/>
    <m/>
    <m/>
  </r>
  <r>
    <n v="522"/>
    <x v="24"/>
    <m/>
    <x v="0"/>
    <x v="5"/>
    <s v="NM"/>
    <m/>
    <s v="N/A"/>
    <s v="Mini Cube CT"/>
    <s v="OEM-Seitek"/>
    <x v="4"/>
    <s v="ICM"/>
    <s v="Marketing/Sales"/>
    <s v="Complete Cooler"/>
    <s v="N/A"/>
    <m/>
    <m/>
    <m/>
    <m/>
    <m/>
    <m/>
    <m/>
    <m/>
    <m/>
    <m/>
    <m/>
    <m/>
    <m/>
    <m/>
    <m/>
    <m/>
    <m/>
    <s v="Commercialized"/>
    <m/>
    <m/>
  </r>
  <r>
    <n v="523"/>
    <x v="41"/>
    <m/>
    <x v="0"/>
    <x v="5"/>
    <s v="NO"/>
    <m/>
    <s v="N/A"/>
    <s v="ERE3.0 with FDE32"/>
    <s v="OEM-Seitek"/>
    <x v="4"/>
    <s v="ICM"/>
    <s v="Marketing/Sales"/>
    <s v="Electrical Parts"/>
    <s v="N/A"/>
    <m/>
    <m/>
    <m/>
    <m/>
    <m/>
    <m/>
    <m/>
    <m/>
    <m/>
    <m/>
    <m/>
    <m/>
    <m/>
    <m/>
    <m/>
    <m/>
    <m/>
    <s v="Commercialized"/>
    <m/>
    <m/>
  </r>
  <r>
    <n v="524"/>
    <x v="41"/>
    <m/>
    <x v="0"/>
    <x v="5"/>
    <s v="NO"/>
    <m/>
    <s v="N/A"/>
    <s v="IC2-150 with FDE32"/>
    <s v="OEM-Seitek"/>
    <x v="4"/>
    <s v="ICM"/>
    <s v="Marketing/Sales"/>
    <s v="Electrical Parts"/>
    <s v="N/A"/>
    <m/>
    <m/>
    <m/>
    <m/>
    <m/>
    <m/>
    <m/>
    <m/>
    <m/>
    <m/>
    <m/>
    <m/>
    <m/>
    <m/>
    <m/>
    <m/>
    <m/>
    <s v="Commercialized"/>
    <m/>
    <m/>
  </r>
  <r>
    <n v="525"/>
    <x v="42"/>
    <m/>
    <x v="0"/>
    <x v="5"/>
    <s v="NO"/>
    <m/>
    <s v="N/A"/>
    <s v="FLEX-130 with FDE32"/>
    <s v="OEM-Seitek"/>
    <x v="4"/>
    <s v="ICM"/>
    <s v="Marketing/Sales"/>
    <s v="Electrical Parts"/>
    <s v="N/A"/>
    <m/>
    <m/>
    <m/>
    <m/>
    <m/>
    <m/>
    <m/>
    <m/>
    <m/>
    <m/>
    <m/>
    <m/>
    <m/>
    <m/>
    <m/>
    <m/>
    <m/>
    <s v="Commercialized"/>
    <m/>
    <m/>
  </r>
  <r>
    <n v="526"/>
    <x v="43"/>
    <m/>
    <x v="1"/>
    <x v="4"/>
    <s v="NM"/>
    <m/>
    <s v="N/A"/>
    <s v="TwinReach for Monster"/>
    <s v="OEM-Seitek"/>
    <x v="4"/>
    <s v="ICM"/>
    <s v="Marketing/Sales"/>
    <s v="Complete Cooler"/>
    <s v="N/A"/>
    <m/>
    <n v="15"/>
    <m/>
    <m/>
    <m/>
    <m/>
    <m/>
    <m/>
    <m/>
    <m/>
    <m/>
    <m/>
    <m/>
    <m/>
    <m/>
    <m/>
    <m/>
    <s v="Development"/>
    <m/>
    <m/>
  </r>
  <r>
    <n v="527"/>
    <x v="44"/>
    <m/>
    <x v="1"/>
    <x v="4"/>
    <s v="NM"/>
    <m/>
    <s v="N/A"/>
    <s v="S16 (DD sliding) for Kazakhstan"/>
    <s v="OEM-NEW STAR"/>
    <x v="4"/>
    <s v="ICM"/>
    <s v="Marketing/Sales"/>
    <s v="Complete Cooler"/>
    <s v="N/A"/>
    <m/>
    <n v="15"/>
    <m/>
    <m/>
    <m/>
    <m/>
    <m/>
    <m/>
    <m/>
    <m/>
    <m/>
    <m/>
    <m/>
    <m/>
    <m/>
    <m/>
    <m/>
    <s v="Development"/>
    <m/>
    <m/>
  </r>
  <r>
    <n v="528"/>
    <x v="14"/>
    <m/>
    <x v="1"/>
    <x v="5"/>
    <s v="IMP"/>
    <m/>
    <s v="N/A"/>
    <s v="ERE3.0 B RATING"/>
    <s v="OEM-Seitek"/>
    <x v="4"/>
    <s v="ICM"/>
    <s v="Marketing/Sales"/>
    <s v="Door"/>
    <s v="N/A"/>
    <m/>
    <n v="5"/>
    <m/>
    <m/>
    <m/>
    <m/>
    <m/>
    <m/>
    <m/>
    <m/>
    <m/>
    <m/>
    <m/>
    <m/>
    <m/>
    <m/>
    <m/>
    <s v="Development"/>
    <m/>
    <m/>
  </r>
  <r>
    <n v="529"/>
    <x v="6"/>
    <m/>
    <x v="1"/>
    <x v="5"/>
    <s v="IMP"/>
    <s v="TBA"/>
    <s v="N/A"/>
    <s v="FLEX 60 and FLEX-60 SZ EEI Improvement"/>
    <s v="OEM-HCK"/>
    <x v="5"/>
    <s v="ICM"/>
    <s v="Marketing/Sales"/>
    <m/>
    <m/>
    <m/>
    <n v="5"/>
    <m/>
    <m/>
    <m/>
    <m/>
    <m/>
    <m/>
    <m/>
    <m/>
    <m/>
    <m/>
    <m/>
    <m/>
    <m/>
    <m/>
    <m/>
    <s v="In Que"/>
    <m/>
    <m/>
  </r>
  <r>
    <n v="530"/>
    <x v="6"/>
    <m/>
    <x v="1"/>
    <x v="5"/>
    <s v="IMP"/>
    <s v="TBA"/>
    <s v="N/A"/>
    <s v="BAR-150, BAR-250 HD &amp; SD EEI B (CC Certification)"/>
    <s v="OEM-HCK"/>
    <x v="5"/>
    <s v="ICM"/>
    <s v="Marketing/Sales"/>
    <m/>
    <m/>
    <m/>
    <n v="5"/>
    <m/>
    <m/>
    <m/>
    <m/>
    <m/>
    <m/>
    <m/>
    <m/>
    <m/>
    <m/>
    <m/>
    <m/>
    <m/>
    <m/>
    <m/>
    <s v="Development"/>
    <m/>
    <m/>
  </r>
  <r>
    <n v="531"/>
    <x v="6"/>
    <m/>
    <x v="1"/>
    <x v="5"/>
    <s v="IMP"/>
    <s v="TBA"/>
    <s v="N/A"/>
    <s v="DRAWER FRIDGE with Extended Panel"/>
    <s v="OEM-Seitek"/>
    <x v="5"/>
    <s v="ICM"/>
    <s v="Marketing/Sales"/>
    <m/>
    <m/>
    <m/>
    <n v="5"/>
    <m/>
    <m/>
    <m/>
    <m/>
    <m/>
    <m/>
    <m/>
    <m/>
    <m/>
    <m/>
    <m/>
    <m/>
    <m/>
    <m/>
    <m/>
    <s v="Development"/>
    <m/>
    <m/>
  </r>
  <r>
    <n v="532"/>
    <x v="45"/>
    <m/>
    <x v="1"/>
    <x v="5"/>
    <s v="IMP"/>
    <m/>
    <s v="N/A"/>
    <s v="FLEX-290 @ K2 for HEINEKEN - Feasibility to define cost &amp; CAPEX for EEI&lt;15 &amp; EEI&lt;20"/>
    <s v="OEM-HCK"/>
    <x v="5"/>
    <s v="ICM"/>
    <s v="Marketing/Sales"/>
    <m/>
    <m/>
    <m/>
    <n v="5"/>
    <m/>
    <m/>
    <m/>
    <m/>
    <m/>
    <m/>
    <m/>
    <m/>
    <m/>
    <m/>
    <m/>
    <m/>
    <m/>
    <m/>
    <m/>
    <s v="Development"/>
    <m/>
    <m/>
  </r>
  <r>
    <n v="533"/>
    <x v="45"/>
    <m/>
    <x v="1"/>
    <x v="5"/>
    <s v="IMP"/>
    <m/>
    <s v="N/A"/>
    <s v="FLEX-400 @ K2 for HEINEKEN - Feasibility to define cost &amp; CAPEX for EEI&lt;15 &amp; EEI&lt;20"/>
    <s v="OEM-HCK"/>
    <x v="5"/>
    <s v="ICM"/>
    <s v="Marketing/Sales"/>
    <m/>
    <m/>
    <m/>
    <n v="5"/>
    <m/>
    <m/>
    <m/>
    <m/>
    <m/>
    <m/>
    <m/>
    <m/>
    <m/>
    <m/>
    <m/>
    <m/>
    <m/>
    <m/>
    <m/>
    <s v="Development"/>
    <m/>
    <m/>
  </r>
  <r>
    <n v="534"/>
    <x v="45"/>
    <m/>
    <x v="1"/>
    <x v="5"/>
    <s v="IMP"/>
    <m/>
    <s v="N/A"/>
    <s v="FLEX-130 @ K2  for HEINEKEN - Feasibility to define cost &amp; CAPEX for EEI&lt;15 &amp; EEI&lt;20"/>
    <s v="OEM-Seitek"/>
    <x v="4"/>
    <s v="ICM"/>
    <s v="Marketing/Sales"/>
    <m/>
    <m/>
    <m/>
    <n v="5"/>
    <m/>
    <m/>
    <m/>
    <m/>
    <m/>
    <m/>
    <m/>
    <m/>
    <m/>
    <m/>
    <m/>
    <m/>
    <m/>
    <m/>
    <m/>
    <s v="Development"/>
    <m/>
    <m/>
  </r>
  <r>
    <n v="535"/>
    <x v="45"/>
    <m/>
    <x v="1"/>
    <x v="5"/>
    <s v="IMP"/>
    <m/>
    <s v="N/A"/>
    <s v="MAX-150 @ K2 for HEINEKEN - Feasibility to define cost &amp; CAPEX for EEI&lt;15 &amp; EEI&lt;20"/>
    <s v="OEM-Seitek"/>
    <x v="4"/>
    <s v="ICM"/>
    <s v="Marketing/Sales"/>
    <m/>
    <m/>
    <m/>
    <n v="5"/>
    <m/>
    <m/>
    <m/>
    <m/>
    <m/>
    <m/>
    <m/>
    <m/>
    <m/>
    <m/>
    <m/>
    <m/>
    <m/>
    <m/>
    <m/>
    <s v="Development"/>
    <m/>
    <m/>
  </r>
  <r>
    <n v="536"/>
    <x v="6"/>
    <m/>
    <x v="1"/>
    <x v="5"/>
    <s v="IMP"/>
    <s v="TBA"/>
    <s v="N/A"/>
    <s v="ERE 3.0 HC @ 60HZ &amp; C-Condition with back airflow and market required features (HD Shelves,SS based, Temp. display castor. etc) – Meet CC EC’26 requirement -  ex Seitek"/>
    <s v="OEM-Seitek"/>
    <x v="4"/>
    <s v="ICM"/>
    <s v="Marketing/Sales"/>
    <m/>
    <m/>
    <m/>
    <n v="5"/>
    <m/>
    <m/>
    <m/>
    <m/>
    <m/>
    <m/>
    <m/>
    <m/>
    <m/>
    <m/>
    <m/>
    <m/>
    <m/>
    <m/>
    <m/>
    <s v="In Que"/>
    <m/>
    <m/>
  </r>
  <r>
    <n v="537"/>
    <x v="6"/>
    <m/>
    <x v="1"/>
    <x v="5"/>
    <s v="IMP"/>
    <s v="TBA"/>
    <s v="N/A"/>
    <s v="S99 EER improvement"/>
    <s v="OEM-HCK"/>
    <x v="5"/>
    <s v="ICM"/>
    <s v="Marketing/Sales"/>
    <m/>
    <m/>
    <m/>
    <n v="5"/>
    <m/>
    <m/>
    <m/>
    <m/>
    <m/>
    <m/>
    <m/>
    <m/>
    <m/>
    <m/>
    <m/>
    <m/>
    <m/>
    <m/>
    <m/>
    <s v="In Que"/>
    <m/>
    <m/>
  </r>
  <r>
    <n v="538"/>
    <x v="6"/>
    <m/>
    <x v="1"/>
    <x v="5"/>
    <s v="NO"/>
    <s v="TBA"/>
    <s v="N/A"/>
    <s v="FLEX 65 ECO ambient light Heineken Germany"/>
    <s v="OEM-HCK"/>
    <x v="5"/>
    <s v="ICM"/>
    <s v="Marketing/Sales"/>
    <m/>
    <m/>
    <m/>
    <m/>
    <m/>
    <m/>
    <m/>
    <m/>
    <m/>
    <m/>
    <m/>
    <m/>
    <m/>
    <m/>
    <m/>
    <m/>
    <m/>
    <m/>
    <m/>
    <s v="In Que"/>
    <m/>
    <m/>
  </r>
  <r>
    <n v="539"/>
    <x v="46"/>
    <m/>
    <x v="1"/>
    <x v="5"/>
    <s v="NO"/>
    <m/>
    <s v="N/A"/>
    <s v="BEATBOX 3D LOGO PREMIUM SLIM 130"/>
    <s v="OEM-Seitek"/>
    <x v="4"/>
    <s v="ICM"/>
    <s v="Marketing/Sales"/>
    <m/>
    <m/>
    <m/>
    <n v="10"/>
    <m/>
    <m/>
    <m/>
    <m/>
    <m/>
    <m/>
    <m/>
    <m/>
    <m/>
    <m/>
    <m/>
    <m/>
    <m/>
    <m/>
    <m/>
    <s v="Development"/>
    <m/>
    <m/>
  </r>
  <r>
    <n v="540"/>
    <x v="46"/>
    <m/>
    <x v="1"/>
    <x v="5"/>
    <s v="NO"/>
    <m/>
    <s v="N/A"/>
    <s v="BEATBOX 3D LOGO FLEX60"/>
    <s v="OEM-HCK"/>
    <x v="5"/>
    <s v="ICM"/>
    <s v="Marketing/Sales"/>
    <m/>
    <m/>
    <m/>
    <n v="10"/>
    <m/>
    <m/>
    <m/>
    <m/>
    <m/>
    <m/>
    <m/>
    <m/>
    <m/>
    <m/>
    <m/>
    <m/>
    <m/>
    <m/>
    <m/>
    <s v="Development"/>
    <m/>
    <m/>
  </r>
  <r>
    <n v="541"/>
    <x v="47"/>
    <m/>
    <x v="1"/>
    <x v="5"/>
    <s v="NO"/>
    <m/>
    <s v="N/A"/>
    <s v="SENSOR FOR COOLING WALL"/>
    <s v="OEM-Seitek"/>
    <x v="4"/>
    <s v="ICM"/>
    <s v="Marketing/Sales"/>
    <m/>
    <m/>
    <m/>
    <n v="3"/>
    <m/>
    <m/>
    <m/>
    <m/>
    <m/>
    <m/>
    <m/>
    <m/>
    <m/>
    <m/>
    <m/>
    <m/>
    <m/>
    <m/>
    <m/>
    <s v="Development"/>
    <m/>
    <m/>
  </r>
  <r>
    <n v="542"/>
    <x v="48"/>
    <m/>
    <x v="1"/>
    <x v="5"/>
    <s v="IMP"/>
    <m/>
    <s v="N/A"/>
    <s v="DRAWER MODELS IMPROVEMENTS"/>
    <s v="OEM-Seitek"/>
    <x v="4"/>
    <s v="HA"/>
    <s v="Marketing/Sales"/>
    <m/>
    <m/>
    <m/>
    <n v="5"/>
    <m/>
    <m/>
    <m/>
    <m/>
    <m/>
    <m/>
    <m/>
    <m/>
    <m/>
    <m/>
    <m/>
    <m/>
    <m/>
    <m/>
    <m/>
    <s v="Development"/>
    <m/>
    <m/>
  </r>
  <r>
    <n v="543"/>
    <x v="49"/>
    <m/>
    <x v="0"/>
    <x v="2"/>
    <s v="NO"/>
    <s v="25-00625"/>
    <s v="NA"/>
    <s v="MAX 700 B for packed meat products"/>
    <s v="ROM"/>
    <x v="2"/>
    <s v="ICM"/>
    <s v="Marketing/Sales"/>
    <m/>
    <m/>
    <m/>
    <m/>
    <m/>
    <m/>
    <m/>
    <m/>
    <m/>
    <m/>
    <m/>
    <m/>
    <m/>
    <m/>
    <m/>
    <m/>
    <m/>
    <m/>
    <m/>
    <s v="Commercialized"/>
    <m/>
    <s v="Elena Micu"/>
  </r>
  <r>
    <n v="544"/>
    <x v="35"/>
    <m/>
    <x v="0"/>
    <x v="0"/>
    <s v="NO"/>
    <s v="25-00633"/>
    <s v="NA"/>
    <s v="ICOOL 2 door with Strip or LED on MAX 750 &amp; MAX 1200"/>
    <s v="ROM"/>
    <x v="2"/>
    <s v="ICM"/>
    <s v="Marketing/Sales"/>
    <m/>
    <m/>
    <m/>
    <n v="4"/>
    <n v="2"/>
    <m/>
    <m/>
    <m/>
    <m/>
    <m/>
    <m/>
    <m/>
    <m/>
    <m/>
    <m/>
    <m/>
    <m/>
    <m/>
    <m/>
    <s v="Industrialization"/>
    <m/>
    <s v="Antonis"/>
  </r>
  <r>
    <n v="545"/>
    <x v="35"/>
    <m/>
    <x v="0"/>
    <x v="0"/>
    <s v="CO"/>
    <s v="25-00636"/>
    <m/>
    <s v="Wanbao VFTB-72 compressor to MAX/Plus/IC2ECO B rating models"/>
    <s v="ROM"/>
    <x v="2"/>
    <s v="ICM"/>
    <s v="Marketing/Sales"/>
    <m/>
    <m/>
    <s v="Compressors"/>
    <m/>
    <m/>
    <m/>
    <m/>
    <m/>
    <m/>
    <m/>
    <m/>
    <m/>
    <m/>
    <m/>
    <m/>
    <m/>
    <m/>
    <m/>
    <m/>
    <s v="Commercialized"/>
    <m/>
    <s v="Alin"/>
  </r>
  <r>
    <n v="546"/>
    <x v="2"/>
    <m/>
    <x v="0"/>
    <x v="0"/>
    <s v="CO"/>
    <s v="25-00605"/>
    <s v="25ROM004_1"/>
    <s v="Max-700 [R290] C and 1/4 return line pipe + NBR evaporator"/>
    <s v="ROM"/>
    <x v="2"/>
    <s v="ICM"/>
    <s v="Central Supply Chain"/>
    <s v="Cooling Mechanism"/>
    <s v="Cooling Components"/>
    <m/>
    <n v="0"/>
    <m/>
    <s v="Yes"/>
    <m/>
    <m/>
    <m/>
    <m/>
    <n v="6"/>
    <m/>
    <m/>
    <m/>
    <m/>
    <m/>
    <m/>
    <m/>
    <m/>
    <s v="Commercialized"/>
    <m/>
    <s v="Elena Micu"/>
  </r>
  <r>
    <n v="547"/>
    <x v="18"/>
    <m/>
    <x v="0"/>
    <x v="2"/>
    <s v="NO"/>
    <s v="25-00633"/>
    <s v="NA"/>
    <s v="MAX-1200 Front Grid Fixing Improvement for LIDL"/>
    <s v="ROM"/>
    <x v="2"/>
    <s v="ICM"/>
    <s v="Development"/>
    <m/>
    <s v="Antonis"/>
    <m/>
    <n v="3"/>
    <n v="1"/>
    <s v="No"/>
    <m/>
    <m/>
    <m/>
    <m/>
    <m/>
    <m/>
    <m/>
    <m/>
    <m/>
    <m/>
    <m/>
    <m/>
    <m/>
    <s v="Commercialized"/>
    <m/>
    <s v="Adrian"/>
  </r>
  <r>
    <n v="548"/>
    <x v="50"/>
    <m/>
    <x v="0"/>
    <x v="2"/>
    <s v="NM"/>
    <s v="25-00639"/>
    <s v="NA"/>
    <s v="Development of Plus 1200 DD with FDE-32 (K4)"/>
    <s v="ROM"/>
    <x v="2"/>
    <s v="ICM"/>
    <s v="Development"/>
    <m/>
    <s v="Adrian"/>
    <m/>
    <n v="3"/>
    <n v="1.5"/>
    <m/>
    <m/>
    <m/>
    <m/>
    <m/>
    <m/>
    <m/>
    <m/>
    <m/>
    <m/>
    <m/>
    <m/>
    <m/>
    <m/>
    <s v="Commercialized"/>
    <m/>
    <s v="Bianca"/>
  </r>
  <r>
    <n v="549"/>
    <x v="51"/>
    <m/>
    <x v="0"/>
    <x v="2"/>
    <s v="NO"/>
    <s v="26-00655"/>
    <s v="NA"/>
    <s v="Max 700 B with 3D Pepsi logo"/>
    <s v="ROM"/>
    <x v="2"/>
    <s v="ICM"/>
    <s v="Development"/>
    <m/>
    <s v="Bianca"/>
    <m/>
    <n v="3"/>
    <n v="1"/>
    <m/>
    <m/>
    <m/>
    <m/>
    <m/>
    <m/>
    <m/>
    <m/>
    <m/>
    <m/>
    <m/>
    <m/>
    <m/>
    <m/>
    <s v="Commercialized"/>
    <m/>
    <s v="Bianca"/>
  </r>
  <r>
    <n v="550"/>
    <x v="51"/>
    <m/>
    <x v="1"/>
    <x v="0"/>
    <s v="NO"/>
    <s v="26-00652"/>
    <s v="NA"/>
    <s v="Beatbox Max 450 3D logo"/>
    <s v="ROM"/>
    <x v="2"/>
    <s v="ICM"/>
    <s v="In Que"/>
    <m/>
    <s v="Adrian"/>
    <m/>
    <n v="20"/>
    <n v="15"/>
    <s v="No"/>
    <m/>
    <m/>
    <m/>
    <n v="15"/>
    <n v="15"/>
    <m/>
    <m/>
    <m/>
    <m/>
    <m/>
    <m/>
    <m/>
    <m/>
    <s v="Industrialization"/>
    <m/>
    <s v="Bianca"/>
  </r>
  <r>
    <n v="551"/>
    <x v="51"/>
    <m/>
    <x v="1"/>
    <x v="0"/>
    <s v="NO"/>
    <s v="26-00647"/>
    <s v="NA"/>
    <s v="Cameras installation for Romania models ( Cool R)"/>
    <s v="ROM"/>
    <x v="2"/>
    <s v="ICM"/>
    <s v="In Que"/>
    <m/>
    <s v="Bianca"/>
    <m/>
    <n v="20"/>
    <n v="20"/>
    <s v="No"/>
    <m/>
    <m/>
    <m/>
    <m/>
    <m/>
    <m/>
    <m/>
    <m/>
    <m/>
    <m/>
    <m/>
    <m/>
    <m/>
    <s v="In Que"/>
    <m/>
    <s v="Bianca"/>
  </r>
  <r>
    <n v="552"/>
    <x v="35"/>
    <m/>
    <x v="1"/>
    <x v="0"/>
    <s v="AC"/>
    <s v="TBA"/>
    <s v="NA"/>
    <s v="Honker VCC controller  (Max 700 [R290] B  )"/>
    <s v="ROM"/>
    <x v="2"/>
    <s v="ICM"/>
    <s v="Central Procurement Group"/>
    <m/>
    <s v="Bianca"/>
    <m/>
    <n v="20"/>
    <n v="20"/>
    <s v="No"/>
    <m/>
    <m/>
    <n v="70"/>
    <n v="20"/>
    <n v="90"/>
    <m/>
    <m/>
    <m/>
    <m/>
    <m/>
    <m/>
    <m/>
    <m/>
    <s v="On Hold"/>
    <s v="Sourcing request"/>
    <s v="Elena Micu"/>
  </r>
  <r>
    <n v="553"/>
    <x v="35"/>
    <m/>
    <x v="1"/>
    <x v="0"/>
    <s v="AC"/>
    <s v="TBA"/>
    <s v="NA"/>
    <s v="Schtroll controler "/>
    <s v="ROM"/>
    <x v="2"/>
    <s v="ICM"/>
    <s v="Central Procurement Group"/>
    <m/>
    <m/>
    <m/>
    <n v="20"/>
    <n v="20"/>
    <s v="No"/>
    <m/>
    <m/>
    <n v="70"/>
    <n v="20"/>
    <n v="90"/>
    <m/>
    <m/>
    <m/>
    <m/>
    <m/>
    <m/>
    <m/>
    <m/>
    <s v="On Hold"/>
    <s v="Sourcing request"/>
    <s v="Elena Micu"/>
  </r>
  <r>
    <n v="554"/>
    <x v="35"/>
    <m/>
    <x v="0"/>
    <x v="0"/>
    <s v="AC"/>
    <s v="TBA"/>
    <s v="NA"/>
    <s v="Delta PSU"/>
    <s v="ROM"/>
    <x v="2"/>
    <s v="ICM"/>
    <s v="Central Procurement Group"/>
    <m/>
    <m/>
    <m/>
    <n v="4"/>
    <n v="2.5"/>
    <s v="No"/>
    <m/>
    <m/>
    <n v="0"/>
    <n v="0"/>
    <n v="0"/>
    <m/>
    <m/>
    <m/>
    <m/>
    <m/>
    <m/>
    <m/>
    <m/>
    <s v="On Hold"/>
    <s v="Sourcing request"/>
    <s v="Elena Micu"/>
  </r>
  <r>
    <n v="555"/>
    <x v="18"/>
    <m/>
    <x v="1"/>
    <x v="2"/>
    <s v="SER"/>
    <s v="TBA"/>
    <s v="NA"/>
    <s v="MAX-1200 ERR error"/>
    <s v="ROM"/>
    <x v="2"/>
    <s v="ICM"/>
    <s v="Service"/>
    <m/>
    <m/>
    <m/>
    <n v="15"/>
    <n v="15"/>
    <s v="No"/>
    <m/>
    <m/>
    <n v="14"/>
    <n v="0"/>
    <n v="30"/>
    <m/>
    <m/>
    <m/>
    <m/>
    <m/>
    <m/>
    <m/>
    <m/>
    <s v="On Hold"/>
    <s v="Market complaint"/>
    <s v="Elena Micu"/>
  </r>
  <r>
    <n v="556"/>
    <x v="18"/>
    <m/>
    <x v="1"/>
    <x v="2"/>
    <s v="IMP"/>
    <s v="TBA"/>
    <s v="NA"/>
    <s v="Neon LED color matching issue"/>
    <s v="ROM"/>
    <x v="2"/>
    <s v="ICM"/>
    <m/>
    <m/>
    <m/>
    <m/>
    <n v="15"/>
    <n v="15"/>
    <s v="No"/>
    <m/>
    <m/>
    <n v="0"/>
    <n v="0"/>
    <n v="0"/>
    <m/>
    <m/>
    <m/>
    <m/>
    <m/>
    <m/>
    <m/>
    <m/>
    <s v="Commercialized"/>
    <s v="Market complaint"/>
    <s v="Marian"/>
  </r>
  <r>
    <n v="557"/>
    <x v="19"/>
    <m/>
    <x v="1"/>
    <x v="2"/>
    <s v="IMP"/>
    <s v="TBA"/>
    <s v="NA"/>
    <s v="3D logo issues (soldering, plastic qualilty, PCB tracks)"/>
    <s v="ROM"/>
    <x v="2"/>
    <s v="ICM"/>
    <s v="Quality"/>
    <m/>
    <m/>
    <m/>
    <n v="15"/>
    <n v="15"/>
    <s v="No"/>
    <m/>
    <m/>
    <n v="0"/>
    <n v="10"/>
    <n v="10"/>
    <m/>
    <m/>
    <m/>
    <m/>
    <m/>
    <m/>
    <m/>
    <m/>
    <s v="On Hold"/>
    <s v="Market complaint"/>
    <s v="Marian"/>
  </r>
  <r>
    <n v="558"/>
    <x v="35"/>
    <m/>
    <x v="0"/>
    <x v="0"/>
    <s v="AC"/>
    <s v="TBA"/>
    <s v="NA"/>
    <s v="Yuanwei Tech LED Strip"/>
    <s v="ROM"/>
    <x v="2"/>
    <s v="ICM"/>
    <s v="Central Procurement Group"/>
    <m/>
    <m/>
    <m/>
    <n v="4"/>
    <n v="2.5"/>
    <m/>
    <m/>
    <m/>
    <m/>
    <m/>
    <m/>
    <m/>
    <m/>
    <m/>
    <m/>
    <m/>
    <m/>
    <m/>
    <m/>
    <s v="Industrialization"/>
    <s v="Sourcing request"/>
    <s v="Elena Micu"/>
  </r>
  <r>
    <n v="559"/>
    <x v="35"/>
    <m/>
    <x v="0"/>
    <x v="2"/>
    <s v="CO"/>
    <s v="TBA"/>
    <m/>
    <s v="Mebak Torsion bar   (B class steel)"/>
    <s v="ROM"/>
    <x v="2"/>
    <s v="ICM"/>
    <s v="Central Procurement Group"/>
    <m/>
    <m/>
    <m/>
    <n v="3"/>
    <n v="1"/>
    <s v="No"/>
    <m/>
    <m/>
    <n v="0"/>
    <n v="0"/>
    <n v="0"/>
    <m/>
    <m/>
    <m/>
    <m/>
    <s v="Yes"/>
    <m/>
    <m/>
    <m/>
    <s v="Development"/>
    <s v="Sourcing request"/>
    <s v="Elena Micu"/>
  </r>
  <r>
    <n v="560"/>
    <x v="52"/>
    <m/>
    <x v="0"/>
    <x v="0"/>
    <s v="IMP"/>
    <s v="TBA"/>
    <m/>
    <s v="EST/CPT plant issues  "/>
    <s v="ROM"/>
    <x v="2"/>
    <s v="ICM"/>
    <s v="PD"/>
    <m/>
    <m/>
    <m/>
    <n v="4"/>
    <n v="0"/>
    <s v="No"/>
    <m/>
    <m/>
    <n v="10"/>
    <n v="0"/>
    <n v="2"/>
    <m/>
    <m/>
    <m/>
    <m/>
    <m/>
    <m/>
    <m/>
    <m/>
    <s v="On Hold"/>
    <s v="Production request"/>
    <s v="Elena Micu"/>
  </r>
  <r>
    <n v="561"/>
    <x v="52"/>
    <m/>
    <x v="0"/>
    <x v="2"/>
    <s v="IMP"/>
    <s v="TBA"/>
    <m/>
    <s v="Coolers failure analysis from Production FA"/>
    <s v="ROM"/>
    <x v="2"/>
    <s v="ICM"/>
    <s v="PD"/>
    <m/>
    <m/>
    <m/>
    <n v="3"/>
    <n v="0"/>
    <s v="No"/>
    <m/>
    <m/>
    <n v="2"/>
    <n v="0"/>
    <n v="2"/>
    <m/>
    <m/>
    <m/>
    <m/>
    <m/>
    <m/>
    <m/>
    <m/>
    <s v="On Hold"/>
    <s v="Production request"/>
    <s v="Elena Micu"/>
  </r>
  <r>
    <n v="562"/>
    <x v="52"/>
    <m/>
    <x v="0"/>
    <x v="0"/>
    <s v="CER"/>
    <s v="TBA"/>
    <m/>
    <s v="Easy reach express 3.0 ISO 22044 certification"/>
    <s v="ROM"/>
    <x v="2"/>
    <s v="ICM"/>
    <m/>
    <m/>
    <m/>
    <m/>
    <m/>
    <m/>
    <m/>
    <m/>
    <m/>
    <m/>
    <m/>
    <m/>
    <m/>
    <m/>
    <m/>
    <m/>
    <m/>
    <m/>
    <m/>
    <m/>
    <s v="Commercialized"/>
    <s v="Marketing request"/>
    <s v="Elena Micu"/>
  </r>
  <r>
    <n v="563"/>
    <x v="52"/>
    <m/>
    <x v="0"/>
    <x v="0"/>
    <s v="IMP"/>
    <s v="TBA"/>
    <m/>
    <s v="Double door cooler lip gasket market issues"/>
    <s v="ROM"/>
    <x v="2"/>
    <s v="ICM"/>
    <m/>
    <m/>
    <m/>
    <m/>
    <n v="4"/>
    <n v="1"/>
    <s v="No"/>
    <m/>
    <m/>
    <n v="10"/>
    <n v="0"/>
    <n v="4"/>
    <m/>
    <m/>
    <m/>
    <m/>
    <m/>
    <m/>
    <m/>
    <m/>
    <s v="Commercialized"/>
    <s v="Market complaint"/>
    <s v="Marian"/>
  </r>
  <r>
    <n v="564"/>
    <x v="52"/>
    <m/>
    <x v="1"/>
    <x v="0"/>
    <s v="AC"/>
    <s v="TBA"/>
    <s v="NA"/>
    <s v="Donper fan motors   (Max 1200 [R290] B )"/>
    <s v="ROM"/>
    <x v="2"/>
    <s v="ICM"/>
    <s v="PD"/>
    <m/>
    <s v="Elena Micu"/>
    <m/>
    <n v="20"/>
    <n v="15"/>
    <s v="Yes"/>
    <m/>
    <m/>
    <n v="70"/>
    <n v="20"/>
    <n v="90"/>
    <m/>
    <m/>
    <m/>
    <m/>
    <m/>
    <m/>
    <m/>
    <m/>
    <s v="On Hold"/>
    <s v="Sourcing request"/>
    <s v="Elena Micu"/>
  </r>
  <r>
    <n v="565"/>
    <x v="51"/>
    <m/>
    <x v="1"/>
    <x v="0"/>
    <s v="AC"/>
    <s v="TBA"/>
    <s v="NA"/>
    <s v="Huaiy NUD45  (Plus 450 [R290] B)"/>
    <s v="ROM"/>
    <x v="2"/>
    <s v="ICM"/>
    <s v="Central Procurement Group"/>
    <m/>
    <s v="Elena Micu"/>
    <m/>
    <n v="20"/>
    <n v="13"/>
    <s v="Yes"/>
    <m/>
    <m/>
    <n v="70"/>
    <n v="10"/>
    <n v="80"/>
    <m/>
    <m/>
    <m/>
    <m/>
    <m/>
    <m/>
    <m/>
    <m/>
    <s v="On Hold"/>
    <s v="For Heineken project, MBP conditions acc. to CC"/>
    <s v="Elena Micu"/>
  </r>
  <r>
    <n v="566"/>
    <x v="51"/>
    <m/>
    <x v="1"/>
    <x v="0"/>
    <s v="AC"/>
    <s v="TBA"/>
    <s v="NA"/>
    <s v="Huaiy  NUD 80  (Max-1000 [R290] B)"/>
    <s v="ROM"/>
    <x v="2"/>
    <s v="ICM"/>
    <s v="Central Procurement Group"/>
    <m/>
    <s v="Elena Micu"/>
    <m/>
    <n v="20"/>
    <n v="13"/>
    <s v="Yes"/>
    <m/>
    <m/>
    <n v="70"/>
    <n v="10"/>
    <n v="80"/>
    <m/>
    <m/>
    <m/>
    <m/>
    <m/>
    <m/>
    <m/>
    <m/>
    <s v="Development"/>
    <s v="For Heineken project, MBP conditions acc. to CC"/>
    <s v="Elena Micu"/>
  </r>
  <r>
    <n v="567"/>
    <x v="51"/>
    <m/>
    <x v="1"/>
    <x v="0"/>
    <s v="NO"/>
    <s v="26-00659"/>
    <s v="NA"/>
    <s v="FDE 32 X3 "/>
    <s v="ROM"/>
    <x v="2"/>
    <s v="ICM"/>
    <s v="Marketing/Sales"/>
    <s v="For Heineken project"/>
    <s v="Elena Micu"/>
    <m/>
    <n v="20"/>
    <n v="20"/>
    <s v="Yes"/>
    <m/>
    <m/>
    <n v="70"/>
    <n v="20"/>
    <n v="90"/>
    <m/>
    <m/>
    <m/>
    <m/>
    <m/>
    <m/>
    <m/>
    <m/>
    <s v="Industrialization"/>
    <s v="Marketing request"/>
    <s v="Elena Micu"/>
  </r>
  <r>
    <n v="568"/>
    <x v="51"/>
    <m/>
    <x v="0"/>
    <x v="2"/>
    <s v="IMP"/>
    <s v="TBA"/>
    <m/>
    <s v="Max 300 [R600a] B, one condenser configuration"/>
    <s v="ROM"/>
    <x v="2"/>
    <s v="ICM"/>
    <s v="Development"/>
    <m/>
    <s v="Elena Micu"/>
    <m/>
    <n v="3"/>
    <n v="0"/>
    <s v="Yes"/>
    <m/>
    <m/>
    <n v="2"/>
    <n v="0"/>
    <n v="0"/>
    <m/>
    <m/>
    <m/>
    <m/>
    <m/>
    <m/>
    <m/>
    <m/>
    <s v="Cancelled"/>
    <s v="Request to help plant process"/>
    <s v="Elena Micu"/>
  </r>
  <r>
    <n v="569"/>
    <x v="51"/>
    <m/>
    <x v="1"/>
    <x v="0"/>
    <s v="CO"/>
    <s v="TBA"/>
    <s v="26ROM005"/>
    <s v="GMCC PZ90H1W ( Max -300 [R600a] B)"/>
    <s v="ROM"/>
    <x v="2"/>
    <s v="ICM"/>
    <s v="Central Procurement Group"/>
    <m/>
    <s v="Elena Micu"/>
    <m/>
    <n v="20"/>
    <n v="13"/>
    <s v="Yes"/>
    <m/>
    <m/>
    <n v="70"/>
    <n v="10"/>
    <n v="80"/>
    <m/>
    <m/>
    <m/>
    <m/>
    <m/>
    <m/>
    <m/>
    <m/>
    <s v="Development"/>
    <s v="Production request"/>
    <s v="Elena Micu"/>
  </r>
  <r>
    <n v="570"/>
    <x v="51"/>
    <m/>
    <x v="1"/>
    <x v="0"/>
    <s v="CO"/>
    <s v="TBA"/>
    <s v="26ROM005"/>
    <s v="Jiaxipera TE1114Y new motor ( Max -300 [R600a] B)"/>
    <s v="ROM"/>
    <x v="2"/>
    <s v="ICM"/>
    <s v="Central Procurement Group"/>
    <m/>
    <s v="Elena Micu"/>
    <m/>
    <n v="20"/>
    <n v="13"/>
    <s v="Yes"/>
    <m/>
    <m/>
    <n v="70"/>
    <n v="10"/>
    <n v="80"/>
    <m/>
    <m/>
    <m/>
    <m/>
    <m/>
    <m/>
    <m/>
    <m/>
    <s v="On Hold"/>
    <s v="Production request"/>
    <s v="Elena Micu"/>
  </r>
  <r>
    <n v="571"/>
    <x v="51"/>
    <m/>
    <x v="1"/>
    <x v="0"/>
    <s v="CO"/>
    <s v="TBA"/>
    <s v="TBA"/>
    <s v="GMCC PA45HMZ  (IC2-500/Plus-450 B)"/>
    <s v="ROM"/>
    <x v="2"/>
    <s v="ICM"/>
    <s v="Central Procurement Group"/>
    <m/>
    <s v="Elena Micu"/>
    <m/>
    <n v="20"/>
    <n v="13"/>
    <s v="Yes"/>
    <m/>
    <m/>
    <n v="70"/>
    <n v="10"/>
    <n v="80"/>
    <m/>
    <m/>
    <m/>
    <m/>
    <m/>
    <m/>
    <m/>
    <m/>
    <s v="Development"/>
    <s v="Production request"/>
    <s v="Elena Micu"/>
  </r>
  <r>
    <n v="572"/>
    <x v="52"/>
    <m/>
    <x v="0"/>
    <x v="0"/>
    <s v="AC"/>
    <s v="TBA"/>
    <s v="NA"/>
    <s v="YCC variable fan motors "/>
    <s v="ROM"/>
    <x v="2"/>
    <s v="ICM"/>
    <s v="Central Procurement Group"/>
    <m/>
    <s v="Elena Micu"/>
    <m/>
    <n v="4"/>
    <n v="3"/>
    <s v="Yes"/>
    <m/>
    <m/>
    <n v="10"/>
    <n v="4"/>
    <n v="10"/>
    <m/>
    <m/>
    <m/>
    <m/>
    <m/>
    <m/>
    <m/>
    <m/>
    <s v="On Hold"/>
    <m/>
    <s v="Elena Micu"/>
  </r>
  <r>
    <n v="573"/>
    <x v="53"/>
    <m/>
    <x v="1"/>
    <x v="5"/>
    <s v="NO"/>
    <m/>
    <s v="NA"/>
    <s v="FLEX-130 with FDEx3"/>
    <s v="OEM-Seitek"/>
    <x v="4"/>
    <m/>
    <s v="Central Procurement Group"/>
    <m/>
    <m/>
    <m/>
    <n v="5"/>
    <m/>
    <m/>
    <m/>
    <m/>
    <m/>
    <m/>
    <m/>
    <m/>
    <m/>
    <m/>
    <m/>
    <m/>
    <m/>
    <m/>
    <m/>
    <s v="Development"/>
    <m/>
    <m/>
  </r>
  <r>
    <n v="574"/>
    <x v="53"/>
    <m/>
    <x v="1"/>
    <x v="5"/>
    <s v="NO"/>
    <m/>
    <s v="NA"/>
    <s v="ERE3.0 with FDEx3"/>
    <s v="OEM-Seitek"/>
    <x v="4"/>
    <m/>
    <s v="Central Procurement Group"/>
    <m/>
    <m/>
    <m/>
    <n v="5"/>
    <m/>
    <m/>
    <m/>
    <m/>
    <m/>
    <m/>
    <m/>
    <m/>
    <m/>
    <m/>
    <m/>
    <m/>
    <m/>
    <m/>
    <m/>
    <s v="Development"/>
    <m/>
    <m/>
  </r>
  <r>
    <n v="575"/>
    <x v="53"/>
    <m/>
    <x v="1"/>
    <x v="5"/>
    <s v="NO"/>
    <m/>
    <s v="NA"/>
    <s v="IC2-40 ECO with FDEx3"/>
    <s v="OEM-HCK"/>
    <x v="5"/>
    <m/>
    <s v="Central Procurement Group"/>
    <m/>
    <m/>
    <m/>
    <n v="5"/>
    <m/>
    <m/>
    <m/>
    <m/>
    <m/>
    <m/>
    <m/>
    <m/>
    <m/>
    <m/>
    <m/>
    <m/>
    <m/>
    <m/>
    <m/>
    <s v="Development"/>
    <m/>
    <m/>
  </r>
  <r>
    <n v="572"/>
    <x v="51"/>
    <m/>
    <x v="0"/>
    <x v="0"/>
    <s v="AC"/>
    <s v="TBA"/>
    <m/>
    <s v="Icool 2 ECO 800[ R290] B /Max-700[R290] B _ Huaiy NMS70 alternative to Wanbao VFTB72  "/>
    <s v="ROM"/>
    <x v="2"/>
    <m/>
    <m/>
    <m/>
    <m/>
    <m/>
    <m/>
    <m/>
    <m/>
    <m/>
    <m/>
    <m/>
    <m/>
    <m/>
    <m/>
    <m/>
    <m/>
    <m/>
    <m/>
    <m/>
    <m/>
    <m/>
    <s v="In Que"/>
    <m/>
    <m/>
  </r>
  <r>
    <n v="572"/>
    <x v="51"/>
    <m/>
    <x v="0"/>
    <x v="0"/>
    <s v="AC"/>
    <s v="TBA"/>
    <m/>
    <s v="Plus 900 [R290] /Max-900 [R290] B _ Huaiy NMS70 alternative to Wanbao VFTB72  "/>
    <s v="ROM"/>
    <x v="2"/>
    <m/>
    <m/>
    <m/>
    <m/>
    <m/>
    <m/>
    <m/>
    <m/>
    <m/>
    <m/>
    <m/>
    <m/>
    <m/>
    <m/>
    <m/>
    <m/>
    <m/>
    <m/>
    <m/>
    <m/>
    <m/>
    <s v="In Que"/>
    <m/>
    <m/>
  </r>
  <r>
    <n v="572"/>
    <x v="51"/>
    <m/>
    <x v="0"/>
    <x v="0"/>
    <s v="AC"/>
    <s v="TBA"/>
    <m/>
    <s v="Icool 2 ECO 10000/ Max-1000 [R290] B _ Huaiy NMS70 alternative to Wanbao VFTB72  "/>
    <s v="ROM"/>
    <x v="2"/>
    <m/>
    <m/>
    <m/>
    <m/>
    <m/>
    <m/>
    <m/>
    <m/>
    <m/>
    <m/>
    <m/>
    <m/>
    <m/>
    <m/>
    <m/>
    <m/>
    <m/>
    <m/>
    <m/>
    <m/>
    <m/>
    <s v="In Que"/>
    <m/>
    <m/>
  </r>
  <r>
    <n v="572"/>
    <x v="51"/>
    <m/>
    <x v="0"/>
    <x v="0"/>
    <s v="AC"/>
    <s v="TBD"/>
    <m/>
    <s v="Max 700 [R290] B  _Huaiy NMD070 "/>
    <s v="ROM"/>
    <x v="2"/>
    <s v="In Que"/>
    <m/>
    <m/>
    <m/>
    <m/>
    <m/>
    <m/>
    <m/>
    <m/>
    <m/>
    <m/>
    <m/>
    <m/>
    <m/>
    <m/>
    <m/>
    <m/>
    <m/>
    <m/>
    <m/>
    <m/>
    <s v="Development"/>
    <m/>
    <m/>
  </r>
  <r>
    <m/>
    <x v="51"/>
    <m/>
    <x v="0"/>
    <x v="2"/>
    <s v="BC"/>
    <m/>
    <m/>
    <s v="Plus -750 [R290] B _k4 +FDE 32 X3 "/>
    <s v="ROM"/>
    <x v="2"/>
    <m/>
    <m/>
    <m/>
    <m/>
    <m/>
    <m/>
    <m/>
    <m/>
    <m/>
    <m/>
    <m/>
    <m/>
    <m/>
    <m/>
    <m/>
    <m/>
    <m/>
    <m/>
    <m/>
    <m/>
    <m/>
    <s v="Development"/>
    <m/>
    <m/>
  </r>
  <r>
    <m/>
    <x v="51"/>
    <m/>
    <x v="0"/>
    <x v="2"/>
    <s v="BC"/>
    <m/>
    <m/>
    <s v="Max-750 [R290] B_k2 +FDE 32 X3 "/>
    <s v="ROM"/>
    <x v="2"/>
    <m/>
    <m/>
    <m/>
    <m/>
    <m/>
    <m/>
    <m/>
    <m/>
    <m/>
    <m/>
    <m/>
    <m/>
    <m/>
    <m/>
    <m/>
    <m/>
    <m/>
    <m/>
    <m/>
    <m/>
    <m/>
    <s v="Development"/>
    <m/>
    <m/>
  </r>
  <r>
    <n v="576"/>
    <x v="54"/>
    <m/>
    <x v="1"/>
    <x v="0"/>
    <s v="CO"/>
    <s v="TBA"/>
    <s v="26ROM003"/>
    <s v="Plus 450 [R290] B_ Centrifugal motor vs 2 Nisiki motors on Evaporator side "/>
    <s v="ROM"/>
    <x v="2"/>
    <s v="ICM"/>
    <s v="PD"/>
    <m/>
    <s v="Elena Micu"/>
    <m/>
    <n v="20"/>
    <n v="20"/>
    <s v="Yes"/>
    <m/>
    <m/>
    <n v="70"/>
    <n v="20"/>
    <n v="90"/>
    <m/>
    <m/>
    <m/>
    <m/>
    <m/>
    <m/>
    <m/>
    <m/>
    <s v="Development"/>
    <m/>
    <s v="Elena Micu"/>
  </r>
  <r>
    <n v="577"/>
    <x v="48"/>
    <m/>
    <x v="0"/>
    <x v="0"/>
    <s v="NO"/>
    <m/>
    <s v="N/A"/>
    <s v="MAX-750  NU with Upgrade Aesthetics V3"/>
    <s v="ROM"/>
    <x v="3"/>
    <s v="ICM"/>
    <s v="Marketing/Sales"/>
    <s v="Complete Cooler"/>
    <s v="N/A"/>
    <s v="N/A"/>
    <n v="12"/>
    <m/>
    <m/>
    <m/>
    <m/>
    <n v="6"/>
    <n v="4"/>
    <m/>
    <m/>
    <m/>
    <m/>
    <m/>
    <m/>
    <m/>
    <m/>
    <m/>
    <s v="Development"/>
    <m/>
    <m/>
  </r>
  <r>
    <m/>
    <x v="55"/>
    <m/>
    <x v="0"/>
    <x v="6"/>
    <m/>
    <m/>
    <m/>
    <m/>
    <m/>
    <x v="6"/>
    <m/>
    <m/>
    <m/>
    <m/>
    <m/>
    <m/>
    <m/>
    <m/>
    <m/>
    <m/>
    <m/>
    <m/>
    <m/>
    <m/>
    <m/>
    <m/>
    <m/>
    <m/>
    <m/>
    <m/>
    <m/>
    <m/>
    <m/>
    <m/>
  </r>
  <r>
    <m/>
    <x v="55"/>
    <m/>
    <x v="0"/>
    <x v="6"/>
    <m/>
    <m/>
    <m/>
    <m/>
    <m/>
    <x v="6"/>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n v="1"/>
    <x v="0"/>
    <m/>
    <m/>
    <x v="0"/>
    <x v="0"/>
    <s v="25-00258"/>
    <s v="25SRC006-2"/>
    <s v="Compressor Donper L58WU1 as alternative to Wanbao FTA55L→S-35 R290 (Coke)"/>
    <x v="0"/>
    <x v="0"/>
    <s v="ICM"/>
    <x v="0"/>
    <s v="Cooling Mechanism"/>
    <s v="Cooling Components"/>
    <s v="Compressors"/>
    <n v="2"/>
    <n v="3"/>
    <s v="Yes"/>
    <m/>
    <m/>
    <n v="6"/>
    <m/>
    <n v="2"/>
    <s v="Yes"/>
    <s v="Start Date→  28-10-24_x000a_End Date→ 30-11-24"/>
    <n v="0"/>
    <s v="Safety completed"/>
    <m/>
    <m/>
    <m/>
    <m/>
    <x v="0"/>
  </r>
  <r>
    <n v="2"/>
    <x v="0"/>
    <m/>
    <m/>
    <x v="0"/>
    <x v="0"/>
    <s v="25-00308"/>
    <s v="25SRC017-1"/>
    <s v="Compressor Donper L58WU1 as alternative to Huayi NUS70NA →S-450 (Coke Africa)"/>
    <x v="0"/>
    <x v="0"/>
    <s v="ICM"/>
    <x v="0"/>
    <s v="Cooling Mechanism"/>
    <s v="Cooling Components"/>
    <s v="Compressors"/>
    <n v="1"/>
    <n v="3"/>
    <s v="Yes"/>
    <m/>
    <m/>
    <n v="6"/>
    <m/>
    <n v="2"/>
    <s v="Yes"/>
    <s v="Start Date→09-11-24_x000a_End Date→20-12-24"/>
    <n v="0"/>
    <s v="Safety completed"/>
    <m/>
    <m/>
    <m/>
    <m/>
    <x v="0"/>
  </r>
  <r>
    <n v="3"/>
    <x v="0"/>
    <m/>
    <m/>
    <x v="0"/>
    <x v="0"/>
    <s v="25-00256"/>
    <s v="25SRC004-2"/>
    <s v="Compressor Donper L58WU1 as alternative to Tecumseh TCW410-CE3B→S45 Coke"/>
    <x v="0"/>
    <x v="0"/>
    <s v="ICM"/>
    <x v="0"/>
    <s v="Cooling Mechanism"/>
    <s v="Cooling Components"/>
    <s v="Compressors"/>
    <n v="2"/>
    <n v="3"/>
    <s v="Yes"/>
    <m/>
    <m/>
    <n v="6"/>
    <m/>
    <n v="2"/>
    <s v="Yes"/>
    <s v="Start Date→09-11-24_x000a_End Date→20-12-24"/>
    <n v="0"/>
    <s v="Safety completed"/>
    <m/>
    <m/>
    <m/>
    <m/>
    <x v="0"/>
  </r>
  <r>
    <n v="4"/>
    <x v="0"/>
    <m/>
    <m/>
    <x v="0"/>
    <x v="0"/>
    <s v="25-00310"/>
    <s v="25SRC019-3"/>
    <s v="Compressor Donper  L58WU1 as alternative to Huayi NUS70NA  →VG-450 [R290]"/>
    <x v="0"/>
    <x v="0"/>
    <s v="ICM"/>
    <x v="0"/>
    <s v="Cooling Mechanism"/>
    <s v="Cooling Components"/>
    <s v="Compressors"/>
    <n v="3"/>
    <n v="3"/>
    <s v="Yes"/>
    <m/>
    <m/>
    <n v="6"/>
    <m/>
    <n v="0"/>
    <s v="Yes"/>
    <s v="Start Date→09-11-24_x000a_End Date→20-12-24"/>
    <n v="0"/>
    <s v="Safety completed"/>
    <m/>
    <m/>
    <m/>
    <m/>
    <x v="0"/>
  </r>
  <r>
    <n v="5"/>
    <x v="0"/>
    <m/>
    <m/>
    <x v="0"/>
    <x v="0"/>
    <s v="25-00253"/>
    <s v="25INN008-1"/>
    <s v="Compressor Donper L76WU1 as alternative to Huayi NUY80RAA →FV-650 D [R290] FFD (Coke Indo)"/>
    <x v="1"/>
    <x v="0"/>
    <s v="ICM"/>
    <x v="0"/>
    <s v="Cooling Mechanism"/>
    <s v="Cooling Components"/>
    <s v="Compressors"/>
    <n v="3"/>
    <n v="3"/>
    <s v="Yes"/>
    <m/>
    <m/>
    <n v="6"/>
    <m/>
    <n v="1"/>
    <s v="Yes"/>
    <s v="Start Date→ 25-01-25_x000a_End Date→ 13-03-25"/>
    <n v="0"/>
    <s v="Safety completed"/>
    <m/>
    <m/>
    <m/>
    <m/>
    <x v="0"/>
  </r>
  <r>
    <n v="6"/>
    <x v="0"/>
    <m/>
    <m/>
    <x v="0"/>
    <x v="0"/>
    <s v="25-00311"/>
    <s v="25SRC019-1"/>
    <s v="Compressor Donper L68WU1 as alternative to Huayi NUS70NA→S-45 SZ [R290] (Heineken/ABI)"/>
    <x v="0"/>
    <x v="0"/>
    <s v="ICM"/>
    <x v="0"/>
    <s v="Cooling Mechanism"/>
    <s v="Cooling Components"/>
    <s v="Compressors"/>
    <n v="3"/>
    <n v="3"/>
    <s v="Yes"/>
    <m/>
    <m/>
    <n v="6"/>
    <m/>
    <n v="6"/>
    <s v="Yes"/>
    <s v="Start Date→ 20-02-25_x000a_End Date→Week 15"/>
    <n v="0"/>
    <s v="Safety completed"/>
    <m/>
    <m/>
    <m/>
    <m/>
    <x v="0"/>
  </r>
  <r>
    <n v="7"/>
    <x v="1"/>
    <m/>
    <m/>
    <x v="1"/>
    <x v="1"/>
    <s v="25-00289"/>
    <s v="N/A"/>
    <s v="S-60 R290 EG (Coke,)"/>
    <x v="2"/>
    <x v="0"/>
    <s v="ICM"/>
    <x v="1"/>
    <s v="Complete Cooler"/>
    <s v="N/A"/>
    <s v="N/A"/>
    <m/>
    <m/>
    <s v="Yes"/>
    <m/>
    <m/>
    <n v="8"/>
    <m/>
    <n v="4"/>
    <s v="Yes"/>
    <s v="Start Date→ 29-10-24_x000a_End Date→ 18-12-24"/>
    <n v="0"/>
    <m/>
    <m/>
    <m/>
    <m/>
    <m/>
    <x v="0"/>
  </r>
  <r>
    <n v="8"/>
    <x v="0"/>
    <m/>
    <m/>
    <x v="2"/>
    <x v="0"/>
    <s v="25-00293"/>
    <s v="25IND012"/>
    <s v="Thermostat: Removal of Mechanical Thermostat Back cover"/>
    <x v="0"/>
    <x v="0"/>
    <s v="ICM"/>
    <x v="2"/>
    <s v="Insulated Cabin"/>
    <s v="Plastics"/>
    <s v="Injection Plastics"/>
    <n v="0.5"/>
    <n v="0.5"/>
    <s v="No"/>
    <m/>
    <m/>
    <n v="0"/>
    <m/>
    <n v="0"/>
    <s v="Yes"/>
    <s v="Completed"/>
    <n v="0.5"/>
    <m/>
    <m/>
    <m/>
    <m/>
    <m/>
    <x v="0"/>
  </r>
  <r>
    <n v="9"/>
    <x v="0"/>
    <m/>
    <m/>
    <x v="2"/>
    <x v="0"/>
    <s v="25-00272"/>
    <s v="24SAF017"/>
    <s v="Cable Kit Optimization Project - FV650"/>
    <x v="3"/>
    <x v="0"/>
    <s v="ICM"/>
    <x v="2"/>
    <s v="Electrical Parts"/>
    <s v="Electrical Components"/>
    <s v="Cable Harnesses"/>
    <n v="1"/>
    <n v="0.5"/>
    <s v="No"/>
    <m/>
    <m/>
    <n v="0"/>
    <m/>
    <n v="0"/>
    <s v="No"/>
    <s v="N/A"/>
    <n v="0"/>
    <m/>
    <s v="No"/>
    <s v="No"/>
    <m/>
    <m/>
    <x v="0"/>
  </r>
  <r>
    <n v="10"/>
    <x v="0"/>
    <m/>
    <m/>
    <x v="2"/>
    <x v="0"/>
    <s v="TBA"/>
    <s v="25SAF001"/>
    <s v="Condenser fan motor cable optimization"/>
    <x v="3"/>
    <x v="0"/>
    <s v="ICM"/>
    <x v="2"/>
    <s v="Cooling Mechanism"/>
    <s v="Electrical Components"/>
    <s v="Cable Harnesses"/>
    <n v="0.5"/>
    <n v="0.5"/>
    <s v="No"/>
    <m/>
    <m/>
    <n v="0"/>
    <m/>
    <n v="0"/>
    <s v="No"/>
    <s v="N/A"/>
    <n v="0"/>
    <m/>
    <s v="No"/>
    <s v="No"/>
    <m/>
    <m/>
    <x v="0"/>
  </r>
  <r>
    <n v="11"/>
    <x v="2"/>
    <m/>
    <m/>
    <x v="2"/>
    <x v="0"/>
    <s v="TBA"/>
    <s v="24SAF020"/>
    <s v="Introduction of Π Condenser motor bracket - FV650"/>
    <x v="3"/>
    <x v="0"/>
    <s v="ICM"/>
    <x v="2"/>
    <s v="Cooling Mechanism"/>
    <s v="Steel &amp; Parts"/>
    <s v="Steel-GI"/>
    <n v="0.5"/>
    <n v="0.5"/>
    <s v="No"/>
    <m/>
    <m/>
    <n v="0"/>
    <m/>
    <n v="0"/>
    <s v="No"/>
    <s v="N/A"/>
    <n v="0"/>
    <m/>
    <s v="No"/>
    <s v="No"/>
    <m/>
    <m/>
    <x v="0"/>
  </r>
  <r>
    <n v="12"/>
    <x v="2"/>
    <m/>
    <m/>
    <x v="2"/>
    <x v="0"/>
    <s v="TBA"/>
    <s v="24SAF024"/>
    <s v="Introduction of Π Condenser motor bracket - FV1000"/>
    <x v="3"/>
    <x v="0"/>
    <s v="ICM"/>
    <x v="2"/>
    <s v="Cooling Mechanism"/>
    <s v="Steel &amp; Parts"/>
    <s v="Steel-GI"/>
    <n v="0.5"/>
    <n v="0.5"/>
    <s v="No"/>
    <m/>
    <m/>
    <n v="0"/>
    <m/>
    <n v="0"/>
    <s v="No"/>
    <s v="N/A"/>
    <n v="0"/>
    <m/>
    <s v="No"/>
    <s v="No"/>
    <m/>
    <m/>
    <x v="0"/>
  </r>
  <r>
    <n v="13"/>
    <x v="2"/>
    <m/>
    <m/>
    <x v="2"/>
    <x v="0"/>
    <s v="TBA"/>
    <s v="24SAF023"/>
    <s v="Rear Column Support change thickness from 1mm to 0.8mm - FV1000/FV1000 SZ/SL1140"/>
    <x v="3"/>
    <x v="0"/>
    <s v="ICM"/>
    <x v="2"/>
    <s v="Insulated Cabin"/>
    <s v="Steel &amp; Parts"/>
    <s v="Steel-GI"/>
    <n v="0.5"/>
    <n v="0.5"/>
    <s v="No"/>
    <m/>
    <m/>
    <n v="0"/>
    <m/>
    <n v="0"/>
    <s v="No"/>
    <s v="N/A"/>
    <n v="0"/>
    <m/>
    <s v="No"/>
    <s v="No"/>
    <m/>
    <m/>
    <x v="0"/>
  </r>
  <r>
    <n v="14"/>
    <x v="0"/>
    <m/>
    <m/>
    <x v="2"/>
    <x v="0"/>
    <s v="25-00261"/>
    <s v="25IND022"/>
    <s v="One pager user manual or BAR CODE - All Models"/>
    <x v="0"/>
    <x v="0"/>
    <s v="ICM"/>
    <x v="2"/>
    <s v="Packaging"/>
    <s v="Other"/>
    <s v="Other Materials"/>
    <n v="0"/>
    <n v="0"/>
    <s v="No"/>
    <m/>
    <m/>
    <n v="0"/>
    <m/>
    <n v="0"/>
    <s v="No"/>
    <s v="N/A"/>
    <n v="0"/>
    <m/>
    <m/>
    <m/>
    <m/>
    <m/>
    <x v="0"/>
  </r>
  <r>
    <n v="15"/>
    <x v="2"/>
    <m/>
    <m/>
    <x v="2"/>
    <x v="0"/>
    <s v="25-00277"/>
    <s v="25IND026"/>
    <s v="Robertshaw → Jiujiang Hengtong Thermostat"/>
    <x v="0"/>
    <x v="0"/>
    <s v="ICM"/>
    <x v="0"/>
    <s v="Electrical Parts"/>
    <s v="Plastics"/>
    <s v="Thermostats"/>
    <n v="0.5"/>
    <n v="0.5"/>
    <s v="Yes"/>
    <m/>
    <m/>
    <n v="1"/>
    <m/>
    <n v="0"/>
    <s v="Yes"/>
    <s v="Start Date→  28-10-24_x000a_End Date→ 30-11-24"/>
    <n v="0"/>
    <s v="5th March-Thermostat ordering for 2000 PCS. Expected to ship by March end"/>
    <m/>
    <m/>
    <m/>
    <m/>
    <x v="0"/>
  </r>
  <r>
    <n v="16"/>
    <x v="2"/>
    <m/>
    <m/>
    <x v="2"/>
    <x v="0"/>
    <s v="25-00276"/>
    <s v="24SAF004"/>
    <s v="1/4&quot; Copper tube thickness reduction from 0.76 to 0.65mm"/>
    <x v="0"/>
    <x v="0"/>
    <s v="ICM"/>
    <x v="0"/>
    <s v="Cooling Mechanism"/>
    <s v="Cooling Components"/>
    <s v="Copper Tubes"/>
    <n v="0.5"/>
    <n v="0.5"/>
    <s v="No"/>
    <m/>
    <m/>
    <n v="1"/>
    <m/>
    <n v="0"/>
    <s v="No"/>
    <s v="N/A"/>
    <n v="0"/>
    <s v="N/A"/>
    <m/>
    <m/>
    <m/>
    <m/>
    <x v="0"/>
  </r>
  <r>
    <n v="17"/>
    <x v="3"/>
    <m/>
    <m/>
    <x v="0"/>
    <x v="2"/>
    <s v="25-00320"/>
    <s v="N/A"/>
    <s v="VG-200, increased plaster length for HELL →2 extra Shelves &amp; Increased Load with smaller Price profile option"/>
    <x v="0"/>
    <x v="0"/>
    <s v="ICM"/>
    <x v="1"/>
    <s v="Shelving"/>
    <s v="N/A"/>
    <s v="N/A"/>
    <n v="3"/>
    <n v="2"/>
    <s v="Yes"/>
    <m/>
    <m/>
    <n v="7"/>
    <m/>
    <n v="3"/>
    <s v="No"/>
    <s v="N/A"/>
    <n v="1.5"/>
    <s v="N/A"/>
    <m/>
    <m/>
    <m/>
    <m/>
    <x v="0"/>
  </r>
  <r>
    <n v="18"/>
    <x v="3"/>
    <m/>
    <m/>
    <x v="0"/>
    <x v="2"/>
    <s v="25-00320"/>
    <s v="N/A"/>
    <s v="VG-250, For HELL →2 extra Shelves &amp; Increased Load with smaller Price profile option"/>
    <x v="0"/>
    <x v="0"/>
    <s v="ICM"/>
    <x v="1"/>
    <s v="Shelving"/>
    <s v="N/A"/>
    <s v="N/A"/>
    <n v="3"/>
    <n v="2"/>
    <s v="Yes"/>
    <m/>
    <m/>
    <n v="7"/>
    <m/>
    <n v="3"/>
    <s v="No"/>
    <s v="N/A"/>
    <n v="1.5"/>
    <s v="N/A"/>
    <m/>
    <m/>
    <m/>
    <m/>
    <x v="0"/>
  </r>
  <r>
    <n v="19"/>
    <x v="4"/>
    <m/>
    <m/>
    <x v="2"/>
    <x v="2"/>
    <s v="24-00241"/>
    <s v="N/A"/>
    <s v="Integrated handle in FV 1000 - S. Africa "/>
    <x v="3"/>
    <x v="0"/>
    <s v="ICM"/>
    <x v="1"/>
    <s v="Door"/>
    <s v="N/A"/>
    <s v="N/A"/>
    <n v="0.5"/>
    <n v="0.5"/>
    <s v="No"/>
    <m/>
    <m/>
    <n v="0"/>
    <m/>
    <n v="1"/>
    <s v="No"/>
    <s v="Not Started"/>
    <n v="0"/>
    <m/>
    <m/>
    <m/>
    <m/>
    <m/>
    <x v="0"/>
  </r>
  <r>
    <n v="20"/>
    <x v="0"/>
    <m/>
    <m/>
    <x v="2"/>
    <x v="0"/>
    <s v="24-00238"/>
    <s v="N/A"/>
    <s v="INOX sheet + caster wheel in E-47, model"/>
    <x v="0"/>
    <x v="0"/>
    <s v="ICM"/>
    <x v="1"/>
    <s v="Insulated Cabin"/>
    <s v="N/A"/>
    <s v="N/A"/>
    <n v="1"/>
    <n v="0"/>
    <s v="No"/>
    <m/>
    <m/>
    <n v="0"/>
    <m/>
    <n v="0"/>
    <s v="No"/>
    <s v="N/A"/>
    <n v="0"/>
    <s v="Drawing Released, Caster wheel can not be implemented as it needs new tooling of roller bracket. To be included in roller bracket RM saving project"/>
    <m/>
    <m/>
    <m/>
    <m/>
    <x v="0"/>
  </r>
  <r>
    <n v="21"/>
    <x v="0"/>
    <m/>
    <m/>
    <x v="2"/>
    <x v="0"/>
    <s v="24-00240"/>
    <s v="N/A"/>
    <s v="INOX sheet + caster wheel in S-35  model"/>
    <x v="0"/>
    <x v="0"/>
    <s v="ICM"/>
    <x v="1"/>
    <s v="Insulated Cabin"/>
    <s v="N/A"/>
    <s v="N/A"/>
    <n v="2"/>
    <n v="0"/>
    <s v="No"/>
    <m/>
    <m/>
    <n v="0"/>
    <m/>
    <n v="0"/>
    <s v="No"/>
    <s v="N/A"/>
    <n v="0"/>
    <s v="Drawing Released, Caster wheel can not be implemented as it needs new tooling of roller bracket. To be included in roller bracket RM saving project"/>
    <m/>
    <m/>
    <m/>
    <m/>
    <x v="0"/>
  </r>
  <r>
    <n v="22"/>
    <x v="0"/>
    <m/>
    <m/>
    <x v="2"/>
    <x v="0"/>
    <s v="24-00239"/>
    <s v="N/A"/>
    <s v="INOX sheet + caster wheel in S-45 model"/>
    <x v="0"/>
    <x v="0"/>
    <s v="ICM"/>
    <x v="1"/>
    <s v="Insulated Cabin"/>
    <s v="N/A"/>
    <s v="N/A"/>
    <n v="1"/>
    <n v="0"/>
    <s v="No"/>
    <m/>
    <m/>
    <n v="0"/>
    <m/>
    <n v="0"/>
    <s v="No"/>
    <s v="N/A"/>
    <n v="0"/>
    <s v="Drawing Released, Caster wheel can not be implemented as it needs new tooling of roller bracket. To be included in roller bracket RM saving project"/>
    <m/>
    <m/>
    <m/>
    <m/>
    <x v="0"/>
  </r>
  <r>
    <n v="23"/>
    <x v="0"/>
    <m/>
    <m/>
    <x v="2"/>
    <x v="0"/>
    <s v="25-00302"/>
    <s v="25IND005"/>
    <s v="Copper Parts : Dual sourcing for Driers and accumulators (SVS -&gt; SVS &amp; KPM)"/>
    <x v="0"/>
    <x v="0"/>
    <s v="ICM"/>
    <x v="0"/>
    <s v="Cooling Mechanism"/>
    <s v="Cooling Components"/>
    <s v="Copper Tubes"/>
    <n v="0"/>
    <n v="0"/>
    <s v="Yes"/>
    <m/>
    <m/>
    <n v="0.5"/>
    <m/>
    <n v="0"/>
    <s v="No"/>
    <s v="N/A"/>
    <n v="0"/>
    <m/>
    <m/>
    <m/>
    <m/>
    <m/>
    <x v="0"/>
  </r>
  <r>
    <n v="24"/>
    <x v="0"/>
    <m/>
    <m/>
    <x v="2"/>
    <x v="0"/>
    <s v="25-00305"/>
    <s v="25IND020"/>
    <s v="Top Hinge (Single Source) : Alternate Supplier Development- Testing_x000a_DPK -&gt; Under evaluation"/>
    <x v="0"/>
    <x v="0"/>
    <s v="ICM"/>
    <x v="0"/>
    <s v="Insulated Cabin"/>
    <s v="Steel &amp; Parts"/>
    <s v="Metal Processing &amp; Components"/>
    <n v="0"/>
    <n v="0"/>
    <s v="No"/>
    <m/>
    <m/>
    <n v="0"/>
    <m/>
    <n v="0"/>
    <s v="No"/>
    <s v="N/A"/>
    <n v="0"/>
    <s v="Sourcing team to conduct door opening test on new hinges in colloboration with PD"/>
    <m/>
    <m/>
    <m/>
    <m/>
    <x v="0"/>
  </r>
  <r>
    <n v="25"/>
    <x v="0"/>
    <m/>
    <m/>
    <x v="2"/>
    <x v="0"/>
    <s v="25-00306"/>
    <s v="25IND025"/>
    <s v="Wire Shelf : New Supplier Development- Testing_x000a_Secom -&gt; Bedi Wire/SR Fabrication"/>
    <x v="0"/>
    <x v="0"/>
    <s v="ICM"/>
    <x v="0"/>
    <s v="Shelving"/>
    <s v="Steel &amp; Parts"/>
    <s v="Metal Processing &amp; Components"/>
    <n v="0"/>
    <n v="0"/>
    <s v="No"/>
    <m/>
    <m/>
    <n v="0"/>
    <m/>
    <n v="0"/>
    <s v="No"/>
    <s v="N/A"/>
    <n v="0"/>
    <s v="Sagging test to be done afer receving samples"/>
    <m/>
    <m/>
    <m/>
    <m/>
    <x v="0"/>
  </r>
  <r>
    <n v="26"/>
    <x v="2"/>
    <m/>
    <s v="Y"/>
    <x v="2"/>
    <x v="0"/>
    <s v="24-00221_1"/>
    <s v="25SRC043"/>
    <s v="PSU Tauras 12W as alternative supplier for Meanwell 12W"/>
    <x v="4"/>
    <x v="0"/>
    <s v="ICM"/>
    <x v="0"/>
    <s v="Electrical Parts"/>
    <s v="Electrical Components"/>
    <s v="PSU"/>
    <n v="3"/>
    <n v="1"/>
    <s v="No"/>
    <m/>
    <m/>
    <n v="1"/>
    <m/>
    <n v="0"/>
    <s v="Yes"/>
    <s v="Not Started"/>
    <n v="0.5"/>
    <m/>
    <m/>
    <m/>
    <m/>
    <m/>
    <x v="0"/>
  </r>
  <r>
    <n v="27"/>
    <x v="2"/>
    <m/>
    <s v="Y"/>
    <x v="2"/>
    <x v="0"/>
    <s v="24-00221_2"/>
    <s v="25SRC044"/>
    <s v="PSU Tauras 16W as alternative supplier for Meanwell 16W"/>
    <x v="4"/>
    <x v="0"/>
    <s v="ICM"/>
    <x v="0"/>
    <s v="Electrical Parts"/>
    <s v="Electrical Components"/>
    <s v="PSU"/>
    <n v="3"/>
    <n v="1"/>
    <s v="No"/>
    <m/>
    <m/>
    <n v="1"/>
    <m/>
    <n v="0"/>
    <s v="Yes"/>
    <s v="Not Started"/>
    <n v="0.5"/>
    <m/>
    <m/>
    <m/>
    <m/>
    <m/>
    <x v="0"/>
  </r>
  <r>
    <n v="28"/>
    <x v="2"/>
    <m/>
    <s v="Y"/>
    <x v="2"/>
    <x v="0"/>
    <s v="24-00221_3"/>
    <s v="25SRC044"/>
    <s v="PSU Tauras 24W as alternative supplier for Meanwell 16W"/>
    <x v="4"/>
    <x v="0"/>
    <s v="ICM"/>
    <x v="0"/>
    <s v="Electrical Parts"/>
    <s v="Electrical Components"/>
    <s v="PSU"/>
    <n v="3"/>
    <n v="1"/>
    <s v="No"/>
    <m/>
    <m/>
    <n v="1"/>
    <m/>
    <n v="0"/>
    <s v="Yes"/>
    <s v="Not Started"/>
    <n v="0.5"/>
    <m/>
    <m/>
    <m/>
    <m/>
    <m/>
    <x v="0"/>
  </r>
  <r>
    <n v="29"/>
    <x v="5"/>
    <m/>
    <m/>
    <x v="0"/>
    <x v="1"/>
    <s v="25-00314"/>
    <s v="N/A"/>
    <s v="Low voltage cooler - S. Africa  -RCCB with Isolation transformer-Fesibility Study and sample preparation/testing"/>
    <x v="3"/>
    <x v="0"/>
    <s v="ICM"/>
    <x v="1"/>
    <s v="Complete Cooler"/>
    <s v="N/A"/>
    <s v="N/A"/>
    <n v="8"/>
    <n v="8"/>
    <s v="Yes"/>
    <m/>
    <m/>
    <n v="8"/>
    <m/>
    <n v="16"/>
    <s v="Yes"/>
    <s v="Not Started"/>
    <n v="3"/>
    <s v="Feasibility study- Project start date to be communicated later"/>
    <m/>
    <m/>
    <m/>
    <m/>
    <x v="0"/>
  </r>
  <r>
    <n v="30"/>
    <x v="3"/>
    <m/>
    <m/>
    <x v="2"/>
    <x v="2"/>
    <s v="24-00186"/>
    <s v="N/A"/>
    <s v="Integrated handle in DD model - India -SP800/S800/S1100- 3 models"/>
    <x v="0"/>
    <x v="0"/>
    <s v="ICM"/>
    <x v="1"/>
    <s v="Door"/>
    <s v="N/A"/>
    <s v="N/A"/>
    <n v="2"/>
    <n v="0"/>
    <s v="No"/>
    <m/>
    <m/>
    <n v="0"/>
    <m/>
    <n v="0"/>
    <s v="No"/>
    <s v="N/A"/>
    <n v="0"/>
    <m/>
    <m/>
    <m/>
    <m/>
    <m/>
    <x v="1"/>
  </r>
  <r>
    <n v="31"/>
    <x v="0"/>
    <m/>
    <m/>
    <x v="0"/>
    <x v="0"/>
    <s v="25-00310"/>
    <s v="25SRC019-2"/>
    <s v="Compressor Donper L68WU1 as alternative to Huayi NUS70NA  →S-600 [R290](Coke Africa)"/>
    <x v="0"/>
    <x v="0"/>
    <s v="ICM"/>
    <x v="0"/>
    <s v="Cooling Mechanism"/>
    <s v="Cooling Components"/>
    <s v="Compressors"/>
    <n v="1"/>
    <n v="3"/>
    <s v="Yes"/>
    <m/>
    <m/>
    <n v="6"/>
    <m/>
    <n v="2"/>
    <s v="Yes"/>
    <s v="Start Date→ 13-02-25_x000a_End Date→ 27-03-25"/>
    <n v="0"/>
    <s v="Safety completed"/>
    <m/>
    <m/>
    <m/>
    <m/>
    <x v="0"/>
  </r>
  <r>
    <n v="32"/>
    <x v="2"/>
    <m/>
    <m/>
    <x v="0"/>
    <x v="0"/>
    <s v="25-00259"/>
    <s v="25SRC008-2"/>
    <s v="Compressor Donper L76WU1 as alternative to Tecumseh TCW415U-C3B S60 R290 "/>
    <x v="0"/>
    <x v="0"/>
    <s v="ICM"/>
    <x v="0"/>
    <s v="Cooling Mechanism"/>
    <s v="Cooling Components"/>
    <s v="Compressors"/>
    <n v="1"/>
    <n v="3"/>
    <s v="Yes"/>
    <m/>
    <m/>
    <n v="6"/>
    <m/>
    <n v="2"/>
    <s v="Yes"/>
    <s v="Start Date→ 29-10-24_x000a_End Date→ 18-12-24"/>
    <n v="0"/>
    <s v="Safety completed"/>
    <m/>
    <m/>
    <m/>
    <m/>
    <x v="0"/>
  </r>
  <r>
    <n v="33"/>
    <x v="0"/>
    <m/>
    <s v="Y"/>
    <x v="0"/>
    <x v="0"/>
    <s v="25-00265"/>
    <s v="25SRC010-1"/>
    <s v="Compressor Donper L76WU1 as alternative to Huayi NUS70NA→FV-1000  C [R290] FFD (Coke Africa)"/>
    <x v="3"/>
    <x v="0"/>
    <s v="ICM"/>
    <x v="0"/>
    <s v="Cooling Mechanism"/>
    <s v="Cooling Components"/>
    <s v="Compressors"/>
    <n v="4"/>
    <n v="6"/>
    <s v="Yes"/>
    <m/>
    <m/>
    <n v="6"/>
    <m/>
    <n v="0"/>
    <s v="Yes"/>
    <s v="Start Date→ 11-01-25_x000a_End Date→ 10-02-25"/>
    <n v="0"/>
    <s v="Safety completed"/>
    <m/>
    <m/>
    <m/>
    <m/>
    <x v="2"/>
  </r>
  <r>
    <n v="34"/>
    <x v="0"/>
    <m/>
    <s v="Y"/>
    <x v="0"/>
    <x v="0"/>
    <s v="25-00291"/>
    <s v="25SRC010-2"/>
    <s v="Compressor Donper L76WU1 as alternative to Huayi NUS70NA→FV-650  C [R290] FFD (Coke Africa) "/>
    <x v="3"/>
    <x v="0"/>
    <s v="ICM"/>
    <x v="0"/>
    <s v="Cooling Mechanism"/>
    <s v="Cooling Components"/>
    <s v="Compressors"/>
    <n v="4"/>
    <n v="6"/>
    <s v="Yes"/>
    <m/>
    <m/>
    <n v="6"/>
    <m/>
    <n v="0"/>
    <s v="Yes"/>
    <s v="Start Date→ 25-01-25_x000a_End Date→ 13-03-25"/>
    <n v="0"/>
    <s v="Safety completed"/>
    <m/>
    <m/>
    <m/>
    <m/>
    <x v="2"/>
  </r>
  <r>
    <n v="35"/>
    <x v="0"/>
    <m/>
    <m/>
    <x v="0"/>
    <x v="0"/>
    <s v="25-00263"/>
    <s v="24IND024"/>
    <s v="WOT Localization - 6R/7R/8R (All applicable models-Cooling update)- BMR"/>
    <x v="0"/>
    <x v="0"/>
    <s v="ICM"/>
    <x v="0"/>
    <s v="Cooling Mechanism"/>
    <s v="Cooling Components"/>
    <s v="HEX"/>
    <n v="1"/>
    <n v="1"/>
    <s v="Yes"/>
    <m/>
    <m/>
    <n v="2"/>
    <m/>
    <n v="1"/>
    <s v="No"/>
    <s v="N/A"/>
    <n v="0"/>
    <m/>
    <m/>
    <m/>
    <m/>
    <m/>
    <x v="0"/>
  </r>
  <r>
    <n v="36"/>
    <x v="6"/>
    <m/>
    <m/>
    <x v="0"/>
    <x v="0"/>
    <s v="TBD"/>
    <s v="26IND009_1"/>
    <s v="WOT Localization - 8R (Applicable for DD models-Cooling update)- BMR"/>
    <x v="0"/>
    <x v="0"/>
    <s v="ICM"/>
    <x v="0"/>
    <s v="Cooling Mechanism"/>
    <s v="Cooling Components"/>
    <s v="HEX"/>
    <n v="4"/>
    <n v="6"/>
    <s v="Yes"/>
    <m/>
    <m/>
    <n v="2"/>
    <m/>
    <n v="12"/>
    <s v="No"/>
    <s v="N/A"/>
    <n v="0"/>
    <m/>
    <m/>
    <m/>
    <m/>
    <m/>
    <x v="3"/>
  </r>
  <r>
    <n v="37"/>
    <x v="6"/>
    <m/>
    <s v="Y"/>
    <x v="0"/>
    <x v="0"/>
    <s v="TBD"/>
    <s v="26IND009_2"/>
    <s v="WOT Localization - 7R (Applicable for DD models-Cooling update)- KRN"/>
    <x v="0"/>
    <x v="0"/>
    <s v="ICM"/>
    <x v="0"/>
    <s v="Cooling Mechanism"/>
    <s v="Cooling Components"/>
    <s v="HEX"/>
    <n v="4"/>
    <n v="1"/>
    <s v="Yes"/>
    <m/>
    <m/>
    <n v="2"/>
    <m/>
    <n v="12"/>
    <s v="No"/>
    <s v="N/A"/>
    <n v="0"/>
    <m/>
    <m/>
    <m/>
    <m/>
    <m/>
    <x v="0"/>
  </r>
  <r>
    <n v="38"/>
    <x v="6"/>
    <m/>
    <s v="Y"/>
    <x v="0"/>
    <x v="0"/>
    <s v="TBD"/>
    <s v="26IND009_3"/>
    <s v="Evaporator Alternate supplier- 2R (Applicable for SD models-Cooling update)- KRN"/>
    <x v="0"/>
    <x v="0"/>
    <s v="ICM"/>
    <x v="0"/>
    <s v="Cooling Mechanism"/>
    <s v="Cooling Components"/>
    <s v="HEX"/>
    <n v="4"/>
    <n v="1"/>
    <s v="Yes"/>
    <m/>
    <m/>
    <n v="2"/>
    <m/>
    <n v="12"/>
    <s v="No"/>
    <s v="N/A"/>
    <n v="0"/>
    <m/>
    <m/>
    <m/>
    <m/>
    <m/>
    <x v="2"/>
  </r>
  <r>
    <n v="39"/>
    <x v="6"/>
    <m/>
    <s v="Y"/>
    <x v="0"/>
    <x v="0"/>
    <s v="TBD"/>
    <s v="26IND009_4"/>
    <s v="Evaporator Localization - 3R (Applicable for DD models-Cooling update)- KRN"/>
    <x v="0"/>
    <x v="0"/>
    <s v="ICM"/>
    <x v="0"/>
    <s v="Cooling Mechanism"/>
    <s v="Cooling Components"/>
    <s v="HEX"/>
    <n v="4"/>
    <n v="1"/>
    <s v="Yes"/>
    <m/>
    <m/>
    <n v="2"/>
    <m/>
    <n v="12"/>
    <s v="No"/>
    <s v="N/A"/>
    <n v="0"/>
    <m/>
    <m/>
    <m/>
    <m/>
    <m/>
    <x v="4"/>
  </r>
  <r>
    <n v="40"/>
    <x v="0"/>
    <m/>
    <s v="Y"/>
    <x v="2"/>
    <x v="0"/>
    <s v="25-00264"/>
    <s v="25IND013-1"/>
    <s v="LED: LED cable from Bottom side of cabinet  E47  &amp; Variants"/>
    <x v="0"/>
    <x v="0"/>
    <s v="ICM"/>
    <x v="2"/>
    <s v="Illumination"/>
    <s v="Electrical Components"/>
    <s v="Cable Harnesses"/>
    <n v="3"/>
    <n v="1"/>
    <s v="No"/>
    <m/>
    <m/>
    <n v="0"/>
    <m/>
    <n v="0"/>
    <s v="No"/>
    <s v="N/A"/>
    <n v="0"/>
    <m/>
    <s v="No"/>
    <s v="No"/>
    <m/>
    <m/>
    <x v="2"/>
  </r>
  <r>
    <n v="41"/>
    <x v="0"/>
    <m/>
    <m/>
    <x v="2"/>
    <x v="0"/>
    <s v="25-00264"/>
    <s v="25IND013-2"/>
    <s v="LED: LED cable from Bottom side of cabinet S35  &amp; Variants"/>
    <x v="0"/>
    <x v="0"/>
    <s v="ICM"/>
    <x v="2"/>
    <s v="Illumination"/>
    <s v="Electrical Components"/>
    <s v="Cable Harnesses"/>
    <n v="3"/>
    <n v="3"/>
    <s v="No"/>
    <m/>
    <m/>
    <n v="0"/>
    <m/>
    <n v="0"/>
    <s v="No"/>
    <s v="N/A"/>
    <n v="0"/>
    <m/>
    <s v="No"/>
    <s v="No"/>
    <m/>
    <m/>
    <x v="0"/>
  </r>
  <r>
    <n v="42"/>
    <x v="0"/>
    <m/>
    <m/>
    <x v="2"/>
    <x v="0"/>
    <s v="25-00264"/>
    <s v="25IND013-3"/>
    <s v="LED: LED cable from Bottom side of cabinet S45  &amp; Variants"/>
    <x v="0"/>
    <x v="0"/>
    <s v="ICM"/>
    <x v="2"/>
    <s v="Illumination"/>
    <s v="Electrical Components"/>
    <s v="Cable Harnesses"/>
    <n v="2"/>
    <n v="1"/>
    <s v="No"/>
    <m/>
    <m/>
    <n v="0"/>
    <m/>
    <n v="0"/>
    <s v="No"/>
    <s v="N/A"/>
    <n v="0"/>
    <m/>
    <s v="No"/>
    <s v="No"/>
    <m/>
    <m/>
    <x v="0"/>
  </r>
  <r>
    <n v="43"/>
    <x v="0"/>
    <m/>
    <m/>
    <x v="2"/>
    <x v="0"/>
    <s v="25-00264"/>
    <s v="25IND013-4"/>
    <s v="LED: LED cable from Bottom side of cabinet S60  &amp; Variants"/>
    <x v="0"/>
    <x v="0"/>
    <s v="ICM"/>
    <x v="2"/>
    <s v="Illumination"/>
    <s v="Electrical Components"/>
    <s v="Cable Harnesses"/>
    <n v="2"/>
    <n v="2"/>
    <s v="No"/>
    <m/>
    <m/>
    <n v="0"/>
    <m/>
    <n v="0"/>
    <s v="No"/>
    <s v="N/A"/>
    <n v="0"/>
    <m/>
    <s v="No"/>
    <s v="No"/>
    <m/>
    <m/>
    <x v="0"/>
  </r>
  <r>
    <n v="44"/>
    <x v="0"/>
    <m/>
    <s v="Y"/>
    <x v="2"/>
    <x v="0"/>
    <s v="25-00264"/>
    <s v="25IND013-5"/>
    <s v="LED: LED cable from Bottom side of cabinet SP800/Super-800  &amp; Variants"/>
    <x v="0"/>
    <x v="0"/>
    <s v="ICM"/>
    <x v="2"/>
    <s v="Illumination"/>
    <s v="Electrical Components"/>
    <s v="Cable Harnesses"/>
    <n v="3"/>
    <n v="2"/>
    <s v="No"/>
    <m/>
    <m/>
    <n v="0"/>
    <m/>
    <n v="0"/>
    <s v="No"/>
    <s v="N/A"/>
    <n v="0"/>
    <m/>
    <s v="No"/>
    <s v="No"/>
    <m/>
    <m/>
    <x v="2"/>
  </r>
  <r>
    <n v="45"/>
    <x v="0"/>
    <m/>
    <s v="Y"/>
    <x v="2"/>
    <x v="0"/>
    <s v="25-00264"/>
    <s v="25IND013-6"/>
    <s v="LED: LED cable from Bottom side of cabinet Super-1100  &amp; Variants"/>
    <x v="0"/>
    <x v="0"/>
    <s v="ICM"/>
    <x v="2"/>
    <s v="Illumination"/>
    <s v="Electrical Components"/>
    <s v="Cable Harnesses"/>
    <n v="3"/>
    <n v="2"/>
    <s v="No"/>
    <m/>
    <m/>
    <n v="0"/>
    <m/>
    <n v="0"/>
    <s v="No"/>
    <s v="N/A"/>
    <n v="0"/>
    <m/>
    <s v="No"/>
    <s v="No"/>
    <m/>
    <m/>
    <x v="0"/>
  </r>
  <r>
    <n v="46"/>
    <x v="0"/>
    <m/>
    <s v="Y"/>
    <x v="2"/>
    <x v="0"/>
    <s v="25-00264"/>
    <s v="25IND013-9"/>
    <s v="LED: LED cable from Bottom side of cabinet Super-1000  &amp; Variants"/>
    <x v="0"/>
    <x v="0"/>
    <s v="ICM"/>
    <x v="2"/>
    <s v="Illumination"/>
    <s v="Electrical Components"/>
    <s v="Cable Harnesses"/>
    <n v="3"/>
    <n v="1"/>
    <s v="No"/>
    <m/>
    <m/>
    <n v="0"/>
    <m/>
    <n v="0"/>
    <s v="No"/>
    <s v="N/A"/>
    <n v="0"/>
    <m/>
    <s v="No"/>
    <s v="No"/>
    <m/>
    <m/>
    <x v="0"/>
  </r>
  <r>
    <n v="47"/>
    <x v="4"/>
    <m/>
    <s v="Y"/>
    <x v="2"/>
    <x v="0"/>
    <s v="25-00295"/>
    <s v="25IND016-1"/>
    <s v="Electrical Box: Removal New small electrical box for E47 Variants (Nok Coke/Non Pepsi) "/>
    <x v="0"/>
    <x v="0"/>
    <s v="ICM"/>
    <x v="2"/>
    <s v="Electrical Parts"/>
    <s v="Steel &amp; Parts"/>
    <s v="Steel-GI"/>
    <n v="3"/>
    <n v="1"/>
    <s v="No"/>
    <m/>
    <m/>
    <n v="0"/>
    <m/>
    <n v="0"/>
    <s v="No"/>
    <s v="N/A"/>
    <n v="0"/>
    <m/>
    <s v="Yes"/>
    <s v="Yes"/>
    <m/>
    <m/>
    <x v="2"/>
  </r>
  <r>
    <n v="48"/>
    <x v="3"/>
    <m/>
    <m/>
    <x v="2"/>
    <x v="0"/>
    <s v="25-00295"/>
    <s v="25IND016-2"/>
    <s v="Electrical Box: Removal New small  electrical box for S35 Variants (Nok Coke/Non Pepsi)"/>
    <x v="0"/>
    <x v="0"/>
    <s v="ICM"/>
    <x v="2"/>
    <s v="Electrical Parts"/>
    <s v="Steel &amp; Parts"/>
    <s v="Steel-GI"/>
    <n v="2"/>
    <n v="2"/>
    <s v="No"/>
    <m/>
    <m/>
    <n v="0"/>
    <m/>
    <n v="0"/>
    <s v="No"/>
    <s v="N/A"/>
    <n v="0"/>
    <m/>
    <s v="Yes"/>
    <s v="Yes"/>
    <m/>
    <m/>
    <x v="0"/>
  </r>
  <r>
    <n v="49"/>
    <x v="0"/>
    <m/>
    <s v="Y"/>
    <x v="2"/>
    <x v="0"/>
    <s v="25-00295"/>
    <s v="25IND016-3"/>
    <s v="Electrical Box: Removal New smallelectrical box for S40 &amp; Variants (Nok Coke/Non Pepsi)"/>
    <x v="0"/>
    <x v="0"/>
    <s v="ICM"/>
    <x v="2"/>
    <s v="Electrical Parts"/>
    <s v="Steel &amp; Parts"/>
    <s v="Steel-GI"/>
    <n v="3"/>
    <n v="1"/>
    <s v="No"/>
    <m/>
    <m/>
    <n v="0"/>
    <m/>
    <n v="0"/>
    <s v="No"/>
    <s v="N/A"/>
    <n v="0"/>
    <m/>
    <s v="Yes"/>
    <s v="Yes"/>
    <m/>
    <m/>
    <x v="2"/>
  </r>
  <r>
    <n v="50"/>
    <x v="0"/>
    <m/>
    <m/>
    <x v="2"/>
    <x v="0"/>
    <s v="25-00295"/>
    <s v="25IND016-4"/>
    <s v="Electrical Box:Removal New smallelectrical box for S45 &amp; Variants(Nok Coke/Non Pepsi)"/>
    <x v="0"/>
    <x v="0"/>
    <s v="ICM"/>
    <x v="2"/>
    <s v="Electrical Parts"/>
    <s v="Steel &amp; Parts"/>
    <s v="Steel-GI"/>
    <n v="2"/>
    <n v="2"/>
    <s v="No"/>
    <m/>
    <m/>
    <n v="0"/>
    <m/>
    <n v="0"/>
    <s v="No"/>
    <s v="N/A"/>
    <n v="0"/>
    <m/>
    <s v="Yes"/>
    <s v="Yes"/>
    <m/>
    <m/>
    <x v="0"/>
  </r>
  <r>
    <n v="51"/>
    <x v="0"/>
    <m/>
    <s v="Y"/>
    <x v="2"/>
    <x v="0"/>
    <s v="25-00295"/>
    <s v="25IND016-4"/>
    <s v="Electrical Box: Removal New smallelectrical box for S50 &amp; Variants  (Nok Coke/Non Pepsi)"/>
    <x v="0"/>
    <x v="0"/>
    <s v="ICM"/>
    <x v="2"/>
    <s v="Electrical Parts"/>
    <s v="Steel &amp; Parts"/>
    <s v="Steel-GI"/>
    <n v="3"/>
    <n v="1"/>
    <s v="No"/>
    <m/>
    <m/>
    <n v="0"/>
    <m/>
    <n v="0"/>
    <s v="No"/>
    <s v="N/A"/>
    <n v="0"/>
    <m/>
    <s v="Yes"/>
    <s v="Yes"/>
    <m/>
    <m/>
    <x v="2"/>
  </r>
  <r>
    <n v="52"/>
    <x v="0"/>
    <m/>
    <m/>
    <x v="2"/>
    <x v="0"/>
    <s v="25-00295"/>
    <s v="25IND016-6"/>
    <s v="Electrical Box: Removal New smallelectrical box for S60  &amp; Variants(Nok Coke/Non Pepsi)"/>
    <x v="0"/>
    <x v="0"/>
    <s v="ICM"/>
    <x v="2"/>
    <s v="Electrical Parts"/>
    <s v="Steel &amp; Parts"/>
    <s v="Steel-GI"/>
    <n v="2"/>
    <n v="2"/>
    <s v="No"/>
    <m/>
    <m/>
    <n v="0"/>
    <m/>
    <n v="0"/>
    <s v="No"/>
    <s v="N/A"/>
    <n v="0"/>
    <m/>
    <s v="Yes"/>
    <s v="Yes"/>
    <m/>
    <m/>
    <x v="0"/>
  </r>
  <r>
    <n v="53"/>
    <x v="0"/>
    <m/>
    <s v="Y"/>
    <x v="0"/>
    <x v="0"/>
    <s v="25-00295"/>
    <s v="25IND016-7"/>
    <s v="Electrical Box: Removal New small electrical box for Super-800 &amp; Variants (Nok Coke/Non Pepsi)"/>
    <x v="0"/>
    <x v="0"/>
    <s v="ICM"/>
    <x v="2"/>
    <s v="Electrical Parts"/>
    <s v="Steel &amp; Parts"/>
    <s v="Steel-GI"/>
    <n v="4"/>
    <n v="2"/>
    <s v="No"/>
    <m/>
    <m/>
    <n v="0"/>
    <m/>
    <n v="0"/>
    <s v="No"/>
    <s v="N/A"/>
    <n v="0"/>
    <m/>
    <s v="Yes"/>
    <s v="Yes"/>
    <m/>
    <m/>
    <x v="2"/>
  </r>
  <r>
    <n v="54"/>
    <x v="0"/>
    <m/>
    <s v="Y"/>
    <x v="0"/>
    <x v="0"/>
    <s v="25-00295"/>
    <s v="25IND016-9"/>
    <s v="Electrical Box: Removal New small electrical box for Super-1100 and Variants(Nok Coke/Non Pepsi)"/>
    <x v="0"/>
    <x v="0"/>
    <s v="ICM"/>
    <x v="2"/>
    <s v="Electrical Parts"/>
    <s v="Steel &amp; Parts"/>
    <s v="Steel-GI"/>
    <n v="4"/>
    <n v="2"/>
    <s v="No"/>
    <m/>
    <m/>
    <n v="0"/>
    <m/>
    <n v="0"/>
    <s v="No"/>
    <s v="N/A"/>
    <n v="0"/>
    <m/>
    <s v="Yes"/>
    <s v="Yes"/>
    <m/>
    <m/>
    <x v="0"/>
  </r>
  <r>
    <n v="55"/>
    <x v="0"/>
    <m/>
    <m/>
    <x v="2"/>
    <x v="0"/>
    <s v="25-00262"/>
    <s v="25IND019-2"/>
    <s v="Roller Bracket: Redesign to smaller roller Bracket - E47"/>
    <x v="0"/>
    <x v="0"/>
    <s v="ICM"/>
    <x v="2"/>
    <s v="Insulated Cabin"/>
    <s v="Steel &amp; Parts"/>
    <s v="Steel-GI"/>
    <n v="3"/>
    <n v="2"/>
    <s v="No"/>
    <m/>
    <m/>
    <n v="0"/>
    <m/>
    <n v="0"/>
    <s v="No"/>
    <s v="N/A"/>
    <n v="0"/>
    <m/>
    <s v="Yes"/>
    <s v="Yes"/>
    <m/>
    <m/>
    <x v="0"/>
  </r>
  <r>
    <n v="56"/>
    <x v="0"/>
    <m/>
    <m/>
    <x v="0"/>
    <x v="0"/>
    <s v="25-00262"/>
    <s v="25IND019-3"/>
    <s v="Roller Bracket: Redesign to smaller roller Bracket-S35"/>
    <x v="0"/>
    <x v="0"/>
    <s v="ICM"/>
    <x v="2"/>
    <s v="Insulated Cabin"/>
    <s v="Steel &amp; Parts"/>
    <s v="Steel-GI"/>
    <n v="2"/>
    <n v="2"/>
    <s v="No"/>
    <m/>
    <m/>
    <n v="0"/>
    <m/>
    <n v="0"/>
    <s v="No"/>
    <s v="N/A"/>
    <n v="0"/>
    <m/>
    <s v="Yes"/>
    <s v="Yes"/>
    <m/>
    <m/>
    <x v="0"/>
  </r>
  <r>
    <n v="57"/>
    <x v="0"/>
    <m/>
    <m/>
    <x v="2"/>
    <x v="0"/>
    <s v="25-00262"/>
    <s v="25IND019-4"/>
    <s v="Roller Bracket: Redesign to smaller roller Bracket-S40"/>
    <x v="0"/>
    <x v="0"/>
    <s v="ICM"/>
    <x v="2"/>
    <s v="Insulated Cabin"/>
    <s v="Steel &amp; Parts"/>
    <s v="Steel-GI"/>
    <n v="2"/>
    <n v="2"/>
    <s v="No"/>
    <m/>
    <m/>
    <n v="0"/>
    <m/>
    <n v="0"/>
    <s v="No"/>
    <s v="N/A"/>
    <n v="0"/>
    <m/>
    <s v="Yes"/>
    <s v="Yes"/>
    <m/>
    <m/>
    <x v="0"/>
  </r>
  <r>
    <n v="58"/>
    <x v="0"/>
    <m/>
    <m/>
    <x v="2"/>
    <x v="0"/>
    <s v="25-00262"/>
    <s v="25IND019-5"/>
    <s v="Roller Bracket: Redesign to smaller roller Bracket-S45"/>
    <x v="0"/>
    <x v="0"/>
    <s v="ICM"/>
    <x v="2"/>
    <s v="Insulated Cabin"/>
    <s v="Steel &amp; Parts"/>
    <s v="Steel-GI"/>
    <n v="3"/>
    <n v="2"/>
    <s v="No"/>
    <m/>
    <m/>
    <n v="0"/>
    <m/>
    <n v="0"/>
    <s v="No"/>
    <s v="N/A"/>
    <n v="0"/>
    <m/>
    <s v="Yes"/>
    <s v="Yes"/>
    <m/>
    <m/>
    <x v="0"/>
  </r>
  <r>
    <n v="59"/>
    <x v="0"/>
    <m/>
    <s v="Y"/>
    <x v="2"/>
    <x v="0"/>
    <s v="25-00262"/>
    <s v="25IND019-5"/>
    <s v="Roller Bracket: Redesign to smaller roller Bracket-S50"/>
    <x v="0"/>
    <x v="0"/>
    <s v="ICM"/>
    <x v="2"/>
    <s v="Insulated Cabin"/>
    <s v="Steel &amp; Parts"/>
    <s v="Steel-GI"/>
    <n v="3"/>
    <n v="2"/>
    <s v="No"/>
    <m/>
    <m/>
    <n v="0"/>
    <m/>
    <n v="0"/>
    <s v="No"/>
    <s v="N/A"/>
    <n v="0"/>
    <m/>
    <s v="Yes"/>
    <s v="Yes"/>
    <m/>
    <m/>
    <x v="0"/>
  </r>
  <r>
    <n v="60"/>
    <x v="0"/>
    <m/>
    <m/>
    <x v="2"/>
    <x v="0"/>
    <s v="25-00262"/>
    <s v="25IND019-6"/>
    <s v="Roller Bracket: Redesign to smaller roller Bracket-S60"/>
    <x v="0"/>
    <x v="0"/>
    <s v="ICM"/>
    <x v="2"/>
    <s v="Insulated Cabin"/>
    <s v="Steel &amp; Parts"/>
    <s v="Steel-GI"/>
    <n v="2"/>
    <n v="2"/>
    <s v="No"/>
    <m/>
    <m/>
    <n v="0"/>
    <m/>
    <n v="0"/>
    <s v="No"/>
    <s v="N/A"/>
    <n v="0"/>
    <m/>
    <s v="Yes"/>
    <s v="Yes"/>
    <m/>
    <m/>
    <x v="0"/>
  </r>
  <r>
    <n v="61"/>
    <x v="2"/>
    <m/>
    <s v="Y"/>
    <x v="0"/>
    <x v="0"/>
    <s v="25-00279"/>
    <s v="24SRC009"/>
    <s v="Electronic motor Saiwei NEC4810 as alternative to Weiguang ECM7112"/>
    <x v="4"/>
    <x v="0"/>
    <s v="ICM"/>
    <x v="0"/>
    <s v="Electrical Parts"/>
    <s v="Electrical Components"/>
    <s v="Electronic Motors"/>
    <n v="4"/>
    <n v="1"/>
    <s v="Yes"/>
    <m/>
    <m/>
    <n v="1"/>
    <m/>
    <n v="1"/>
    <s v="Yes"/>
    <s v="Start Date→  28-10-24_x000a_End Date→ 30-11-24"/>
    <n v="0"/>
    <s v="Safety completed"/>
    <m/>
    <m/>
    <m/>
    <m/>
    <x v="0"/>
  </r>
  <r>
    <n v="62"/>
    <x v="2"/>
    <m/>
    <s v="Y"/>
    <x v="0"/>
    <x v="0"/>
    <s v="25-00280"/>
    <s v="24SRC010"/>
    <s v="Electronic motor Saiwei NEC6115 as alternative to Weiguang ECM7120"/>
    <x v="4"/>
    <x v="0"/>
    <s v="ICM"/>
    <x v="0"/>
    <s v="Electrical Parts"/>
    <s v="Electrical Components"/>
    <s v="Electronic Motors"/>
    <n v="4"/>
    <n v="2"/>
    <s v="Yes"/>
    <m/>
    <m/>
    <n v="1"/>
    <m/>
    <n v="1"/>
    <s v="Yes"/>
    <s v="Start Date→  28-10-24_x000a_End Date→ 30-11-24"/>
    <m/>
    <s v="Safety completed"/>
    <m/>
    <m/>
    <m/>
    <m/>
    <x v="0"/>
  </r>
  <r>
    <n v="63"/>
    <x v="2"/>
    <m/>
    <m/>
    <x v="2"/>
    <x v="3"/>
    <s v="25-00266"/>
    <s v="N/A"/>
    <s v="S1100 250ml Bottle falling - Shelf design Change"/>
    <x v="0"/>
    <x v="0"/>
    <s v="ICM"/>
    <x v="3"/>
    <s v="Insulated Cabin"/>
    <s v="Steel &amp; Parts"/>
    <s v="Shelves"/>
    <n v="1"/>
    <n v="2"/>
    <s v="No"/>
    <m/>
    <m/>
    <n v="0"/>
    <m/>
    <n v="0"/>
    <s v="No"/>
    <s v="N/A"/>
    <n v="0"/>
    <m/>
    <s v="Yes"/>
    <s v="Yes"/>
    <m/>
    <m/>
    <x v="0"/>
  </r>
  <r>
    <n v="64"/>
    <x v="0"/>
    <m/>
    <m/>
    <x v="0"/>
    <x v="3"/>
    <s v="25-00270"/>
    <s v="N/A"/>
    <s v="FV1000-FFD CCBSA Improvement points cover"/>
    <x v="3"/>
    <x v="0"/>
    <s v="ICM"/>
    <x v="1"/>
    <s v="Insulated Cabin"/>
    <s v="Steel &amp; Parts"/>
    <s v="Metal Processing &amp; Components"/>
    <n v="4"/>
    <n v="6"/>
    <s v="No"/>
    <m/>
    <m/>
    <n v="0"/>
    <m/>
    <n v="1"/>
    <s v="No"/>
    <s v="N/A"/>
    <n v="0"/>
    <m/>
    <s v="Yes"/>
    <s v="Yes"/>
    <m/>
    <m/>
    <x v="0"/>
  </r>
  <r>
    <n v="65"/>
    <x v="7"/>
    <m/>
    <m/>
    <x v="2"/>
    <x v="0"/>
    <s v="25-00267"/>
    <s v="25INN009"/>
    <s v="Change P/S type from I Series to L series"/>
    <x v="3"/>
    <x v="0"/>
    <s v="ICM"/>
    <x v="2"/>
    <s v="Electrical Parts"/>
    <s v="Electrical Components"/>
    <s v="Protector - Stabilizer"/>
    <n v="1"/>
    <n v="1"/>
    <s v="Yes"/>
    <m/>
    <m/>
    <n v="1"/>
    <m/>
    <n v="0"/>
    <s v="Yes"/>
    <s v="Completed"/>
    <n v="1.5"/>
    <m/>
    <m/>
    <m/>
    <m/>
    <m/>
    <x v="0"/>
  </r>
  <r>
    <n v="66"/>
    <x v="7"/>
    <m/>
    <m/>
    <x v="2"/>
    <x v="2"/>
    <s v="25-00332"/>
    <s v="N/A"/>
    <s v="Castor wheel option in S-60 - MENA"/>
    <x v="0"/>
    <x v="0"/>
    <s v="ICM"/>
    <x v="1"/>
    <s v="Insulated Cabin"/>
    <s v="N/A"/>
    <s v="N/A"/>
    <n v="1"/>
    <n v="1"/>
    <s v="No"/>
    <m/>
    <m/>
    <n v="0"/>
    <m/>
    <n v="0"/>
    <s v="No"/>
    <s v="N/A"/>
    <n v="0"/>
    <s v="N/A"/>
    <m/>
    <m/>
    <m/>
    <m/>
    <x v="1"/>
  </r>
  <r>
    <n v="67"/>
    <x v="0"/>
    <m/>
    <m/>
    <x v="1"/>
    <x v="1"/>
    <s v="24-00233"/>
    <s v="N/A"/>
    <s v="FV1000- Future Cooler (Covered in CCBSA points Project)"/>
    <x v="3"/>
    <x v="0"/>
    <s v="ICM"/>
    <x v="1"/>
    <s v="Complete Cooler"/>
    <s v="N/A"/>
    <s v="N/A"/>
    <n v="6"/>
    <n v="6"/>
    <s v="Yes"/>
    <m/>
    <m/>
    <n v="1"/>
    <m/>
    <n v="2"/>
    <s v="No"/>
    <s v="N/A"/>
    <n v="2"/>
    <s v="Saftey-To be decided Later"/>
    <m/>
    <m/>
    <m/>
    <m/>
    <x v="0"/>
  </r>
  <r>
    <n v="68"/>
    <x v="8"/>
    <m/>
    <m/>
    <x v="1"/>
    <x v="1"/>
    <s v="25-00292"/>
    <s v="N/A"/>
    <s v="S-1100 R290 EG (Coke)"/>
    <x v="2"/>
    <x v="0"/>
    <s v="ICM"/>
    <x v="1"/>
    <s v="Complete Cooler"/>
    <s v="N/A"/>
    <s v="N/A"/>
    <m/>
    <m/>
    <s v="Yes"/>
    <m/>
    <m/>
    <n v="8"/>
    <m/>
    <n v="4"/>
    <s v="Yes"/>
    <s v="Start Date→ 11-01-25_x000a_End Date→ 10-02-25"/>
    <n v="0"/>
    <m/>
    <m/>
    <m/>
    <m/>
    <m/>
    <x v="0"/>
  </r>
  <r>
    <n v="69"/>
    <x v="7"/>
    <m/>
    <m/>
    <x v="0"/>
    <x v="3"/>
    <s v="TBR"/>
    <s v="N/A"/>
    <s v="Super-35 Design data synchronization with production (Product file)"/>
    <x v="0"/>
    <x v="0"/>
    <s v="ICM"/>
    <x v="2"/>
    <s v="Complete Cooler"/>
    <s v="N/A"/>
    <s v="N/A"/>
    <m/>
    <m/>
    <s v="No"/>
    <m/>
    <m/>
    <n v="0"/>
    <m/>
    <n v="0"/>
    <s v="No"/>
    <s v="N/A"/>
    <n v="0"/>
    <m/>
    <m/>
    <m/>
    <m/>
    <m/>
    <x v="0"/>
  </r>
  <r>
    <n v="70"/>
    <x v="7"/>
    <m/>
    <m/>
    <x v="0"/>
    <x v="3"/>
    <s v="TBR"/>
    <s v="N/A"/>
    <s v="SM Updates-6 Nos. of SM- (1)Metal processing and components (2)Carton Box(3)Plastic Bag and Stretch Film(4)Copper components(5)Protector Stabilizer(6)Refrigerants"/>
    <x v="0"/>
    <x v="0"/>
    <s v="Other"/>
    <x v="4"/>
    <s v="Complete Cooler"/>
    <s v="N/A"/>
    <s v="N/A"/>
    <n v="15"/>
    <m/>
    <s v="No"/>
    <m/>
    <m/>
    <m/>
    <m/>
    <n v="0"/>
    <s v="No"/>
    <m/>
    <n v="0"/>
    <m/>
    <m/>
    <m/>
    <m/>
    <m/>
    <x v="0"/>
  </r>
  <r>
    <n v="71"/>
    <x v="5"/>
    <m/>
    <m/>
    <x v="0"/>
    <x v="3"/>
    <s v="25-00359"/>
    <s v="N/A"/>
    <s v="Tooling drawing for S250/S200"/>
    <x v="0"/>
    <x v="0"/>
    <s v="ICM"/>
    <x v="2"/>
    <m/>
    <m/>
    <m/>
    <n v="16"/>
    <m/>
    <s v="Yes"/>
    <m/>
    <m/>
    <m/>
    <m/>
    <n v="10"/>
    <s v="No"/>
    <m/>
    <n v="1"/>
    <m/>
    <m/>
    <m/>
    <m/>
    <m/>
    <x v="0"/>
  </r>
  <r>
    <n v="72"/>
    <x v="5"/>
    <m/>
    <m/>
    <x v="0"/>
    <x v="3"/>
    <s v="25-00360"/>
    <s v="N/A"/>
    <s v="Drawing modification required for Autoindexing not working and for ease of production"/>
    <x v="0"/>
    <x v="0"/>
    <s v="ICM"/>
    <x v="2"/>
    <m/>
    <m/>
    <m/>
    <n v="16"/>
    <m/>
    <s v="Yes"/>
    <m/>
    <m/>
    <m/>
    <m/>
    <n v="10"/>
    <s v="No"/>
    <m/>
    <n v="1"/>
    <m/>
    <m/>
    <m/>
    <m/>
    <m/>
    <x v="0"/>
  </r>
  <r>
    <n v="73"/>
    <x v="7"/>
    <m/>
    <m/>
    <x v="2"/>
    <x v="3"/>
    <s v="TBR"/>
    <s v="N/A"/>
    <s v="Bidding Files, Customer technical Data Sheet, Customer presentation"/>
    <x v="0"/>
    <x v="0"/>
    <s v="Other"/>
    <x v="2"/>
    <m/>
    <m/>
    <m/>
    <n v="5"/>
    <m/>
    <m/>
    <m/>
    <m/>
    <m/>
    <m/>
    <n v="5"/>
    <s v="No"/>
    <m/>
    <n v="1"/>
    <m/>
    <m/>
    <m/>
    <m/>
    <m/>
    <x v="1"/>
  </r>
  <r>
    <n v="74"/>
    <x v="0"/>
    <m/>
    <m/>
    <x v="0"/>
    <x v="3"/>
    <s v="TBR"/>
    <s v="N/A"/>
    <s v="PLM Administration- UAT Test"/>
    <x v="0"/>
    <x v="0"/>
    <s v="ICM"/>
    <x v="4"/>
    <s v="Complete Cooler"/>
    <s v="N/A"/>
    <s v="N/A"/>
    <n v="5"/>
    <m/>
    <s v="No"/>
    <m/>
    <m/>
    <m/>
    <m/>
    <n v="0"/>
    <s v="No"/>
    <m/>
    <m/>
    <m/>
    <m/>
    <m/>
    <m/>
    <m/>
    <x v="0"/>
  </r>
  <r>
    <n v="75"/>
    <x v="0"/>
    <m/>
    <s v="Y"/>
    <x v="2"/>
    <x v="0"/>
    <s v="25-00264"/>
    <s v="25IND013-1"/>
    <s v="LED: LED cable from Bottom side of cabinet  S-200  &amp; Variants"/>
    <x v="0"/>
    <x v="0"/>
    <s v="ICM"/>
    <x v="2"/>
    <s v="Illumination"/>
    <s v="Electrical Components"/>
    <s v="Cable Harnesses"/>
    <n v="3"/>
    <n v="1"/>
    <s v="No"/>
    <m/>
    <m/>
    <n v="0"/>
    <m/>
    <n v="0"/>
    <s v="No"/>
    <s v="N/A"/>
    <n v="0"/>
    <m/>
    <s v="No"/>
    <s v="No"/>
    <m/>
    <m/>
    <x v="2"/>
  </r>
  <r>
    <n v="76"/>
    <x v="0"/>
    <m/>
    <s v="Y"/>
    <x v="2"/>
    <x v="0"/>
    <s v="25-00264"/>
    <s v="25IND013-2"/>
    <s v="LED: LED cable from Bottom side of cabinet  S-250  &amp; Variants"/>
    <x v="0"/>
    <x v="0"/>
    <s v="ICM"/>
    <x v="2"/>
    <s v="Illumination"/>
    <s v="Electrical Components"/>
    <s v="Cable Harnesses"/>
    <n v="3"/>
    <n v="1"/>
    <s v="No"/>
    <m/>
    <m/>
    <n v="0"/>
    <m/>
    <n v="0"/>
    <s v="No"/>
    <s v="N/A"/>
    <n v="0"/>
    <m/>
    <s v="No"/>
    <s v="No"/>
    <m/>
    <m/>
    <x v="2"/>
  </r>
  <r>
    <n v="77"/>
    <x v="2"/>
    <m/>
    <s v="Y"/>
    <x v="0"/>
    <x v="0"/>
    <s v="25-00281"/>
    <s v="24SRC036"/>
    <s v="Shaded pole Q motor Saiwei as altearnative to Weiguang YZF10-20"/>
    <x v="4"/>
    <x v="0"/>
    <s v="ICM"/>
    <x v="0"/>
    <s v="Electrical Parts"/>
    <s v="Electrical Components"/>
    <s v="Shaded Pole Motors &amp; Blades"/>
    <n v="4"/>
    <m/>
    <s v="Yes"/>
    <m/>
    <m/>
    <n v="1"/>
    <m/>
    <n v="1"/>
    <s v="Yes"/>
    <s v="Start Date→ 29-10-24_x000a_End Date→ 18-12-24"/>
    <m/>
    <s v="Safety completed, new samples will be received from supplier with correct dimension."/>
    <m/>
    <m/>
    <m/>
    <m/>
    <x v="2"/>
  </r>
  <r>
    <n v="78"/>
    <x v="2"/>
    <m/>
    <s v="Y"/>
    <x v="0"/>
    <x v="0"/>
    <s v="25-00283"/>
    <s v="24SRC037"/>
    <s v="Shaded pole Q motor Saiwei as alternative to Weiguang YZF16-25"/>
    <x v="4"/>
    <x v="0"/>
    <s v="ICM"/>
    <x v="0"/>
    <s v="Electrical Parts"/>
    <s v="Electrical Components"/>
    <s v="Shaded Pole Motors &amp; Blades"/>
    <n v="4"/>
    <m/>
    <s v="Yes"/>
    <m/>
    <m/>
    <n v="1"/>
    <m/>
    <n v="1"/>
    <s v="Yes"/>
    <s v="Start Date→ 11-01-25_x000a_End Date→ 10-02-25"/>
    <m/>
    <s v="Safety completed, new samples will be received from supplier with correct dimension."/>
    <m/>
    <m/>
    <m/>
    <m/>
    <x v="2"/>
  </r>
  <r>
    <n v="79"/>
    <x v="5"/>
    <m/>
    <m/>
    <x v="2"/>
    <x v="0"/>
    <s v="25-00356"/>
    <s v="N/A"/>
    <s v="Alternative Shaded Pole 10W Xing Yuang YZF 10-20 for Weiguang YZF10-20 "/>
    <x v="4"/>
    <x v="0"/>
    <s v="ICM"/>
    <x v="0"/>
    <s v="Electrical Parts"/>
    <s v="Other"/>
    <s v="Other Materials"/>
    <n v="1"/>
    <n v="0.5"/>
    <s v="No"/>
    <m/>
    <m/>
    <n v="0"/>
    <m/>
    <n v="0"/>
    <s v="No"/>
    <s v="N/A"/>
    <n v="0"/>
    <m/>
    <m/>
    <m/>
    <m/>
    <m/>
    <x v="1"/>
  </r>
  <r>
    <n v="80"/>
    <x v="5"/>
    <m/>
    <m/>
    <x v="2"/>
    <x v="0"/>
    <s v="25-00358"/>
    <s v="N/A"/>
    <s v="Alternative Shaded Pole 16W Xing Yuang YZF 16-25 for Weiguang YZF16-25 "/>
    <x v="4"/>
    <x v="0"/>
    <s v="ICM"/>
    <x v="0"/>
    <s v="Electrical Parts"/>
    <s v="Other"/>
    <s v="Other Materials"/>
    <n v="1"/>
    <n v="0.5"/>
    <s v="No"/>
    <m/>
    <m/>
    <n v="0"/>
    <m/>
    <n v="0"/>
    <s v="No"/>
    <s v="N/A"/>
    <n v="0"/>
    <m/>
    <m/>
    <m/>
    <m/>
    <m/>
    <x v="1"/>
  </r>
  <r>
    <n v="81"/>
    <x v="5"/>
    <m/>
    <m/>
    <x v="2"/>
    <x v="0"/>
    <s v="25-00355"/>
    <s v="N/A"/>
    <s v="Alternative Shaded Pole 10W Xing Yuang YZF 10-20 ALUMINIUM WIRE for Weiguang YZF10-20 "/>
    <x v="4"/>
    <x v="0"/>
    <s v="ICM"/>
    <x v="0"/>
    <s v="Electrical Parts"/>
    <s v="Other"/>
    <s v="Other Materials"/>
    <n v="1"/>
    <n v="0.5"/>
    <s v="No"/>
    <m/>
    <m/>
    <n v="0"/>
    <m/>
    <n v="0"/>
    <s v="No"/>
    <s v="N/A"/>
    <n v="0"/>
    <m/>
    <m/>
    <m/>
    <m/>
    <m/>
    <x v="1"/>
  </r>
  <r>
    <n v="82"/>
    <x v="9"/>
    <m/>
    <m/>
    <x v="2"/>
    <x v="0"/>
    <s v="25-00349"/>
    <s v="N/A"/>
    <s v="Alternative EC Motor 12W Xing Yuang for Weiguang ECM7112ABD2DA407 "/>
    <x v="4"/>
    <x v="0"/>
    <s v="ICM"/>
    <x v="0"/>
    <s v="Electrical Parts"/>
    <s v="Other"/>
    <s v="Other Materials"/>
    <n v="1"/>
    <n v="0.5"/>
    <s v="No"/>
    <m/>
    <m/>
    <n v="0"/>
    <m/>
    <n v="0"/>
    <s v="No"/>
    <s v="N/A"/>
    <n v="0"/>
    <m/>
    <m/>
    <m/>
    <m/>
    <m/>
    <x v="1"/>
  </r>
  <r>
    <n v="83"/>
    <x v="9"/>
    <m/>
    <m/>
    <x v="2"/>
    <x v="0"/>
    <s v="25-00350"/>
    <s v="N/A"/>
    <s v="Alternative EC Motor 20W Xing Yuang for Weiguang ECM7120ABD2DA403 "/>
    <x v="4"/>
    <x v="0"/>
    <s v="ICM"/>
    <x v="0"/>
    <s v="Electrical Parts"/>
    <s v="Other"/>
    <s v="Other Materials"/>
    <n v="1"/>
    <n v="0.5"/>
    <s v="No"/>
    <m/>
    <m/>
    <n v="0"/>
    <m/>
    <n v="0"/>
    <s v="No"/>
    <s v="N/A"/>
    <n v="0"/>
    <m/>
    <m/>
    <m/>
    <m/>
    <m/>
    <x v="1"/>
  </r>
  <r>
    <n v="84"/>
    <x v="0"/>
    <m/>
    <m/>
    <x v="2"/>
    <x v="2"/>
    <s v="24-00177"/>
    <s v="N/A"/>
    <s v="Bottle opener &amp; crown catcher (All range)"/>
    <x v="0"/>
    <x v="0"/>
    <s v="ICM"/>
    <x v="1"/>
    <s v="Door"/>
    <s v="N/A"/>
    <s v="N/A"/>
    <n v="3"/>
    <n v="3"/>
    <s v="No"/>
    <m/>
    <m/>
    <n v="0"/>
    <m/>
    <n v="0"/>
    <s v="No"/>
    <s v="N/A"/>
    <n v="0"/>
    <m/>
    <m/>
    <m/>
    <m/>
    <m/>
    <x v="0"/>
  </r>
  <r>
    <n v="85"/>
    <x v="1"/>
    <m/>
    <m/>
    <x v="0"/>
    <x v="0"/>
    <s v="TBR"/>
    <s v="-"/>
    <s v="Hicool 20W AC Block Motor (19~22W)"/>
    <x v="0"/>
    <x v="0"/>
    <s v="ICM"/>
    <x v="0"/>
    <s v="Cooling Mechanism"/>
    <s v="Electrical Components"/>
    <s v="Block Motors"/>
    <n v="4"/>
    <n v="4"/>
    <s v="Yes"/>
    <m/>
    <m/>
    <m/>
    <m/>
    <n v="0"/>
    <s v="Yes"/>
    <m/>
    <m/>
    <s v="In Progress"/>
    <m/>
    <m/>
    <m/>
    <m/>
    <x v="2"/>
  </r>
  <r>
    <n v="86"/>
    <x v="10"/>
    <m/>
    <s v="Y"/>
    <x v="0"/>
    <x v="2"/>
    <s v="25-00345-1"/>
    <s v="N/A"/>
    <s v="S-1100 EG configuration with complete full shelves and FDE controllers as an option, EC 26 TCCC approved  →Q1'26 production"/>
    <x v="2"/>
    <x v="0"/>
    <s v="ICM"/>
    <x v="1"/>
    <s v="Complete Cooler"/>
    <m/>
    <m/>
    <n v="8"/>
    <n v="12"/>
    <s v="Yes"/>
    <m/>
    <m/>
    <m/>
    <m/>
    <m/>
    <s v="Yes"/>
    <s v="In Progress"/>
    <m/>
    <m/>
    <m/>
    <m/>
    <m/>
    <m/>
    <x v="0"/>
  </r>
  <r>
    <n v="87"/>
    <x v="10"/>
    <m/>
    <m/>
    <x v="0"/>
    <x v="0"/>
    <s v="TBR"/>
    <s v="-"/>
    <s v="Door development from China for South Africa Range Door"/>
    <x v="3"/>
    <x v="0"/>
    <s v="ICM"/>
    <x v="2"/>
    <m/>
    <m/>
    <m/>
    <m/>
    <m/>
    <m/>
    <m/>
    <m/>
    <m/>
    <m/>
    <m/>
    <s v="No"/>
    <m/>
    <m/>
    <m/>
    <m/>
    <m/>
    <m/>
    <m/>
    <x v="5"/>
  </r>
  <r>
    <n v="88"/>
    <x v="10"/>
    <s v="Completed"/>
    <s v="Y"/>
    <x v="0"/>
    <x v="3"/>
    <s v="25-00316"/>
    <s v="N/A"/>
    <s v="500L (SFP-500)  full length glass door for Suntory pepsi"/>
    <x v="1"/>
    <x v="0"/>
    <s v="ICM"/>
    <x v="1"/>
    <s v="Cooling Mechanism"/>
    <s v="N/A"/>
    <s v="N/A"/>
    <n v="4"/>
    <n v="7"/>
    <s v="Yes"/>
    <m/>
    <m/>
    <n v="6"/>
    <m/>
    <n v="6"/>
    <s v="Yes"/>
    <s v="In Progress"/>
    <n v="1.5"/>
    <s v="SP-550 to be developed in R290- TF dates to be communicated later upon resource availability. Testing to be plannned"/>
    <m/>
    <m/>
    <m/>
    <m/>
    <x v="2"/>
  </r>
  <r>
    <n v="89"/>
    <x v="5"/>
    <n v="3"/>
    <m/>
    <x v="0"/>
    <x v="4"/>
    <s v="25-00318"/>
    <s v="N/A"/>
    <s v="2026 Energy Target-Coke protocol-S35"/>
    <x v="0"/>
    <x v="0"/>
    <s v="ICM"/>
    <x v="1"/>
    <s v="Cooling Mechanism"/>
    <s v="N/A"/>
    <s v="N/A"/>
    <n v="3"/>
    <n v="2"/>
    <s v="Yes"/>
    <m/>
    <m/>
    <n v="6"/>
    <m/>
    <n v="8"/>
    <s v="Yes"/>
    <s v="In Progress"/>
    <n v="1.5"/>
    <s v="Safety- To be verified after configuration is finalized"/>
    <m/>
    <m/>
    <m/>
    <m/>
    <x v="0"/>
  </r>
  <r>
    <n v="90"/>
    <x v="7"/>
    <m/>
    <s v="Y"/>
    <x v="0"/>
    <x v="3"/>
    <s v="25-00313"/>
    <s v="N/A"/>
    <s v="FV1000SZ (Canopy version) model development with KK480 - Heineiken, EEI &lt; 25%"/>
    <x v="3"/>
    <x v="0"/>
    <s v="ICM"/>
    <x v="2"/>
    <s v="Complete Cooler"/>
    <s v="N/A"/>
    <s v="N/A"/>
    <n v="4"/>
    <n v="2"/>
    <s v="Yes"/>
    <m/>
    <m/>
    <n v="8"/>
    <m/>
    <n v="0"/>
    <s v="Yes"/>
    <s v="In Progress"/>
    <n v="0"/>
    <m/>
    <m/>
    <m/>
    <m/>
    <m/>
    <x v="2"/>
  </r>
  <r>
    <n v="91"/>
    <x v="5"/>
    <n v="5"/>
    <m/>
    <x v="0"/>
    <x v="4"/>
    <s v="25-00321"/>
    <s v="N/A"/>
    <s v="2026 Energy Target-Coke protocol-S45"/>
    <x v="0"/>
    <x v="0"/>
    <s v="ICM"/>
    <x v="1"/>
    <s v="Cooling Mechanism"/>
    <s v="N/A"/>
    <s v="N/A"/>
    <n v="4"/>
    <n v="4"/>
    <s v="Yes"/>
    <m/>
    <m/>
    <n v="6"/>
    <m/>
    <n v="10"/>
    <s v="Yes"/>
    <s v="In Progress"/>
    <n v="1.5"/>
    <s v="Safety- To be verified after configuration is finalized"/>
    <m/>
    <m/>
    <m/>
    <m/>
    <x v="0"/>
  </r>
  <r>
    <n v="92"/>
    <x v="10"/>
    <n v="6"/>
    <m/>
    <x v="0"/>
    <x v="2"/>
    <s v="25-00344"/>
    <s v="N/A"/>
    <s v="S-60 EG configuration with I cool2 doors &amp; FDE controller  as an option, EC 26 TCCC approved  →Q4'25production"/>
    <x v="2"/>
    <x v="0"/>
    <s v="ICM"/>
    <x v="1"/>
    <s v="Complete Cooler"/>
    <s v="N/A"/>
    <s v="N/A"/>
    <m/>
    <m/>
    <m/>
    <m/>
    <m/>
    <m/>
    <m/>
    <m/>
    <s v="Yes"/>
    <s v="In Progress"/>
    <m/>
    <m/>
    <m/>
    <m/>
    <m/>
    <m/>
    <x v="0"/>
  </r>
  <r>
    <n v="93"/>
    <x v="10"/>
    <n v="7"/>
    <m/>
    <x v="2"/>
    <x v="2"/>
    <s v="25-00361-5"/>
    <s v="N/A"/>
    <s v="S-450/S450P with icool2 &amp; FDE32 doors as an option, EC26 TCCC approved  (Nigeria)"/>
    <x v="0"/>
    <x v="0"/>
    <s v="ICM"/>
    <x v="1"/>
    <s v="Door"/>
    <s v="N/A"/>
    <s v="N/A"/>
    <n v="3"/>
    <n v="2"/>
    <s v="No"/>
    <m/>
    <m/>
    <n v="0"/>
    <m/>
    <n v="0"/>
    <s v="Yes"/>
    <s v="In Progress"/>
    <n v="1.5"/>
    <m/>
    <m/>
    <m/>
    <m/>
    <m/>
    <x v="0"/>
  </r>
  <r>
    <n v="94"/>
    <x v="10"/>
    <n v="8"/>
    <m/>
    <x v="2"/>
    <x v="2"/>
    <s v="25-00361-7"/>
    <s v="N/A"/>
    <s v="S-600P with icool2 &amp; FDE32 controller doors as an option, EC26 TCCC approved  (Nigeria)"/>
    <x v="0"/>
    <x v="0"/>
    <s v="ICM"/>
    <x v="1"/>
    <s v="Door"/>
    <s v="N/A"/>
    <s v="N/A"/>
    <n v="3"/>
    <n v="2"/>
    <s v="No"/>
    <m/>
    <m/>
    <n v="0"/>
    <m/>
    <n v="0"/>
    <s v="Yes"/>
    <s v="In Progress"/>
    <n v="1.5"/>
    <m/>
    <m/>
    <m/>
    <m/>
    <m/>
    <x v="0"/>
  </r>
  <r>
    <n v="95"/>
    <x v="10"/>
    <m/>
    <m/>
    <x v="2"/>
    <x v="2"/>
    <s v="25-00361-3"/>
    <s v="N/A"/>
    <s v="S-1100P with icool2/FDE  doors as an option, EC26 TCCC approved  (Nigeria)"/>
    <x v="0"/>
    <x v="0"/>
    <s v="ICM"/>
    <x v="1"/>
    <s v="Door"/>
    <s v="N/A"/>
    <s v="N/A"/>
    <n v="3"/>
    <n v="2"/>
    <s v="No"/>
    <m/>
    <m/>
    <n v="0"/>
    <m/>
    <n v="0"/>
    <s v="Yes"/>
    <s v="In Progress"/>
    <n v="1.5"/>
    <m/>
    <m/>
    <m/>
    <m/>
    <m/>
    <x v="0"/>
  </r>
  <r>
    <n v="96"/>
    <x v="5"/>
    <m/>
    <m/>
    <x v="0"/>
    <x v="4"/>
    <s v="25-00323"/>
    <s v="N/A"/>
    <s v="2026 Energy Target-Coke protocol-S1100/ S-1100 development with complete full shelves with Increased Loading as per EC-26 protocol and added options - COKE (India)"/>
    <x v="0"/>
    <x v="0"/>
    <s v="ICM"/>
    <x v="1"/>
    <s v="Cooling Mechanism"/>
    <s v="N/A"/>
    <s v="N/A"/>
    <n v="4"/>
    <n v="4"/>
    <s v="Yes"/>
    <m/>
    <m/>
    <n v="6"/>
    <m/>
    <n v="8"/>
    <s v="Yes"/>
    <s v="In Progress"/>
    <n v="1.5"/>
    <s v="Safety- To be verified after configuration is finalized"/>
    <m/>
    <m/>
    <m/>
    <m/>
    <x v="0"/>
  </r>
  <r>
    <n v="97"/>
    <x v="10"/>
    <m/>
    <s v="Y"/>
    <x v="0"/>
    <x v="2"/>
    <s v="25-00345"/>
    <s v="N/A"/>
    <s v="S-1100 EG configuration with complete full shelves and FDE controller/I cool2 doors as an option, EC 26 TCCC approved with KK480 Compressor- Includes cost reduction inititaives- Q1'26 production"/>
    <x v="2"/>
    <x v="0"/>
    <s v="ICM"/>
    <x v="1"/>
    <s v="Complete Cooler"/>
    <m/>
    <m/>
    <n v="4"/>
    <n v="13"/>
    <m/>
    <m/>
    <m/>
    <m/>
    <m/>
    <m/>
    <s v="Yes"/>
    <s v="In Progress"/>
    <m/>
    <m/>
    <m/>
    <m/>
    <m/>
    <m/>
    <x v="0"/>
  </r>
  <r>
    <n v="98"/>
    <x v="5"/>
    <m/>
    <s v="Y"/>
    <x v="0"/>
    <x v="4"/>
    <s v="25-00322"/>
    <s v="N/A"/>
    <s v="2026 Energy Target-Coke protocol-S60-L68"/>
    <x v="0"/>
    <x v="0"/>
    <s v="ICM"/>
    <x v="1"/>
    <s v="Cooling Mechanism"/>
    <s v="N/A"/>
    <s v="N/A"/>
    <n v="4"/>
    <n v="4"/>
    <s v="Yes"/>
    <m/>
    <m/>
    <n v="6"/>
    <m/>
    <n v="8"/>
    <s v="Yes"/>
    <s v="In Progress"/>
    <n v="1.5"/>
    <s v="Safety- To be verified after configuration is finalized"/>
    <m/>
    <m/>
    <m/>
    <m/>
    <x v="0"/>
  </r>
  <r>
    <n v="99"/>
    <x v="10"/>
    <m/>
    <m/>
    <x v="0"/>
    <x v="2"/>
    <s v="25-00344-1"/>
    <s v="N/A"/>
    <s v="S-60 EG configuration with FDE controllers as an option, EC 26 approved (With iTher cost saving initiative)→Q1'26 production"/>
    <x v="2"/>
    <x v="0"/>
    <s v="ICM"/>
    <x v="1"/>
    <s v="Complete Cooler"/>
    <s v="N/A"/>
    <s v="N/A"/>
    <m/>
    <m/>
    <m/>
    <m/>
    <m/>
    <m/>
    <m/>
    <m/>
    <s v="Yes"/>
    <s v="In Progress"/>
    <m/>
    <m/>
    <m/>
    <m/>
    <m/>
    <m/>
    <x v="0"/>
  </r>
  <r>
    <n v="100"/>
    <x v="10"/>
    <n v="15"/>
    <m/>
    <x v="2"/>
    <x v="2"/>
    <s v="25-00361-1"/>
    <s v="N/A"/>
    <s v="S-60 with icool2 doors &amp; FDE as an option, EC26 TCCC approved - Feasibility Study"/>
    <x v="0"/>
    <x v="0"/>
    <s v="ICM"/>
    <x v="1"/>
    <s v="Door"/>
    <s v="N/A"/>
    <s v="N/A"/>
    <n v="3"/>
    <n v="2"/>
    <s v="No"/>
    <m/>
    <m/>
    <n v="0"/>
    <m/>
    <n v="0"/>
    <s v="Yes"/>
    <s v="In Progress"/>
    <n v="1.5"/>
    <m/>
    <m/>
    <m/>
    <m/>
    <m/>
    <x v="0"/>
  </r>
  <r>
    <n v="101"/>
    <x v="10"/>
    <n v="16"/>
    <m/>
    <x v="0"/>
    <x v="2"/>
    <s v="25-00361-5"/>
    <s v="N/A"/>
    <s v="S-45 with icool2 doors &amp; FDE as an option, EC 26 TCCC approved- - Feasibility Study"/>
    <x v="0"/>
    <x v="0"/>
    <s v="ICM"/>
    <x v="1"/>
    <s v="Door"/>
    <s v="N/A"/>
    <s v="N/A"/>
    <n v="3"/>
    <n v="2"/>
    <s v="No"/>
    <m/>
    <m/>
    <n v="0"/>
    <m/>
    <n v="0"/>
    <s v="Yes"/>
    <s v="In Progress"/>
    <n v="1.5"/>
    <m/>
    <m/>
    <m/>
    <m/>
    <m/>
    <x v="0"/>
  </r>
  <r>
    <n v="102"/>
    <x v="5"/>
    <s v="NP"/>
    <m/>
    <x v="0"/>
    <x v="4"/>
    <s v="24-00195"/>
    <s v="N/A"/>
    <s v="2026 S-350 development as per EC 26 protocol with iCool2 dooredge as an option- COKE- No revrese flow to be developed"/>
    <x v="0"/>
    <x v="0"/>
    <s v="ICM"/>
    <x v="1"/>
    <s v="Cooling Mechanism"/>
    <s v="N/A"/>
    <s v="N/A"/>
    <n v="4"/>
    <n v="4"/>
    <s v="Yes"/>
    <m/>
    <m/>
    <n v="6"/>
    <m/>
    <n v="8"/>
    <s v="Yes"/>
    <s v="In Progress"/>
    <n v="1.5"/>
    <s v="Safety- To be verified after configuration is finalized"/>
    <m/>
    <m/>
    <m/>
    <m/>
    <x v="1"/>
  </r>
  <r>
    <n v="103"/>
    <x v="11"/>
    <n v="1"/>
    <m/>
    <x v="0"/>
    <x v="3"/>
    <s v="25-00371"/>
    <s v="N/A"/>
    <s v="FV-1000 FVF-1000 D development as per Coke EC 26"/>
    <x v="1"/>
    <x v="0"/>
    <s v="ICM"/>
    <x v="1"/>
    <s v="Cooling Mechanism"/>
    <s v="N/A"/>
    <s v="N/A"/>
    <n v="4"/>
    <n v="4"/>
    <s v="Yes"/>
    <m/>
    <m/>
    <n v="6"/>
    <m/>
    <n v="8"/>
    <s v="Yes"/>
    <s v="Completed"/>
    <n v="1.5"/>
    <s v="Safety- To be verified after configuration is finalized"/>
    <m/>
    <m/>
    <m/>
    <m/>
    <x v="0"/>
  </r>
  <r>
    <n v="104"/>
    <x v="11"/>
    <n v="2"/>
    <s v="Y"/>
    <x v="0"/>
    <x v="3"/>
    <s v="25-00368"/>
    <s v="N/A"/>
    <s v="FV-1000 safe cooler development "/>
    <x v="3"/>
    <x v="0"/>
    <s v="ICM"/>
    <x v="1"/>
    <s v="Cooling Mechanism"/>
    <s v="N/A"/>
    <s v="N/A"/>
    <n v="4"/>
    <n v="6"/>
    <s v="Yes"/>
    <m/>
    <m/>
    <n v="6"/>
    <m/>
    <n v="8"/>
    <s v="Yes"/>
    <s v="In Progress"/>
    <n v="1.5"/>
    <s v="Safety- To be verified after configuration is finalized"/>
    <m/>
    <m/>
    <m/>
    <m/>
    <x v="1"/>
  </r>
  <r>
    <n v="105"/>
    <x v="11"/>
    <n v="3"/>
    <s v="Y"/>
    <x v="0"/>
    <x v="3"/>
    <s v="25-00367"/>
    <s v="N/A"/>
    <s v="FV-650 safe cooler development "/>
    <x v="3"/>
    <x v="0"/>
    <s v="ICM"/>
    <x v="1"/>
    <s v="Cooling Mechanism"/>
    <s v="N/A"/>
    <s v="N/A"/>
    <n v="4"/>
    <n v="6"/>
    <s v="Yes"/>
    <m/>
    <m/>
    <n v="6"/>
    <m/>
    <n v="8"/>
    <s v="Yes"/>
    <s v="In Progress"/>
    <n v="1.5"/>
    <s v="Safety- To be verified after configuration is finalized"/>
    <m/>
    <m/>
    <m/>
    <m/>
    <x v="1"/>
  </r>
  <r>
    <n v="106"/>
    <x v="11"/>
    <m/>
    <s v="Y"/>
    <x v="0"/>
    <x v="2"/>
    <s v="25-00366"/>
    <s v="N/A"/>
    <s v="FV-650 FFD Cooler of the future development with Icool2 doors and EC 26 protocol with CCBSA points closure &amp; Cost reduction initiative"/>
    <x v="3"/>
    <x v="0"/>
    <s v="ICM"/>
    <x v="1"/>
    <s v="Cooling Mechanism"/>
    <s v="N/A"/>
    <s v="N/A"/>
    <n v="4"/>
    <n v="6"/>
    <s v="Yes"/>
    <m/>
    <m/>
    <n v="6"/>
    <m/>
    <n v="8"/>
    <s v="Yes"/>
    <s v="In Progress"/>
    <n v="1.5"/>
    <s v="Safety- To be verified after configuration is finalized"/>
    <m/>
    <m/>
    <m/>
    <m/>
    <x v="2"/>
  </r>
  <r>
    <n v="107"/>
    <x v="11"/>
    <m/>
    <m/>
    <x v="2"/>
    <x v="2"/>
    <s v="24-00195"/>
    <s v="N/A"/>
    <s v="S-350 development as per EC-26 protocol with Icool2 doors  COKE"/>
    <x v="0"/>
    <x v="0"/>
    <s v="ICM"/>
    <x v="1"/>
    <s v="Cooling Mechanism"/>
    <s v="N/A"/>
    <s v="N/A"/>
    <n v="4"/>
    <n v="4"/>
    <s v="Yes"/>
    <m/>
    <m/>
    <n v="6"/>
    <m/>
    <n v="8"/>
    <s v="Yes"/>
    <s v="Completed"/>
    <n v="1.5"/>
    <s v="Safety- To be verified after configuration is finalized"/>
    <m/>
    <m/>
    <m/>
    <m/>
    <x v="1"/>
  </r>
  <r>
    <n v="108"/>
    <x v="5"/>
    <n v="18"/>
    <m/>
    <x v="0"/>
    <x v="3"/>
    <s v="25-00336"/>
    <s v="N/A"/>
    <s v="Heineiken FDE controller testing &amp; feasibility in S-60 model - Feasibility stage (sample units needs to be prepared for field testing)"/>
    <x v="0"/>
    <x v="0"/>
    <s v="ICM"/>
    <x v="2"/>
    <s v="Complete Cooler"/>
    <s v="N/A"/>
    <s v="N/A"/>
    <n v="3"/>
    <n v="2"/>
    <s v="No"/>
    <m/>
    <m/>
    <n v="0"/>
    <m/>
    <n v="0"/>
    <s v="Yes"/>
    <s v="Not Started"/>
    <n v="0"/>
    <m/>
    <m/>
    <m/>
    <m/>
    <m/>
    <x v="1"/>
  </r>
  <r>
    <n v="109"/>
    <x v="0"/>
    <m/>
    <m/>
    <x v="0"/>
    <x v="2"/>
    <s v="24-00197"/>
    <s v="N/A"/>
    <s v="Aesthetical upgrade in visi coolers - IN range (third party development)-Cooler models??"/>
    <x v="0"/>
    <x v="0"/>
    <s v="ICM"/>
    <x v="1"/>
    <s v="Complete Cooler"/>
    <s v="N/A"/>
    <s v="N/A"/>
    <n v="6"/>
    <n v="8"/>
    <s v="Yes"/>
    <m/>
    <m/>
    <n v="2"/>
    <m/>
    <n v="3"/>
    <s v="No"/>
    <s v="N/A"/>
    <n v="1.5"/>
    <s v="In progress with 3rd Party consultant- Renders creation in Progress, After finalization of renders costing to be done for go ahead of project, Detailing and development to be done by consultant. Project moved to B category- Need to do this for all models."/>
    <m/>
    <m/>
    <m/>
    <m/>
    <x v="5"/>
  </r>
  <r>
    <n v="110"/>
    <x v="0"/>
    <n v="9"/>
    <s v="Y"/>
    <x v="0"/>
    <x v="3"/>
    <s v="25-00289"/>
    <s v="N/A"/>
    <s v="S-60 R290 EG (PepsiCO)-Production with RM saving inititaives"/>
    <x v="2"/>
    <x v="0"/>
    <s v="ICM"/>
    <x v="1"/>
    <s v="Complete Cooler"/>
    <s v="N/A"/>
    <s v="N/A"/>
    <n v="4"/>
    <n v="8"/>
    <s v="Yes"/>
    <m/>
    <m/>
    <n v="6"/>
    <m/>
    <n v="0"/>
    <s v="Yes"/>
    <s v="Start Date→ 29-10-24_x000a_End Date→ 18-12-24"/>
    <n v="0"/>
    <s v="Safety completed"/>
    <m/>
    <m/>
    <m/>
    <m/>
    <x v="4"/>
  </r>
  <r>
    <n v="111"/>
    <x v="0"/>
    <n v="10"/>
    <s v="Y"/>
    <x v="0"/>
    <x v="3"/>
    <s v="25-00292"/>
    <s v="N/A"/>
    <s v="S-1100 R290 EG (PepsiCO)-Production with RM saving inititaives"/>
    <x v="2"/>
    <x v="0"/>
    <s v="ICM"/>
    <x v="1"/>
    <s v="Complete Cooler"/>
    <s v="N/A"/>
    <s v="N/A"/>
    <n v="4"/>
    <n v="8"/>
    <s v="Yes"/>
    <m/>
    <m/>
    <n v="6"/>
    <m/>
    <n v="0"/>
    <s v="Yes"/>
    <s v="Start Date→ 11-01-25_x000a_End Date→ 10-02-25"/>
    <n v="0"/>
    <s v="TF-1 released, TF-2 under progress"/>
    <m/>
    <m/>
    <m/>
    <m/>
    <x v="4"/>
  </r>
  <r>
    <n v="112"/>
    <x v="0"/>
    <m/>
    <s v="Y"/>
    <x v="0"/>
    <x v="0"/>
    <s v="25-00251"/>
    <s v="24SAF008-1"/>
    <s v="Compressor Donper KK480WU1 as alternative to Huayi NUY120NA →FV-1000SZ C [R290] (ABI Africa)"/>
    <x v="3"/>
    <x v="0"/>
    <s v="ICM"/>
    <x v="0"/>
    <s v="Cooling Mechanism"/>
    <s v="Cooling Components"/>
    <s v="Compressors"/>
    <n v="4"/>
    <n v="8"/>
    <s v="Yes"/>
    <m/>
    <m/>
    <n v="6"/>
    <m/>
    <n v="10"/>
    <s v="Yes"/>
    <s v="Not Started"/>
    <n v="1.5"/>
    <s v="-12 weeks for safety update-Ap per new IEC procedure this will be treated as Fresh project after sample submission"/>
    <m/>
    <m/>
    <m/>
    <m/>
    <x v="2"/>
  </r>
  <r>
    <n v="113"/>
    <x v="7"/>
    <m/>
    <m/>
    <x v="0"/>
    <x v="5"/>
    <s v="TBR"/>
    <s v="N/A"/>
    <s v="NABL &amp; ACCAB-ISO 17025, ISO9001, IS14001,45001,ORMA Audit,SGP Audit, Calibration"/>
    <x v="0"/>
    <x v="0"/>
    <s v="ICM"/>
    <x v="2"/>
    <m/>
    <m/>
    <m/>
    <n v="4"/>
    <m/>
    <s v="Yes"/>
    <m/>
    <m/>
    <m/>
    <m/>
    <n v="45"/>
    <s v="No"/>
    <m/>
    <n v="30"/>
    <m/>
    <m/>
    <m/>
    <m/>
    <m/>
    <x v="3"/>
  </r>
  <r>
    <n v="114"/>
    <x v="7"/>
    <m/>
    <m/>
    <x v="0"/>
    <x v="3"/>
    <s v="TBR"/>
    <s v="N/A"/>
    <s v="Super-45 Design data synchronization with production (Product file)"/>
    <x v="0"/>
    <x v="0"/>
    <s v="ICM"/>
    <x v="2"/>
    <s v="Complete Cooler"/>
    <s v="N/A"/>
    <s v="N/A"/>
    <n v="4"/>
    <n v="3"/>
    <s v="No"/>
    <m/>
    <m/>
    <n v="0"/>
    <m/>
    <n v="0"/>
    <s v="No"/>
    <s v="N/A"/>
    <n v="0"/>
    <m/>
    <m/>
    <m/>
    <m/>
    <m/>
    <x v="1"/>
  </r>
  <r>
    <n v="115"/>
    <x v="7"/>
    <m/>
    <m/>
    <x v="0"/>
    <x v="3"/>
    <s v="TBR"/>
    <s v="N/A"/>
    <s v="Super-60 Design data synchronization with production (Product file)"/>
    <x v="0"/>
    <x v="0"/>
    <s v="ICM"/>
    <x v="2"/>
    <s v="Complete Cooler"/>
    <s v="N/A"/>
    <s v="N/A"/>
    <n v="4"/>
    <n v="3"/>
    <s v="No"/>
    <m/>
    <m/>
    <n v="0"/>
    <m/>
    <n v="0"/>
    <s v="No"/>
    <s v="N/A"/>
    <n v="0"/>
    <m/>
    <m/>
    <m/>
    <m/>
    <m/>
    <x v="1"/>
  </r>
  <r>
    <n v="116"/>
    <x v="7"/>
    <m/>
    <m/>
    <x v="0"/>
    <x v="3"/>
    <s v="TBR"/>
    <s v="N/A"/>
    <s v="Super-800 Design data synchronization with production (Product file)"/>
    <x v="0"/>
    <x v="0"/>
    <s v="ICM"/>
    <x v="2"/>
    <s v="Complete Cooler"/>
    <s v="N/A"/>
    <s v="N/A"/>
    <n v="4"/>
    <n v="3"/>
    <s v="No"/>
    <m/>
    <m/>
    <n v="0"/>
    <m/>
    <n v="0"/>
    <s v="No"/>
    <s v="N/A"/>
    <n v="0"/>
    <m/>
    <m/>
    <m/>
    <m/>
    <m/>
    <x v="1"/>
  </r>
  <r>
    <n v="117"/>
    <x v="7"/>
    <m/>
    <m/>
    <x v="0"/>
    <x v="3"/>
    <s v="TBR"/>
    <s v="N/A"/>
    <s v="Super-1100 Design data synchronization with production (Product file)"/>
    <x v="0"/>
    <x v="0"/>
    <s v="ICM"/>
    <x v="2"/>
    <s v="Complete Cooler"/>
    <s v="N/A"/>
    <s v="N/A"/>
    <n v="4"/>
    <n v="3"/>
    <s v="No"/>
    <m/>
    <m/>
    <n v="0"/>
    <m/>
    <n v="0"/>
    <s v="No"/>
    <s v="N/A"/>
    <n v="0"/>
    <m/>
    <m/>
    <m/>
    <m/>
    <m/>
    <x v="1"/>
  </r>
  <r>
    <n v="118"/>
    <x v="7"/>
    <m/>
    <m/>
    <x v="0"/>
    <x v="3"/>
    <s v="TBR"/>
    <s v="N/A"/>
    <s v="E-47 Design data synchronization with production (Product file)"/>
    <x v="0"/>
    <x v="0"/>
    <s v="ICM"/>
    <x v="2"/>
    <s v="Complete Cooler"/>
    <s v="N/A"/>
    <s v="N/A"/>
    <n v="4"/>
    <n v="3"/>
    <s v="No"/>
    <m/>
    <m/>
    <n v="0"/>
    <m/>
    <n v="0"/>
    <s v="No"/>
    <s v="N/A"/>
    <n v="0"/>
    <m/>
    <m/>
    <m/>
    <m/>
    <m/>
    <x v="1"/>
  </r>
  <r>
    <n v="119"/>
    <x v="0"/>
    <m/>
    <m/>
    <x v="0"/>
    <x v="0"/>
    <s v="25-00297"/>
    <s v="25SRC010-3"/>
    <s v="Compressor Donper L76WU1 as alternative to Huayi NUS70NA→SL-640  C [R290]  (Coke Africa)"/>
    <x v="3"/>
    <x v="0"/>
    <s v="ICM"/>
    <x v="0"/>
    <s v="Cooling Mechanism"/>
    <s v="Cooling Components"/>
    <s v="Compressors"/>
    <n v="6"/>
    <n v="6"/>
    <s v="Yes"/>
    <m/>
    <m/>
    <n v="6"/>
    <m/>
    <n v="0"/>
    <s v="Yes"/>
    <s v="Start Date→ 25-01-25_x000a_End Date→ 13-03-25"/>
    <n v="0"/>
    <s v="Safety completed"/>
    <m/>
    <m/>
    <m/>
    <m/>
    <x v="1"/>
  </r>
  <r>
    <n v="120"/>
    <x v="0"/>
    <m/>
    <m/>
    <x v="0"/>
    <x v="0"/>
    <s v="25-00252"/>
    <s v="25INN007-3"/>
    <s v="Change compressor WANBAO FTA55L to FKK35 FTK45-for SLP400"/>
    <x v="1"/>
    <x v="0"/>
    <s v="ICM"/>
    <x v="0"/>
    <s v="Cooling Mechanism"/>
    <s v="Cooling Components"/>
    <s v="Compressors"/>
    <n v="3"/>
    <n v="1"/>
    <s v="Yes"/>
    <m/>
    <m/>
    <n v="1"/>
    <m/>
    <n v="3"/>
    <s v="Yes"/>
    <s v="Not Started"/>
    <n v="1.5"/>
    <m/>
    <m/>
    <m/>
    <m/>
    <m/>
    <x v="5"/>
  </r>
  <r>
    <n v="121"/>
    <x v="8"/>
    <m/>
    <m/>
    <x v="2"/>
    <x v="0"/>
    <s v="24-00226"/>
    <s v="N/A"/>
    <s v="Huawei PSUs"/>
    <x v="4"/>
    <x v="0"/>
    <s v="ICM"/>
    <x v="0"/>
    <s v="Electrical Parts"/>
    <s v="Other"/>
    <s v="Other Materials"/>
    <n v="1"/>
    <n v="0.5"/>
    <s v="No"/>
    <m/>
    <m/>
    <n v="0"/>
    <m/>
    <n v="0"/>
    <s v="No"/>
    <s v="N/A"/>
    <n v="0"/>
    <m/>
    <m/>
    <m/>
    <m/>
    <m/>
    <x v="1"/>
  </r>
  <r>
    <n v="122"/>
    <x v="4"/>
    <m/>
    <m/>
    <x v="2"/>
    <x v="0"/>
    <s v="25-00249"/>
    <s v="N/A"/>
    <s v="Sedes Heaters for India and South Africa"/>
    <x v="4"/>
    <x v="0"/>
    <s v="ICM"/>
    <x v="0"/>
    <s v="Electrical Parts"/>
    <s v="Other"/>
    <s v="Other Materials"/>
    <n v="1"/>
    <n v="0.5"/>
    <s v="No"/>
    <m/>
    <m/>
    <n v="0"/>
    <m/>
    <n v="0"/>
    <s v="No"/>
    <s v="N/A"/>
    <n v="0"/>
    <m/>
    <m/>
    <m/>
    <m/>
    <m/>
    <x v="3"/>
  </r>
  <r>
    <n v="123"/>
    <x v="5"/>
    <m/>
    <m/>
    <x v="2"/>
    <x v="0"/>
    <s v="25-00353"/>
    <s v="N/A"/>
    <s v="Alternative Shaded Pole 7W Xing Yuang YZF 7-20 ALUMINIUM WIRE for Hicool  83A230SAC-7W "/>
    <x v="4"/>
    <x v="0"/>
    <s v="ICM"/>
    <x v="0"/>
    <s v="Electrical Parts"/>
    <s v="Other"/>
    <s v="Other Materials"/>
    <n v="1"/>
    <n v="0.5"/>
    <s v="No"/>
    <m/>
    <m/>
    <n v="0"/>
    <m/>
    <n v="0"/>
    <s v="No"/>
    <s v="N/A"/>
    <n v="0"/>
    <m/>
    <m/>
    <m/>
    <m/>
    <m/>
    <x v="1"/>
  </r>
  <r>
    <n v="124"/>
    <x v="5"/>
    <m/>
    <m/>
    <x v="2"/>
    <x v="0"/>
    <s v="25-00354"/>
    <s v="N/A"/>
    <s v="Alternative Shaded Pole 5W Xing Yuang YZF 7-20 for Hicool 83A230SAC-7W "/>
    <x v="4"/>
    <x v="0"/>
    <s v="ICM"/>
    <x v="0"/>
    <s v="Electrical Parts"/>
    <s v="Other"/>
    <s v="Other Materials"/>
    <n v="1"/>
    <n v="0.5"/>
    <s v="No"/>
    <m/>
    <m/>
    <n v="0"/>
    <m/>
    <n v="0"/>
    <s v="No"/>
    <s v="N/A"/>
    <n v="0"/>
    <m/>
    <m/>
    <m/>
    <m/>
    <m/>
    <x v="1"/>
  </r>
  <r>
    <n v="125"/>
    <x v="12"/>
    <m/>
    <m/>
    <x v="2"/>
    <x v="0"/>
    <s v="24-00223"/>
    <s v="N/A"/>
    <s v="Jinbo PSUs"/>
    <x v="4"/>
    <x v="0"/>
    <s v="ICM"/>
    <x v="0"/>
    <s v="Electrical Parts"/>
    <s v="Other"/>
    <s v="Other Materials"/>
    <n v="1"/>
    <n v="0.5"/>
    <s v="No"/>
    <m/>
    <m/>
    <n v="0"/>
    <m/>
    <n v="0"/>
    <s v="No"/>
    <s v="N/A"/>
    <n v="0"/>
    <m/>
    <m/>
    <m/>
    <m/>
    <m/>
    <x v="1"/>
  </r>
  <r>
    <n v="126"/>
    <x v="9"/>
    <m/>
    <m/>
    <x v="2"/>
    <x v="0"/>
    <s v="25-00347"/>
    <s v="N/A"/>
    <s v="Alternative AC Block Motor CCA WIRE Xing Yuang 20W (FM12038A2HS) for Nisiki NIS12038HS2W-ES "/>
    <x v="4"/>
    <x v="0"/>
    <s v="ICM"/>
    <x v="0"/>
    <s v="Electrical Parts"/>
    <s v="Other"/>
    <s v="Other Materials"/>
    <n v="1"/>
    <n v="0.5"/>
    <s v="No"/>
    <m/>
    <m/>
    <n v="0"/>
    <m/>
    <n v="0"/>
    <s v="No"/>
    <s v="N/A"/>
    <n v="0"/>
    <m/>
    <m/>
    <m/>
    <m/>
    <m/>
    <x v="1"/>
  </r>
  <r>
    <n v="127"/>
    <x v="9"/>
    <m/>
    <m/>
    <x v="2"/>
    <x v="0"/>
    <s v="25-00348"/>
    <s v="N/A"/>
    <s v="Alternative AC Block Motor Xing Yuang 20W (FM12038A2HS) for Nisiki NIS12038HS2W-ES "/>
    <x v="4"/>
    <x v="0"/>
    <s v="ICM"/>
    <x v="0"/>
    <s v="Electrical Parts"/>
    <s v="Other"/>
    <s v="Other Materials"/>
    <n v="1"/>
    <n v="0.5"/>
    <s v="No"/>
    <m/>
    <m/>
    <n v="0"/>
    <m/>
    <n v="0"/>
    <s v="No"/>
    <s v="N/A"/>
    <n v="0"/>
    <m/>
    <m/>
    <m/>
    <m/>
    <m/>
    <x v="1"/>
  </r>
  <r>
    <n v="128"/>
    <x v="9"/>
    <m/>
    <m/>
    <x v="2"/>
    <x v="0"/>
    <s v="25-00351"/>
    <s v="N/A"/>
    <s v="Alternative Shaded Pole 5W Xing Yuang  YZF 5-13 ALUMINIUM WIRE for Hicool  83A230SAC-5W "/>
    <x v="4"/>
    <x v="0"/>
    <s v="ICM"/>
    <x v="0"/>
    <s v="Electrical Parts"/>
    <s v="Other"/>
    <s v="Other Materials"/>
    <n v="1"/>
    <n v="0.5"/>
    <s v="No"/>
    <m/>
    <m/>
    <n v="0"/>
    <m/>
    <n v="0"/>
    <s v="No"/>
    <s v="N/A"/>
    <n v="0"/>
    <m/>
    <m/>
    <m/>
    <m/>
    <m/>
    <x v="1"/>
  </r>
  <r>
    <n v="129"/>
    <x v="9"/>
    <m/>
    <m/>
    <x v="2"/>
    <x v="0"/>
    <s v="25-00352"/>
    <s v="N/A"/>
    <s v="Alternative Shaded Pole 5W Xing Yuang YZF 5-13 COPPER WIRE for Hicool  83A230SAC-5W "/>
    <x v="4"/>
    <x v="0"/>
    <s v="ICM"/>
    <x v="0"/>
    <s v="Electrical Parts"/>
    <s v="Other"/>
    <s v="Other Materials"/>
    <n v="1"/>
    <n v="0.5"/>
    <s v="No"/>
    <m/>
    <m/>
    <n v="0"/>
    <m/>
    <n v="0"/>
    <s v="No"/>
    <s v="N/A"/>
    <n v="0"/>
    <m/>
    <m/>
    <m/>
    <m/>
    <m/>
    <x v="1"/>
  </r>
  <r>
    <n v="130"/>
    <x v="9"/>
    <m/>
    <m/>
    <x v="2"/>
    <x v="0"/>
    <s v="25-00357"/>
    <s v="N/A"/>
    <s v="Alternative Shaded Pole 16W Xing Yuang YZF 16-25 ALUMINIUM WIRE for Weiguang YZF16-25 "/>
    <x v="4"/>
    <x v="0"/>
    <s v="ICM"/>
    <x v="0"/>
    <s v="Electrical Parts"/>
    <s v="Other"/>
    <s v="Other Materials"/>
    <n v="1"/>
    <n v="0.5"/>
    <s v="No"/>
    <m/>
    <m/>
    <n v="0"/>
    <m/>
    <n v="0"/>
    <s v="No"/>
    <s v="N/A"/>
    <n v="0"/>
    <m/>
    <m/>
    <m/>
    <m/>
    <m/>
    <x v="1"/>
  </r>
  <r>
    <n v="131"/>
    <x v="5"/>
    <m/>
    <m/>
    <x v="0"/>
    <x v="3"/>
    <s v="25-00334"/>
    <s v="N/A"/>
    <s v="Easy reach connectivity device testing in S-45 models for Coke - Feasibility stage (sample units needs to be prepared for field testing)"/>
    <x v="0"/>
    <x v="0"/>
    <s v="ICM"/>
    <x v="2"/>
    <s v="Complete Cooler"/>
    <s v="N/A"/>
    <s v="N/A"/>
    <n v="2"/>
    <n v="2"/>
    <s v="No"/>
    <m/>
    <m/>
    <n v="0"/>
    <m/>
    <n v="0"/>
    <s v="No"/>
    <s v="Not Started"/>
    <n v="1.5"/>
    <m/>
    <m/>
    <m/>
    <m/>
    <m/>
    <x v="5"/>
  </r>
  <r>
    <n v="132"/>
    <x v="10"/>
    <m/>
    <s v="Y"/>
    <x v="0"/>
    <x v="1"/>
    <s v="24-00247"/>
    <s v="N/A"/>
    <s v="SP200 - META certification &amp; TF release"/>
    <x v="0"/>
    <x v="0"/>
    <s v="ICM"/>
    <x v="1"/>
    <s v="Cooling Mechanism"/>
    <s v="N/A"/>
    <s v="N/A"/>
    <n v="7"/>
    <n v="7"/>
    <s v="Yes"/>
    <m/>
    <m/>
    <n v="6"/>
    <m/>
    <n v="40"/>
    <s v="Yes"/>
    <s v="Not Started"/>
    <n v="1.5"/>
    <m/>
    <m/>
    <m/>
    <m/>
    <m/>
    <x v="4"/>
  </r>
  <r>
    <n v="133"/>
    <x v="10"/>
    <m/>
    <m/>
    <x v="0"/>
    <x v="3"/>
    <s v="25-00315"/>
    <s v="N/A"/>
    <s v="Aesthetical upgrade (frameless doors) in key account models -   Indian range (S-450, S-600, S-1100) - COKE"/>
    <x v="0"/>
    <x v="0"/>
    <s v="ICM"/>
    <x v="1"/>
    <s v="Door"/>
    <s v="N/A"/>
    <s v="N/A"/>
    <m/>
    <m/>
    <m/>
    <m/>
    <m/>
    <m/>
    <m/>
    <m/>
    <s v="Yes"/>
    <s v="Not Started"/>
    <m/>
    <m/>
    <m/>
    <m/>
    <m/>
    <m/>
    <x v="5"/>
  </r>
  <r>
    <n v="134"/>
    <x v="10"/>
    <m/>
    <m/>
    <x v="0"/>
    <x v="3"/>
    <s v="25-00296"/>
    <s v="N/A"/>
    <s v="Aesthetical upgrade (frameless doors) in key account models - INDO range for all models"/>
    <x v="1"/>
    <x v="0"/>
    <s v="ICM"/>
    <x v="1"/>
    <s v="Door"/>
    <s v="N/A"/>
    <s v="N/A"/>
    <n v="4"/>
    <n v="2"/>
    <s v="Yes"/>
    <m/>
    <m/>
    <n v="1"/>
    <m/>
    <n v="0"/>
    <s v="No"/>
    <s v="N/A"/>
    <n v="0"/>
    <s v="Saftey-To be decided Later"/>
    <m/>
    <m/>
    <m/>
    <m/>
    <x v="5"/>
  </r>
  <r>
    <n v="135"/>
    <x v="10"/>
    <m/>
    <s v="Y"/>
    <x v="0"/>
    <x v="3"/>
    <s v="TBR"/>
    <s v="N/A"/>
    <s v="HV71C sample cooler development as per CCBSA future cooler specs along with with icool2 edge light door option meeting EC 26 protocol- CCBSA"/>
    <x v="3"/>
    <x v="0"/>
    <s v="ICM"/>
    <x v="1"/>
    <s v="Complete Cooler"/>
    <s v="N/A"/>
    <s v="N/A"/>
    <n v="8"/>
    <n v="6"/>
    <s v="Yes"/>
    <m/>
    <m/>
    <n v="1"/>
    <m/>
    <n v="30"/>
    <s v="No"/>
    <s v="N/A"/>
    <n v="2"/>
    <s v="Saftey-To be decided Later"/>
    <m/>
    <m/>
    <m/>
    <m/>
    <x v="4"/>
  </r>
  <r>
    <n v="136"/>
    <x v="10"/>
    <m/>
    <s v="Y"/>
    <x v="0"/>
    <x v="3"/>
    <s v="TBR"/>
    <s v="N/A"/>
    <s v="FV650C sample cooler development as per CCBSA future cooler specs along with with icool2 edge light door option meeting EC 26 protocol- CCBSA"/>
    <x v="3"/>
    <x v="0"/>
    <s v="ICM"/>
    <x v="1"/>
    <s v="Complete Cooler"/>
    <s v="N/A"/>
    <s v="N/A"/>
    <n v="8"/>
    <n v="10"/>
    <s v="Yes"/>
    <m/>
    <m/>
    <n v="1"/>
    <m/>
    <n v="2"/>
    <s v="No"/>
    <s v="N/A"/>
    <n v="2"/>
    <s v="Saftey-To be decided Later"/>
    <m/>
    <m/>
    <m/>
    <m/>
    <x v="2"/>
  </r>
  <r>
    <n v="137"/>
    <x v="7"/>
    <m/>
    <m/>
    <x v="0"/>
    <x v="3"/>
    <s v="TBR"/>
    <s v="N/A"/>
    <s v="FV650 Sub-Zero for breweries"/>
    <x v="3"/>
    <x v="0"/>
    <s v="ICM"/>
    <x v="2"/>
    <s v="Complete Cooler"/>
    <s v="N/A"/>
    <s v="N/A"/>
    <n v="4"/>
    <n v="3"/>
    <s v="No"/>
    <m/>
    <m/>
    <n v="0"/>
    <m/>
    <n v="10"/>
    <s v="Yes"/>
    <s v="Not Started"/>
    <n v="3"/>
    <m/>
    <m/>
    <m/>
    <m/>
    <m/>
    <x v="5"/>
  </r>
  <r>
    <n v="138"/>
    <x v="5"/>
    <m/>
    <m/>
    <x v="0"/>
    <x v="1"/>
    <s v="23-00134"/>
    <s v="N/A"/>
    <s v="2026 Energy Target-Coke protocol-S-250 in R600"/>
    <x v="0"/>
    <x v="0"/>
    <s v="ICM"/>
    <x v="1"/>
    <s v="Cooling Mechanism"/>
    <s v="N/A"/>
    <s v="N/A"/>
    <n v="3"/>
    <n v="2"/>
    <s v="Yes"/>
    <m/>
    <m/>
    <n v="6"/>
    <m/>
    <n v="10"/>
    <s v="Yes"/>
    <s v="Not Started"/>
    <n v="1.5"/>
    <m/>
    <m/>
    <m/>
    <m/>
    <m/>
    <x v="5"/>
  </r>
  <r>
    <n v="139"/>
    <x v="13"/>
    <m/>
    <m/>
    <x v="0"/>
    <x v="2"/>
    <s v="TBA"/>
    <s v="N/A"/>
    <s v="S-45 SZ with frameless edgelit door"/>
    <x v="0"/>
    <x v="0"/>
    <s v="ICM"/>
    <x v="1"/>
    <s v="Door"/>
    <s v="N/A"/>
    <s v="N/A"/>
    <n v="2"/>
    <n v="0"/>
    <s v="Yes"/>
    <m/>
    <m/>
    <n v="1"/>
    <m/>
    <n v="0"/>
    <s v="No"/>
    <s v="N/A"/>
    <n v="1.5"/>
    <m/>
    <m/>
    <m/>
    <m/>
    <m/>
    <x v="5"/>
  </r>
  <r>
    <n v="140"/>
    <x v="0"/>
    <m/>
    <m/>
    <x v="2"/>
    <x v="2"/>
    <s v="25-00285"/>
    <s v="N/A"/>
    <s v="Illuminated top glass frame in VG-400"/>
    <x v="0"/>
    <x v="0"/>
    <s v="ICM"/>
    <x v="1"/>
    <s v="Door"/>
    <s v="N/A"/>
    <s v="N/A"/>
    <n v="3"/>
    <n v="3"/>
    <s v="No"/>
    <m/>
    <m/>
    <n v="0"/>
    <m/>
    <n v="0"/>
    <s v="No"/>
    <s v="N/A"/>
    <n v="0"/>
    <s v="-Safety requiremnet to be decided after finalization of Design&quot;"/>
    <m/>
    <m/>
    <m/>
    <m/>
    <x v="5"/>
  </r>
  <r>
    <n v="141"/>
    <x v="5"/>
    <m/>
    <m/>
    <x v="0"/>
    <x v="4"/>
    <s v="25-00324"/>
    <s v="N/A"/>
    <s v="2026 Energy Target-Coke protocol-S800"/>
    <x v="0"/>
    <x v="0"/>
    <s v="ICM"/>
    <x v="1"/>
    <s v="Cooling Mechanism"/>
    <s v="N/A"/>
    <s v="N/A"/>
    <n v="3"/>
    <n v="2"/>
    <s v="Yes"/>
    <m/>
    <m/>
    <n v="6"/>
    <m/>
    <n v="10"/>
    <s v="Yes"/>
    <s v="Not Started"/>
    <n v="1.5"/>
    <s v="Safety- To be verified after configuration is finalized"/>
    <m/>
    <m/>
    <m/>
    <m/>
    <x v="1"/>
  </r>
  <r>
    <n v="142"/>
    <x v="5"/>
    <m/>
    <m/>
    <x v="0"/>
    <x v="4"/>
    <s v="25-00335"/>
    <s v="N/A"/>
    <s v="2026 Energy Target-Coke protocol-E-47"/>
    <x v="1"/>
    <x v="0"/>
    <s v="ICM"/>
    <x v="1"/>
    <s v="Cooling Mechanism"/>
    <s v="N/A"/>
    <s v="N/A"/>
    <n v="3"/>
    <n v="3"/>
    <s v="Yes"/>
    <m/>
    <m/>
    <n v="6"/>
    <m/>
    <n v="8"/>
    <s v="Yes"/>
    <s v="Not Started"/>
    <n v="1.5"/>
    <s v="Safety- To be verified after configuration is finalized"/>
    <m/>
    <m/>
    <m/>
    <m/>
    <x v="5"/>
  </r>
  <r>
    <n v="143"/>
    <x v="7"/>
    <m/>
    <m/>
    <x v="1"/>
    <x v="1"/>
    <s v="25-00294"/>
    <s v="N/A"/>
    <s v="350L SLIM COOLER - Indonesia"/>
    <x v="1"/>
    <x v="0"/>
    <s v="ICM"/>
    <x v="1"/>
    <s v="Complete Cooler"/>
    <s v="N/A"/>
    <s v="N/A"/>
    <n v="15"/>
    <n v="15"/>
    <s v="Yes"/>
    <m/>
    <m/>
    <n v="8"/>
    <m/>
    <n v="14"/>
    <s v="No"/>
    <s v="N/A"/>
    <n v="2"/>
    <s v="Not in priority"/>
    <m/>
    <m/>
    <m/>
    <m/>
    <x v="5"/>
  </r>
  <r>
    <n v="144"/>
    <x v="10"/>
    <m/>
    <m/>
    <x v="0"/>
    <x v="1"/>
    <s v="25-00319"/>
    <s v="N/A"/>
    <s v="S-250 development as EC26 protocol with improved aesthetics (framesless door, premium offering as option) - export market"/>
    <x v="1"/>
    <x v="0"/>
    <s v="ICM"/>
    <x v="1"/>
    <s v="Complete Cooler"/>
    <s v="N/A"/>
    <s v="N/A"/>
    <n v="3"/>
    <n v="3"/>
    <s v="Yes"/>
    <m/>
    <m/>
    <n v="7"/>
    <m/>
    <n v="0"/>
    <s v="Yes"/>
    <s v="Not Started"/>
    <n v="1.5"/>
    <s v="VG250 with Frameless door (from China) and Coke EC2026 "/>
    <m/>
    <m/>
    <m/>
    <m/>
    <x v="5"/>
  </r>
  <r>
    <n v="145"/>
    <x v="0"/>
    <m/>
    <m/>
    <x v="0"/>
    <x v="2"/>
    <s v="25-00287"/>
    <s v="N/A"/>
    <s v="Frameless door +front grid, inetgrated bottlle opener for complete range"/>
    <x v="0"/>
    <x v="0"/>
    <s v="ICM"/>
    <x v="1"/>
    <s v="Door"/>
    <s v="N/A"/>
    <s v="N/A"/>
    <n v="6"/>
    <n v="0"/>
    <s v="Yes"/>
    <m/>
    <m/>
    <n v="0.5"/>
    <m/>
    <n v="0"/>
    <s v="No"/>
    <s v="N/A"/>
    <n v="0"/>
    <m/>
    <m/>
    <m/>
    <m/>
    <m/>
    <x v="5"/>
  </r>
  <r>
    <n v="146"/>
    <x v="0"/>
    <m/>
    <m/>
    <x v="2"/>
    <x v="2"/>
    <s v="24-00229"/>
    <s v="N/A"/>
    <s v="GMC device in S-35*"/>
    <x v="0"/>
    <x v="0"/>
    <s v="ICM"/>
    <x v="1"/>
    <s v="Cabin Electronics"/>
    <s v="N/A"/>
    <s v="N/A"/>
    <n v="0"/>
    <n v="2"/>
    <s v="Yes"/>
    <m/>
    <m/>
    <n v="1"/>
    <m/>
    <n v="0"/>
    <s v="No"/>
    <s v="N/A"/>
    <n v="0"/>
    <m/>
    <m/>
    <m/>
    <m/>
    <m/>
    <x v="5"/>
  </r>
  <r>
    <n v="147"/>
    <x v="0"/>
    <m/>
    <m/>
    <x v="0"/>
    <x v="2"/>
    <s v="24-00231"/>
    <s v="N/A"/>
    <s v="FDE32 field trials in S-35*"/>
    <x v="0"/>
    <x v="0"/>
    <s v="ICM"/>
    <x v="1"/>
    <s v="Cabin Electronics"/>
    <s v="N/A"/>
    <s v="N/A"/>
    <n v="0"/>
    <n v="3"/>
    <s v="Yes"/>
    <m/>
    <m/>
    <n v="1"/>
    <m/>
    <n v="0"/>
    <s v="No"/>
    <s v="N/A"/>
    <n v="0"/>
    <m/>
    <m/>
    <m/>
    <m/>
    <m/>
    <x v="5"/>
  </r>
  <r>
    <n v="148"/>
    <x v="2"/>
    <m/>
    <m/>
    <x v="0"/>
    <x v="0"/>
    <s v="24-00188"/>
    <s v="24SRC005"/>
    <s v="EC block motor Rexnord EC-12038 S0WMP 02 as alternative to Nisiki NIS12038HS2W-EC"/>
    <x v="4"/>
    <x v="0"/>
    <s v="ICM"/>
    <x v="0"/>
    <s v="Electrical Parts"/>
    <s v="Electrical Components"/>
    <s v="Block Motors"/>
    <n v="0"/>
    <n v="0"/>
    <s v="Yes"/>
    <m/>
    <m/>
    <n v="1"/>
    <m/>
    <n v="0"/>
    <s v="Yes"/>
    <s v="Start Date→  28-10-24_x000a_End Date→ 30-11-24"/>
    <m/>
    <s v="Rexnord motor rejected in field simulation."/>
    <m/>
    <m/>
    <m/>
    <m/>
    <x v="5"/>
  </r>
  <r>
    <n v="149"/>
    <x v="0"/>
    <m/>
    <m/>
    <x v="2"/>
    <x v="3"/>
    <s v="25-00269"/>
    <s v="N/A"/>
    <s v="Door Top Hinge Design Change and trials for Less closing force"/>
    <x v="0"/>
    <x v="0"/>
    <s v="ICM"/>
    <x v="3"/>
    <s v="Door"/>
    <s v="Door Components &amp; Acc."/>
    <s v="Metal Processing &amp; Components"/>
    <n v="1"/>
    <n v="1"/>
    <s v="No"/>
    <m/>
    <m/>
    <n v="0"/>
    <m/>
    <n v="0"/>
    <s v="No"/>
    <s v="N/A"/>
    <n v="0"/>
    <m/>
    <s v="Yes"/>
    <s v="Yes"/>
    <m/>
    <m/>
    <x v="5"/>
  </r>
  <r>
    <n v="150"/>
    <x v="0"/>
    <m/>
    <m/>
    <x v="2"/>
    <x v="0"/>
    <s v="25-00264"/>
    <s v="25IND013-7"/>
    <s v="LED: LED cable from Bottom side of cabinet S40  &amp; Variants"/>
    <x v="0"/>
    <x v="0"/>
    <s v="ICM"/>
    <x v="2"/>
    <s v="Illumination"/>
    <s v="Electrical Components"/>
    <s v="Cable Harnesses"/>
    <n v="2"/>
    <n v="2"/>
    <s v="No"/>
    <m/>
    <m/>
    <n v="0"/>
    <m/>
    <n v="0"/>
    <s v="No"/>
    <s v="N/A"/>
    <n v="0"/>
    <m/>
    <s v="No"/>
    <s v="No"/>
    <m/>
    <m/>
    <x v="5"/>
  </r>
  <r>
    <n v="151"/>
    <x v="0"/>
    <m/>
    <m/>
    <x v="2"/>
    <x v="0"/>
    <s v="25-00264"/>
    <s v="25IND013-8"/>
    <s v="LED: LED cable from Bottom side of cabinet S50  &amp; Variants"/>
    <x v="0"/>
    <x v="0"/>
    <s v="ICM"/>
    <x v="2"/>
    <s v="Illumination"/>
    <s v="Electrical Components"/>
    <s v="Cable Harnesses"/>
    <n v="2"/>
    <n v="2"/>
    <s v="No"/>
    <m/>
    <m/>
    <n v="0"/>
    <m/>
    <n v="0"/>
    <s v="No"/>
    <s v="N/A"/>
    <n v="0"/>
    <m/>
    <s v="No"/>
    <s v="No"/>
    <m/>
    <m/>
    <x v="5"/>
  </r>
  <r>
    <n v="152"/>
    <x v="0"/>
    <m/>
    <m/>
    <x v="0"/>
    <x v="0"/>
    <s v="25-00295"/>
    <s v="25IND016-5"/>
    <s v="Electrical Box: Removal New small electrical box for Super-1000 &amp; Variants (Nok Coke/Non Pepsi)"/>
    <x v="0"/>
    <x v="0"/>
    <s v="ICM"/>
    <x v="2"/>
    <s v="Electrical Parts"/>
    <s v="Steel &amp; Parts"/>
    <s v="Steel-GI"/>
    <n v="1"/>
    <n v="1"/>
    <s v="No"/>
    <m/>
    <m/>
    <n v="0"/>
    <m/>
    <n v="0"/>
    <s v="No"/>
    <s v="N/A"/>
    <n v="0"/>
    <m/>
    <s v="Yes"/>
    <s v="Yes"/>
    <m/>
    <m/>
    <x v="5"/>
  </r>
  <r>
    <n v="153"/>
    <x v="0"/>
    <m/>
    <m/>
    <x v="2"/>
    <x v="0"/>
    <s v="25-00262"/>
    <s v="25IND019-1"/>
    <s v="Roller Bracket: Redesign to smaller roller Bracket - S-200/250"/>
    <x v="0"/>
    <x v="0"/>
    <s v="ICM"/>
    <x v="2"/>
    <s v="Insulated Cabin"/>
    <s v="Steel &amp; Parts"/>
    <s v="Steel-GI"/>
    <n v="0"/>
    <n v="0"/>
    <s v="No"/>
    <m/>
    <m/>
    <n v="0"/>
    <m/>
    <n v="0"/>
    <s v="No"/>
    <s v="N/A"/>
    <n v="0"/>
    <m/>
    <s v="Yes"/>
    <s v="Yes"/>
    <m/>
    <m/>
    <x v="5"/>
  </r>
  <r>
    <n v="154"/>
    <x v="0"/>
    <m/>
    <m/>
    <x v="2"/>
    <x v="0"/>
    <s v="25-00307"/>
    <s v="25SRC032"/>
    <s v="Fastenings for S.Africa from China"/>
    <x v="3"/>
    <x v="0"/>
    <s v="ICM"/>
    <x v="0"/>
    <s v="Other Fastening"/>
    <s v="Other"/>
    <s v="Fastening Materials"/>
    <n v="0"/>
    <n v="0"/>
    <s v="No"/>
    <m/>
    <m/>
    <n v="0"/>
    <m/>
    <n v="0"/>
    <s v="No"/>
    <s v="N/A"/>
    <n v="0"/>
    <m/>
    <m/>
    <m/>
    <m/>
    <m/>
    <x v="5"/>
  </r>
  <r>
    <n v="155"/>
    <x v="0"/>
    <m/>
    <m/>
    <x v="2"/>
    <x v="0"/>
    <s v="25-00309"/>
    <s v="25SAF005"/>
    <s v="Plastic Evap Fan Grill Localization"/>
    <x v="3"/>
    <x v="0"/>
    <s v="ICM"/>
    <x v="0"/>
    <s v="Cooling Mechanism"/>
    <s v="Plastics"/>
    <s v="Injection Plastics"/>
    <n v="0"/>
    <n v="0"/>
    <s v="No"/>
    <m/>
    <m/>
    <n v="0"/>
    <m/>
    <n v="0"/>
    <s v="No"/>
    <s v="N/A"/>
    <n v="0"/>
    <s v="Project not needed as plan is to move to 3 motors with Metal fan casing"/>
    <m/>
    <m/>
    <m/>
    <m/>
    <x v="5"/>
  </r>
  <r>
    <n v="156"/>
    <x v="2"/>
    <m/>
    <m/>
    <x v="0"/>
    <x v="0"/>
    <s v="22-00019"/>
    <s v="24IND001"/>
    <s v="Hicool 5 Watt EC motor evaluation "/>
    <x v="0"/>
    <x v="0"/>
    <s v="ICM"/>
    <x v="0"/>
    <s v="Electrical Parts"/>
    <s v="Electrical Components"/>
    <s v="Electronic Motors"/>
    <n v="0.5"/>
    <n v="0.5"/>
    <s v="Yes"/>
    <m/>
    <m/>
    <n v="1"/>
    <m/>
    <n v="1"/>
    <s v="Yes"/>
    <s v="Start Date→  28-10-24_x000a_End Date→ 30-11-24"/>
    <n v="0"/>
    <s v="Safety completed"/>
    <m/>
    <m/>
    <m/>
    <m/>
    <x v="5"/>
  </r>
  <r>
    <n v="157"/>
    <x v="0"/>
    <m/>
    <m/>
    <x v="0"/>
    <x v="0"/>
    <s v="25-00252"/>
    <s v="25INN007-1"/>
    <s v="Change compressor WANBAO FTA55L to FTK55X FTK45- E47R290 INDO"/>
    <x v="1"/>
    <x v="0"/>
    <s v="ICM"/>
    <x v="0"/>
    <s v="Cooling Mechanism"/>
    <s v="Cooling Components"/>
    <s v="Compressors"/>
    <n v="3"/>
    <n v="2"/>
    <s v="Yes"/>
    <m/>
    <m/>
    <n v="7"/>
    <m/>
    <n v="6"/>
    <s v="Yes"/>
    <s v="Not Started"/>
    <n v="1.5"/>
    <s v="POC failed with FTK55, FTK45 sample ordered- To be started by end of March"/>
    <m/>
    <m/>
    <m/>
    <m/>
    <x v="5"/>
  </r>
  <r>
    <n v="158"/>
    <x v="2"/>
    <m/>
    <m/>
    <x v="0"/>
    <x v="0"/>
    <s v="25-00259"/>
    <s v="25SRC008-1"/>
    <s v="Compressor Donper L76WU1 as alternative to Tecumseh TCW415U-C3B SP-600 R290 Pepsi"/>
    <x v="0"/>
    <x v="0"/>
    <s v="ICM"/>
    <x v="0"/>
    <s v="Cooling Mechanism"/>
    <s v="Cooling Components"/>
    <s v="Compressors"/>
    <n v="3"/>
    <n v="3"/>
    <s v="Yes"/>
    <m/>
    <m/>
    <n v="6"/>
    <m/>
    <n v="0"/>
    <s v="Yes"/>
    <s v="Start Date→ 29-10-24_x000a_End Date→ 18-12-24"/>
    <n v="0"/>
    <s v="Safety completed"/>
    <m/>
    <m/>
    <m/>
    <m/>
    <x v="1"/>
  </r>
  <r>
    <n v="159"/>
    <x v="2"/>
    <m/>
    <m/>
    <x v="0"/>
    <x v="0"/>
    <s v="25-00257"/>
    <s v="25SRC006-1"/>
    <s v="Compressor Donper L58WU1 as alternative to Wanbao FTA55L→SP-400 R290 (Pepsi)"/>
    <x v="0"/>
    <x v="0"/>
    <s v="ICM"/>
    <x v="0"/>
    <s v="Cooling Mechanism"/>
    <s v="Cooling Components"/>
    <s v="Compressors"/>
    <n v="1"/>
    <n v="3"/>
    <s v="Yes"/>
    <m/>
    <m/>
    <n v="6"/>
    <m/>
    <n v="0"/>
    <s v="Yes"/>
    <s v="Start Date→  28-10-24_x000a_End Date→ 30-11-24"/>
    <n v="0"/>
    <s v="Safety completed"/>
    <m/>
    <m/>
    <m/>
    <m/>
    <x v="1"/>
  </r>
  <r>
    <n v="160"/>
    <x v="2"/>
    <m/>
    <m/>
    <x v="0"/>
    <x v="0"/>
    <s v="25-00254"/>
    <s v="25SRC004-1"/>
    <s v="Compressor Donper L58WU1 as alternative to Wanbao TCW410→SP-500 R290 (Pepsi)"/>
    <x v="0"/>
    <x v="0"/>
    <s v="ICM"/>
    <x v="0"/>
    <s v="Cooling Mechanism"/>
    <s v="Cooling Components"/>
    <s v="Compressors"/>
    <n v="1"/>
    <n v="3"/>
    <s v="Yes"/>
    <m/>
    <m/>
    <n v="6"/>
    <m/>
    <n v="0"/>
    <s v="Yes"/>
    <s v="Start Date→09-11-24_x000a_End Date→20-12-24"/>
    <n v="0"/>
    <s v="Safety completed"/>
    <m/>
    <m/>
    <m/>
    <m/>
    <x v="1"/>
  </r>
  <r>
    <n v="161"/>
    <x v="0"/>
    <m/>
    <m/>
    <x v="0"/>
    <x v="0"/>
    <s v="25-00299"/>
    <s v="25SRC010-4"/>
    <s v="Compressor Donper L76WU1 as alternative to Huayi NUS70NA→SL-1140 C [R290] HNKN"/>
    <x v="3"/>
    <x v="0"/>
    <s v="ICM"/>
    <x v="0"/>
    <s v="Cooling Mechanism"/>
    <s v="Cooling Components"/>
    <s v="Compressors"/>
    <n v="0"/>
    <n v="0"/>
    <s v="Yes"/>
    <m/>
    <m/>
    <n v="6"/>
    <m/>
    <n v="0"/>
    <s v="Yes"/>
    <s v="Start Date→ 11-01-25_x000a_End Date→ 10-02-25"/>
    <n v="0"/>
    <s v="Safety completed, model name covered in safety report - SL-1140 [R290] FFD"/>
    <m/>
    <m/>
    <m/>
    <m/>
    <x v="1"/>
  </r>
  <r>
    <n v="162"/>
    <x v="0"/>
    <m/>
    <m/>
    <x v="0"/>
    <x v="0"/>
    <s v="25-00253"/>
    <s v="25INN008-2"/>
    <s v="Compressor Donper L76WU1 as alternative to Huayi NUY80RAA →SLP-650 D [R290] with Canopy (Coke Indo)"/>
    <x v="1"/>
    <x v="0"/>
    <s v="ICM"/>
    <x v="0"/>
    <s v="Cooling Mechanism"/>
    <s v="Cooling Components"/>
    <s v="Compressors"/>
    <n v="2"/>
    <n v="1"/>
    <s v="Yes"/>
    <m/>
    <m/>
    <n v="6"/>
    <m/>
    <n v="0"/>
    <s v="Yes"/>
    <s v="Start Date→ 25-01-25_x000a_End Date→ 13-03-25"/>
    <n v="0"/>
    <s v="Safety completed"/>
    <m/>
    <m/>
    <m/>
    <m/>
    <x v="5"/>
  </r>
  <r>
    <n v="163"/>
    <x v="0"/>
    <m/>
    <m/>
    <x v="0"/>
    <x v="0"/>
    <s v="25-00303"/>
    <s v="25SRC011-1"/>
    <s v="Compressor Donper KK480WU1 as alternative to TCW420-UZ3B-S-1100 R290"/>
    <x v="0"/>
    <x v="0"/>
    <s v="ICM"/>
    <x v="0"/>
    <s v="Cooling Mechanism"/>
    <s v="Cooling Components"/>
    <s v="Compressors"/>
    <n v="3"/>
    <n v="2"/>
    <s v="Yes"/>
    <m/>
    <m/>
    <n v="7"/>
    <m/>
    <n v="6"/>
    <s v="Yes"/>
    <s v="Not Started"/>
    <n v="1.5"/>
    <s v="Sample to be prepared."/>
    <m/>
    <m/>
    <m/>
    <m/>
    <x v="0"/>
  </r>
  <r>
    <n v="164"/>
    <x v="12"/>
    <m/>
    <m/>
    <x v="2"/>
    <x v="0"/>
    <s v="24-00225"/>
    <s v="N/A"/>
    <s v="Bright Star PSUs"/>
    <x v="4"/>
    <x v="0"/>
    <s v="ICM"/>
    <x v="0"/>
    <s v="Electrical Parts"/>
    <s v="Other"/>
    <s v="Other Materials"/>
    <n v="1"/>
    <n v="0.5"/>
    <s v="No"/>
    <m/>
    <m/>
    <n v="0"/>
    <m/>
    <n v="0"/>
    <s v="No"/>
    <s v="N/A"/>
    <n v="0"/>
    <m/>
    <m/>
    <m/>
    <m/>
    <m/>
    <x v="1"/>
  </r>
  <r>
    <n v="165"/>
    <x v="5"/>
    <m/>
    <m/>
    <x v="1"/>
    <x v="1"/>
    <s v="25-00282"/>
    <s v="N/A"/>
    <s v="350L premium slim cooler development, New platform project - Indonesia Pepsi"/>
    <x v="0"/>
    <x v="0"/>
    <s v="ICM"/>
    <x v="1"/>
    <s v="Complete Cooler"/>
    <s v="N/A"/>
    <s v="N/A"/>
    <n v="15"/>
    <n v="15"/>
    <s v="Yes"/>
    <m/>
    <m/>
    <n v="8"/>
    <m/>
    <n v="14"/>
    <s v="Yes"/>
    <s v="Not Started"/>
    <n v="3"/>
    <m/>
    <m/>
    <m/>
    <m/>
    <m/>
    <x v="1"/>
  </r>
  <r>
    <n v="166"/>
    <x v="7"/>
    <m/>
    <s v="Y"/>
    <x v="1"/>
    <x v="1"/>
    <s v="25-00317"/>
    <s v="N/A"/>
    <s v="800L DD  SFC-1000→Super-1000 (Step cooler): New Step Cabin design"/>
    <x v="0"/>
    <x v="1"/>
    <s v="ICM"/>
    <x v="1"/>
    <s v="Complete Cooler"/>
    <s v="N/A"/>
    <s v="N/A"/>
    <n v="19"/>
    <n v="22"/>
    <s v="Yes"/>
    <m/>
    <m/>
    <n v="8"/>
    <m/>
    <n v="14"/>
    <s v="Yes"/>
    <s v="Not Started"/>
    <n v="2"/>
    <s v="Statement of changes by Mid May._x000a_Safety cooler required by 30th May."/>
    <m/>
    <m/>
    <m/>
    <m/>
    <x v="2"/>
  </r>
  <r>
    <n v="167"/>
    <x v="5"/>
    <m/>
    <m/>
    <x v="0"/>
    <x v="4"/>
    <s v="TBR"/>
    <s v="N/A"/>
    <s v="FV-650 D, EC 26 development - SEA"/>
    <x v="1"/>
    <x v="0"/>
    <s v="ICM"/>
    <x v="1"/>
    <s v="Cooling Mechanism"/>
    <s v="N/A"/>
    <s v="N/A"/>
    <n v="3"/>
    <n v="2"/>
    <s v="Yes"/>
    <m/>
    <m/>
    <n v="6"/>
    <m/>
    <n v="0"/>
    <s v="Yes"/>
    <s v="Not Started"/>
    <n v="1.5"/>
    <m/>
    <m/>
    <m/>
    <m/>
    <m/>
    <x v="1"/>
  </r>
  <r>
    <n v="168"/>
    <x v="14"/>
    <m/>
    <m/>
    <x v="2"/>
    <x v="2"/>
    <s v="25-00369-1"/>
    <s v="N/A"/>
    <s v="S60 Reliance models standard configuration"/>
    <x v="0"/>
    <x v="0"/>
    <s v="ICM"/>
    <x v="1"/>
    <s v="Door"/>
    <s v="N/A"/>
    <s v="N/A"/>
    <n v="3"/>
    <n v="3"/>
    <s v="No"/>
    <m/>
    <m/>
    <n v="0"/>
    <m/>
    <n v="0"/>
    <s v="No"/>
    <s v="N/A"/>
    <n v="0"/>
    <m/>
    <m/>
    <m/>
    <m/>
    <m/>
    <x v="0"/>
  </r>
  <r>
    <n v="169"/>
    <x v="14"/>
    <m/>
    <m/>
    <x v="2"/>
    <x v="2"/>
    <s v="25-00372"/>
    <s v="N/A"/>
    <s v="Coke sales rally sample preparation (2 nos. of samples each cooler)- Frameless Door- SFC1000,S500/S50-Digital canopy/S450-Gravity Shelves/Taxi canopy-S35-S200"/>
    <x v="0"/>
    <x v="0"/>
    <s v="ICM"/>
    <x v="1"/>
    <s v="Door"/>
    <s v="N/A"/>
    <s v="N/A"/>
    <n v="3"/>
    <n v="3"/>
    <s v="No"/>
    <m/>
    <m/>
    <n v="0"/>
    <m/>
    <n v="0"/>
    <s v="No"/>
    <s v="N/A"/>
    <n v="0"/>
    <m/>
    <m/>
    <m/>
    <m/>
    <m/>
    <x v="0"/>
  </r>
  <r>
    <n v="170"/>
    <x v="0"/>
    <m/>
    <s v="Y"/>
    <x v="0"/>
    <x v="0"/>
    <s v="25-00301"/>
    <s v="25IND001"/>
    <s v="Aluminium Profiles : New Supplier Development_x000a_MM Metacraft -&gt; Jindal Al."/>
    <x v="0"/>
    <x v="0"/>
    <s v="ICM"/>
    <x v="0"/>
    <s v="Door"/>
    <s v="Door Components &amp; Acc."/>
    <s v="Aluminium Profiles"/>
    <n v="4"/>
    <n v="0"/>
    <s v="No"/>
    <m/>
    <m/>
    <n v="0"/>
    <m/>
    <n v="0"/>
    <s v="No"/>
    <s v="N/A"/>
    <n v="0"/>
    <s v="Plant to Submit/Conduct test in aligneent with PD  for Door opening"/>
    <m/>
    <m/>
    <m/>
    <m/>
    <x v="2"/>
  </r>
  <r>
    <n v="171"/>
    <x v="2"/>
    <m/>
    <m/>
    <x v="0"/>
    <x v="0"/>
    <s v="25-00304"/>
    <s v="25IND017"/>
    <s v="Bottom HINGES : Neg-New supplier add- testing"/>
    <x v="0"/>
    <x v="0"/>
    <s v="ICM"/>
    <x v="0"/>
    <s v="Door"/>
    <s v="Steel &amp; Parts"/>
    <s v="Metal Processing &amp; Components"/>
    <n v="1"/>
    <n v="1"/>
    <s v="No"/>
    <m/>
    <m/>
    <n v="0"/>
    <m/>
    <n v="0"/>
    <s v="No"/>
    <s v="N/A"/>
    <n v="0"/>
    <s v="Sample recived - Testing to be aligned and planned"/>
    <m/>
    <m/>
    <m/>
    <m/>
    <x v="0"/>
  </r>
  <r>
    <n v="172"/>
    <x v="1"/>
    <m/>
    <s v="Y"/>
    <x v="0"/>
    <x v="0"/>
    <s v="24-00189"/>
    <s v="24IND001"/>
    <s v="Hicool 5W EC Block Motor 12P230HSEC"/>
    <x v="0"/>
    <x v="0"/>
    <s v="ICM"/>
    <x v="0"/>
    <s v="Cooling Mechanism"/>
    <s v="Electrical Components"/>
    <s v="Block Motors"/>
    <n v="4"/>
    <n v="4"/>
    <s v="Yes"/>
    <m/>
    <m/>
    <m/>
    <m/>
    <n v="0"/>
    <s v="Yes"/>
    <m/>
    <m/>
    <m/>
    <m/>
    <m/>
    <m/>
    <m/>
    <x v="2"/>
  </r>
  <r>
    <n v="173"/>
    <x v="2"/>
    <m/>
    <s v="Y"/>
    <x v="0"/>
    <x v="0"/>
    <s v="25-00278"/>
    <s v="24SRC006"/>
    <s v="Jinjiu (China) - AC Block Motors 120X120X38 (20~22 W)"/>
    <x v="0"/>
    <x v="0"/>
    <s v="ICM"/>
    <x v="0"/>
    <s v="Electrical Parts"/>
    <s v="Electrical Components"/>
    <s v="Block Motors"/>
    <n v="4"/>
    <n v="1"/>
    <s v="Yes"/>
    <m/>
    <m/>
    <n v="1"/>
    <m/>
    <n v="1"/>
    <s v="Yes"/>
    <s v="Start Date→ 11-01-25_x000a_End Date→ 10-02-25"/>
    <n v="0"/>
    <s v="Added in Super 1100 R290 and its variants"/>
    <m/>
    <m/>
    <m/>
    <m/>
    <x v="2"/>
  </r>
  <r>
    <n v="174"/>
    <x v="2"/>
    <m/>
    <m/>
    <x v="0"/>
    <x v="0"/>
    <s v="25-00284"/>
    <s v="24SRC033"/>
    <s v="PSU Done 8W as alternative to Tauras for 12W (Applicable model)"/>
    <x v="4"/>
    <x v="0"/>
    <s v="ICM"/>
    <x v="0"/>
    <s v="Electrical Parts"/>
    <s v="Electrical Components"/>
    <s v="PSU"/>
    <n v="0.5"/>
    <m/>
    <s v="No"/>
    <m/>
    <m/>
    <n v="0"/>
    <m/>
    <n v="0"/>
    <s v="Yes"/>
    <s v="Not Started"/>
    <m/>
    <m/>
    <m/>
    <m/>
    <m/>
    <m/>
    <x v="3"/>
  </r>
  <r>
    <n v="175"/>
    <x v="2"/>
    <m/>
    <m/>
    <x v="0"/>
    <x v="0"/>
    <s v="25-00286"/>
    <s v="24SRC034"/>
    <s v="PSU Done as alternative to Tauras for 15/16"/>
    <x v="4"/>
    <x v="0"/>
    <s v="ICM"/>
    <x v="0"/>
    <s v="Electrical Parts"/>
    <s v="Electrical Components"/>
    <s v="PSU"/>
    <n v="0.5"/>
    <m/>
    <s v="No"/>
    <m/>
    <m/>
    <n v="1"/>
    <m/>
    <n v="0"/>
    <s v="Yes"/>
    <s v="Not Started"/>
    <m/>
    <m/>
    <m/>
    <m/>
    <m/>
    <m/>
    <x v="3"/>
  </r>
  <r>
    <n v="176"/>
    <x v="2"/>
    <m/>
    <m/>
    <x v="0"/>
    <x v="0"/>
    <s v="25-00288"/>
    <s v="24SRC035"/>
    <s v="PSU Done 24W as alternative to Tauras for 24W"/>
    <x v="4"/>
    <x v="0"/>
    <s v="ICM"/>
    <x v="0"/>
    <s v="Electrical Parts"/>
    <s v="Electrical Components"/>
    <s v="PSU"/>
    <n v="0.5"/>
    <m/>
    <s v="No"/>
    <m/>
    <m/>
    <n v="1"/>
    <m/>
    <n v="0"/>
    <s v="Yes"/>
    <s v="Not Started"/>
    <m/>
    <m/>
    <m/>
    <m/>
    <m/>
    <m/>
    <x v="3"/>
  </r>
  <r>
    <n v="177"/>
    <x v="2"/>
    <m/>
    <m/>
    <x v="0"/>
    <x v="0"/>
    <s v="25-00288"/>
    <s v="24SRC035"/>
    <s v="PSU Done 30W as alternative to Tauras "/>
    <x v="4"/>
    <x v="0"/>
    <s v="ICM"/>
    <x v="0"/>
    <s v="Electrical Parts"/>
    <s v="Electrical Components"/>
    <s v="PSU"/>
    <n v="0.5"/>
    <m/>
    <s v="No"/>
    <m/>
    <m/>
    <n v="1"/>
    <m/>
    <n v="0"/>
    <s v="Yes"/>
    <s v="Not Started"/>
    <m/>
    <m/>
    <m/>
    <m/>
    <m/>
    <m/>
    <x v="3"/>
  </r>
  <r>
    <n v="178"/>
    <x v="10"/>
    <m/>
    <m/>
    <x v="0"/>
    <x v="1"/>
    <s v="25-00362"/>
    <s v="N/A"/>
    <s v="S-250 as per EC26 protocol, to be produced in India for CCEP indonesia with standard existing door profile with Aluminium Profile- Move in project"/>
    <x v="1"/>
    <x v="0"/>
    <s v="ICM"/>
    <x v="1"/>
    <s v="Cooling Mechanism"/>
    <s v="N/A"/>
    <s v="N/A"/>
    <n v="4"/>
    <n v="3"/>
    <s v="Yes"/>
    <m/>
    <m/>
    <n v="7"/>
    <m/>
    <n v="10"/>
    <s v="Yes"/>
    <s v="Not Started"/>
    <n v="1.5"/>
    <m/>
    <m/>
    <m/>
    <m/>
    <m/>
    <x v="0"/>
  </r>
  <r>
    <n v="179"/>
    <x v="6"/>
    <m/>
    <m/>
    <x v="0"/>
    <x v="0"/>
    <s v="TBD"/>
    <s v="N/A"/>
    <s v="New supplier WOT &amp; Evaporator samples validation- Flygrow_x000a_South Africa - 3 Type of WOT &amp; 3Type of Evaporator_x000a_Egypt -2 Type of WOT &amp; 2 Type of Evaporator"/>
    <x v="4"/>
    <x v="0"/>
    <s v="ICM"/>
    <x v="1"/>
    <s v="Door"/>
    <s v="N/A"/>
    <s v="N/A"/>
    <n v="3"/>
    <n v="3"/>
    <s v="No"/>
    <m/>
    <m/>
    <n v="0"/>
    <m/>
    <n v="0"/>
    <s v="No"/>
    <s v="N/A"/>
    <n v="0"/>
    <m/>
    <m/>
    <m/>
    <m/>
    <m/>
    <x v="3"/>
  </r>
  <r>
    <n v="180"/>
    <x v="6"/>
    <m/>
    <s v="Y"/>
    <x v="0"/>
    <x v="0"/>
    <s v="TBD"/>
    <s v="N/A"/>
    <s v="New alternate compressor for S-500 (TCW410 → L58)- For Reliance"/>
    <x v="0"/>
    <x v="0"/>
    <s v="ICM"/>
    <x v="1"/>
    <s v="Door"/>
    <s v="N/A"/>
    <s v="N/A"/>
    <n v="4"/>
    <n v="3"/>
    <s v="No"/>
    <m/>
    <m/>
    <n v="0"/>
    <m/>
    <n v="0"/>
    <s v="No"/>
    <s v="N/A"/>
    <n v="0"/>
    <m/>
    <m/>
    <m/>
    <m/>
    <m/>
    <x v="0"/>
  </r>
  <r>
    <n v="181"/>
    <x v="6"/>
    <m/>
    <m/>
    <x v="2"/>
    <x v="0"/>
    <s v="TBD"/>
    <s v="N/A"/>
    <s v="Assembled door from jinchen(china) for S-60,S-1100 door validation- Standard door"/>
    <x v="2"/>
    <x v="0"/>
    <s v="ICM"/>
    <x v="1"/>
    <s v="Door"/>
    <s v="N/A"/>
    <s v="N/A"/>
    <n v="3"/>
    <n v="3"/>
    <s v="No"/>
    <m/>
    <m/>
    <n v="0"/>
    <m/>
    <n v="0"/>
    <s v="No"/>
    <s v="N/A"/>
    <n v="0"/>
    <m/>
    <m/>
    <m/>
    <m/>
    <m/>
    <x v="2"/>
  </r>
  <r>
    <n v="182"/>
    <x v="6"/>
    <m/>
    <m/>
    <x v="2"/>
    <x v="0"/>
    <s v="TBD"/>
    <s v="N/A"/>
    <s v="Assembled door from jinchen (china) for FV-650,FV-1000 &amp; HV-71 door validation"/>
    <x v="3"/>
    <x v="0"/>
    <s v="ICM"/>
    <x v="1"/>
    <s v="Door"/>
    <s v="N/A"/>
    <s v="N/A"/>
    <n v="3"/>
    <n v="3"/>
    <s v="No"/>
    <m/>
    <m/>
    <n v="0"/>
    <m/>
    <n v="0"/>
    <s v="No"/>
    <s v="N/A"/>
    <n v="0"/>
    <m/>
    <m/>
    <m/>
    <m/>
    <m/>
    <x v="2"/>
  </r>
  <r>
    <n v="183"/>
    <x v="6"/>
    <n v="3"/>
    <s v="Y"/>
    <x v="1"/>
    <x v="1"/>
    <s v="26-00377"/>
    <s v="N/A"/>
    <s v="BoB model double HD &amp; SD door - C condition in house production - Key accounts"/>
    <x v="0"/>
    <x v="1"/>
    <s v="ICM"/>
    <x v="1"/>
    <m/>
    <m/>
    <m/>
    <n v="19"/>
    <n v="145"/>
    <s v="Yes"/>
    <m/>
    <m/>
    <n v="80"/>
    <m/>
    <n v="85"/>
    <m/>
    <m/>
    <m/>
    <m/>
    <m/>
    <m/>
    <m/>
    <m/>
    <x v="3"/>
  </r>
  <r>
    <n v="184"/>
    <x v="6"/>
    <m/>
    <m/>
    <x v="1"/>
    <x v="1"/>
    <s v="TBD"/>
    <s v="N/A"/>
    <s v="35 Lt counter top -Internal or OEM"/>
    <x v="0"/>
    <x v="0"/>
    <s v="ICM"/>
    <x v="1"/>
    <m/>
    <m/>
    <m/>
    <m/>
    <m/>
    <m/>
    <m/>
    <m/>
    <m/>
    <m/>
    <m/>
    <m/>
    <m/>
    <m/>
    <m/>
    <m/>
    <m/>
    <m/>
    <m/>
    <x v="5"/>
  </r>
  <r>
    <n v="185"/>
    <x v="11"/>
    <m/>
    <s v="Y"/>
    <x v="0"/>
    <x v="1"/>
    <s v="25-00335"/>
    <s v="N/A"/>
    <s v="E-47 development as per EC-26 protocol - CCEP INDONESIA"/>
    <x v="1"/>
    <x v="0"/>
    <s v="ICM"/>
    <x v="1"/>
    <s v="Cooling Mechanism"/>
    <s v="N/A"/>
    <s v="N/A"/>
    <n v="4"/>
    <n v="6"/>
    <s v="Yes"/>
    <m/>
    <m/>
    <n v="6"/>
    <m/>
    <n v="8"/>
    <s v="Yes"/>
    <s v="In Progress"/>
    <n v="1.5"/>
    <s v="Safety- To be verified after configuration is finalized"/>
    <m/>
    <m/>
    <m/>
    <m/>
    <x v="2"/>
  </r>
  <r>
    <n v="186"/>
    <x v="7"/>
    <m/>
    <m/>
    <x v="3"/>
    <x v="1"/>
    <s v="25-00333"/>
    <s v="N/A"/>
    <s v="50L Counter - top model development from OEM"/>
    <x v="5"/>
    <x v="0"/>
    <s v="ICM"/>
    <x v="1"/>
    <s v="Complete Cooler"/>
    <s v="N/A"/>
    <s v="N/A"/>
    <n v="2"/>
    <m/>
    <s v="Yes"/>
    <m/>
    <m/>
    <n v="4"/>
    <m/>
    <n v="2"/>
    <s v="Yes"/>
    <s v="Not Started"/>
    <n v="1"/>
    <m/>
    <m/>
    <m/>
    <m/>
    <m/>
    <x v="5"/>
  </r>
  <r>
    <n v="187"/>
    <x v="7"/>
    <m/>
    <s v="Y"/>
    <x v="0"/>
    <x v="1"/>
    <s v="25-00327"/>
    <s v="N/A"/>
    <s v="SC-300 R290 conversions with cost effective measures - BSL (SC5-325)"/>
    <x v="0"/>
    <x v="0"/>
    <s v="ICM"/>
    <x v="1"/>
    <s v="Complete Cooler"/>
    <s v="N/A"/>
    <s v="N/A"/>
    <n v="4"/>
    <n v="2"/>
    <s v="Yes"/>
    <m/>
    <m/>
    <n v="7"/>
    <m/>
    <n v="3"/>
    <s v="No"/>
    <s v="N/A"/>
    <n v="1.5"/>
    <s v="N/A"/>
    <m/>
    <m/>
    <m/>
    <m/>
    <x v="2"/>
  </r>
  <r>
    <n v="188"/>
    <x v="7"/>
    <m/>
    <s v="Y"/>
    <x v="0"/>
    <x v="1"/>
    <s v="25-00328"/>
    <s v="N/A"/>
    <s v="SC-375 R290 conversions with cost effective measures - BSL (SC5-400)"/>
    <x v="0"/>
    <x v="0"/>
    <s v="ICM"/>
    <x v="1"/>
    <s v="Complete Cooler"/>
    <s v="N/A"/>
    <s v="N/A"/>
    <n v="4"/>
    <n v="2"/>
    <s v="Yes"/>
    <m/>
    <m/>
    <n v="7"/>
    <m/>
    <n v="3"/>
    <s v="No"/>
    <s v="N/A"/>
    <n v="1.5"/>
    <s v="N/A"/>
    <m/>
    <m/>
    <m/>
    <m/>
    <x v="0"/>
  </r>
  <r>
    <n v="189"/>
    <x v="7"/>
    <m/>
    <s v="Y"/>
    <x v="0"/>
    <x v="1"/>
    <s v="25-00329"/>
    <s v="N/A"/>
    <s v="SC-500 R290 conversions with cost effective measures - BSL (SC5-500C)"/>
    <x v="0"/>
    <x v="0"/>
    <s v="ICM"/>
    <x v="1"/>
    <s v="Complete Cooler"/>
    <s v="N/A"/>
    <s v="N/A"/>
    <n v="4"/>
    <n v="2"/>
    <s v="Yes"/>
    <m/>
    <m/>
    <n v="7"/>
    <m/>
    <n v="3"/>
    <s v="No"/>
    <s v="N/A"/>
    <n v="1.5"/>
    <s v="N/A"/>
    <m/>
    <m/>
    <m/>
    <m/>
    <x v="2"/>
  </r>
  <r>
    <n v="190"/>
    <x v="7"/>
    <m/>
    <s v="Y"/>
    <x v="0"/>
    <x v="1"/>
    <s v="25-00330"/>
    <s v="N/A"/>
    <s v="SC-650 R290 conversions with cost effective measures - BSL (SC5-675C)"/>
    <x v="0"/>
    <x v="0"/>
    <s v="ICM"/>
    <x v="1"/>
    <s v="Complete Cooler"/>
    <s v="N/A"/>
    <s v="N/A"/>
    <n v="4"/>
    <n v="2"/>
    <s v="Yes"/>
    <m/>
    <m/>
    <n v="7"/>
    <m/>
    <n v="3"/>
    <s v="No"/>
    <s v="N/A"/>
    <n v="1.5"/>
    <s v="N/A"/>
    <m/>
    <m/>
    <m/>
    <m/>
    <x v="2"/>
  </r>
  <r>
    <n v="191"/>
    <x v="7"/>
    <m/>
    <s v="Y"/>
    <x v="0"/>
    <x v="1"/>
    <s v="25-00331"/>
    <s v="N/A"/>
    <s v="SC-1000 R290 conversions with cost effective measures - BSL (SC5-1100C)"/>
    <x v="0"/>
    <x v="0"/>
    <s v="ICM"/>
    <x v="1"/>
    <s v="Complete Cooler"/>
    <s v="N/A"/>
    <s v="N/A"/>
    <n v="4"/>
    <n v="2"/>
    <s v="Yes"/>
    <m/>
    <m/>
    <n v="7"/>
    <m/>
    <n v="3"/>
    <s v="No"/>
    <s v="N/A"/>
    <n v="1.5"/>
    <s v="N/A"/>
    <m/>
    <m/>
    <m/>
    <m/>
    <x v="2"/>
  </r>
  <r>
    <n v="192"/>
    <x v="0"/>
    <m/>
    <s v="Y"/>
    <x v="2"/>
    <x v="0"/>
    <s v="25-00300"/>
    <s v="25IND014"/>
    <s v="I-Lock(Blue Star) : New Supplier Development_x000a_Keyman -&gt; Noble Lock"/>
    <x v="0"/>
    <x v="0"/>
    <s v="ICM"/>
    <x v="0"/>
    <s v="Insulated Cabin"/>
    <s v="Steel &amp; Parts"/>
    <s v="Locks"/>
    <n v="3"/>
    <n v="0.2"/>
    <s v="No"/>
    <m/>
    <m/>
    <n v="0"/>
    <m/>
    <n v="0"/>
    <s v="No"/>
    <s v="N/A"/>
    <n v="0"/>
    <s v="Sourcing team to submit correct samples."/>
    <m/>
    <m/>
    <m/>
    <m/>
    <x v="2"/>
  </r>
  <r>
    <n v="193"/>
    <x v="5"/>
    <m/>
    <s v="Y"/>
    <x v="0"/>
    <x v="1"/>
    <s v="25-00325"/>
    <s v="N/A"/>
    <s v="2026 Energy Target-Coke protocol-S200 in R600 SJ66 compressor"/>
    <x v="0"/>
    <x v="0"/>
    <s v="ICM"/>
    <x v="1"/>
    <s v="Cooling Mechanism"/>
    <s v="N/A"/>
    <s v="N/A"/>
    <n v="4"/>
    <n v="2"/>
    <s v="Yes"/>
    <m/>
    <m/>
    <n v="7"/>
    <m/>
    <n v="10"/>
    <s v="Yes"/>
    <s v="Not Started"/>
    <n v="1.5"/>
    <m/>
    <m/>
    <m/>
    <m/>
    <m/>
    <x v="2"/>
  </r>
  <r>
    <n v="194"/>
    <x v="5"/>
    <m/>
    <s v="Y"/>
    <x v="0"/>
    <x v="4"/>
    <s v="25-00326"/>
    <s v="N/A"/>
    <s v="2026 Energy Target-Coke protocol-S500 with Added Options"/>
    <x v="0"/>
    <x v="0"/>
    <s v="ICM"/>
    <x v="1"/>
    <s v="Cooling Mechanism"/>
    <s v="N/A"/>
    <s v="N/A"/>
    <n v="4"/>
    <n v="3"/>
    <s v="Yes"/>
    <m/>
    <m/>
    <n v="6"/>
    <m/>
    <n v="40"/>
    <s v="Yes"/>
    <s v="Not Started"/>
    <n v="1.5"/>
    <s v="Safety- To be verified after configuration is finalized"/>
    <m/>
    <m/>
    <m/>
    <m/>
    <x v="4"/>
  </r>
  <r>
    <n v="195"/>
    <x v="0"/>
    <m/>
    <s v="Y"/>
    <x v="2"/>
    <x v="0"/>
    <s v="25-00268-2"/>
    <s v="25IND010-2"/>
    <s v="Plastic Fan casing Inclusion of Plastic Fan Casing in S-40/SP-500"/>
    <x v="0"/>
    <x v="0"/>
    <s v="ICM"/>
    <x v="2"/>
    <s v="Cooling Mechanism"/>
    <s v="Steel &amp; Parts"/>
    <s v="Steel-GI"/>
    <n v="3"/>
    <n v="0"/>
    <s v="Yes"/>
    <m/>
    <m/>
    <n v="0"/>
    <m/>
    <n v="0"/>
    <s v="Yes"/>
    <s v="Completed"/>
    <n v="0"/>
    <s v="Plastic fan casing pictures to be changed."/>
    <m/>
    <m/>
    <m/>
    <m/>
    <x v="2"/>
  </r>
  <r>
    <n v="196"/>
    <x v="0"/>
    <m/>
    <s v="Y"/>
    <x v="2"/>
    <x v="0"/>
    <s v="25-00268-3"/>
    <s v="25IND010-3"/>
    <s v="Plastic Fan casing Inclusion of Plastic Fan Casing in S-450"/>
    <x v="0"/>
    <x v="0"/>
    <s v="ICM"/>
    <x v="2"/>
    <s v="Cooling Mechanism"/>
    <s v="Steel &amp; Parts"/>
    <s v="Steel-GI"/>
    <n v="3"/>
    <n v="2"/>
    <s v="Yes"/>
    <m/>
    <m/>
    <n v="2"/>
    <m/>
    <n v="1"/>
    <s v="Yes"/>
    <s v="Completed"/>
    <n v="0"/>
    <s v="Plastic fan casing pictures to be changed."/>
    <m/>
    <m/>
    <m/>
    <m/>
    <x v="2"/>
  </r>
  <r>
    <n v="197"/>
    <x v="0"/>
    <m/>
    <s v="Y"/>
    <x v="2"/>
    <x v="0"/>
    <s v="25-00268-1"/>
    <s v="25IND010-1"/>
    <s v="Plastic Fan casing Inclusion of Plastic Fan Casing in S-45"/>
    <x v="0"/>
    <x v="0"/>
    <s v="ICM"/>
    <x v="2"/>
    <s v="Cooling Mechanism"/>
    <s v="Steel &amp; Parts"/>
    <s v="Steel-GI"/>
    <n v="3"/>
    <n v="0"/>
    <s v="Yes"/>
    <m/>
    <m/>
    <n v="0"/>
    <m/>
    <n v="0"/>
    <s v="Yes"/>
    <s v="Completed"/>
    <n v="0"/>
    <s v="Plastic fan casing pictures to be changed."/>
    <m/>
    <m/>
    <m/>
    <m/>
    <x v="2"/>
  </r>
  <r>
    <n v="198"/>
    <x v="5"/>
    <m/>
    <s v="Y"/>
    <x v="0"/>
    <x v="2"/>
    <s v="23-00147-1"/>
    <s v="N/A"/>
    <s v="Illuminated Taxi canopy option in VG 200 &amp; VG250"/>
    <x v="0"/>
    <x v="0"/>
    <s v="ICM"/>
    <x v="1"/>
    <s v="Cabin Electronics"/>
    <s v="N/A"/>
    <s v="N/A"/>
    <n v="4"/>
    <n v="2"/>
    <s v="No"/>
    <m/>
    <m/>
    <n v="0.5"/>
    <m/>
    <n v="0"/>
    <s v="No"/>
    <s v="N/A"/>
    <n v="0"/>
    <s v="N/A"/>
    <m/>
    <m/>
    <m/>
    <m/>
    <x v="2"/>
  </r>
  <r>
    <n v="199"/>
    <x v="5"/>
    <m/>
    <s v="Y"/>
    <x v="0"/>
    <x v="2"/>
    <s v="23-00147-2"/>
    <s v="N/A"/>
    <s v="Illuminated Taxi canopy option in VG300 &amp; VG400/S35"/>
    <x v="0"/>
    <x v="0"/>
    <s v="ICM"/>
    <x v="1"/>
    <s v="Shelving"/>
    <s v="N/A"/>
    <s v="N/A"/>
    <n v="4"/>
    <n v="2"/>
    <s v="Yes"/>
    <m/>
    <m/>
    <n v="0"/>
    <m/>
    <n v="0"/>
    <s v="Yes"/>
    <s v="Not Started"/>
    <n v="0"/>
    <m/>
    <m/>
    <m/>
    <m/>
    <m/>
    <x v="2"/>
  </r>
  <r>
    <n v="200"/>
    <x v="10"/>
    <m/>
    <s v="Y"/>
    <x v="0"/>
    <x v="4"/>
    <s v="25-00337"/>
    <s v="N/A"/>
    <s v="S-60 testing and development  - As per Heineiken protocol"/>
    <x v="0"/>
    <x v="0"/>
    <s v="ICM"/>
    <x v="1"/>
    <s v="Complete Cooler"/>
    <s v="N/A"/>
    <s v="N/A"/>
    <n v="4"/>
    <n v="6"/>
    <s v="Yes"/>
    <m/>
    <m/>
    <n v="7"/>
    <m/>
    <n v="10"/>
    <s v="No"/>
    <s v="N/A"/>
    <n v="1.5"/>
    <s v="N/A"/>
    <m/>
    <m/>
    <m/>
    <m/>
    <x v="3"/>
  </r>
  <r>
    <n v="201"/>
    <x v="10"/>
    <m/>
    <s v="Y"/>
    <x v="0"/>
    <x v="1"/>
    <s v="25-00338"/>
    <s v="N/A"/>
    <s v="S-1100 testing and development  - As per Heineiken protocol"/>
    <x v="0"/>
    <x v="0"/>
    <s v="ICM"/>
    <x v="1"/>
    <s v="Complete Cooler"/>
    <s v="N/A"/>
    <s v="N/A"/>
    <n v="8"/>
    <n v="6"/>
    <s v="Yes"/>
    <m/>
    <m/>
    <n v="10"/>
    <m/>
    <n v="40"/>
    <s v="No"/>
    <s v="N/A"/>
    <n v="1.5"/>
    <s v="N/A"/>
    <m/>
    <m/>
    <m/>
    <m/>
    <x v="1"/>
  </r>
  <r>
    <n v="202"/>
    <x v="10"/>
    <m/>
    <s v="Y"/>
    <x v="0"/>
    <x v="1"/>
    <s v="25-00339"/>
    <s v="N/A"/>
    <s v="S-45  testing and development  - As per Heineiken protocol"/>
    <x v="0"/>
    <x v="0"/>
    <s v="ICM"/>
    <x v="1"/>
    <s v="Complete Cooler"/>
    <s v="N/A"/>
    <s v="N/A"/>
    <n v="8"/>
    <n v="8"/>
    <s v="Yes"/>
    <m/>
    <m/>
    <n v="10"/>
    <m/>
    <n v="40"/>
    <s v="No"/>
    <s v="N/A"/>
    <n v="1.5"/>
    <s v="N/A"/>
    <m/>
    <m/>
    <m/>
    <m/>
    <x v="1"/>
  </r>
  <r>
    <n v="203"/>
    <x v="7"/>
    <m/>
    <s v="Y"/>
    <x v="0"/>
    <x v="4"/>
    <s v="25-00370-1"/>
    <s v="N/A"/>
    <s v="S-45 SZ Feasibility Study EEI&gt;15% ~20%"/>
    <x v="0"/>
    <x v="0"/>
    <s v="ICM"/>
    <x v="2"/>
    <s v="Complete Cooler"/>
    <s v="N/A"/>
    <s v="N/A"/>
    <n v="4"/>
    <n v="3"/>
    <s v="Yes"/>
    <m/>
    <m/>
    <n v="8"/>
    <m/>
    <n v="70"/>
    <s v="Yes"/>
    <s v="Not Started"/>
    <n v="0"/>
    <m/>
    <m/>
    <m/>
    <m/>
    <m/>
    <x v="3"/>
  </r>
  <r>
    <n v="204"/>
    <x v="7"/>
    <m/>
    <m/>
    <x v="0"/>
    <x v="4"/>
    <s v="25-00370-2"/>
    <s v="N/A"/>
    <s v="S-60 SZ Feasibility Study EEI&gt;15% ~20%"/>
    <x v="0"/>
    <x v="0"/>
    <s v="ICM"/>
    <x v="2"/>
    <s v="Complete Cooler"/>
    <s v="N/A"/>
    <s v="N/A"/>
    <n v="3"/>
    <n v="3"/>
    <s v="Yes"/>
    <m/>
    <m/>
    <n v="8"/>
    <m/>
    <n v="0"/>
    <s v="Yes"/>
    <s v="Not Started"/>
    <n v="0"/>
    <m/>
    <m/>
    <m/>
    <m/>
    <m/>
    <x v="5"/>
  </r>
  <r>
    <n v="205"/>
    <x v="6"/>
    <m/>
    <s v="Y"/>
    <x v="0"/>
    <x v="1"/>
    <s v="TBD"/>
    <s v="N/A"/>
    <s v="8 facing FFD C rating for EU (S-500 ex India)"/>
    <x v="0"/>
    <x v="0"/>
    <s v="ICM"/>
    <x v="1"/>
    <m/>
    <m/>
    <m/>
    <n v="8"/>
    <n v="8"/>
    <m/>
    <m/>
    <m/>
    <m/>
    <m/>
    <m/>
    <m/>
    <m/>
    <m/>
    <m/>
    <m/>
    <m/>
    <m/>
    <m/>
    <x v="4"/>
  </r>
  <r>
    <n v="206"/>
    <x v="6"/>
    <m/>
    <m/>
    <x v="0"/>
    <x v="3"/>
    <s v="TBD"/>
    <s v="N/A"/>
    <s v="Frameless look alike aesthetics for India models "/>
    <x v="0"/>
    <x v="0"/>
    <s v="ICM"/>
    <x v="1"/>
    <m/>
    <m/>
    <m/>
    <m/>
    <m/>
    <m/>
    <m/>
    <m/>
    <m/>
    <m/>
    <m/>
    <m/>
    <m/>
    <m/>
    <m/>
    <m/>
    <m/>
    <m/>
    <m/>
    <x v="5"/>
  </r>
  <r>
    <n v="207"/>
    <x v="5"/>
    <m/>
    <m/>
    <x v="0"/>
    <x v="4"/>
    <s v="24-00218"/>
    <s v="N/A"/>
    <s v="VG 200 R290 - 5 star (All models in cabin)"/>
    <x v="0"/>
    <x v="0"/>
    <s v="ICM"/>
    <x v="1"/>
    <s v="Cooling Mechanism"/>
    <s v="N/A"/>
    <s v="N/A"/>
    <n v="3"/>
    <n v="2"/>
    <s v="Yes"/>
    <m/>
    <m/>
    <n v="6"/>
    <m/>
    <n v="2"/>
    <s v="Yes"/>
    <s v="Not Started"/>
    <n v="1"/>
    <s v="Safety- To be verified after configuration is finalized"/>
    <m/>
    <m/>
    <m/>
    <m/>
    <x v="5"/>
  </r>
  <r>
    <n v="208"/>
    <x v="5"/>
    <m/>
    <m/>
    <x v="0"/>
    <x v="4"/>
    <s v="24-00220"/>
    <s v="N/A"/>
    <s v="VG 250 R290 - 5 star (All models in cabin)"/>
    <x v="0"/>
    <x v="0"/>
    <s v="ICM"/>
    <x v="1"/>
    <s v="Cooling Mechanism"/>
    <s v="N/A"/>
    <s v="N/A"/>
    <n v="3"/>
    <n v="2"/>
    <s v="Yes"/>
    <m/>
    <m/>
    <n v="6"/>
    <m/>
    <n v="2"/>
    <s v="Yes"/>
    <s v="Not Started"/>
    <n v="1"/>
    <s v="Safety- To be verified after configuration is finalized"/>
    <m/>
    <m/>
    <m/>
    <m/>
    <x v="5"/>
  </r>
  <r>
    <n v="209"/>
    <x v="5"/>
    <m/>
    <m/>
    <x v="0"/>
    <x v="4"/>
    <s v="24-00208"/>
    <s v="N/A"/>
    <s v="VG 400 R290 - 5 star (All models in cabin)"/>
    <x v="0"/>
    <x v="0"/>
    <s v="ICM"/>
    <x v="1"/>
    <s v="Cooling Mechanism"/>
    <s v="N/A"/>
    <s v="N/A"/>
    <n v="3"/>
    <n v="2"/>
    <s v="Yes"/>
    <m/>
    <m/>
    <n v="6"/>
    <m/>
    <n v="2"/>
    <s v="Yes"/>
    <s v="Not Started"/>
    <n v="1"/>
    <s v="Safety- To be verified after configuration is finalized"/>
    <m/>
    <m/>
    <m/>
    <m/>
    <x v="5"/>
  </r>
  <r>
    <n v="210"/>
    <x v="5"/>
    <m/>
    <m/>
    <x v="0"/>
    <x v="4"/>
    <s v="24-00209"/>
    <s v="N/A"/>
    <s v="VG 300 R290 - 5 star (All models in cabin)"/>
    <x v="0"/>
    <x v="0"/>
    <s v="ICM"/>
    <x v="1"/>
    <s v="Cooling Mechanism"/>
    <s v="N/A"/>
    <s v="N/A"/>
    <n v="3"/>
    <n v="2"/>
    <s v="Yes"/>
    <m/>
    <m/>
    <n v="6"/>
    <m/>
    <n v="2"/>
    <s v="Yes"/>
    <s v="Not Started"/>
    <n v="1"/>
    <s v="Safety- To be verified after configuration is finalized"/>
    <m/>
    <m/>
    <m/>
    <m/>
    <x v="5"/>
  </r>
  <r>
    <n v="211"/>
    <x v="5"/>
    <m/>
    <m/>
    <x v="0"/>
    <x v="4"/>
    <s v="24-00210"/>
    <s v="N/A"/>
    <s v="VG 450 R290 - 5 star (All models in cabin)"/>
    <x v="0"/>
    <x v="0"/>
    <s v="ICM"/>
    <x v="1"/>
    <s v="Cooling Mechanism"/>
    <s v="N/A"/>
    <s v="N/A"/>
    <n v="3"/>
    <n v="2"/>
    <s v="Yes"/>
    <m/>
    <m/>
    <n v="6"/>
    <m/>
    <n v="2"/>
    <s v="Yes"/>
    <s v="Not Started"/>
    <n v="1"/>
    <s v="Safety- To be verified after configuration is finalized"/>
    <m/>
    <m/>
    <m/>
    <m/>
    <x v="5"/>
  </r>
  <r>
    <n v="212"/>
    <x v="5"/>
    <m/>
    <m/>
    <x v="0"/>
    <x v="4"/>
    <s v="24-00213"/>
    <s v="N/A"/>
    <s v="VG500 R290 - 5 star (All models in cabin)"/>
    <x v="0"/>
    <x v="0"/>
    <s v="ICM"/>
    <x v="1"/>
    <s v="Cooling Mechanism"/>
    <s v="N/A"/>
    <s v="N/A"/>
    <n v="3"/>
    <n v="2"/>
    <s v="Yes"/>
    <m/>
    <m/>
    <n v="6"/>
    <m/>
    <n v="2"/>
    <s v="Yes"/>
    <s v="Not Started"/>
    <n v="1"/>
    <s v="Safety- To be verified after configuration is finalized"/>
    <m/>
    <m/>
    <m/>
    <m/>
    <x v="5"/>
  </r>
  <r>
    <n v="213"/>
    <x v="10"/>
    <m/>
    <m/>
    <x v="0"/>
    <x v="4"/>
    <s v="24-00216"/>
    <s v="N/A"/>
    <s v="VG 550 R290 - 5 star (All models in cabin)"/>
    <x v="0"/>
    <x v="0"/>
    <s v="ICM"/>
    <x v="1"/>
    <s v="Cooling Mechanism"/>
    <s v="N/A"/>
    <s v="N/A"/>
    <n v="3"/>
    <n v="2"/>
    <s v="Yes"/>
    <m/>
    <m/>
    <n v="6"/>
    <m/>
    <n v="2"/>
    <s v="Yes"/>
    <s v="Not Started"/>
    <n v="1"/>
    <s v="Safety- To be verified after configuration is finalized"/>
    <m/>
    <m/>
    <m/>
    <m/>
    <x v="5"/>
  </r>
  <r>
    <n v="214"/>
    <x v="5"/>
    <m/>
    <m/>
    <x v="0"/>
    <x v="4"/>
    <s v="24-00211"/>
    <s v="N/A"/>
    <s v="VG600 R290 - 5 star (All models in cabin)"/>
    <x v="0"/>
    <x v="0"/>
    <s v="ICM"/>
    <x v="1"/>
    <s v="Cooling Mechanism"/>
    <s v="N/A"/>
    <s v="N/A"/>
    <n v="3"/>
    <n v="2"/>
    <s v="Yes"/>
    <m/>
    <m/>
    <n v="6"/>
    <m/>
    <n v="2"/>
    <s v="Yes"/>
    <s v="Not Started"/>
    <n v="1"/>
    <s v="Safety- To be verified after configuration is finalized"/>
    <m/>
    <m/>
    <m/>
    <m/>
    <x v="5"/>
  </r>
  <r>
    <n v="215"/>
    <x v="10"/>
    <m/>
    <m/>
    <x v="0"/>
    <x v="4"/>
    <s v="24-00217"/>
    <s v="N/A"/>
    <s v="VG 650 R290 - 5 star (All models in cabin)"/>
    <x v="0"/>
    <x v="0"/>
    <s v="ICM"/>
    <x v="1"/>
    <s v="Cooling Mechanism"/>
    <s v="N/A"/>
    <s v="N/A"/>
    <n v="3"/>
    <n v="2"/>
    <s v="Yes"/>
    <m/>
    <m/>
    <n v="6"/>
    <m/>
    <n v="2"/>
    <s v="Yes"/>
    <s v="Not Started"/>
    <n v="1"/>
    <s v="Safety- To be verified after configuration is finalized"/>
    <m/>
    <m/>
    <m/>
    <m/>
    <x v="5"/>
  </r>
  <r>
    <n v="216"/>
    <x v="5"/>
    <m/>
    <m/>
    <x v="0"/>
    <x v="4"/>
    <s v="24-00215"/>
    <s v="N/A"/>
    <s v="VG700 R290 - 5 star (All models in cabin)"/>
    <x v="0"/>
    <x v="0"/>
    <s v="ICM"/>
    <x v="1"/>
    <s v="Cooling Mechanism"/>
    <s v="N/A"/>
    <s v="N/A"/>
    <n v="3"/>
    <n v="2"/>
    <s v="Yes"/>
    <m/>
    <m/>
    <n v="6"/>
    <m/>
    <n v="2"/>
    <s v="Yes"/>
    <s v="Not Started"/>
    <n v="1"/>
    <s v="Safety- To be verified after configuration is finalized"/>
    <m/>
    <m/>
    <m/>
    <m/>
    <x v="5"/>
  </r>
  <r>
    <n v="217"/>
    <x v="5"/>
    <m/>
    <m/>
    <x v="0"/>
    <x v="4"/>
    <s v="24-00214"/>
    <s v="N/A"/>
    <s v="VG950 R290 - 5 star (All models in cabin)"/>
    <x v="0"/>
    <x v="0"/>
    <s v="ICM"/>
    <x v="1"/>
    <s v="Cooling Mechanism"/>
    <s v="N/A"/>
    <s v="N/A"/>
    <n v="3"/>
    <n v="2"/>
    <s v="Yes"/>
    <m/>
    <m/>
    <n v="6"/>
    <m/>
    <n v="2"/>
    <s v="Yes"/>
    <s v="Not Started"/>
    <n v="1"/>
    <s v="Safety- To be verified after configuration is finalized"/>
    <m/>
    <m/>
    <m/>
    <m/>
    <x v="5"/>
  </r>
  <r>
    <n v="218"/>
    <x v="10"/>
    <m/>
    <m/>
    <x v="0"/>
    <x v="4"/>
    <s v="24-00219"/>
    <s v="N/A"/>
    <s v="VG 1100 R290 - 5 star (All models in cabin)"/>
    <x v="0"/>
    <x v="0"/>
    <s v="ICM"/>
    <x v="1"/>
    <s v="Cooling Mechanism"/>
    <s v="N/A"/>
    <s v="N/A"/>
    <n v="3"/>
    <n v="2"/>
    <s v="Yes"/>
    <m/>
    <m/>
    <n v="6"/>
    <m/>
    <n v="2"/>
    <s v="Yes"/>
    <s v="Not Started"/>
    <n v="1"/>
    <s v="Safety- To be verified after configuration is finalized"/>
    <m/>
    <m/>
    <m/>
    <m/>
    <x v="5"/>
  </r>
  <r>
    <n v="219"/>
    <x v="10"/>
    <m/>
    <m/>
    <x v="0"/>
    <x v="4"/>
    <s v="25-00290"/>
    <s v="N/A"/>
    <s v="SLF-500 R290 V2-5 star (All models in cabin)"/>
    <x v="0"/>
    <x v="0"/>
    <s v="ICM"/>
    <x v="1"/>
    <s v="Cooling Mechanism"/>
    <s v="N/A"/>
    <s v="N/A"/>
    <n v="3"/>
    <n v="2"/>
    <s v="Yes"/>
    <m/>
    <m/>
    <n v="10"/>
    <m/>
    <n v="2"/>
    <s v="Yes"/>
    <s v="Not Started"/>
    <n v="1"/>
    <s v="Safety- To be verified after configuration is finalized"/>
    <m/>
    <m/>
    <m/>
    <m/>
    <x v="5"/>
  </r>
  <r>
    <n v="220"/>
    <x v="2"/>
    <m/>
    <s v="Y"/>
    <x v="2"/>
    <x v="0"/>
    <s v="22-00060"/>
    <s v="24IND016"/>
    <s v="ON OFF switch development"/>
    <x v="0"/>
    <x v="0"/>
    <s v="ICM"/>
    <x v="0"/>
    <s v="Electrical Parts"/>
    <s v="Other"/>
    <s v="Other Materials"/>
    <n v="3"/>
    <n v="2"/>
    <s v="No"/>
    <m/>
    <m/>
    <n v="0"/>
    <m/>
    <n v="0"/>
    <s v="No"/>
    <s v="N/A"/>
    <n v="0"/>
    <m/>
    <m/>
    <m/>
    <m/>
    <m/>
    <x v="4"/>
  </r>
  <r>
    <n v="221"/>
    <x v="6"/>
    <m/>
    <s v="Y"/>
    <x v="0"/>
    <x v="4"/>
    <s v="TBD"/>
    <s v="N/A"/>
    <s v="FV-1000 SZ for Heineken - Feasibility to define cost &amp; CAPEX for EEI&lt;15 &amp; EEI&lt;20"/>
    <x v="3"/>
    <x v="0"/>
    <s v="ICM"/>
    <x v="1"/>
    <m/>
    <m/>
    <m/>
    <n v="4"/>
    <n v="8"/>
    <s v="Yes"/>
    <m/>
    <m/>
    <n v="10"/>
    <m/>
    <n v="70"/>
    <m/>
    <m/>
    <m/>
    <m/>
    <m/>
    <m/>
    <m/>
    <m/>
    <x v="4"/>
  </r>
  <r>
    <n v="222"/>
    <x v="6"/>
    <m/>
    <m/>
    <x v="0"/>
    <x v="4"/>
    <s v="TBD"/>
    <s v="N/A"/>
    <s v="HV-71 safe cooler development "/>
    <x v="3"/>
    <x v="0"/>
    <s v="ICM"/>
    <x v="1"/>
    <m/>
    <m/>
    <m/>
    <n v="6"/>
    <n v="8"/>
    <m/>
    <m/>
    <m/>
    <m/>
    <m/>
    <m/>
    <m/>
    <m/>
    <m/>
    <m/>
    <m/>
    <m/>
    <m/>
    <m/>
    <x v="1"/>
  </r>
  <r>
    <n v="223"/>
    <x v="10"/>
    <n v="3"/>
    <s v="Y"/>
    <x v="0"/>
    <x v="3"/>
    <s v="25-00315"/>
    <s v="N/A"/>
    <s v="Aesthetical upgrade (frameless doors) in key account models - S. African range (SL640, SL1140, FV 1000 SZ) - Key accounts/Door outsourcing from China- for all models"/>
    <x v="3"/>
    <x v="0"/>
    <s v="ICM"/>
    <x v="1"/>
    <s v="Door"/>
    <s v="N/A"/>
    <s v="N/A"/>
    <n v="4"/>
    <n v="0"/>
    <s v="No"/>
    <m/>
    <m/>
    <m/>
    <m/>
    <m/>
    <s v="Yes"/>
    <s v="Not Started"/>
    <m/>
    <m/>
    <m/>
    <m/>
    <m/>
    <m/>
    <x v="4"/>
  </r>
  <r>
    <n v="224"/>
    <x v="6"/>
    <m/>
    <m/>
    <x v="0"/>
    <x v="2"/>
    <s v="TBD"/>
    <s v="N/A"/>
    <s v="Optional features for S60 EG &amp; S-1100 EG : Castor Wheel, visible temperature display &amp; EMI filter for Morocco."/>
    <x v="2"/>
    <x v="0"/>
    <s v="ICM"/>
    <x v="1"/>
    <m/>
    <m/>
    <m/>
    <m/>
    <m/>
    <m/>
    <m/>
    <m/>
    <m/>
    <m/>
    <m/>
    <m/>
    <m/>
    <m/>
    <m/>
    <m/>
    <m/>
    <m/>
    <m/>
    <x v="5"/>
  </r>
  <r>
    <n v="225"/>
    <x v="6"/>
    <m/>
    <m/>
    <x v="0"/>
    <x v="2"/>
    <s v="TBD"/>
    <s v="N/A"/>
    <s v="S-60 &amp; S-1100 Cost saving project→Electrical box Removal (optimization),Shelf pilaster replacement from GI to aluminium, Shelf clip replacement from SS to aluminium,_x000a_Condenser redesign for ease of manufacturing"/>
    <x v="2"/>
    <x v="0"/>
    <s v="ICM"/>
    <x v="1"/>
    <m/>
    <m/>
    <m/>
    <m/>
    <m/>
    <m/>
    <m/>
    <m/>
    <m/>
    <m/>
    <m/>
    <m/>
    <m/>
    <m/>
    <m/>
    <m/>
    <m/>
    <m/>
    <m/>
    <x v="5"/>
  </r>
  <r>
    <n v="226"/>
    <x v="5"/>
    <m/>
    <m/>
    <x v="0"/>
    <x v="4"/>
    <s v="TBR"/>
    <s v="N/A"/>
    <s v="FV-1000 D, EC 26 development - SEA"/>
    <x v="1"/>
    <x v="0"/>
    <s v="ICM"/>
    <x v="1"/>
    <s v="Cooling Mechanism"/>
    <s v="N/A"/>
    <s v="N/A"/>
    <n v="3"/>
    <n v="2"/>
    <s v="Yes"/>
    <m/>
    <m/>
    <n v="6"/>
    <m/>
    <n v="2"/>
    <s v="Yes"/>
    <s v="Not Started"/>
    <n v="1.5"/>
    <m/>
    <m/>
    <m/>
    <m/>
    <m/>
    <x v="5"/>
  </r>
  <r>
    <n v="227"/>
    <x v="6"/>
    <m/>
    <s v="Y"/>
    <x v="0"/>
    <x v="1"/>
    <s v="26-00380"/>
    <s v="N/A"/>
    <s v="SFC-700 HC @  60HZ &amp; D-Condition with back airflow &amp; Meet CC EC26 requirement "/>
    <x v="0"/>
    <x v="0"/>
    <s v="ICM"/>
    <x v="1"/>
    <m/>
    <m/>
    <m/>
    <n v="8"/>
    <n v="6"/>
    <s v="Yes"/>
    <m/>
    <m/>
    <n v="10"/>
    <m/>
    <n v="70"/>
    <m/>
    <m/>
    <m/>
    <m/>
    <m/>
    <m/>
    <m/>
    <m/>
    <x v="5"/>
  </r>
  <r>
    <n v="228"/>
    <x v="6"/>
    <n v="2"/>
    <s v="Y"/>
    <x v="0"/>
    <x v="1"/>
    <s v="26-00409"/>
    <s v="N/A"/>
    <s v="SFC-700 HC @  60HZ &amp; D-Condition with back airflow &amp; Meet CC EC26 requirement "/>
    <x v="0"/>
    <x v="0"/>
    <s v="ICM"/>
    <x v="1"/>
    <m/>
    <m/>
    <m/>
    <n v="8"/>
    <n v="6"/>
    <s v="Yes"/>
    <m/>
    <m/>
    <n v="10"/>
    <m/>
    <n v="70"/>
    <m/>
    <m/>
    <m/>
    <m/>
    <m/>
    <m/>
    <m/>
    <m/>
    <x v="4"/>
  </r>
  <r>
    <n v="229"/>
    <x v="6"/>
    <m/>
    <m/>
    <x v="0"/>
    <x v="1"/>
    <s v="TBD"/>
    <s v="N/A"/>
    <s v="S-60 R134 model @ 60HZ and Back airflow with optional Castor Wheel and visible temperature display"/>
    <x v="2"/>
    <x v="0"/>
    <s v="ICM"/>
    <x v="1"/>
    <m/>
    <m/>
    <m/>
    <m/>
    <m/>
    <m/>
    <m/>
    <m/>
    <m/>
    <m/>
    <m/>
    <m/>
    <m/>
    <m/>
    <m/>
    <m/>
    <m/>
    <m/>
    <m/>
    <x v="5"/>
  </r>
  <r>
    <n v="230"/>
    <x v="6"/>
    <m/>
    <m/>
    <x v="0"/>
    <x v="1"/>
    <s v="TBD"/>
    <s v="N/A"/>
    <s v="S-1100 R134a model @ 60Hz and back airflow with optional Castor Wheel and visible temperature display"/>
    <x v="2"/>
    <x v="0"/>
    <s v="ICM"/>
    <x v="1"/>
    <m/>
    <m/>
    <m/>
    <m/>
    <m/>
    <m/>
    <m/>
    <m/>
    <m/>
    <m/>
    <m/>
    <m/>
    <m/>
    <m/>
    <m/>
    <m/>
    <m/>
    <m/>
    <m/>
    <x v="5"/>
  </r>
  <r>
    <n v="231"/>
    <x v="6"/>
    <m/>
    <m/>
    <x v="1"/>
    <x v="1"/>
    <s v="TBD"/>
    <s v="N/A"/>
    <s v="1200 L Double door cooler Sliding &amp; Hinged door @ 50&amp;60Hz with optional :  Full Glass door, Castor Wheel and visible temperature display"/>
    <x v="2"/>
    <x v="0"/>
    <s v="ICM"/>
    <x v="5"/>
    <m/>
    <m/>
    <m/>
    <m/>
    <m/>
    <m/>
    <m/>
    <m/>
    <m/>
    <m/>
    <m/>
    <m/>
    <m/>
    <m/>
    <m/>
    <m/>
    <m/>
    <m/>
    <m/>
    <x v="5"/>
  </r>
  <r>
    <n v="232"/>
    <x v="6"/>
    <m/>
    <m/>
    <x v="1"/>
    <x v="1"/>
    <s v="TBD"/>
    <s v="N/A"/>
    <s v="400 L model (S-45 cabin) @50Hz with optional : Fulll glass door with Neon LED, Castor Wheel, visible temperature display &amp; EMI filter for Morocco"/>
    <x v="2"/>
    <x v="0"/>
    <s v="ICM"/>
    <x v="5"/>
    <m/>
    <m/>
    <m/>
    <m/>
    <m/>
    <m/>
    <m/>
    <m/>
    <m/>
    <m/>
    <m/>
    <m/>
    <m/>
    <m/>
    <m/>
    <m/>
    <m/>
    <m/>
    <m/>
    <x v="5"/>
  </r>
  <r>
    <n v="233"/>
    <x v="6"/>
    <m/>
    <m/>
    <x v="0"/>
    <x v="1"/>
    <s v="TBD"/>
    <s v="N/A"/>
    <s v="400 L (S-45 cabin)  R134a model @ 60 Hz  with back airflow and optional :Castor Wheel &amp;visible temperature display (Saudi region)"/>
    <x v="2"/>
    <x v="0"/>
    <s v="ICM"/>
    <x v="5"/>
    <m/>
    <m/>
    <m/>
    <m/>
    <m/>
    <m/>
    <m/>
    <m/>
    <m/>
    <m/>
    <m/>
    <m/>
    <m/>
    <m/>
    <m/>
    <m/>
    <m/>
    <m/>
    <m/>
    <x v="5"/>
  </r>
  <r>
    <n v="234"/>
    <x v="6"/>
    <m/>
    <s v="Y"/>
    <x v="0"/>
    <x v="0"/>
    <s v="TBD"/>
    <s v="26IND014"/>
    <s v="IPS Size Optimization S-35 and S-45 MFSL70 to MFSL60-Coke/CokeExport"/>
    <x v="0"/>
    <x v="0"/>
    <s v="ICM"/>
    <x v="4"/>
    <m/>
    <m/>
    <m/>
    <n v="4"/>
    <n v="4"/>
    <s v="Yes"/>
    <m/>
    <m/>
    <m/>
    <m/>
    <n v="20"/>
    <m/>
    <m/>
    <m/>
    <m/>
    <m/>
    <m/>
    <m/>
    <m/>
    <x v="4"/>
  </r>
  <r>
    <n v="235"/>
    <x v="6"/>
    <m/>
    <s v="Y"/>
    <x v="0"/>
    <x v="0"/>
    <s v="TBD"/>
    <s v="26IND015"/>
    <s v="IPS Size Optimization S-60 MFSL100 to MFSL70- COKE India"/>
    <x v="0"/>
    <x v="0"/>
    <s v="ICM"/>
    <x v="4"/>
    <m/>
    <m/>
    <m/>
    <n v="4"/>
    <n v="4"/>
    <s v="Yes"/>
    <m/>
    <m/>
    <m/>
    <m/>
    <n v="10"/>
    <m/>
    <m/>
    <m/>
    <m/>
    <m/>
    <m/>
    <m/>
    <m/>
    <x v="4"/>
  </r>
  <r>
    <n v="236"/>
    <x v="6"/>
    <m/>
    <s v="Y"/>
    <x v="0"/>
    <x v="0"/>
    <s v="TBD"/>
    <s v="26IND016"/>
    <s v="Single Evap Fan Motor for VG300 &amp; VG400  SC300 Bluestar &amp;  equivalent Reliance Models"/>
    <x v="0"/>
    <x v="0"/>
    <s v="ICM"/>
    <x v="4"/>
    <m/>
    <m/>
    <m/>
    <n v="4"/>
    <n v="4"/>
    <s v="Yes"/>
    <m/>
    <m/>
    <m/>
    <m/>
    <n v="10"/>
    <m/>
    <m/>
    <m/>
    <m/>
    <m/>
    <m/>
    <m/>
    <m/>
    <x v="4"/>
  </r>
  <r>
    <n v="237"/>
    <x v="6"/>
    <m/>
    <s v="Y"/>
    <x v="2"/>
    <x v="0"/>
    <s v="TBD"/>
    <s v="26IND017"/>
    <s v="Cabinet Sheet Metal thickness reduction for DD – 0.45 à 0.4mm in S1100 Chassis"/>
    <x v="0"/>
    <x v="0"/>
    <s v="ICM"/>
    <x v="4"/>
    <m/>
    <m/>
    <m/>
    <n v="3"/>
    <n v="2"/>
    <m/>
    <m/>
    <m/>
    <m/>
    <m/>
    <m/>
    <m/>
    <m/>
    <m/>
    <m/>
    <m/>
    <m/>
    <m/>
    <m/>
    <x v="3"/>
  </r>
  <r>
    <n v="238"/>
    <x v="6"/>
    <m/>
    <s v="Y"/>
    <x v="2"/>
    <x v="0"/>
    <s v="TBD"/>
    <s v="26IND018"/>
    <s v="Cabinet Sheet Metal thickness reduction for DD – 0.45 à 0.4mm in S35 Chassis"/>
    <x v="0"/>
    <x v="0"/>
    <s v="ICM"/>
    <x v="4"/>
    <m/>
    <m/>
    <m/>
    <n v="3"/>
    <n v="2"/>
    <m/>
    <m/>
    <m/>
    <m/>
    <m/>
    <m/>
    <m/>
    <m/>
    <m/>
    <m/>
    <m/>
    <m/>
    <m/>
    <m/>
    <x v="3"/>
  </r>
  <r>
    <n v="239"/>
    <x v="6"/>
    <m/>
    <s v="Y"/>
    <x v="2"/>
    <x v="0"/>
    <s v="TBD"/>
    <s v="26IND019"/>
    <s v="Cabinet Sheet Metal thickness reduction for DD – 0.45 à 0.4mm in S45 Chassis "/>
    <x v="0"/>
    <x v="0"/>
    <s v="ICM"/>
    <x v="4"/>
    <m/>
    <m/>
    <m/>
    <n v="3"/>
    <n v="2"/>
    <m/>
    <m/>
    <m/>
    <m/>
    <m/>
    <m/>
    <m/>
    <m/>
    <m/>
    <m/>
    <m/>
    <m/>
    <m/>
    <m/>
    <x v="3"/>
  </r>
  <r>
    <n v="240"/>
    <x v="6"/>
    <m/>
    <s v="Y"/>
    <x v="2"/>
    <x v="0"/>
    <s v="TBD"/>
    <s v="26IND020"/>
    <s v="Cabinet Sheet Metal thickness reduction for DD – 0.45 à 0.4mm in S60 Chassis"/>
    <x v="0"/>
    <x v="0"/>
    <s v="ICM"/>
    <x v="4"/>
    <m/>
    <m/>
    <m/>
    <n v="3"/>
    <n v="2"/>
    <m/>
    <m/>
    <m/>
    <m/>
    <m/>
    <m/>
    <m/>
    <m/>
    <m/>
    <m/>
    <m/>
    <m/>
    <m/>
    <m/>
    <x v="3"/>
  </r>
  <r>
    <n v="241"/>
    <x v="6"/>
    <m/>
    <s v="Y"/>
    <x v="0"/>
    <x v="0"/>
    <s v="TBD"/>
    <s v="26IND021"/>
    <s v="Inbuilt roller in roller bracket S35,"/>
    <x v="0"/>
    <x v="0"/>
    <s v="ICM"/>
    <x v="4"/>
    <m/>
    <m/>
    <m/>
    <n v="8"/>
    <n v="4"/>
    <m/>
    <m/>
    <m/>
    <m/>
    <m/>
    <m/>
    <m/>
    <m/>
    <m/>
    <m/>
    <m/>
    <m/>
    <m/>
    <m/>
    <x v="3"/>
  </r>
  <r>
    <n v="242"/>
    <x v="6"/>
    <m/>
    <s v="Y"/>
    <x v="2"/>
    <x v="0"/>
    <s v="TBD"/>
    <s v="26IND022"/>
    <s v="Inbuilt roller in roller bracket S45, "/>
    <x v="0"/>
    <x v="0"/>
    <s v="ICM"/>
    <x v="4"/>
    <m/>
    <m/>
    <m/>
    <n v="8"/>
    <n v="3"/>
    <m/>
    <m/>
    <m/>
    <m/>
    <m/>
    <m/>
    <m/>
    <m/>
    <m/>
    <m/>
    <m/>
    <m/>
    <m/>
    <m/>
    <x v="4"/>
  </r>
  <r>
    <n v="243"/>
    <x v="6"/>
    <m/>
    <s v="Y"/>
    <x v="0"/>
    <x v="0"/>
    <s v="TBD"/>
    <s v="26IND023"/>
    <s v="Inbuilt roller in roller bracket S60, "/>
    <x v="0"/>
    <x v="0"/>
    <s v="ICM"/>
    <x v="4"/>
    <m/>
    <m/>
    <m/>
    <n v="8"/>
    <n v="4"/>
    <m/>
    <m/>
    <m/>
    <m/>
    <m/>
    <m/>
    <m/>
    <m/>
    <m/>
    <m/>
    <m/>
    <m/>
    <m/>
    <m/>
    <x v="4"/>
  </r>
  <r>
    <n v="244"/>
    <x v="6"/>
    <m/>
    <s v="Y"/>
    <x v="0"/>
    <x v="0"/>
    <s v="TBD"/>
    <s v="26IND024"/>
    <s v="Non retractable base in S35 Coke India"/>
    <x v="0"/>
    <x v="0"/>
    <s v="ICM"/>
    <x v="4"/>
    <m/>
    <m/>
    <m/>
    <n v="8"/>
    <n v="8"/>
    <m/>
    <m/>
    <m/>
    <m/>
    <m/>
    <m/>
    <m/>
    <m/>
    <m/>
    <m/>
    <m/>
    <m/>
    <m/>
    <m/>
    <x v="1"/>
  </r>
  <r>
    <n v="245"/>
    <x v="6"/>
    <m/>
    <s v="Y"/>
    <x v="0"/>
    <x v="0"/>
    <s v="TBD"/>
    <s v="26IND025"/>
    <s v="Non retractable base in S45 Coke India"/>
    <x v="0"/>
    <x v="0"/>
    <s v="ICM"/>
    <x v="4"/>
    <m/>
    <m/>
    <m/>
    <n v="8"/>
    <n v="8"/>
    <m/>
    <m/>
    <m/>
    <m/>
    <m/>
    <m/>
    <m/>
    <m/>
    <m/>
    <m/>
    <m/>
    <m/>
    <m/>
    <m/>
    <x v="5"/>
  </r>
  <r>
    <n v="246"/>
    <x v="6"/>
    <m/>
    <s v="Y"/>
    <x v="0"/>
    <x v="0"/>
    <s v="TBD"/>
    <s v="26IND026"/>
    <s v="Non retractable base in S60 Coke India"/>
    <x v="0"/>
    <x v="0"/>
    <s v="ICM"/>
    <x v="4"/>
    <m/>
    <m/>
    <m/>
    <n v="8"/>
    <n v="8"/>
    <m/>
    <m/>
    <m/>
    <m/>
    <m/>
    <m/>
    <m/>
    <m/>
    <m/>
    <m/>
    <m/>
    <m/>
    <m/>
    <m/>
    <x v="5"/>
  </r>
  <r>
    <n v="247"/>
    <x v="6"/>
    <m/>
    <s v="Y"/>
    <x v="2"/>
    <x v="0"/>
    <s v="TBD"/>
    <s v="26INN001-1"/>
    <s v="Reed switch Ease as alternative to AIN Tech. for 1m cable"/>
    <x v="1"/>
    <x v="0"/>
    <s v="ICM"/>
    <x v="6"/>
    <m/>
    <m/>
    <m/>
    <n v="3"/>
    <n v="2"/>
    <m/>
    <m/>
    <m/>
    <m/>
    <m/>
    <m/>
    <m/>
    <m/>
    <m/>
    <m/>
    <m/>
    <m/>
    <m/>
    <m/>
    <x v="3"/>
  </r>
  <r>
    <n v="248"/>
    <x v="6"/>
    <m/>
    <s v="Y"/>
    <x v="2"/>
    <x v="0"/>
    <s v="TBD"/>
    <s v="26INN001-2"/>
    <s v="Reed switch Ease as alternative to AIN Tech. for 1m cable"/>
    <x v="0"/>
    <x v="0"/>
    <s v="ICM"/>
    <x v="6"/>
    <m/>
    <m/>
    <m/>
    <n v="3"/>
    <n v="2"/>
    <m/>
    <m/>
    <m/>
    <m/>
    <m/>
    <m/>
    <m/>
    <m/>
    <m/>
    <m/>
    <m/>
    <m/>
    <m/>
    <m/>
    <x v="3"/>
  </r>
  <r>
    <n v="249"/>
    <x v="6"/>
    <m/>
    <s v="Y"/>
    <x v="2"/>
    <x v="0"/>
    <s v="TBD"/>
    <s v="26INN002"/>
    <s v="Localization Thermostat Foshan to Jiujiang Hengtong Thermostat"/>
    <x v="1"/>
    <x v="0"/>
    <s v="ICM"/>
    <x v="6"/>
    <m/>
    <m/>
    <m/>
    <n v="3"/>
    <n v="3"/>
    <m/>
    <m/>
    <m/>
    <m/>
    <m/>
    <m/>
    <m/>
    <m/>
    <m/>
    <m/>
    <m/>
    <m/>
    <m/>
    <m/>
    <x v="2"/>
  </r>
  <r>
    <n v="250"/>
    <x v="6"/>
    <m/>
    <s v="Y"/>
    <x v="2"/>
    <x v="0"/>
    <s v="TBD"/>
    <s v="26INN003"/>
    <s v="Cooling base  plate thickness 1.5 to 1 mm Thickness in E47"/>
    <x v="1"/>
    <x v="0"/>
    <s v="ICM"/>
    <x v="4"/>
    <m/>
    <m/>
    <m/>
    <n v="3"/>
    <n v="3"/>
    <m/>
    <m/>
    <m/>
    <m/>
    <m/>
    <m/>
    <m/>
    <m/>
    <m/>
    <m/>
    <m/>
    <m/>
    <m/>
    <m/>
    <x v="3"/>
  </r>
  <r>
    <n v="251"/>
    <x v="6"/>
    <m/>
    <s v="Y"/>
    <x v="2"/>
    <x v="0"/>
    <s v="TBD"/>
    <s v="26INN004"/>
    <s v="Alternate sourcing of cable harness "/>
    <x v="1"/>
    <x v="0"/>
    <s v="ICM"/>
    <x v="7"/>
    <m/>
    <m/>
    <m/>
    <n v="3"/>
    <n v="1"/>
    <m/>
    <m/>
    <m/>
    <m/>
    <m/>
    <m/>
    <m/>
    <m/>
    <m/>
    <m/>
    <m/>
    <m/>
    <m/>
    <m/>
    <x v="4"/>
  </r>
  <r>
    <n v="252"/>
    <x v="6"/>
    <m/>
    <s v="Y"/>
    <x v="2"/>
    <x v="0"/>
    <s v="TBD"/>
    <s v="26INN005"/>
    <s v="Alternate sourcing of Armouflex"/>
    <x v="1"/>
    <x v="0"/>
    <s v="ICM"/>
    <x v="7"/>
    <m/>
    <m/>
    <m/>
    <n v="3"/>
    <n v="0.5"/>
    <m/>
    <m/>
    <m/>
    <m/>
    <m/>
    <m/>
    <m/>
    <m/>
    <m/>
    <m/>
    <m/>
    <m/>
    <m/>
    <m/>
    <x v="4"/>
  </r>
  <r>
    <n v="253"/>
    <x v="6"/>
    <m/>
    <s v="Y"/>
    <x v="2"/>
    <x v="0"/>
    <s v="TBD"/>
    <s v="26INN006"/>
    <s v="Alternate sourcing of conduit non Flamebale"/>
    <x v="1"/>
    <x v="0"/>
    <s v="ICM"/>
    <x v="7"/>
    <m/>
    <m/>
    <m/>
    <n v="3"/>
    <n v="1"/>
    <m/>
    <m/>
    <m/>
    <m/>
    <m/>
    <m/>
    <m/>
    <m/>
    <m/>
    <m/>
    <m/>
    <m/>
    <m/>
    <m/>
    <x v="4"/>
  </r>
  <r>
    <n v="254"/>
    <x v="6"/>
    <m/>
    <s v="Y"/>
    <x v="0"/>
    <x v="0"/>
    <s v="TBD"/>
    <s v="26INN007"/>
    <s v="Localization drip tray S250 India to local supplier"/>
    <x v="1"/>
    <x v="0"/>
    <s v="ICM"/>
    <x v="7"/>
    <m/>
    <m/>
    <m/>
    <n v="4"/>
    <n v="0.5"/>
    <m/>
    <m/>
    <m/>
    <m/>
    <m/>
    <m/>
    <m/>
    <m/>
    <m/>
    <m/>
    <m/>
    <m/>
    <m/>
    <m/>
    <x v="4"/>
  </r>
  <r>
    <n v="255"/>
    <x v="6"/>
    <m/>
    <s v="Y"/>
    <x v="2"/>
    <x v="0"/>
    <s v="TBD"/>
    <s v="26INN008"/>
    <s v="Condenser motor direct to compressor"/>
    <x v="1"/>
    <x v="0"/>
    <s v="ICM"/>
    <x v="4"/>
    <m/>
    <m/>
    <s v="Shaded Pole Motors &amp; Blades"/>
    <n v="3"/>
    <n v="1"/>
    <m/>
    <m/>
    <m/>
    <m/>
    <m/>
    <m/>
    <m/>
    <m/>
    <m/>
    <m/>
    <m/>
    <m/>
    <m/>
    <m/>
    <x v="4"/>
  </r>
  <r>
    <n v="256"/>
    <x v="6"/>
    <m/>
    <s v="Y"/>
    <x v="2"/>
    <x v="0"/>
    <s v="TBD"/>
    <s v="26INN009"/>
    <s v="Reduce Length conduit by 1 meter"/>
    <x v="1"/>
    <x v="0"/>
    <s v="ICM"/>
    <x v="4"/>
    <m/>
    <m/>
    <m/>
    <n v="3"/>
    <n v="1"/>
    <m/>
    <m/>
    <m/>
    <m/>
    <m/>
    <m/>
    <m/>
    <m/>
    <m/>
    <m/>
    <m/>
    <m/>
    <m/>
    <m/>
    <x v="4"/>
  </r>
  <r>
    <n v="257"/>
    <x v="6"/>
    <m/>
    <s v="Y"/>
    <x v="2"/>
    <x v="0"/>
    <s v="TBD"/>
    <s v="26INN010"/>
    <s v="Replace Thermostat base &amp; cover with metal bracket"/>
    <x v="1"/>
    <x v="0"/>
    <s v="ICM"/>
    <x v="4"/>
    <m/>
    <m/>
    <m/>
    <n v="3"/>
    <n v="3"/>
    <m/>
    <m/>
    <m/>
    <m/>
    <m/>
    <m/>
    <m/>
    <m/>
    <m/>
    <m/>
    <m/>
    <m/>
    <m/>
    <m/>
    <x v="4"/>
  </r>
  <r>
    <n v="258"/>
    <x v="6"/>
    <m/>
    <s v="Y"/>
    <x v="2"/>
    <x v="0"/>
    <s v="TBD"/>
    <s v="26INN011"/>
    <s v="Castor wheel 80 mm to castor 50 mm HD"/>
    <x v="1"/>
    <x v="0"/>
    <s v="ICM"/>
    <x v="4"/>
    <m/>
    <m/>
    <m/>
    <n v="8"/>
    <n v="4"/>
    <m/>
    <m/>
    <m/>
    <m/>
    <m/>
    <m/>
    <m/>
    <m/>
    <m/>
    <m/>
    <m/>
    <m/>
    <m/>
    <m/>
    <x v="4"/>
  </r>
  <r>
    <n v="259"/>
    <x v="6"/>
    <m/>
    <s v="Y"/>
    <x v="2"/>
    <x v="0"/>
    <s v="TBD"/>
    <s v="26INN012"/>
    <s v="Change from long spring to short"/>
    <x v="1"/>
    <x v="0"/>
    <s v="ICM"/>
    <x v="4"/>
    <m/>
    <m/>
    <m/>
    <n v="4"/>
    <n v="4"/>
    <m/>
    <m/>
    <m/>
    <m/>
    <m/>
    <m/>
    <m/>
    <m/>
    <m/>
    <m/>
    <m/>
    <m/>
    <m/>
    <m/>
    <x v="4"/>
  </r>
  <r>
    <n v="260"/>
    <x v="6"/>
    <m/>
    <s v="Y"/>
    <x v="2"/>
    <x v="0"/>
    <s v="TBD"/>
    <s v="26INN013"/>
    <s v="Power Cord PRCD reduce from 3.2m to 2.1m"/>
    <x v="1"/>
    <x v="0"/>
    <s v="ICM"/>
    <x v="4"/>
    <m/>
    <m/>
    <m/>
    <n v="3"/>
    <n v="1"/>
    <m/>
    <m/>
    <m/>
    <m/>
    <m/>
    <m/>
    <m/>
    <m/>
    <m/>
    <m/>
    <m/>
    <m/>
    <m/>
    <m/>
    <x v="4"/>
  </r>
  <r>
    <n v="261"/>
    <x v="6"/>
    <m/>
    <s v="Y"/>
    <x v="2"/>
    <x v="0"/>
    <s v="TBD"/>
    <s v="26INN014"/>
    <s v="Power Cord SNI from 3.2m to 1.8m"/>
    <x v="1"/>
    <x v="0"/>
    <s v="ICM"/>
    <x v="4"/>
    <m/>
    <m/>
    <m/>
    <n v="3"/>
    <n v="1"/>
    <m/>
    <m/>
    <m/>
    <m/>
    <m/>
    <m/>
    <m/>
    <m/>
    <m/>
    <m/>
    <m/>
    <m/>
    <m/>
    <m/>
    <x v="4"/>
  </r>
  <r>
    <n v="262"/>
    <x v="6"/>
    <m/>
    <s v="Y"/>
    <x v="0"/>
    <x v="0"/>
    <s v="TBD"/>
    <s v="26SAF001"/>
    <s v="DOOR ASSEMBLY FV650FFD"/>
    <x v="3"/>
    <x v="0"/>
    <s v="ICM"/>
    <x v="4"/>
    <m/>
    <m/>
    <m/>
    <n v="4"/>
    <n v="2"/>
    <m/>
    <m/>
    <m/>
    <m/>
    <m/>
    <m/>
    <m/>
    <m/>
    <m/>
    <m/>
    <m/>
    <m/>
    <m/>
    <m/>
    <x v="2"/>
  </r>
  <r>
    <n v="263"/>
    <x v="6"/>
    <m/>
    <s v="Y"/>
    <x v="0"/>
    <x v="0"/>
    <s v="TBD"/>
    <s v="26SAF002"/>
    <s v="DOOR ASSEMBLY  FV-1000FFD LEFT &amp; RIGHT"/>
    <x v="3"/>
    <x v="0"/>
    <s v="ICM"/>
    <x v="4"/>
    <m/>
    <m/>
    <m/>
    <n v="4"/>
    <n v="2"/>
    <m/>
    <m/>
    <m/>
    <m/>
    <m/>
    <m/>
    <m/>
    <m/>
    <m/>
    <m/>
    <m/>
    <m/>
    <m/>
    <m/>
    <x v="2"/>
  </r>
  <r>
    <n v="264"/>
    <x v="6"/>
    <m/>
    <s v="Y"/>
    <x v="0"/>
    <x v="0"/>
    <s v="TBD"/>
    <s v="26SAF003"/>
    <s v="DOOR ASSEMBLY  FV-1000CSZ - LEFT &amp; RIGHT"/>
    <x v="3"/>
    <x v="0"/>
    <s v="ICM"/>
    <x v="4"/>
    <m/>
    <m/>
    <m/>
    <n v="4"/>
    <n v="2"/>
    <m/>
    <m/>
    <m/>
    <m/>
    <m/>
    <m/>
    <m/>
    <m/>
    <m/>
    <m/>
    <m/>
    <m/>
    <m/>
    <m/>
    <x v="2"/>
  </r>
  <r>
    <n v="265"/>
    <x v="6"/>
    <m/>
    <s v="Y"/>
    <x v="0"/>
    <x v="0"/>
    <s v="TBD"/>
    <s v="26SAF004"/>
    <s v="DOOR ASSEMBLY FV-1000(REDBULL)  LEFT &amp; RIGHT"/>
    <x v="3"/>
    <x v="0"/>
    <s v="ICM"/>
    <x v="4"/>
    <m/>
    <m/>
    <m/>
    <n v="4"/>
    <n v="2"/>
    <m/>
    <m/>
    <m/>
    <m/>
    <m/>
    <m/>
    <m/>
    <m/>
    <m/>
    <m/>
    <m/>
    <m/>
    <m/>
    <m/>
    <x v="2"/>
  </r>
  <r>
    <n v="266"/>
    <x v="6"/>
    <m/>
    <s v="Y"/>
    <x v="0"/>
    <x v="0"/>
    <s v="TBD"/>
    <s v="26SAF005"/>
    <s v="DOOR ASSEMBLY SL640  (REDBULL)"/>
    <x v="3"/>
    <x v="0"/>
    <s v="ICM"/>
    <x v="4"/>
    <m/>
    <m/>
    <m/>
    <n v="4"/>
    <n v="1"/>
    <m/>
    <m/>
    <m/>
    <m/>
    <m/>
    <m/>
    <m/>
    <m/>
    <m/>
    <m/>
    <m/>
    <m/>
    <m/>
    <m/>
    <x v="2"/>
  </r>
  <r>
    <n v="267"/>
    <x v="6"/>
    <m/>
    <s v="Y"/>
    <x v="0"/>
    <x v="0"/>
    <s v="TBD"/>
    <s v="26SAF006"/>
    <s v="DOOR ASSEMBLY  HV-71 (Standard)"/>
    <x v="3"/>
    <x v="0"/>
    <s v="ICM"/>
    <x v="4"/>
    <m/>
    <m/>
    <m/>
    <n v="4"/>
    <n v="1"/>
    <m/>
    <m/>
    <m/>
    <m/>
    <m/>
    <m/>
    <m/>
    <m/>
    <m/>
    <m/>
    <m/>
    <m/>
    <m/>
    <m/>
    <x v="1"/>
  </r>
  <r>
    <n v="268"/>
    <x v="6"/>
    <m/>
    <s v="Y"/>
    <x v="2"/>
    <x v="0"/>
    <s v="TBD"/>
    <s v="26SAF007"/>
    <s v="Alternate Supplier for Brazing Materials"/>
    <x v="3"/>
    <x v="0"/>
    <s v="ICM"/>
    <x v="0"/>
    <m/>
    <m/>
    <m/>
    <n v="3"/>
    <n v="0.5"/>
    <m/>
    <m/>
    <m/>
    <m/>
    <m/>
    <m/>
    <m/>
    <m/>
    <m/>
    <m/>
    <m/>
    <m/>
    <m/>
    <m/>
    <x v="4"/>
  </r>
  <r>
    <n v="269"/>
    <x v="6"/>
    <m/>
    <s v="Y"/>
    <x v="0"/>
    <x v="0"/>
    <s v="TBD"/>
    <s v="26SAF008"/>
    <s v="Reduction of upper suction line entering accumulator FV1000sz"/>
    <x v="3"/>
    <x v="0"/>
    <s v="ICM"/>
    <x v="4"/>
    <m/>
    <m/>
    <m/>
    <n v="4"/>
    <m/>
    <m/>
    <m/>
    <m/>
    <m/>
    <m/>
    <m/>
    <m/>
    <m/>
    <m/>
    <m/>
    <m/>
    <m/>
    <m/>
    <m/>
    <x v="4"/>
  </r>
  <r>
    <n v="270"/>
    <x v="6"/>
    <m/>
    <s v="Y"/>
    <x v="2"/>
    <x v="0"/>
    <s v="TBD"/>
    <s v="26SAF009"/>
    <s v="Cable length reduction including power cord CCBSA FV1000 &amp; FV650"/>
    <x v="3"/>
    <x v="0"/>
    <s v="ICM"/>
    <x v="4"/>
    <m/>
    <m/>
    <m/>
    <n v="3"/>
    <n v="1"/>
    <m/>
    <m/>
    <m/>
    <m/>
    <m/>
    <m/>
    <m/>
    <m/>
    <m/>
    <m/>
    <m/>
    <m/>
    <m/>
    <m/>
    <x v="4"/>
  </r>
  <r>
    <n v="271"/>
    <x v="6"/>
    <m/>
    <s v="Y"/>
    <x v="2"/>
    <x v="0"/>
    <s v="TBD"/>
    <s v="26SAF010"/>
    <s v="Alternate supplier for Fastening Materials"/>
    <x v="3"/>
    <x v="0"/>
    <s v="ICM"/>
    <x v="0"/>
    <m/>
    <m/>
    <m/>
    <n v="3"/>
    <n v="1"/>
    <m/>
    <m/>
    <m/>
    <m/>
    <m/>
    <m/>
    <m/>
    <m/>
    <m/>
    <m/>
    <m/>
    <m/>
    <m/>
    <m/>
    <x v="4"/>
  </r>
  <r>
    <n v="272"/>
    <x v="6"/>
    <m/>
    <s v="Y"/>
    <x v="2"/>
    <x v="0"/>
    <s v="TBD"/>
    <s v="26SAF011"/>
    <s v="Condenser 4 ROW WOT Flygrow as alternative to Jicheng"/>
    <x v="3"/>
    <x v="0"/>
    <s v="ICM"/>
    <x v="0"/>
    <m/>
    <m/>
    <m/>
    <n v="3"/>
    <n v="8"/>
    <m/>
    <m/>
    <m/>
    <n v="2"/>
    <m/>
    <n v="2"/>
    <m/>
    <m/>
    <m/>
    <m/>
    <m/>
    <m/>
    <m/>
    <m/>
    <x v="3"/>
  </r>
  <r>
    <n v="273"/>
    <x v="6"/>
    <m/>
    <s v="Y"/>
    <x v="2"/>
    <x v="0"/>
    <s v="TBD"/>
    <s v="26SAF012"/>
    <s v="Condenser 6 ROW WOT Flygrow as alternative to Jicheng"/>
    <x v="3"/>
    <x v="0"/>
    <s v="ICM"/>
    <x v="0"/>
    <m/>
    <m/>
    <m/>
    <n v="3"/>
    <n v="8"/>
    <m/>
    <m/>
    <m/>
    <n v="2"/>
    <m/>
    <n v="2"/>
    <m/>
    <m/>
    <m/>
    <m/>
    <m/>
    <m/>
    <m/>
    <m/>
    <x v="2"/>
  </r>
  <r>
    <n v="274"/>
    <x v="6"/>
    <m/>
    <s v="Y"/>
    <x v="2"/>
    <x v="0"/>
    <s v="TBD"/>
    <s v="26SAF013"/>
    <s v="Condenser 6ROW, CROSS FLOW WOT Flygrow as alternative to Jicheng"/>
    <x v="3"/>
    <x v="0"/>
    <s v="ICM"/>
    <x v="0"/>
    <m/>
    <m/>
    <m/>
    <n v="3"/>
    <n v="8"/>
    <m/>
    <m/>
    <m/>
    <n v="2"/>
    <m/>
    <n v="2"/>
    <m/>
    <m/>
    <m/>
    <m/>
    <m/>
    <m/>
    <m/>
    <m/>
    <x v="2"/>
  </r>
  <r>
    <n v="275"/>
    <x v="6"/>
    <m/>
    <s v="Y"/>
    <x v="2"/>
    <x v="0"/>
    <s v="TBD"/>
    <s v="26SAF014"/>
    <s v="Condenser 8ROW, CROSS FLOW WOT Flygrow as alternative to Jicheng"/>
    <x v="3"/>
    <x v="0"/>
    <s v="ICM"/>
    <x v="0"/>
    <m/>
    <m/>
    <m/>
    <n v="3"/>
    <n v="8"/>
    <m/>
    <m/>
    <m/>
    <n v="2"/>
    <m/>
    <n v="2"/>
    <m/>
    <m/>
    <m/>
    <m/>
    <m/>
    <m/>
    <m/>
    <m/>
    <x v="3"/>
  </r>
  <r>
    <n v="276"/>
    <x v="6"/>
    <m/>
    <s v="Y"/>
    <x v="2"/>
    <x v="0"/>
    <s v="TBD"/>
    <s v="26SAF015"/>
    <s v="Evaporator ALU FIN &amp; ALU TUBE, Ø8, 2 ROW Flygrow as alternative to Tongxing"/>
    <x v="3"/>
    <x v="0"/>
    <s v="ICM"/>
    <x v="0"/>
    <m/>
    <m/>
    <m/>
    <n v="3"/>
    <n v="8"/>
    <m/>
    <m/>
    <m/>
    <n v="2"/>
    <m/>
    <n v="2"/>
    <m/>
    <m/>
    <m/>
    <m/>
    <m/>
    <m/>
    <m/>
    <m/>
    <x v="3"/>
  </r>
  <r>
    <n v="277"/>
    <x v="6"/>
    <m/>
    <s v="Y"/>
    <x v="2"/>
    <x v="0"/>
    <s v="TBD"/>
    <s v="26SAF016"/>
    <s v="Evaporator COIL FV1000 R290 Flygrow as alternative to Tongxing"/>
    <x v="3"/>
    <x v="0"/>
    <s v="ICM"/>
    <x v="0"/>
    <m/>
    <m/>
    <m/>
    <n v="3"/>
    <n v="8"/>
    <m/>
    <m/>
    <m/>
    <n v="2"/>
    <m/>
    <n v="2"/>
    <m/>
    <m/>
    <m/>
    <m/>
    <m/>
    <m/>
    <m/>
    <m/>
    <x v="3"/>
  </r>
  <r>
    <n v="278"/>
    <x v="6"/>
    <m/>
    <s v="Y"/>
    <x v="2"/>
    <x v="0"/>
    <s v="TBD"/>
    <s v="26SAF017"/>
    <s v="Evaporator FV650 R290 Flygrow as alternative to Tongxing"/>
    <x v="3"/>
    <x v="0"/>
    <s v="ICM"/>
    <x v="0"/>
    <m/>
    <m/>
    <m/>
    <n v="3"/>
    <n v="8"/>
    <m/>
    <m/>
    <m/>
    <n v="2"/>
    <m/>
    <n v="2"/>
    <m/>
    <m/>
    <m/>
    <m/>
    <m/>
    <m/>
    <m/>
    <m/>
    <x v="3"/>
  </r>
  <r>
    <n v="279"/>
    <x v="6"/>
    <m/>
    <s v="Y"/>
    <x v="2"/>
    <x v="0"/>
    <s v="TBD"/>
    <s v="26SAF018"/>
    <s v="Alternate supplier for for Magnetic Gaskets ( Seal Cool to ILPEA)\ FV1000"/>
    <x v="3"/>
    <x v="0"/>
    <s v="ICM"/>
    <x v="0"/>
    <m/>
    <m/>
    <m/>
    <n v="3"/>
    <n v="8"/>
    <m/>
    <m/>
    <m/>
    <n v="2"/>
    <m/>
    <n v="2"/>
    <m/>
    <m/>
    <m/>
    <m/>
    <m/>
    <m/>
    <m/>
    <m/>
    <x v="3"/>
  </r>
  <r>
    <n v="280"/>
    <x v="6"/>
    <m/>
    <s v="Y"/>
    <x v="2"/>
    <x v="0"/>
    <s v="TBD"/>
    <s v="26SAF019"/>
    <s v="Gasket material spec change/In house gasket"/>
    <x v="3"/>
    <x v="0"/>
    <s v="ICM"/>
    <x v="0"/>
    <m/>
    <m/>
    <m/>
    <n v="3"/>
    <n v="3"/>
    <m/>
    <m/>
    <m/>
    <m/>
    <m/>
    <m/>
    <m/>
    <m/>
    <m/>
    <m/>
    <m/>
    <m/>
    <m/>
    <m/>
    <x v="4"/>
  </r>
  <r>
    <n v="281"/>
    <x v="6"/>
    <m/>
    <m/>
    <x v="2"/>
    <x v="0"/>
    <s v="TBD"/>
    <s v="26SAF020"/>
    <s v="Alternate Supplier for FV1000 CCBSA Front Grids"/>
    <x v="3"/>
    <x v="0"/>
    <s v="ICM"/>
    <x v="5"/>
    <m/>
    <m/>
    <m/>
    <m/>
    <m/>
    <m/>
    <m/>
    <m/>
    <m/>
    <m/>
    <m/>
    <m/>
    <m/>
    <m/>
    <m/>
    <m/>
    <m/>
    <m/>
    <m/>
    <x v="5"/>
  </r>
  <r>
    <n v="282"/>
    <x v="6"/>
    <m/>
    <m/>
    <x v="2"/>
    <x v="0"/>
    <s v="TBD"/>
    <s v="26SAF021"/>
    <s v="Alternate Supplier for FV1000 Non- CCBSA Front Grids"/>
    <x v="3"/>
    <x v="0"/>
    <s v="ICM"/>
    <x v="5"/>
    <m/>
    <m/>
    <m/>
    <m/>
    <m/>
    <m/>
    <m/>
    <m/>
    <m/>
    <m/>
    <m/>
    <m/>
    <m/>
    <m/>
    <m/>
    <m/>
    <m/>
    <m/>
    <m/>
    <x v="5"/>
  </r>
  <r>
    <n v="283"/>
    <x v="6"/>
    <m/>
    <m/>
    <x v="2"/>
    <x v="0"/>
    <s v="TBD"/>
    <s v="26SAF022"/>
    <s v="Alternate Supplier for FV650 CCBSA Front Grids"/>
    <x v="3"/>
    <x v="0"/>
    <s v="ICM"/>
    <x v="5"/>
    <m/>
    <m/>
    <m/>
    <m/>
    <m/>
    <m/>
    <m/>
    <m/>
    <m/>
    <m/>
    <m/>
    <m/>
    <m/>
    <m/>
    <m/>
    <m/>
    <m/>
    <m/>
    <m/>
    <x v="5"/>
  </r>
  <r>
    <n v="284"/>
    <x v="6"/>
    <m/>
    <m/>
    <x v="2"/>
    <x v="0"/>
    <s v="TBD"/>
    <s v="26SAF023"/>
    <s v="Alternate Supplier for FV650 non- CCBSA Front Grids"/>
    <x v="3"/>
    <x v="0"/>
    <s v="ICM"/>
    <x v="5"/>
    <m/>
    <m/>
    <m/>
    <m/>
    <m/>
    <m/>
    <m/>
    <m/>
    <m/>
    <m/>
    <m/>
    <m/>
    <m/>
    <m/>
    <m/>
    <m/>
    <m/>
    <m/>
    <m/>
    <x v="5"/>
  </r>
  <r>
    <n v="285"/>
    <x v="6"/>
    <m/>
    <m/>
    <x v="2"/>
    <x v="0"/>
    <s v="TBD"/>
    <s v="26SAF024"/>
    <s v="Alternate Supplier for Other Metal Processing and Components"/>
    <x v="3"/>
    <x v="0"/>
    <s v="ICM"/>
    <x v="5"/>
    <m/>
    <m/>
    <s v="Steel-GI"/>
    <m/>
    <m/>
    <m/>
    <m/>
    <m/>
    <m/>
    <m/>
    <m/>
    <m/>
    <m/>
    <m/>
    <m/>
    <m/>
    <m/>
    <m/>
    <m/>
    <x v="5"/>
  </r>
  <r>
    <n v="286"/>
    <x v="6"/>
    <m/>
    <m/>
    <x v="2"/>
    <x v="0"/>
    <s v="TBD"/>
    <s v="26SAF025"/>
    <s v="Bottom hook &amp; reinforce(in house)\ All exc SL1140"/>
    <x v="3"/>
    <x v="0"/>
    <s v="ICM"/>
    <x v="5"/>
    <m/>
    <m/>
    <m/>
    <m/>
    <m/>
    <m/>
    <m/>
    <m/>
    <m/>
    <m/>
    <m/>
    <m/>
    <m/>
    <m/>
    <m/>
    <m/>
    <m/>
    <m/>
    <m/>
    <x v="5"/>
  </r>
  <r>
    <n v="287"/>
    <x v="6"/>
    <m/>
    <m/>
    <x v="2"/>
    <x v="0"/>
    <s v="TBD"/>
    <s v="26SAF026"/>
    <s v="Door handle tool transfer from ROM-SAF\All models exc SL1140 &amp; FV1000 red \SL640 Red bull &amp; HV71 Monster"/>
    <x v="3"/>
    <x v="0"/>
    <s v="ICM"/>
    <x v="5"/>
    <m/>
    <m/>
    <m/>
    <m/>
    <m/>
    <m/>
    <m/>
    <m/>
    <m/>
    <m/>
    <m/>
    <m/>
    <m/>
    <m/>
    <m/>
    <m/>
    <m/>
    <m/>
    <m/>
    <x v="5"/>
  </r>
  <r>
    <n v="288"/>
    <x v="6"/>
    <m/>
    <m/>
    <x v="2"/>
    <x v="0"/>
    <s v="TBD"/>
    <s v="26SAF027"/>
    <s v="FV1000 Evaporator Main cover press tool\ FV1000"/>
    <x v="3"/>
    <x v="0"/>
    <s v="ICM"/>
    <x v="5"/>
    <m/>
    <m/>
    <m/>
    <m/>
    <m/>
    <m/>
    <m/>
    <m/>
    <m/>
    <m/>
    <m/>
    <m/>
    <m/>
    <m/>
    <m/>
    <m/>
    <m/>
    <m/>
    <m/>
    <x v="5"/>
  </r>
  <r>
    <n v="289"/>
    <x v="6"/>
    <m/>
    <m/>
    <x v="2"/>
    <x v="0"/>
    <s v="TBD"/>
    <s v="26SAF028"/>
    <s v="FV650 Evaporator Main cover press tool\ FV650 &amp; SL640"/>
    <x v="3"/>
    <x v="0"/>
    <s v="ICM"/>
    <x v="5"/>
    <m/>
    <m/>
    <m/>
    <m/>
    <m/>
    <m/>
    <m/>
    <m/>
    <m/>
    <m/>
    <m/>
    <m/>
    <m/>
    <m/>
    <m/>
    <m/>
    <m/>
    <m/>
    <m/>
    <x v="5"/>
  </r>
  <r>
    <n v="290"/>
    <x v="6"/>
    <m/>
    <m/>
    <x v="2"/>
    <x v="0"/>
    <s v="TBD"/>
    <s v="26SAF029"/>
    <s v="Intergrating Back Column &amp; Shelf Pilaster on FV1000"/>
    <x v="3"/>
    <x v="0"/>
    <s v="ICM"/>
    <x v="5"/>
    <m/>
    <m/>
    <m/>
    <m/>
    <m/>
    <m/>
    <m/>
    <m/>
    <m/>
    <m/>
    <m/>
    <m/>
    <m/>
    <m/>
    <m/>
    <m/>
    <m/>
    <m/>
    <m/>
    <x v="5"/>
  </r>
  <r>
    <n v="291"/>
    <x v="6"/>
    <m/>
    <m/>
    <x v="2"/>
    <x v="0"/>
    <s v="TBD"/>
    <s v="26SAF030"/>
    <s v="Multi Press tool for Front Grid Hooks (In house)\All exc SL1140"/>
    <x v="3"/>
    <x v="0"/>
    <s v="ICM"/>
    <x v="5"/>
    <m/>
    <m/>
    <m/>
    <m/>
    <m/>
    <m/>
    <m/>
    <m/>
    <m/>
    <m/>
    <m/>
    <m/>
    <m/>
    <m/>
    <m/>
    <m/>
    <m/>
    <m/>
    <m/>
    <x v="5"/>
  </r>
  <r>
    <n v="292"/>
    <x v="6"/>
    <m/>
    <s v="Y"/>
    <x v="2"/>
    <x v="0"/>
    <s v="TBD"/>
    <s v="26SAF032"/>
    <s v="Alternate Supplier for Alu Foil Tape"/>
    <x v="3"/>
    <x v="0"/>
    <s v="ICM"/>
    <x v="0"/>
    <m/>
    <m/>
    <m/>
    <n v="3"/>
    <n v="0.5"/>
    <m/>
    <m/>
    <m/>
    <m/>
    <m/>
    <m/>
    <m/>
    <m/>
    <m/>
    <m/>
    <m/>
    <m/>
    <m/>
    <m/>
    <x v="4"/>
  </r>
  <r>
    <n v="293"/>
    <x v="6"/>
    <m/>
    <s v="Y"/>
    <x v="2"/>
    <x v="3"/>
    <s v="TBD"/>
    <s v="N/A"/>
    <s v="Blue star Pallet/Packing customer field"/>
    <x v="0"/>
    <x v="0"/>
    <s v="ICM"/>
    <x v="3"/>
    <m/>
    <m/>
    <m/>
    <n v="3"/>
    <m/>
    <m/>
    <m/>
    <m/>
    <m/>
    <m/>
    <m/>
    <m/>
    <m/>
    <m/>
    <m/>
    <m/>
    <m/>
    <m/>
    <m/>
    <x v="3"/>
  </r>
  <r>
    <n v="294"/>
    <x v="6"/>
    <m/>
    <m/>
    <x v="2"/>
    <x v="6"/>
    <s v="TBD"/>
    <s v="N/A"/>
    <s v="Field issue-Rodent entry interim solution for S-35/S-45"/>
    <x v="0"/>
    <x v="0"/>
    <s v="ICM"/>
    <x v="3"/>
    <m/>
    <m/>
    <m/>
    <m/>
    <m/>
    <m/>
    <m/>
    <m/>
    <m/>
    <m/>
    <m/>
    <m/>
    <m/>
    <m/>
    <m/>
    <m/>
    <m/>
    <m/>
    <m/>
    <x v="1"/>
  </r>
  <r>
    <n v="295"/>
    <x v="6"/>
    <m/>
    <s v="Y"/>
    <x v="2"/>
    <x v="3"/>
    <s v="TBD"/>
    <s v="N/A"/>
    <s v="TF Memo for common thermostat and controller parameter for all plant "/>
    <x v="4"/>
    <x v="0"/>
    <s v="ICM"/>
    <x v="2"/>
    <m/>
    <m/>
    <m/>
    <m/>
    <m/>
    <m/>
    <m/>
    <m/>
    <n v="4"/>
    <m/>
    <n v="4"/>
    <m/>
    <m/>
    <m/>
    <m/>
    <m/>
    <m/>
    <m/>
    <m/>
    <x v="0"/>
  </r>
  <r>
    <n v="296"/>
    <x v="6"/>
    <n v="2"/>
    <s v="Y"/>
    <x v="0"/>
    <x v="2"/>
    <s v="26-00375_01"/>
    <s v="N/A"/>
    <s v="Frameless Lookalike Door Coolers Development S-35 cabins &amp; their Variants"/>
    <x v="4"/>
    <x v="0"/>
    <s v="ICM"/>
    <x v="1"/>
    <m/>
    <m/>
    <m/>
    <m/>
    <m/>
    <m/>
    <m/>
    <m/>
    <m/>
    <m/>
    <m/>
    <m/>
    <m/>
    <m/>
    <m/>
    <m/>
    <m/>
    <m/>
    <m/>
    <x v="2"/>
  </r>
  <r>
    <n v="297"/>
    <x v="6"/>
    <n v="2"/>
    <s v="Y"/>
    <x v="0"/>
    <x v="2"/>
    <s v="26-00375_02"/>
    <s v="N/A"/>
    <s v="Frameless Lookalike Door Coolers Development S-40 cabins &amp; their Variants."/>
    <x v="4"/>
    <x v="0"/>
    <s v="ICM"/>
    <x v="1"/>
    <m/>
    <m/>
    <m/>
    <m/>
    <m/>
    <m/>
    <m/>
    <m/>
    <m/>
    <m/>
    <m/>
    <m/>
    <m/>
    <m/>
    <m/>
    <m/>
    <m/>
    <m/>
    <m/>
    <x v="3"/>
  </r>
  <r>
    <n v="298"/>
    <x v="6"/>
    <n v="2"/>
    <s v="Y"/>
    <x v="0"/>
    <x v="2"/>
    <s v="26-00375_03"/>
    <s v="N/A"/>
    <s v="Frameless Lookalike Door Coolers Development S-45 cabins &amp; their Variants.)"/>
    <x v="4"/>
    <x v="0"/>
    <s v="ICM"/>
    <x v="1"/>
    <m/>
    <m/>
    <m/>
    <m/>
    <m/>
    <m/>
    <m/>
    <m/>
    <m/>
    <m/>
    <m/>
    <m/>
    <m/>
    <m/>
    <m/>
    <m/>
    <m/>
    <m/>
    <m/>
    <x v="2"/>
  </r>
  <r>
    <n v="299"/>
    <x v="6"/>
    <n v="2"/>
    <s v="Y"/>
    <x v="0"/>
    <x v="2"/>
    <s v="26-00375_04"/>
    <s v="N/A"/>
    <s v="Frameless Lookalike Door Coolers Development S-500 cabins &amp; their Variants.)"/>
    <x v="4"/>
    <x v="0"/>
    <s v="ICM"/>
    <x v="1"/>
    <m/>
    <m/>
    <m/>
    <m/>
    <m/>
    <m/>
    <m/>
    <m/>
    <m/>
    <m/>
    <m/>
    <m/>
    <m/>
    <m/>
    <m/>
    <m/>
    <m/>
    <m/>
    <m/>
    <x v="4"/>
  </r>
  <r>
    <n v="300"/>
    <x v="6"/>
    <n v="2"/>
    <s v="Y"/>
    <x v="0"/>
    <x v="2"/>
    <s v="26-00375_05"/>
    <s v="N/A"/>
    <s v="Frameless Lookalike Door Coolers Development S-50 cabins &amp; their Variants.)"/>
    <x v="4"/>
    <x v="0"/>
    <s v="ICM"/>
    <x v="1"/>
    <m/>
    <m/>
    <m/>
    <m/>
    <m/>
    <m/>
    <m/>
    <m/>
    <m/>
    <m/>
    <m/>
    <m/>
    <m/>
    <m/>
    <m/>
    <m/>
    <m/>
    <m/>
    <m/>
    <x v="4"/>
  </r>
  <r>
    <n v="301"/>
    <x v="6"/>
    <n v="2"/>
    <s v="Y"/>
    <x v="0"/>
    <x v="2"/>
    <s v="26-00375_06"/>
    <s v="N/A"/>
    <s v="Frameless Lookalike Door Coolers Development S-60 cabins &amp; their Variants.)"/>
    <x v="4"/>
    <x v="0"/>
    <s v="ICM"/>
    <x v="1"/>
    <m/>
    <m/>
    <m/>
    <m/>
    <m/>
    <m/>
    <m/>
    <m/>
    <m/>
    <m/>
    <m/>
    <m/>
    <m/>
    <m/>
    <m/>
    <m/>
    <m/>
    <m/>
    <m/>
    <x v="3"/>
  </r>
  <r>
    <n v="302"/>
    <x v="6"/>
    <n v="2"/>
    <s v="Y"/>
    <x v="0"/>
    <x v="2"/>
    <s v="26-00375_07"/>
    <s v="N/A"/>
    <s v="Frameless Lookalike Door Coolers Development S-800 cabins &amp; their Variants.)"/>
    <x v="4"/>
    <x v="0"/>
    <s v="ICM"/>
    <x v="1"/>
    <m/>
    <m/>
    <m/>
    <m/>
    <m/>
    <m/>
    <m/>
    <m/>
    <m/>
    <m/>
    <m/>
    <m/>
    <m/>
    <m/>
    <m/>
    <m/>
    <m/>
    <m/>
    <m/>
    <x v="4"/>
  </r>
  <r>
    <n v="303"/>
    <x v="6"/>
    <n v="2"/>
    <s v="Y"/>
    <x v="0"/>
    <x v="2"/>
    <s v="26-00375_08"/>
    <s v="N/A"/>
    <s v="Frameless Lookalike Door Coolers Development S-1100 cabins &amp; their Variants.)"/>
    <x v="4"/>
    <x v="0"/>
    <s v="ICM"/>
    <x v="1"/>
    <m/>
    <m/>
    <m/>
    <m/>
    <m/>
    <m/>
    <m/>
    <m/>
    <m/>
    <m/>
    <m/>
    <m/>
    <m/>
    <m/>
    <m/>
    <m/>
    <m/>
    <m/>
    <m/>
    <x v="4"/>
  </r>
  <r>
    <n v="304"/>
    <x v="6"/>
    <n v="2"/>
    <s v="Y"/>
    <x v="0"/>
    <x v="2"/>
    <s v="26-00375_09"/>
    <s v="N/A"/>
    <s v="Frameless Lookalike Door Coolers Development E-47 cabins &amp; their Variants.)"/>
    <x v="4"/>
    <x v="0"/>
    <s v="ICM"/>
    <x v="1"/>
    <m/>
    <m/>
    <m/>
    <m/>
    <m/>
    <m/>
    <m/>
    <m/>
    <m/>
    <m/>
    <m/>
    <m/>
    <m/>
    <m/>
    <m/>
    <m/>
    <m/>
    <m/>
    <m/>
    <x v="4"/>
  </r>
  <r>
    <n v="305"/>
    <x v="6"/>
    <n v="2"/>
    <s v="Y"/>
    <x v="0"/>
    <x v="2"/>
    <s v="26-00375_10"/>
    <s v="N/A"/>
    <s v="Frameless Lookalike Door Coolers Development S-200 cabins &amp; their Variants.)"/>
    <x v="4"/>
    <x v="0"/>
    <s v="ICM"/>
    <x v="1"/>
    <m/>
    <m/>
    <m/>
    <m/>
    <m/>
    <m/>
    <m/>
    <m/>
    <m/>
    <m/>
    <m/>
    <m/>
    <m/>
    <m/>
    <m/>
    <m/>
    <m/>
    <m/>
    <m/>
    <x v="4"/>
  </r>
  <r>
    <n v="306"/>
    <x v="6"/>
    <n v="2"/>
    <s v="Y"/>
    <x v="0"/>
    <x v="2"/>
    <s v="26-00375_11"/>
    <s v="N/A"/>
    <s v="Frameless Lookalike Door Coolers Development S-250 cabins &amp; their Variants.)"/>
    <x v="4"/>
    <x v="0"/>
    <s v="ICM"/>
    <x v="1"/>
    <m/>
    <m/>
    <m/>
    <m/>
    <m/>
    <m/>
    <m/>
    <m/>
    <m/>
    <m/>
    <m/>
    <m/>
    <m/>
    <m/>
    <m/>
    <m/>
    <m/>
    <m/>
    <m/>
    <x v="4"/>
  </r>
  <r>
    <n v="307"/>
    <x v="6"/>
    <n v="2"/>
    <s v="Y"/>
    <x v="0"/>
    <x v="2"/>
    <s v="26-00375_12"/>
    <s v="N/A"/>
    <s v="Frameless Lookalike Door Coolers Development S-1000 cabins &amp; their Variants.)"/>
    <x v="4"/>
    <x v="0"/>
    <s v="ICM"/>
    <x v="1"/>
    <m/>
    <m/>
    <m/>
    <m/>
    <m/>
    <m/>
    <m/>
    <m/>
    <m/>
    <m/>
    <m/>
    <m/>
    <m/>
    <m/>
    <m/>
    <m/>
    <m/>
    <m/>
    <m/>
    <x v="4"/>
  </r>
  <r>
    <n v="308"/>
    <x v="15"/>
    <m/>
    <s v="Y"/>
    <x v="2"/>
    <x v="2"/>
    <s v="26-00384"/>
    <s v="N/A"/>
    <s v="VistaZ Power Cable Installation to Super 45 SZ"/>
    <x v="0"/>
    <x v="0"/>
    <s v="ICM"/>
    <x v="1"/>
    <m/>
    <m/>
    <m/>
    <n v="3"/>
    <m/>
    <m/>
    <m/>
    <m/>
    <m/>
    <m/>
    <m/>
    <m/>
    <m/>
    <m/>
    <m/>
    <m/>
    <m/>
    <m/>
    <m/>
    <x v="0"/>
  </r>
  <r>
    <n v="309"/>
    <x v="6"/>
    <n v="1"/>
    <s v="Y"/>
    <x v="2"/>
    <x v="2"/>
    <s v="26-00376"/>
    <s v="N/A"/>
    <s v="FV1000sz Heineken 2026 Cladding (HNKN requested for flat canopy and cladding solutions)"/>
    <x v="3"/>
    <x v="0"/>
    <s v="ICM"/>
    <x v="1"/>
    <m/>
    <m/>
    <m/>
    <n v="3"/>
    <m/>
    <m/>
    <m/>
    <m/>
    <m/>
    <m/>
    <m/>
    <m/>
    <m/>
    <m/>
    <m/>
    <m/>
    <m/>
    <m/>
    <m/>
    <x v="3"/>
  </r>
  <r>
    <n v="310"/>
    <x v="16"/>
    <n v="5"/>
    <s v="Y"/>
    <x v="0"/>
    <x v="2"/>
    <s v="26-00378_01"/>
    <s v="N/A"/>
    <s v="S-60 Coke Egypt development for other Coke locations (Options development and applicability of the model in other markets served from Fresh, Egypt)"/>
    <x v="2"/>
    <x v="0"/>
    <s v="ICM"/>
    <x v="1"/>
    <m/>
    <m/>
    <m/>
    <n v="4"/>
    <n v="4"/>
    <m/>
    <m/>
    <m/>
    <m/>
    <m/>
    <m/>
    <m/>
    <m/>
    <m/>
    <m/>
    <m/>
    <m/>
    <m/>
    <m/>
    <x v="3"/>
  </r>
  <r>
    <n v="311"/>
    <x v="16"/>
    <n v="5"/>
    <s v="Y"/>
    <x v="0"/>
    <x v="2"/>
    <s v="26-00378_02"/>
    <s v="N/A"/>
    <s v="S-1100 Coke Egypt development for other Coke locations (Options development and applicability of the model in other markets served from Fresh, Egypt)"/>
    <x v="2"/>
    <x v="0"/>
    <s v="ICM"/>
    <x v="1"/>
    <m/>
    <m/>
    <m/>
    <n v="4"/>
    <n v="4"/>
    <m/>
    <m/>
    <m/>
    <m/>
    <m/>
    <m/>
    <m/>
    <m/>
    <m/>
    <m/>
    <m/>
    <m/>
    <m/>
    <m/>
    <x v="3"/>
  </r>
  <r>
    <n v="312"/>
    <x v="6"/>
    <m/>
    <s v="Y"/>
    <x v="0"/>
    <x v="2"/>
    <s v="26-00379_01"/>
    <s v="N/A"/>
    <s v="S-60 Egypt - Pepsi and key accounts development (Options development and applicability of the model in other markets served from Fresh, Egypt)"/>
    <x v="2"/>
    <x v="0"/>
    <s v="ICM"/>
    <x v="1"/>
    <m/>
    <m/>
    <m/>
    <n v="4"/>
    <n v="4"/>
    <m/>
    <m/>
    <m/>
    <m/>
    <m/>
    <m/>
    <m/>
    <m/>
    <m/>
    <m/>
    <m/>
    <m/>
    <m/>
    <m/>
    <x v="4"/>
  </r>
  <r>
    <n v="313"/>
    <x v="6"/>
    <m/>
    <s v="Y"/>
    <x v="0"/>
    <x v="2"/>
    <s v="26-00379_02"/>
    <s v="N/A"/>
    <s v="S-1100 Egypt - Pepsi and key accounts development (Options development and applicability of the model in other markets served from Fresh, Egypt)"/>
    <x v="2"/>
    <x v="0"/>
    <s v="ICM"/>
    <x v="1"/>
    <m/>
    <m/>
    <m/>
    <n v="4"/>
    <n v="4"/>
    <m/>
    <m/>
    <m/>
    <m/>
    <m/>
    <m/>
    <m/>
    <m/>
    <m/>
    <m/>
    <m/>
    <m/>
    <m/>
    <m/>
    <x v="4"/>
  </r>
  <r>
    <n v="314"/>
    <x v="17"/>
    <n v="4"/>
    <s v="Y"/>
    <x v="1"/>
    <x v="1"/>
    <s v="26-00381"/>
    <s v="N/A"/>
    <s v="50L counter top feasibility and development"/>
    <x v="0"/>
    <x v="0"/>
    <s v="ICM"/>
    <x v="1"/>
    <s v="Complete Cooler"/>
    <s v="N/A"/>
    <s v="N/A"/>
    <n v="19"/>
    <n v="19"/>
    <s v="Yes"/>
    <n v="30"/>
    <m/>
    <n v="6"/>
    <m/>
    <n v="6"/>
    <s v="Yes"/>
    <s v="Not Started"/>
    <n v="1"/>
    <m/>
    <m/>
    <m/>
    <m/>
    <m/>
    <x v="3"/>
  </r>
  <r>
    <n v="315"/>
    <x v="6"/>
    <m/>
    <s v="Y"/>
    <x v="0"/>
    <x v="1"/>
    <s v="26-00382"/>
    <s v="N/A"/>
    <s v="Super 550 development in C class"/>
    <x v="0"/>
    <x v="0"/>
    <s v="ICM"/>
    <x v="5"/>
    <m/>
    <m/>
    <m/>
    <n v="4"/>
    <m/>
    <m/>
    <m/>
    <m/>
    <m/>
    <m/>
    <m/>
    <m/>
    <m/>
    <m/>
    <m/>
    <m/>
    <m/>
    <m/>
    <m/>
    <x v="5"/>
  </r>
  <r>
    <n v="316"/>
    <x v="6"/>
    <n v="7"/>
    <s v="Y"/>
    <x v="0"/>
    <x v="1"/>
    <s v="26-00411"/>
    <s v="N/A"/>
    <s v="Super 550 development in C class"/>
    <x v="0"/>
    <x v="0"/>
    <s v="ICM"/>
    <x v="1"/>
    <m/>
    <m/>
    <m/>
    <n v="4"/>
    <m/>
    <m/>
    <m/>
    <m/>
    <m/>
    <m/>
    <m/>
    <m/>
    <m/>
    <m/>
    <m/>
    <m/>
    <m/>
    <m/>
    <m/>
    <x v="4"/>
  </r>
  <r>
    <n v="317"/>
    <x v="6"/>
    <n v="8"/>
    <s v="Y"/>
    <x v="0"/>
    <x v="1"/>
    <s v="26-00410"/>
    <s v="N/A"/>
    <s v="Super 550 development in D class"/>
    <x v="0"/>
    <x v="0"/>
    <s v="ICM"/>
    <x v="1"/>
    <m/>
    <m/>
    <m/>
    <n v="4"/>
    <m/>
    <m/>
    <m/>
    <m/>
    <m/>
    <m/>
    <m/>
    <m/>
    <m/>
    <m/>
    <m/>
    <m/>
    <m/>
    <m/>
    <m/>
    <x v="4"/>
  </r>
  <r>
    <n v="318"/>
    <x v="6"/>
    <m/>
    <s v="Y"/>
    <x v="0"/>
    <x v="7"/>
    <s v="TBD"/>
    <s v="N/A"/>
    <s v="Security of supply: Alternate supplier for Fan blade"/>
    <x v="0"/>
    <x v="0"/>
    <s v="ICM"/>
    <x v="7"/>
    <m/>
    <m/>
    <m/>
    <n v="4"/>
    <m/>
    <m/>
    <m/>
    <m/>
    <m/>
    <m/>
    <m/>
    <m/>
    <m/>
    <m/>
    <m/>
    <m/>
    <m/>
    <m/>
    <m/>
    <x v="1"/>
  </r>
  <r>
    <n v="319"/>
    <x v="6"/>
    <m/>
    <s v="Y"/>
    <x v="2"/>
    <x v="4"/>
    <s v="26-00383"/>
    <s v="N/A"/>
    <s v="sample cooler for Relaince technology day (preparation of coolers to participate in Reliance technology day)"/>
    <x v="0"/>
    <x v="0"/>
    <s v="ICM"/>
    <x v="1"/>
    <m/>
    <m/>
    <m/>
    <n v="3"/>
    <m/>
    <m/>
    <m/>
    <m/>
    <m/>
    <m/>
    <m/>
    <m/>
    <m/>
    <m/>
    <m/>
    <m/>
    <m/>
    <m/>
    <m/>
    <x v="0"/>
  </r>
  <r>
    <n v="320"/>
    <x v="6"/>
    <m/>
    <s v="Y"/>
    <x v="2"/>
    <x v="4"/>
    <s v="TBR"/>
    <s v="N/A"/>
    <s v="Localization project of Egypt"/>
    <x v="2"/>
    <x v="0"/>
    <s v="ICM"/>
    <x v="0"/>
    <m/>
    <m/>
    <m/>
    <n v="3"/>
    <n v="5"/>
    <m/>
    <m/>
    <m/>
    <n v="4"/>
    <m/>
    <n v="4"/>
    <m/>
    <m/>
    <m/>
    <m/>
    <m/>
    <m/>
    <m/>
    <m/>
    <x v="3"/>
  </r>
  <r>
    <n v="321"/>
    <x v="6"/>
    <m/>
    <s v="Y"/>
    <x v="2"/>
    <x v="4"/>
    <s v="TBR"/>
    <s v="N/A"/>
    <s v="Egypt Lead Time Optimization Project"/>
    <x v="2"/>
    <x v="0"/>
    <s v="ICM"/>
    <x v="0"/>
    <m/>
    <m/>
    <m/>
    <n v="3"/>
    <n v="3"/>
    <m/>
    <m/>
    <m/>
    <m/>
    <m/>
    <m/>
    <m/>
    <m/>
    <m/>
    <m/>
    <m/>
    <m/>
    <m/>
    <m/>
    <x v="3"/>
  </r>
  <r>
    <n v="322"/>
    <x v="18"/>
    <m/>
    <s v="Y"/>
    <x v="0"/>
    <x v="1"/>
    <s v="26-00385_1"/>
    <s v="N/A"/>
    <s v="Safe cooler kit implementation-FV650"/>
    <x v="3"/>
    <x v="0"/>
    <s v="ICM"/>
    <x v="1"/>
    <m/>
    <m/>
    <m/>
    <n v="4"/>
    <m/>
    <s v="Yes"/>
    <m/>
    <m/>
    <m/>
    <m/>
    <n v="70"/>
    <m/>
    <m/>
    <m/>
    <m/>
    <m/>
    <m/>
    <m/>
    <m/>
    <x v="1"/>
  </r>
  <r>
    <n v="323"/>
    <x v="18"/>
    <m/>
    <s v="Y"/>
    <x v="0"/>
    <x v="1"/>
    <s v="26-00385_2"/>
    <s v="N/A"/>
    <s v="Safe cooler kit implementation-FV1000"/>
    <x v="3"/>
    <x v="0"/>
    <s v="ICM"/>
    <x v="1"/>
    <m/>
    <m/>
    <m/>
    <n v="4"/>
    <m/>
    <s v="Yes"/>
    <m/>
    <m/>
    <m/>
    <m/>
    <n v="70"/>
    <m/>
    <m/>
    <m/>
    <m/>
    <m/>
    <m/>
    <m/>
    <m/>
    <x v="3"/>
  </r>
  <r>
    <n v="324"/>
    <x v="18"/>
    <m/>
    <s v="Y"/>
    <x v="0"/>
    <x v="1"/>
    <s v="26-00385_3"/>
    <s v="N/A"/>
    <s v="Safe cooler kit implementation-HV71"/>
    <x v="3"/>
    <x v="0"/>
    <s v="ICM"/>
    <x v="5"/>
    <m/>
    <m/>
    <m/>
    <n v="4"/>
    <m/>
    <m/>
    <m/>
    <m/>
    <m/>
    <m/>
    <m/>
    <m/>
    <m/>
    <m/>
    <m/>
    <m/>
    <m/>
    <m/>
    <m/>
    <x v="5"/>
  </r>
  <r>
    <n v="325"/>
    <x v="18"/>
    <m/>
    <s v="Y"/>
    <x v="2"/>
    <x v="3"/>
    <s v="26-00386"/>
    <s v="N/A"/>
    <s v="Implementation of FDEx3"/>
    <x v="4"/>
    <x v="0"/>
    <s v="ICM"/>
    <x v="1"/>
    <m/>
    <m/>
    <m/>
    <n v="3"/>
    <n v="2"/>
    <m/>
    <m/>
    <m/>
    <m/>
    <m/>
    <m/>
    <m/>
    <m/>
    <m/>
    <m/>
    <m/>
    <m/>
    <m/>
    <m/>
    <x v="4"/>
  </r>
  <r>
    <n v="326"/>
    <x v="18"/>
    <n v="11"/>
    <m/>
    <x v="2"/>
    <x v="2"/>
    <s v="26-00387"/>
    <s v="N/A"/>
    <s v="Telemetry solution in brewery"/>
    <x v="3"/>
    <x v="0"/>
    <s v="ICM"/>
    <x v="1"/>
    <m/>
    <m/>
    <m/>
    <n v="3"/>
    <n v="3"/>
    <m/>
    <m/>
    <m/>
    <m/>
    <m/>
    <m/>
    <m/>
    <m/>
    <m/>
    <m/>
    <m/>
    <m/>
    <m/>
    <m/>
    <x v="4"/>
  </r>
  <r>
    <n v="327"/>
    <x v="18"/>
    <m/>
    <s v="Y"/>
    <x v="0"/>
    <x v="4"/>
    <s v="26-00389_1"/>
    <s v="N/A"/>
    <s v="BEE star labelling-SC5-400 (Bluestar Configuration)"/>
    <x v="0"/>
    <x v="0"/>
    <s v="ICM"/>
    <x v="1"/>
    <m/>
    <m/>
    <m/>
    <n v="4"/>
    <n v="2"/>
    <s v="Yes"/>
    <m/>
    <m/>
    <m/>
    <m/>
    <n v="12"/>
    <m/>
    <m/>
    <m/>
    <m/>
    <m/>
    <m/>
    <m/>
    <m/>
    <x v="3"/>
  </r>
  <r>
    <n v="328"/>
    <x v="18"/>
    <m/>
    <s v="Y"/>
    <x v="0"/>
    <x v="4"/>
    <s v="26-00389_2"/>
    <s v="N/A"/>
    <s v="BEE star labelling-SC5-325 (Bluestar Configuration)"/>
    <x v="0"/>
    <x v="0"/>
    <s v="ICM"/>
    <x v="1"/>
    <m/>
    <m/>
    <m/>
    <n v="4"/>
    <n v="2"/>
    <s v="Yes"/>
    <m/>
    <m/>
    <m/>
    <m/>
    <n v="12"/>
    <m/>
    <m/>
    <m/>
    <m/>
    <m/>
    <m/>
    <m/>
    <m/>
    <x v="3"/>
  </r>
  <r>
    <n v="329"/>
    <x v="18"/>
    <m/>
    <s v="Y"/>
    <x v="0"/>
    <x v="4"/>
    <s v="26-00389_3"/>
    <s v="N/A"/>
    <s v="BEE star labelling-SC5-500C (Bluestar Configuration)"/>
    <x v="0"/>
    <x v="0"/>
    <s v="ICM"/>
    <x v="1"/>
    <m/>
    <m/>
    <m/>
    <n v="4"/>
    <n v="2"/>
    <s v="Yes"/>
    <m/>
    <m/>
    <m/>
    <m/>
    <n v="12"/>
    <m/>
    <m/>
    <m/>
    <m/>
    <m/>
    <m/>
    <m/>
    <m/>
    <x v="3"/>
  </r>
  <r>
    <n v="330"/>
    <x v="18"/>
    <m/>
    <s v="Y"/>
    <x v="0"/>
    <x v="4"/>
    <s v="26-00389_4"/>
    <s v="N/A"/>
    <s v="BEE star labelling-SC5-675C (Bluestar Configuration)"/>
    <x v="0"/>
    <x v="0"/>
    <s v="ICM"/>
    <x v="1"/>
    <m/>
    <m/>
    <m/>
    <n v="4"/>
    <n v="2"/>
    <s v="Yes"/>
    <m/>
    <m/>
    <m/>
    <m/>
    <n v="12"/>
    <m/>
    <m/>
    <m/>
    <m/>
    <m/>
    <m/>
    <m/>
    <m/>
    <x v="3"/>
  </r>
  <r>
    <n v="331"/>
    <x v="18"/>
    <m/>
    <s v="Y"/>
    <x v="0"/>
    <x v="4"/>
    <s v="26-00389_5"/>
    <s v="N/A"/>
    <s v="BEE star labelling-SC5-1100C (Bluestar Configuration)"/>
    <x v="0"/>
    <x v="0"/>
    <s v="ICM"/>
    <x v="1"/>
    <m/>
    <m/>
    <m/>
    <n v="4"/>
    <n v="2"/>
    <s v="Yes"/>
    <m/>
    <m/>
    <m/>
    <m/>
    <n v="12"/>
    <m/>
    <m/>
    <m/>
    <m/>
    <m/>
    <m/>
    <m/>
    <m/>
    <x v="3"/>
  </r>
  <r>
    <n v="332"/>
    <x v="18"/>
    <m/>
    <s v="Y"/>
    <x v="0"/>
    <x v="4"/>
    <s v="26-00389_6"/>
    <s v="N/A"/>
    <s v="BEE star labelling-S35 (Coke configuration)"/>
    <x v="0"/>
    <x v="0"/>
    <s v="ICM"/>
    <x v="1"/>
    <m/>
    <m/>
    <m/>
    <n v="4"/>
    <n v="2"/>
    <s v="Yes"/>
    <m/>
    <m/>
    <m/>
    <m/>
    <n v="12"/>
    <m/>
    <m/>
    <m/>
    <m/>
    <m/>
    <m/>
    <m/>
    <m/>
    <x v="4"/>
  </r>
  <r>
    <n v="333"/>
    <x v="18"/>
    <m/>
    <s v="Y"/>
    <x v="0"/>
    <x v="4"/>
    <s v="26-00389_7"/>
    <s v="N/A"/>
    <s v="BEE star labelling-S45 (Coke configuration)"/>
    <x v="0"/>
    <x v="0"/>
    <s v="ICM"/>
    <x v="1"/>
    <m/>
    <m/>
    <m/>
    <n v="4"/>
    <n v="2"/>
    <s v="Yes"/>
    <m/>
    <m/>
    <m/>
    <m/>
    <n v="12"/>
    <m/>
    <m/>
    <m/>
    <m/>
    <m/>
    <m/>
    <m/>
    <m/>
    <x v="4"/>
  </r>
  <r>
    <n v="334"/>
    <x v="18"/>
    <m/>
    <s v="Y"/>
    <x v="0"/>
    <x v="4"/>
    <s v="26-00389_8"/>
    <s v="N/A"/>
    <s v="BEE star labelling-VG400 (White Market Account configuration)"/>
    <x v="0"/>
    <x v="0"/>
    <s v="ICM"/>
    <x v="1"/>
    <m/>
    <m/>
    <m/>
    <n v="4"/>
    <n v="2"/>
    <s v="Yes"/>
    <m/>
    <m/>
    <m/>
    <m/>
    <n v="7"/>
    <m/>
    <m/>
    <m/>
    <m/>
    <m/>
    <m/>
    <m/>
    <m/>
    <x v="4"/>
  </r>
  <r>
    <n v="335"/>
    <x v="18"/>
    <m/>
    <s v="Y"/>
    <x v="0"/>
    <x v="4"/>
    <s v="26-00389_9"/>
    <s v="N/A"/>
    <s v="BEE star labelling-SP500 (Pepsico configuration)"/>
    <x v="0"/>
    <x v="0"/>
    <s v="ICM"/>
    <x v="1"/>
    <m/>
    <m/>
    <m/>
    <n v="4"/>
    <n v="2"/>
    <s v="Yes"/>
    <m/>
    <m/>
    <m/>
    <m/>
    <n v="7"/>
    <m/>
    <m/>
    <m/>
    <m/>
    <m/>
    <m/>
    <m/>
    <m/>
    <x v="4"/>
  </r>
  <r>
    <n v="336"/>
    <x v="18"/>
    <m/>
    <s v="Y"/>
    <x v="0"/>
    <x v="4"/>
    <s v="26-00389_10"/>
    <s v="N/A"/>
    <s v="BEE star labelling-S500 (Reliance configuration)"/>
    <x v="0"/>
    <x v="0"/>
    <s v="ICM"/>
    <x v="1"/>
    <m/>
    <m/>
    <m/>
    <n v="4"/>
    <n v="2"/>
    <s v="Yes"/>
    <m/>
    <m/>
    <m/>
    <m/>
    <n v="12"/>
    <m/>
    <m/>
    <m/>
    <m/>
    <m/>
    <m/>
    <m/>
    <m/>
    <x v="4"/>
  </r>
  <r>
    <n v="337"/>
    <x v="18"/>
    <m/>
    <s v="Y"/>
    <x v="0"/>
    <x v="4"/>
    <s v="26-00389_11"/>
    <s v="N/A"/>
    <s v="BEE star labelling-S60 (Coke configuration)"/>
    <x v="0"/>
    <x v="0"/>
    <s v="ICM"/>
    <x v="1"/>
    <m/>
    <m/>
    <m/>
    <n v="4"/>
    <n v="2"/>
    <s v="Yes"/>
    <m/>
    <m/>
    <m/>
    <m/>
    <n v="12"/>
    <m/>
    <m/>
    <m/>
    <m/>
    <m/>
    <m/>
    <m/>
    <m/>
    <x v="4"/>
  </r>
  <r>
    <n v="338"/>
    <x v="18"/>
    <m/>
    <s v="Y"/>
    <x v="0"/>
    <x v="4"/>
    <s v="26-00389_12"/>
    <s v="N/A"/>
    <s v="BEE star labelling-SP-600 (Pepsico configuration)"/>
    <x v="0"/>
    <x v="0"/>
    <s v="ICM"/>
    <x v="1"/>
    <m/>
    <m/>
    <m/>
    <n v="4"/>
    <n v="2"/>
    <s v="Yes"/>
    <m/>
    <m/>
    <m/>
    <m/>
    <n v="7"/>
    <m/>
    <m/>
    <m/>
    <m/>
    <m/>
    <m/>
    <m/>
    <m/>
    <x v="4"/>
  </r>
  <r>
    <n v="339"/>
    <x v="18"/>
    <m/>
    <s v="Y"/>
    <x v="0"/>
    <x v="4"/>
    <s v="26-00389_13"/>
    <s v="N/A"/>
    <s v="BEE star labelling-S1100 (Coke configuration)"/>
    <x v="0"/>
    <x v="0"/>
    <s v="ICM"/>
    <x v="1"/>
    <m/>
    <m/>
    <m/>
    <n v="4"/>
    <n v="2"/>
    <s v="Yes"/>
    <m/>
    <m/>
    <m/>
    <m/>
    <n v="12"/>
    <m/>
    <m/>
    <m/>
    <m/>
    <m/>
    <m/>
    <m/>
    <m/>
    <x v="4"/>
  </r>
  <r>
    <n v="340"/>
    <x v="18"/>
    <m/>
    <s v="Y"/>
    <x v="0"/>
    <x v="4"/>
    <s v="26-00389_14"/>
    <s v="N/A"/>
    <s v="BEE star labelling-SP-800 (Pepsico configuration)"/>
    <x v="0"/>
    <x v="0"/>
    <s v="ICM"/>
    <x v="1"/>
    <m/>
    <m/>
    <m/>
    <n v="4"/>
    <n v="2"/>
    <s v="Yes"/>
    <m/>
    <m/>
    <m/>
    <m/>
    <n v="7"/>
    <m/>
    <m/>
    <m/>
    <m/>
    <m/>
    <m/>
    <m/>
    <m/>
    <x v="4"/>
  </r>
  <r>
    <n v="341"/>
    <x v="18"/>
    <m/>
    <s v="Y"/>
    <x v="0"/>
    <x v="4"/>
    <s v="26-00389_15"/>
    <s v="N/A"/>
    <s v="BEE star labelling-SL200 (Key Account configuration)"/>
    <x v="0"/>
    <x v="0"/>
    <s v="ICM"/>
    <x v="1"/>
    <m/>
    <m/>
    <m/>
    <n v="4"/>
    <n v="2"/>
    <s v="Yes"/>
    <m/>
    <m/>
    <m/>
    <m/>
    <n v="7"/>
    <m/>
    <m/>
    <m/>
    <m/>
    <m/>
    <m/>
    <m/>
    <m/>
    <x v="4"/>
  </r>
  <r>
    <n v="342"/>
    <x v="18"/>
    <m/>
    <s v="Y"/>
    <x v="0"/>
    <x v="4"/>
    <s v="26-00389_16"/>
    <s v="N/A"/>
    <s v="BEE star labelling-S200 (Coke configuration)"/>
    <x v="0"/>
    <x v="0"/>
    <s v="ICM"/>
    <x v="1"/>
    <m/>
    <m/>
    <m/>
    <n v="4"/>
    <n v="2"/>
    <s v="Yes"/>
    <m/>
    <m/>
    <m/>
    <m/>
    <n v="7"/>
    <m/>
    <m/>
    <m/>
    <m/>
    <m/>
    <m/>
    <m/>
    <m/>
    <x v="4"/>
  </r>
  <r>
    <n v="343"/>
    <x v="18"/>
    <m/>
    <s v="Y"/>
    <x v="0"/>
    <x v="4"/>
    <s v="26-00389_17"/>
    <s v="N/A"/>
    <s v="BEE star labelling-SL-250 (Key Account configuration)"/>
    <x v="0"/>
    <x v="0"/>
    <s v="ICM"/>
    <x v="1"/>
    <m/>
    <m/>
    <m/>
    <n v="4"/>
    <n v="2"/>
    <s v="Yes"/>
    <m/>
    <m/>
    <m/>
    <m/>
    <n v="7"/>
    <m/>
    <m/>
    <m/>
    <m/>
    <m/>
    <m/>
    <m/>
    <m/>
    <x v="4"/>
  </r>
  <r>
    <n v="344"/>
    <x v="18"/>
    <m/>
    <s v="Y"/>
    <x v="0"/>
    <x v="4"/>
    <s v="26-00389_18"/>
    <s v="N/A"/>
    <s v="BEE star labelling-Super1000  (Coke configuration)"/>
    <x v="0"/>
    <x v="0"/>
    <s v="ICM"/>
    <x v="1"/>
    <m/>
    <m/>
    <m/>
    <n v="4"/>
    <n v="2"/>
    <s v="Yes"/>
    <m/>
    <m/>
    <m/>
    <m/>
    <n v="12"/>
    <m/>
    <m/>
    <m/>
    <m/>
    <m/>
    <m/>
    <m/>
    <m/>
    <x v="4"/>
  </r>
  <r>
    <n v="345"/>
    <x v="18"/>
    <m/>
    <s v="Y"/>
    <x v="0"/>
    <x v="4"/>
    <s v="26-00389_19"/>
    <s v="N/A"/>
    <s v="BEE star labelling-Super1000  ( PepsiCo configuration)"/>
    <x v="0"/>
    <x v="0"/>
    <s v="ICM"/>
    <x v="1"/>
    <m/>
    <m/>
    <m/>
    <n v="4"/>
    <n v="2"/>
    <s v="Yes"/>
    <m/>
    <m/>
    <m/>
    <m/>
    <n v="7"/>
    <m/>
    <m/>
    <m/>
    <m/>
    <m/>
    <m/>
    <m/>
    <m/>
    <x v="4"/>
  </r>
  <r>
    <n v="346"/>
    <x v="18"/>
    <m/>
    <s v="Y"/>
    <x v="0"/>
    <x v="4"/>
    <s v="26-00389_20"/>
    <s v="N/A"/>
    <s v="BEE star labelling-SL-1100 (Key Account configuration)"/>
    <x v="0"/>
    <x v="0"/>
    <s v="ICM"/>
    <x v="1"/>
    <m/>
    <m/>
    <m/>
    <n v="4"/>
    <n v="2"/>
    <s v="Yes"/>
    <m/>
    <m/>
    <m/>
    <m/>
    <n v="7"/>
    <m/>
    <m/>
    <m/>
    <m/>
    <m/>
    <m/>
    <m/>
    <m/>
    <x v="4"/>
  </r>
  <r>
    <n v="347"/>
    <x v="18"/>
    <m/>
    <s v="Y"/>
    <x v="0"/>
    <x v="4"/>
    <s v="26-00389_21"/>
    <s v="N/A"/>
    <s v="BEE star labelling-SL-500 (Key Account configuration)"/>
    <x v="0"/>
    <x v="0"/>
    <s v="ICM"/>
    <x v="1"/>
    <m/>
    <m/>
    <m/>
    <n v="4"/>
    <n v="2"/>
    <s v="Yes"/>
    <m/>
    <m/>
    <m/>
    <m/>
    <n v="12"/>
    <m/>
    <m/>
    <m/>
    <m/>
    <m/>
    <m/>
    <m/>
    <m/>
    <x v="4"/>
  </r>
  <r>
    <n v="348"/>
    <x v="18"/>
    <m/>
    <s v="Y"/>
    <x v="0"/>
    <x v="4"/>
    <s v="26-00389_22"/>
    <s v="N/A"/>
    <s v="BEE star labelling-SL-700 (Key Account configuration)"/>
    <x v="0"/>
    <x v="0"/>
    <s v="ICM"/>
    <x v="1"/>
    <m/>
    <m/>
    <m/>
    <n v="4"/>
    <n v="2"/>
    <s v="Yes"/>
    <m/>
    <m/>
    <m/>
    <m/>
    <n v="12"/>
    <m/>
    <m/>
    <m/>
    <m/>
    <m/>
    <m/>
    <m/>
    <m/>
    <x v="4"/>
  </r>
  <r>
    <n v="349"/>
    <x v="18"/>
    <m/>
    <s v="Y"/>
    <x v="0"/>
    <x v="4"/>
    <s v="26-00389_23"/>
    <s v="N/A"/>
    <s v="BEE star labelling-SL-550 (Key Account configuration)"/>
    <x v="0"/>
    <x v="0"/>
    <s v="ICM"/>
    <x v="1"/>
    <m/>
    <m/>
    <m/>
    <n v="4"/>
    <n v="2"/>
    <s v="Yes"/>
    <m/>
    <m/>
    <m/>
    <m/>
    <n v="7"/>
    <m/>
    <m/>
    <m/>
    <m/>
    <m/>
    <m/>
    <m/>
    <m/>
    <x v="4"/>
  </r>
  <r>
    <n v="350"/>
    <x v="18"/>
    <m/>
    <s v="Y"/>
    <x v="0"/>
    <x v="4"/>
    <s v="26-00389_24"/>
    <s v="N/A"/>
    <s v="BEE star labelling-VG300 (White Market Account configuration)"/>
    <x v="0"/>
    <x v="0"/>
    <s v="ICM"/>
    <x v="1"/>
    <m/>
    <m/>
    <m/>
    <n v="4"/>
    <n v="2"/>
    <s v="Yes"/>
    <m/>
    <m/>
    <m/>
    <m/>
    <n v="7"/>
    <m/>
    <m/>
    <m/>
    <m/>
    <m/>
    <m/>
    <m/>
    <m/>
    <x v="4"/>
  </r>
  <r>
    <n v="351"/>
    <x v="18"/>
    <m/>
    <s v="Y"/>
    <x v="0"/>
    <x v="4"/>
    <s v="26-00389_25"/>
    <s v="N/A"/>
    <s v="BEE star labelling-TBD (Bluestar Account configuration) (SFP-500)"/>
    <x v="0"/>
    <x v="0"/>
    <s v="ICM"/>
    <x v="1"/>
    <m/>
    <m/>
    <m/>
    <n v="4"/>
    <n v="2"/>
    <s v="Yes"/>
    <m/>
    <m/>
    <m/>
    <m/>
    <n v="7"/>
    <m/>
    <m/>
    <m/>
    <m/>
    <m/>
    <m/>
    <m/>
    <m/>
    <x v="4"/>
  </r>
  <r>
    <n v="352"/>
    <x v="18"/>
    <m/>
    <s v="Y"/>
    <x v="0"/>
    <x v="4"/>
    <s v="26-00389_26"/>
    <s v="N/A"/>
    <s v="BEE star labelling-TBD (Bluestar Account configuration) (Super-250)"/>
    <x v="0"/>
    <x v="0"/>
    <s v="ICM"/>
    <x v="1"/>
    <m/>
    <m/>
    <m/>
    <n v="4"/>
    <n v="2"/>
    <s v="Yes"/>
    <m/>
    <m/>
    <m/>
    <m/>
    <n v="12"/>
    <m/>
    <m/>
    <m/>
    <m/>
    <m/>
    <m/>
    <m/>
    <m/>
    <x v="4"/>
  </r>
  <r>
    <n v="353"/>
    <x v="18"/>
    <m/>
    <s v="Y"/>
    <x v="0"/>
    <x v="4"/>
    <s v="26-00389_27"/>
    <s v="N/A"/>
    <s v="BEE star labelling-TBD (Bluestar Account configuration) (Super-500)"/>
    <x v="0"/>
    <x v="0"/>
    <s v="ICM"/>
    <x v="1"/>
    <m/>
    <m/>
    <m/>
    <n v="4"/>
    <n v="2"/>
    <s v="Yes"/>
    <m/>
    <m/>
    <m/>
    <m/>
    <n v="7"/>
    <m/>
    <m/>
    <m/>
    <m/>
    <m/>
    <m/>
    <m/>
    <m/>
    <x v="4"/>
  </r>
  <r>
    <n v="354"/>
    <x v="18"/>
    <m/>
    <s v="Y"/>
    <x v="0"/>
    <x v="4"/>
    <s v="26-00389_28"/>
    <s v="N/A"/>
    <s v="BEE star labelling-TBD (Bluestar Account configuration) (Super-200)"/>
    <x v="0"/>
    <x v="0"/>
    <s v="ICM"/>
    <x v="1"/>
    <m/>
    <m/>
    <m/>
    <n v="4"/>
    <n v="2"/>
    <s v="Yes"/>
    <m/>
    <m/>
    <m/>
    <m/>
    <n v="7"/>
    <m/>
    <m/>
    <m/>
    <m/>
    <m/>
    <m/>
    <m/>
    <m/>
    <x v="4"/>
  </r>
  <r>
    <n v="355"/>
    <x v="18"/>
    <m/>
    <s v="Y"/>
    <x v="2"/>
    <x v="3"/>
    <s v="26-00390"/>
    <s v="N/A"/>
    <s v="HV-71 modifications as per CCBSA"/>
    <x v="3"/>
    <x v="0"/>
    <s v="ICM"/>
    <x v="1"/>
    <m/>
    <m/>
    <m/>
    <n v="3"/>
    <n v="3"/>
    <m/>
    <m/>
    <m/>
    <m/>
    <m/>
    <m/>
    <m/>
    <m/>
    <m/>
    <m/>
    <m/>
    <m/>
    <m/>
    <m/>
    <x v="4"/>
  </r>
  <r>
    <n v="356"/>
    <x v="18"/>
    <n v="12"/>
    <s v="Y"/>
    <x v="2"/>
    <x v="2"/>
    <s v="26-00391"/>
    <s v="N/A"/>
    <s v="Extra shelf for Coke Feasibility"/>
    <x v="0"/>
    <x v="0"/>
    <s v="ICM"/>
    <x v="1"/>
    <m/>
    <m/>
    <m/>
    <n v="3"/>
    <n v="3"/>
    <m/>
    <m/>
    <m/>
    <n v="2"/>
    <m/>
    <n v="1"/>
    <m/>
    <m/>
    <m/>
    <m/>
    <m/>
    <m/>
    <m/>
    <m/>
    <x v="4"/>
  </r>
  <r>
    <n v="357"/>
    <x v="18"/>
    <n v="13"/>
    <s v="Y"/>
    <x v="0"/>
    <x v="2"/>
    <s v="26-00392"/>
    <s v="N/A"/>
    <s v="DD to TD (non refrigerated space)"/>
    <x v="0"/>
    <x v="0"/>
    <s v="ICM"/>
    <x v="1"/>
    <m/>
    <m/>
    <m/>
    <n v="0"/>
    <n v="0"/>
    <m/>
    <m/>
    <m/>
    <m/>
    <m/>
    <m/>
    <m/>
    <m/>
    <m/>
    <m/>
    <m/>
    <m/>
    <m/>
    <m/>
    <x v="1"/>
  </r>
  <r>
    <n v="358"/>
    <x v="19"/>
    <m/>
    <s v="Y"/>
    <x v="0"/>
    <x v="4"/>
    <s v="TBD"/>
    <s v="N/A"/>
    <s v="Super-200 [R290] - Alt Compressor[BIS] Certification Coke"/>
    <x v="0"/>
    <x v="0"/>
    <s v="ICM"/>
    <x v="1"/>
    <m/>
    <m/>
    <m/>
    <n v="4"/>
    <n v="4"/>
    <s v="Yes"/>
    <m/>
    <m/>
    <n v="14"/>
    <m/>
    <n v="85"/>
    <m/>
    <m/>
    <m/>
    <m/>
    <m/>
    <m/>
    <m/>
    <m/>
    <x v="4"/>
  </r>
  <r>
    <n v="359"/>
    <x v="19"/>
    <m/>
    <s v="Y"/>
    <x v="0"/>
    <x v="4"/>
    <s v="TBD"/>
    <s v="N/A"/>
    <s v="Super-35 [R290] - Alt Compressor[BIS] Certification Coke"/>
    <x v="0"/>
    <x v="0"/>
    <s v="ICM"/>
    <x v="1"/>
    <m/>
    <m/>
    <m/>
    <n v="4"/>
    <n v="4"/>
    <s v="Yes"/>
    <m/>
    <m/>
    <n v="14"/>
    <m/>
    <n v="85"/>
    <m/>
    <m/>
    <m/>
    <m/>
    <m/>
    <m/>
    <m/>
    <m/>
    <x v="4"/>
  </r>
  <r>
    <n v="360"/>
    <x v="19"/>
    <m/>
    <s v="Y"/>
    <x v="0"/>
    <x v="4"/>
    <s v="TBD"/>
    <s v="N/A"/>
    <s v="S-350 [R290] - Alt Compressor[BIS] Certification Coke"/>
    <x v="0"/>
    <x v="0"/>
    <s v="ICM"/>
    <x v="1"/>
    <m/>
    <m/>
    <m/>
    <n v="4"/>
    <n v="4"/>
    <s v="Yes"/>
    <m/>
    <m/>
    <n v="10"/>
    <m/>
    <n v="50"/>
    <m/>
    <m/>
    <m/>
    <m/>
    <m/>
    <m/>
    <m/>
    <m/>
    <x v="4"/>
  </r>
  <r>
    <n v="361"/>
    <x v="19"/>
    <m/>
    <s v="Y"/>
    <x v="0"/>
    <x v="4"/>
    <s v="TBD"/>
    <s v="N/A"/>
    <s v="SP-400 [R290] - Alt Compressor[BIS] Certification META"/>
    <x v="0"/>
    <x v="0"/>
    <s v="ICM"/>
    <x v="1"/>
    <m/>
    <m/>
    <m/>
    <n v="4"/>
    <n v="4"/>
    <s v="Yes"/>
    <m/>
    <m/>
    <n v="10"/>
    <m/>
    <n v="50"/>
    <m/>
    <m/>
    <m/>
    <m/>
    <m/>
    <m/>
    <m/>
    <m/>
    <x v="4"/>
  </r>
  <r>
    <n v="362"/>
    <x v="19"/>
    <m/>
    <s v="Y"/>
    <x v="0"/>
    <x v="4"/>
    <s v="TBD"/>
    <s v="N/A"/>
    <s v="Super-450 [R290] - Alt Compressor[BIS] Certification Coke"/>
    <x v="0"/>
    <x v="0"/>
    <s v="ICM"/>
    <x v="1"/>
    <m/>
    <m/>
    <m/>
    <n v="4"/>
    <n v="4"/>
    <s v="Yes"/>
    <m/>
    <m/>
    <n v="10"/>
    <m/>
    <n v="50"/>
    <m/>
    <m/>
    <m/>
    <m/>
    <m/>
    <m/>
    <m/>
    <m/>
    <x v="4"/>
  </r>
  <r>
    <n v="363"/>
    <x v="19"/>
    <m/>
    <s v="Y"/>
    <x v="0"/>
    <x v="4"/>
    <s v="TBD"/>
    <s v="N/A"/>
    <s v="Super-45 [R290] - Alt Compressor[BIS] Certification Coke"/>
    <x v="0"/>
    <x v="0"/>
    <s v="ICM"/>
    <x v="1"/>
    <m/>
    <m/>
    <m/>
    <n v="4"/>
    <n v="4"/>
    <s v="Yes"/>
    <m/>
    <m/>
    <n v="10"/>
    <m/>
    <n v="50"/>
    <m/>
    <m/>
    <m/>
    <m/>
    <m/>
    <m/>
    <m/>
    <m/>
    <x v="4"/>
  </r>
  <r>
    <n v="364"/>
    <x v="19"/>
    <m/>
    <s v="Y"/>
    <x v="0"/>
    <x v="4"/>
    <s v="TBD"/>
    <s v="N/A"/>
    <s v="S-450 [R290] - K2 - Alt Compressor[BIS] Certification HNKN"/>
    <x v="0"/>
    <x v="0"/>
    <s v="ICM"/>
    <x v="1"/>
    <m/>
    <m/>
    <m/>
    <n v="4"/>
    <n v="4"/>
    <s v="Yes"/>
    <m/>
    <m/>
    <n v="14"/>
    <m/>
    <n v="85"/>
    <m/>
    <m/>
    <m/>
    <m/>
    <m/>
    <m/>
    <m/>
    <m/>
    <x v="4"/>
  </r>
  <r>
    <n v="365"/>
    <x v="19"/>
    <m/>
    <s v="Y"/>
    <x v="0"/>
    <x v="4"/>
    <s v="TBD"/>
    <s v="N/A"/>
    <s v="Super-45 SZ - K3 - Alt Compressor[BIS] Certification HNKN"/>
    <x v="0"/>
    <x v="0"/>
    <s v="ICM"/>
    <x v="1"/>
    <m/>
    <m/>
    <m/>
    <n v="4"/>
    <n v="4"/>
    <s v="Yes"/>
    <m/>
    <m/>
    <n v="10"/>
    <m/>
    <n v="50"/>
    <m/>
    <m/>
    <m/>
    <m/>
    <m/>
    <m/>
    <m/>
    <m/>
    <x v="4"/>
  </r>
  <r>
    <n v="366"/>
    <x v="19"/>
    <m/>
    <s v="Y"/>
    <x v="0"/>
    <x v="4"/>
    <s v="TBD"/>
    <s v="N/A"/>
    <s v="SP-500 [R290] - Alt Compressor[BIS] Certification META"/>
    <x v="0"/>
    <x v="0"/>
    <s v="ICM"/>
    <x v="1"/>
    <m/>
    <m/>
    <m/>
    <n v="4"/>
    <n v="4"/>
    <s v="Yes"/>
    <m/>
    <m/>
    <n v="10"/>
    <m/>
    <n v="50"/>
    <m/>
    <m/>
    <m/>
    <m/>
    <m/>
    <m/>
    <m/>
    <m/>
    <x v="4"/>
  </r>
  <r>
    <n v="367"/>
    <x v="19"/>
    <m/>
    <s v="Y"/>
    <x v="0"/>
    <x v="4"/>
    <s v="TBD"/>
    <s v="N/A"/>
    <s v="SP-600 [R290] - Alt Compressor[BIS] Certification META"/>
    <x v="0"/>
    <x v="0"/>
    <s v="ICM"/>
    <x v="1"/>
    <m/>
    <m/>
    <m/>
    <n v="4"/>
    <n v="4"/>
    <s v="Yes"/>
    <m/>
    <m/>
    <n v="10"/>
    <m/>
    <n v="50"/>
    <m/>
    <m/>
    <m/>
    <m/>
    <m/>
    <m/>
    <m/>
    <m/>
    <x v="4"/>
  </r>
  <r>
    <n v="368"/>
    <x v="19"/>
    <m/>
    <s v="Y"/>
    <x v="0"/>
    <x v="4"/>
    <s v="TBD"/>
    <s v="N/A"/>
    <s v="S-600 [R290] - Alt Compressor[BIS] Certification Coke"/>
    <x v="0"/>
    <x v="0"/>
    <s v="ICM"/>
    <x v="1"/>
    <m/>
    <m/>
    <m/>
    <n v="4"/>
    <n v="4"/>
    <s v="Yes"/>
    <m/>
    <m/>
    <n v="10"/>
    <m/>
    <n v="50"/>
    <m/>
    <m/>
    <m/>
    <m/>
    <m/>
    <m/>
    <m/>
    <m/>
    <x v="4"/>
  </r>
  <r>
    <n v="369"/>
    <x v="19"/>
    <m/>
    <s v="Y"/>
    <x v="0"/>
    <x v="4"/>
    <s v="TBD"/>
    <s v="N/A"/>
    <s v="S-600 [R290] - K2 - Alt Compressor[BIS] Certification HNKN"/>
    <x v="0"/>
    <x v="0"/>
    <s v="ICM"/>
    <x v="1"/>
    <m/>
    <m/>
    <m/>
    <n v="4"/>
    <n v="4"/>
    <s v="Yes"/>
    <m/>
    <m/>
    <n v="10"/>
    <m/>
    <n v="50"/>
    <m/>
    <m/>
    <m/>
    <m/>
    <m/>
    <m/>
    <m/>
    <m/>
    <x v="4"/>
  </r>
  <r>
    <n v="370"/>
    <x v="19"/>
    <m/>
    <s v="Y"/>
    <x v="0"/>
    <x v="4"/>
    <s v="TBD"/>
    <s v="N/A"/>
    <s v="Super 60 [R290] W LED - Alt Compressor[BIS] Certification Coke"/>
    <x v="0"/>
    <x v="0"/>
    <s v="ICM"/>
    <x v="1"/>
    <m/>
    <m/>
    <m/>
    <n v="4"/>
    <n v="4"/>
    <s v="Yes"/>
    <m/>
    <m/>
    <n v="14"/>
    <m/>
    <n v="85"/>
    <m/>
    <m/>
    <m/>
    <m/>
    <m/>
    <m/>
    <m/>
    <m/>
    <x v="4"/>
  </r>
  <r>
    <n v="371"/>
    <x v="19"/>
    <m/>
    <s v="Y"/>
    <x v="0"/>
    <x v="4"/>
    <s v="TBD"/>
    <s v="N/A"/>
    <s v="Super-60 [R290] - K2 - Alt Compressor[BIS] Certification HNKN"/>
    <x v="0"/>
    <x v="0"/>
    <s v="ICM"/>
    <x v="1"/>
    <m/>
    <m/>
    <m/>
    <n v="4"/>
    <n v="4"/>
    <s v="Yes"/>
    <m/>
    <m/>
    <n v="14"/>
    <m/>
    <n v="85"/>
    <m/>
    <m/>
    <m/>
    <m/>
    <m/>
    <m/>
    <m/>
    <m/>
    <x v="4"/>
  </r>
  <r>
    <n v="372"/>
    <x v="19"/>
    <m/>
    <s v="Y"/>
    <x v="0"/>
    <x v="4"/>
    <s v="TBD"/>
    <s v="N/A"/>
    <s v="SP-800 [R290] - Alt Compressor[BIS] Certification META"/>
    <x v="0"/>
    <x v="0"/>
    <s v="ICM"/>
    <x v="1"/>
    <m/>
    <m/>
    <m/>
    <n v="4"/>
    <n v="4"/>
    <s v="Yes"/>
    <m/>
    <m/>
    <n v="10"/>
    <m/>
    <n v="50"/>
    <m/>
    <m/>
    <m/>
    <m/>
    <m/>
    <m/>
    <m/>
    <m/>
    <x v="4"/>
  </r>
  <r>
    <n v="373"/>
    <x v="19"/>
    <m/>
    <s v="Y"/>
    <x v="0"/>
    <x v="4"/>
    <s v="TBD"/>
    <s v="N/A"/>
    <s v="Super-1100 [R290] W LED - Alt Compressor[BIS] Certification Coke"/>
    <x v="0"/>
    <x v="0"/>
    <s v="ICM"/>
    <x v="1"/>
    <m/>
    <m/>
    <m/>
    <n v="4"/>
    <n v="4"/>
    <s v="Yes"/>
    <m/>
    <m/>
    <n v="14"/>
    <m/>
    <n v="85"/>
    <m/>
    <m/>
    <m/>
    <m/>
    <m/>
    <m/>
    <m/>
    <m/>
    <x v="4"/>
  </r>
  <r>
    <n v="374"/>
    <x v="19"/>
    <m/>
    <s v="Y"/>
    <x v="0"/>
    <x v="4"/>
    <s v="TBD"/>
    <s v="N/A"/>
    <s v="Super-1100 [R290] - K2 -Alt Compressor[BIS] Certification HNKN"/>
    <x v="0"/>
    <x v="0"/>
    <s v="ICM"/>
    <x v="1"/>
    <m/>
    <m/>
    <m/>
    <n v="4"/>
    <n v="4"/>
    <s v="Yes"/>
    <m/>
    <m/>
    <n v="14"/>
    <m/>
    <n v="85"/>
    <m/>
    <m/>
    <m/>
    <m/>
    <m/>
    <m/>
    <m/>
    <m/>
    <x v="4"/>
  </r>
  <r>
    <n v="375"/>
    <x v="19"/>
    <m/>
    <s v="Y"/>
    <x v="0"/>
    <x v="4"/>
    <s v="TBD"/>
    <s v="N/A"/>
    <s v="S-1100 P [R290] - Alt Compressor[BIS] Certification Coke"/>
    <x v="0"/>
    <x v="0"/>
    <s v="ICM"/>
    <x v="1"/>
    <m/>
    <m/>
    <m/>
    <n v="4"/>
    <n v="4"/>
    <s v="Yes"/>
    <m/>
    <m/>
    <n v="10"/>
    <m/>
    <n v="50"/>
    <m/>
    <m/>
    <m/>
    <m/>
    <m/>
    <m/>
    <m/>
    <m/>
    <x v="4"/>
  </r>
  <r>
    <n v="376"/>
    <x v="19"/>
    <m/>
    <s v="Y"/>
    <x v="0"/>
    <x v="4"/>
    <s v="TBD"/>
    <s v="N/A"/>
    <s v="Super-500 [R290] - Alt Compressor[BIS] Certification Coke"/>
    <x v="0"/>
    <x v="0"/>
    <s v="ICM"/>
    <x v="1"/>
    <m/>
    <m/>
    <m/>
    <n v="4"/>
    <n v="4"/>
    <s v="Yes"/>
    <m/>
    <m/>
    <n v="10"/>
    <m/>
    <n v="50"/>
    <m/>
    <m/>
    <m/>
    <m/>
    <m/>
    <m/>
    <m/>
    <m/>
    <x v="4"/>
  </r>
  <r>
    <n v="377"/>
    <x v="19"/>
    <m/>
    <s v="Y"/>
    <x v="0"/>
    <x v="4"/>
    <s v="TBD"/>
    <s v="N/A"/>
    <s v="SFP-500 [R290] - Alt Compressor[BIS] Certification META"/>
    <x v="0"/>
    <x v="0"/>
    <s v="ICM"/>
    <x v="1"/>
    <m/>
    <m/>
    <m/>
    <n v="4"/>
    <n v="4"/>
    <s v="Yes"/>
    <m/>
    <m/>
    <n v="10"/>
    <m/>
    <n v="50"/>
    <m/>
    <m/>
    <m/>
    <m/>
    <m/>
    <m/>
    <m/>
    <m/>
    <x v="4"/>
  </r>
  <r>
    <n v="378"/>
    <x v="19"/>
    <m/>
    <s v="Y"/>
    <x v="0"/>
    <x v="4"/>
    <s v="TBD"/>
    <s v="N/A"/>
    <s v="Super-1000 [R290] - Alt Compressor[BIS] Certification Coke"/>
    <x v="0"/>
    <x v="0"/>
    <s v="ICM"/>
    <x v="1"/>
    <m/>
    <m/>
    <m/>
    <n v="4"/>
    <n v="4"/>
    <s v="Yes"/>
    <m/>
    <m/>
    <n v="10"/>
    <m/>
    <n v="50"/>
    <m/>
    <m/>
    <m/>
    <m/>
    <m/>
    <m/>
    <m/>
    <m/>
    <x v="4"/>
  </r>
  <r>
    <n v="379"/>
    <x v="19"/>
    <m/>
    <s v="Y"/>
    <x v="0"/>
    <x v="4"/>
    <s v="TBD"/>
    <s v="N/A"/>
    <s v="SP-1000 [R290] - Alt Compressor[BIS] Certification META"/>
    <x v="0"/>
    <x v="0"/>
    <s v="ICM"/>
    <x v="1"/>
    <m/>
    <m/>
    <m/>
    <n v="4"/>
    <n v="4"/>
    <s v="Yes"/>
    <m/>
    <m/>
    <n v="10"/>
    <m/>
    <n v="50"/>
    <m/>
    <m/>
    <m/>
    <m/>
    <m/>
    <m/>
    <m/>
    <m/>
    <x v="4"/>
  </r>
  <r>
    <n v="380"/>
    <x v="18"/>
    <m/>
    <m/>
    <x v="0"/>
    <x v="4"/>
    <m/>
    <m/>
    <s v="NABL and ACCAB Lab Acreditation"/>
    <x v="0"/>
    <x v="0"/>
    <s v="ICM"/>
    <x v="2"/>
    <m/>
    <m/>
    <m/>
    <m/>
    <m/>
    <m/>
    <m/>
    <m/>
    <m/>
    <m/>
    <n v="12"/>
    <m/>
    <m/>
    <m/>
    <m/>
    <m/>
    <m/>
    <m/>
    <m/>
    <x v="3"/>
  </r>
  <r>
    <n v="381"/>
    <x v="20"/>
    <n v="1"/>
    <s v="Y"/>
    <x v="0"/>
    <x v="2"/>
    <s v="26-00404_1"/>
    <s v="N/A"/>
    <s v="S-250 Edge light doors options for CCEP Indonesia + EC2026 with FCR32Z"/>
    <x v="1"/>
    <x v="0"/>
    <s v="ICM"/>
    <x v="1"/>
    <s v="Cooling Mechanism"/>
    <s v="N/A"/>
    <s v="N/A"/>
    <n v="4"/>
    <n v="4"/>
    <s v="Yes"/>
    <m/>
    <m/>
    <n v="6"/>
    <m/>
    <n v="8"/>
    <s v="Yes"/>
    <s v="In Progress"/>
    <n v="1.5"/>
    <s v="Safety- To be verified after configuration is finalized"/>
    <m/>
    <m/>
    <m/>
    <m/>
    <x v="3"/>
  </r>
  <r>
    <n v="382"/>
    <x v="20"/>
    <m/>
    <s v="Y"/>
    <x v="0"/>
    <x v="2"/>
    <s v="26-00404_2"/>
    <s v="N/A"/>
    <s v="Edge light doors options for CCEP Indonesia SFC-700"/>
    <x v="1"/>
    <x v="0"/>
    <s v="ICM"/>
    <x v="1"/>
    <s v="Cooling Mechanism"/>
    <s v="N/A"/>
    <s v="N/A"/>
    <n v="4"/>
    <n v="4"/>
    <s v="Yes"/>
    <m/>
    <m/>
    <n v="6"/>
    <m/>
    <n v="8"/>
    <s v="Yes"/>
    <s v="In Progress"/>
    <n v="1.5"/>
    <s v="Safety- To be verified after configuration is finalized"/>
    <m/>
    <m/>
    <m/>
    <m/>
    <x v="4"/>
  </r>
  <r>
    <n v="383"/>
    <x v="20"/>
    <m/>
    <s v="Y"/>
    <x v="0"/>
    <x v="2"/>
    <s v="26-00404_3"/>
    <s v="N/A"/>
    <s v="_x0009_Edge light doors options for CCEP Indonesia FVF-1000"/>
    <x v="1"/>
    <x v="0"/>
    <s v="ICM"/>
    <x v="1"/>
    <s v="Cooling Mechanism"/>
    <s v="N/A"/>
    <s v="N/A"/>
    <n v="4"/>
    <n v="4"/>
    <s v="Yes"/>
    <m/>
    <m/>
    <n v="6"/>
    <m/>
    <n v="8"/>
    <s v="Yes"/>
    <s v="In Progress"/>
    <n v="1.5"/>
    <s v="Safety- To be verified after configuration is finalized"/>
    <m/>
    <m/>
    <m/>
    <m/>
    <x v="4"/>
  </r>
  <r>
    <n v="384"/>
    <x v="20"/>
    <m/>
    <s v="Y"/>
    <x v="0"/>
    <x v="0"/>
    <s v="TBD"/>
    <s v="N/A"/>
    <s v="Development for S-60 Coke De-rating Project + Optional features:Castor Wheel, visible temperature display &amp; EMI filter for Morocco."/>
    <x v="2"/>
    <x v="0"/>
    <s v="ICM"/>
    <x v="1"/>
    <s v="Cooling Mechanism"/>
    <s v="N/A"/>
    <s v="N/A"/>
    <n v="4"/>
    <n v="4"/>
    <s v="Yes"/>
    <m/>
    <m/>
    <n v="6"/>
    <m/>
    <n v="8"/>
    <s v="Yes"/>
    <s v="In Progress"/>
    <n v="1.5"/>
    <s v="Safety- To be verified after configuration is finalized"/>
    <m/>
    <m/>
    <m/>
    <m/>
    <x v="4"/>
  </r>
  <r>
    <n v="385"/>
    <x v="20"/>
    <m/>
    <s v="Y"/>
    <x v="0"/>
    <x v="0"/>
    <s v="TBD"/>
    <s v="N/A"/>
    <s v="Development for S-1100 Coke De-rating Project + Optional features:Castor Wheel, visible temperature display &amp; EMI filter for Morocco."/>
    <x v="2"/>
    <x v="0"/>
    <s v="ICM"/>
    <x v="1"/>
    <s v="Cooling Mechanism"/>
    <s v="N/A"/>
    <s v="N/A"/>
    <n v="4"/>
    <n v="4"/>
    <s v="Yes"/>
    <m/>
    <m/>
    <n v="6"/>
    <m/>
    <n v="8"/>
    <s v="Yes"/>
    <s v="In Progress"/>
    <n v="1.5"/>
    <s v="Safety- To be verified after configuration is finalized"/>
    <m/>
    <m/>
    <m/>
    <m/>
    <x v="4"/>
  </r>
  <r>
    <n v="386"/>
    <x v="20"/>
    <m/>
    <s v="Y"/>
    <x v="0"/>
    <x v="2"/>
    <s v="TBD"/>
    <s v="N/A"/>
    <s v="CCBSA option PRCD Power cord bracket "/>
    <x v="0"/>
    <x v="0"/>
    <s v="ICM"/>
    <x v="1"/>
    <s v="Cooling Mechanism"/>
    <s v="N/A"/>
    <s v="N/A"/>
    <n v="4"/>
    <n v="4"/>
    <s v="Yes"/>
    <m/>
    <m/>
    <n v="6"/>
    <m/>
    <n v="8"/>
    <s v="Yes"/>
    <s v="In Progress"/>
    <n v="1.5"/>
    <s v="Safety- To be verified after configuration is finalized"/>
    <m/>
    <m/>
    <m/>
    <m/>
    <x v="3"/>
  </r>
  <r>
    <n v="387"/>
    <x v="20"/>
    <n v="3"/>
    <s v="Y"/>
    <x v="0"/>
    <x v="0"/>
    <s v="26-00408"/>
    <s v="N/A"/>
    <s v="HV-71, Monster door implementation"/>
    <x v="3"/>
    <x v="0"/>
    <s v="ICM"/>
    <x v="1"/>
    <s v="Cooling Mechanism"/>
    <s v="N/A"/>
    <s v="N/A"/>
    <n v="4"/>
    <n v="4"/>
    <s v="Yes"/>
    <m/>
    <m/>
    <n v="6"/>
    <m/>
    <n v="8"/>
    <s v="Yes"/>
    <s v="In Progress"/>
    <n v="1.5"/>
    <s v="Safety- To be verified after configuration is finalized"/>
    <m/>
    <m/>
    <m/>
    <m/>
    <x v="3"/>
  </r>
  <r>
    <n v="388"/>
    <x v="21"/>
    <n v="6"/>
    <s v="Y"/>
    <x v="0"/>
    <x v="1"/>
    <s v="26-00407"/>
    <s v="N/A"/>
    <s v="Reliance energy drink proposal - demo cooler-S-250"/>
    <x v="0"/>
    <x v="0"/>
    <s v="ICM"/>
    <x v="1"/>
    <m/>
    <m/>
    <m/>
    <n v="4"/>
    <m/>
    <s v="Yes"/>
    <m/>
    <m/>
    <m/>
    <m/>
    <n v="70"/>
    <m/>
    <m/>
    <m/>
    <m/>
    <m/>
    <m/>
    <m/>
    <m/>
    <x v="3"/>
  </r>
  <r>
    <n v="389"/>
    <x v="22"/>
    <m/>
    <m/>
    <x v="0"/>
    <x v="0"/>
    <s v="25-00589"/>
    <s v="Missing"/>
    <s v="Saiwei 5W EC compact motor"/>
    <x v="0"/>
    <x v="0"/>
    <s v="ICM"/>
    <x v="0"/>
    <s v="Cooling Mechanism"/>
    <s v="Electrical Components"/>
    <s v="Block Motors"/>
    <n v="1.5"/>
    <n v="4"/>
    <s v="Yes"/>
    <m/>
    <m/>
    <m/>
    <m/>
    <n v="2"/>
    <m/>
    <m/>
    <m/>
    <m/>
    <m/>
    <m/>
    <m/>
    <m/>
    <x v="3"/>
  </r>
  <r>
    <n v="390"/>
    <x v="8"/>
    <m/>
    <s v="Y"/>
    <x v="0"/>
    <x v="1"/>
    <s v="24-00523"/>
    <s v="NA"/>
    <s v="Plus-450 OV"/>
    <x v="6"/>
    <x v="2"/>
    <s v="ICM"/>
    <x v="1"/>
    <s v="Electrical Parts"/>
    <s v="Electrical Components"/>
    <s v="Other Materials"/>
    <n v="20"/>
    <n v="20"/>
    <s v="No"/>
    <m/>
    <m/>
    <n v="70"/>
    <n v="10"/>
    <n v="38"/>
    <s v="Yes"/>
    <m/>
    <m/>
    <s v="12.04.25 Pending quotation from Nemko"/>
    <m/>
    <m/>
    <m/>
    <m/>
    <x v="2"/>
  </r>
  <r>
    <n v="391"/>
    <x v="23"/>
    <m/>
    <s v="Y"/>
    <x v="0"/>
    <x v="1"/>
    <s v="TBA"/>
    <s v="NA"/>
    <s v="MAX-750 OV"/>
    <x v="6"/>
    <x v="2"/>
    <s v="ICM"/>
    <x v="1"/>
    <m/>
    <m/>
    <m/>
    <n v="20"/>
    <n v="20"/>
    <s v="Yes"/>
    <m/>
    <m/>
    <n v="70"/>
    <n v="10"/>
    <n v="38"/>
    <m/>
    <m/>
    <m/>
    <m/>
    <m/>
    <m/>
    <m/>
    <m/>
    <x v="2"/>
  </r>
  <r>
    <n v="392"/>
    <x v="11"/>
    <m/>
    <m/>
    <x v="0"/>
    <x v="2"/>
    <s v="25-00630"/>
    <m/>
    <s v="3d low-e illuminated &quot;floating&quot; logo on glass-door"/>
    <x v="6"/>
    <x v="2"/>
    <s v="ICM"/>
    <x v="1"/>
    <m/>
    <m/>
    <m/>
    <m/>
    <m/>
    <m/>
    <m/>
    <m/>
    <n v="10"/>
    <n v="2"/>
    <n v="3"/>
    <m/>
    <m/>
    <m/>
    <m/>
    <m/>
    <m/>
    <m/>
    <m/>
    <x v="1"/>
  </r>
  <r>
    <m/>
    <x v="24"/>
    <m/>
    <m/>
    <x v="0"/>
    <x v="1"/>
    <s v="TBA"/>
    <s v="Max 750 Sub Zero"/>
    <s v="Omnisense 750-B"/>
    <x v="6"/>
    <x v="2"/>
    <s v="ICM"/>
    <x v="1"/>
    <m/>
    <m/>
    <m/>
    <m/>
    <m/>
    <m/>
    <m/>
    <m/>
    <m/>
    <m/>
    <m/>
    <m/>
    <m/>
    <m/>
    <m/>
    <m/>
    <m/>
    <m/>
    <m/>
    <x v="2"/>
  </r>
  <r>
    <n v="383"/>
    <x v="25"/>
    <m/>
    <m/>
    <x v="2"/>
    <x v="2"/>
    <s v="25-00628"/>
    <s v="NA"/>
    <s v="Max 750 Sub Zero"/>
    <x v="6"/>
    <x v="2"/>
    <s v="ICM"/>
    <x v="1"/>
    <m/>
    <m/>
    <m/>
    <n v="3"/>
    <n v="2"/>
    <m/>
    <m/>
    <m/>
    <m/>
    <m/>
    <m/>
    <m/>
    <m/>
    <m/>
    <m/>
    <m/>
    <m/>
    <m/>
    <m/>
    <x v="4"/>
  </r>
  <r>
    <n v="384"/>
    <x v="26"/>
    <m/>
    <s v="Y"/>
    <x v="0"/>
    <x v="8"/>
    <s v="25-00640"/>
    <s v="NA"/>
    <s v="K2 controller settings for MAX B range &amp; PoC for EEI&lt;15 (Heineken)"/>
    <x v="6"/>
    <x v="2"/>
    <s v="ICM"/>
    <x v="1"/>
    <m/>
    <m/>
    <m/>
    <n v="20"/>
    <n v="15"/>
    <m/>
    <m/>
    <m/>
    <n v="70"/>
    <n v="5"/>
    <n v="75"/>
    <m/>
    <m/>
    <m/>
    <m/>
    <m/>
    <m/>
    <m/>
    <m/>
    <x v="1"/>
  </r>
  <r>
    <n v="385"/>
    <x v="27"/>
    <m/>
    <m/>
    <x v="2"/>
    <x v="2"/>
    <s v="25-00638"/>
    <m/>
    <s v="Max 450 B Carton box"/>
    <x v="6"/>
    <x v="2"/>
    <s v="ICM"/>
    <x v="1"/>
    <m/>
    <m/>
    <m/>
    <m/>
    <m/>
    <m/>
    <m/>
    <m/>
    <m/>
    <m/>
    <m/>
    <m/>
    <m/>
    <m/>
    <m/>
    <m/>
    <m/>
    <m/>
    <m/>
    <x v="0"/>
  </r>
  <r>
    <n v="386"/>
    <x v="26"/>
    <m/>
    <s v="Y"/>
    <x v="2"/>
    <x v="2"/>
    <s v="25-00642"/>
    <s v="NA"/>
    <s v="3D logo Hell for Max 1000 C"/>
    <x v="6"/>
    <x v="2"/>
    <s v="ICM"/>
    <x v="5"/>
    <m/>
    <m/>
    <m/>
    <n v="15"/>
    <n v="8"/>
    <m/>
    <m/>
    <m/>
    <n v="0"/>
    <n v="10"/>
    <n v="10"/>
    <m/>
    <m/>
    <m/>
    <m/>
    <m/>
    <m/>
    <m/>
    <m/>
    <x v="0"/>
  </r>
  <r>
    <n v="387"/>
    <x v="0"/>
    <m/>
    <m/>
    <x v="2"/>
    <x v="8"/>
    <s v="25-00641"/>
    <m/>
    <s v="Carel controller with K2 settings for ICOOL 2 1000 and Max 700 C"/>
    <x v="6"/>
    <x v="2"/>
    <s v="ICM"/>
    <x v="5"/>
    <m/>
    <m/>
    <m/>
    <m/>
    <m/>
    <m/>
    <m/>
    <m/>
    <n v="2"/>
    <m/>
    <n v="2"/>
    <m/>
    <m/>
    <m/>
    <m/>
    <m/>
    <m/>
    <m/>
    <m/>
    <x v="0"/>
  </r>
  <r>
    <n v="388"/>
    <x v="14"/>
    <m/>
    <s v="Y"/>
    <x v="0"/>
    <x v="2"/>
    <s v="TBA"/>
    <s v="NA"/>
    <s v="MAX-750 NU vending solution"/>
    <x v="6"/>
    <x v="2"/>
    <s v="ICM"/>
    <x v="5"/>
    <m/>
    <m/>
    <m/>
    <n v="20"/>
    <n v="60"/>
    <m/>
    <m/>
    <m/>
    <n v="70"/>
    <n v="10"/>
    <n v="38"/>
    <m/>
    <m/>
    <m/>
    <m/>
    <m/>
    <m/>
    <m/>
    <m/>
    <x v="0"/>
  </r>
  <r>
    <n v="389"/>
    <x v="28"/>
    <m/>
    <m/>
    <x v="2"/>
    <x v="2"/>
    <s v="26-00649"/>
    <m/>
    <s v="ICOOL2 door with Neon LED for MAX 900 C"/>
    <x v="6"/>
    <x v="2"/>
    <s v="ICM"/>
    <x v="5"/>
    <m/>
    <m/>
    <m/>
    <m/>
    <m/>
    <m/>
    <m/>
    <m/>
    <m/>
    <m/>
    <m/>
    <m/>
    <m/>
    <m/>
    <m/>
    <m/>
    <m/>
    <m/>
    <m/>
    <x v="0"/>
  </r>
  <r>
    <n v="390"/>
    <x v="28"/>
    <m/>
    <m/>
    <x v="2"/>
    <x v="2"/>
    <s v="26-00650"/>
    <m/>
    <s v="MAX 450 B and Plus 450 B with FDE device and heater"/>
    <x v="6"/>
    <x v="2"/>
    <s v="ICM"/>
    <x v="5"/>
    <m/>
    <m/>
    <m/>
    <m/>
    <m/>
    <m/>
    <m/>
    <m/>
    <m/>
    <m/>
    <m/>
    <m/>
    <m/>
    <m/>
    <m/>
    <m/>
    <m/>
    <m/>
    <m/>
    <x v="0"/>
  </r>
  <r>
    <n v="391"/>
    <x v="28"/>
    <m/>
    <m/>
    <x v="2"/>
    <x v="2"/>
    <s v="25-00643"/>
    <m/>
    <s v="EasyPick C optional light switch and parameter's update to deactivate the door switch alarm"/>
    <x v="6"/>
    <x v="2"/>
    <s v="ICM"/>
    <x v="5"/>
    <m/>
    <m/>
    <m/>
    <m/>
    <m/>
    <m/>
    <m/>
    <m/>
    <m/>
    <m/>
    <m/>
    <m/>
    <m/>
    <m/>
    <m/>
    <m/>
    <m/>
    <m/>
    <m/>
    <x v="0"/>
  </r>
  <r>
    <n v="392"/>
    <x v="5"/>
    <m/>
    <s v="Y"/>
    <x v="2"/>
    <x v="2"/>
    <s v="25-00617"/>
    <s v="NA"/>
    <s v="Easy Pick new pallet design"/>
    <x v="6"/>
    <x v="2"/>
    <s v="ICM"/>
    <x v="1"/>
    <m/>
    <m/>
    <m/>
    <n v="15"/>
    <n v="15"/>
    <m/>
    <m/>
    <m/>
    <m/>
    <m/>
    <m/>
    <m/>
    <m/>
    <m/>
    <m/>
    <m/>
    <m/>
    <m/>
    <m/>
    <x v="3"/>
  </r>
  <r>
    <n v="393"/>
    <x v="7"/>
    <m/>
    <m/>
    <x v="2"/>
    <x v="2"/>
    <s v="25-00611"/>
    <m/>
    <s v="Feasibility study of MAX 900 B for US market"/>
    <x v="6"/>
    <x v="2"/>
    <s v="ICM"/>
    <x v="1"/>
    <m/>
    <m/>
    <m/>
    <m/>
    <m/>
    <m/>
    <m/>
    <m/>
    <m/>
    <m/>
    <m/>
    <m/>
    <m/>
    <m/>
    <m/>
    <m/>
    <m/>
    <m/>
    <m/>
    <x v="0"/>
  </r>
  <r>
    <n v="394"/>
    <x v="10"/>
    <m/>
    <m/>
    <x v="0"/>
    <x v="1"/>
    <s v="25-00615"/>
    <m/>
    <s v="MAX-750 A rating cooler for Coke"/>
    <x v="6"/>
    <x v="2"/>
    <s v="ICM"/>
    <x v="5"/>
    <m/>
    <m/>
    <m/>
    <n v="2"/>
    <n v="0"/>
    <m/>
    <m/>
    <m/>
    <m/>
    <m/>
    <m/>
    <m/>
    <m/>
    <m/>
    <m/>
    <m/>
    <m/>
    <m/>
    <m/>
    <x v="0"/>
  </r>
  <r>
    <n v="395"/>
    <x v="10"/>
    <m/>
    <m/>
    <x v="0"/>
    <x v="1"/>
    <s v="25-00622"/>
    <m/>
    <s v="MAX-750 A rating for non-Coke"/>
    <x v="6"/>
    <x v="2"/>
    <s v="ICM"/>
    <x v="5"/>
    <m/>
    <m/>
    <m/>
    <n v="2"/>
    <n v="0"/>
    <m/>
    <m/>
    <m/>
    <m/>
    <m/>
    <m/>
    <m/>
    <m/>
    <m/>
    <m/>
    <m/>
    <m/>
    <m/>
    <m/>
    <x v="0"/>
  </r>
  <r>
    <n v="396"/>
    <x v="10"/>
    <m/>
    <m/>
    <x v="0"/>
    <x v="1"/>
    <s v="25-00621"/>
    <m/>
    <s v="MAX-1200 HD A Rating for non-Coke"/>
    <x v="6"/>
    <x v="2"/>
    <s v="ICM"/>
    <x v="5"/>
    <m/>
    <m/>
    <m/>
    <n v="2"/>
    <n v="0"/>
    <m/>
    <m/>
    <m/>
    <m/>
    <m/>
    <m/>
    <m/>
    <m/>
    <m/>
    <m/>
    <m/>
    <m/>
    <m/>
    <m/>
    <x v="0"/>
  </r>
  <r>
    <n v="397"/>
    <x v="10"/>
    <m/>
    <m/>
    <x v="0"/>
    <x v="1"/>
    <s v="25-00620"/>
    <m/>
    <s v="MAX-1200 A rating cooler for Coke"/>
    <x v="6"/>
    <x v="2"/>
    <s v="ICM"/>
    <x v="5"/>
    <m/>
    <m/>
    <m/>
    <n v="2"/>
    <n v="0"/>
    <m/>
    <m/>
    <m/>
    <m/>
    <m/>
    <m/>
    <m/>
    <m/>
    <m/>
    <m/>
    <m/>
    <m/>
    <m/>
    <m/>
    <x v="0"/>
  </r>
  <r>
    <n v="398"/>
    <x v="10"/>
    <m/>
    <m/>
    <x v="2"/>
    <x v="2"/>
    <s v="25-00626"/>
    <m/>
    <s v="Optional FDE Device for MAX 300/750/900"/>
    <x v="6"/>
    <x v="2"/>
    <s v="ICM"/>
    <x v="5"/>
    <m/>
    <m/>
    <m/>
    <m/>
    <m/>
    <m/>
    <m/>
    <m/>
    <m/>
    <m/>
    <m/>
    <m/>
    <m/>
    <m/>
    <m/>
    <m/>
    <m/>
    <m/>
    <m/>
    <x v="0"/>
  </r>
  <r>
    <n v="399"/>
    <x v="29"/>
    <m/>
    <m/>
    <x v="0"/>
    <x v="0"/>
    <s v="TBA"/>
    <s v="24ROM002_6"/>
    <s v="Max 1000 B_  META Certification VFTB72 Compressor "/>
    <x v="6"/>
    <x v="2"/>
    <s v="ICM"/>
    <x v="6"/>
    <s v="Cooling Mechanism"/>
    <s v="Cooling Components"/>
    <s v="Compressors"/>
    <n v="0"/>
    <m/>
    <s v="Yes"/>
    <m/>
    <m/>
    <n v="3"/>
    <m/>
    <n v="6"/>
    <m/>
    <m/>
    <m/>
    <m/>
    <m/>
    <m/>
    <m/>
    <m/>
    <x v="0"/>
  </r>
  <r>
    <n v="400"/>
    <x v="29"/>
    <m/>
    <m/>
    <x v="0"/>
    <x v="0"/>
    <s v="TBA"/>
    <s v="24ROM002_4"/>
    <s v="Max 900 B _Meta Certification with VFTB72 Compressor "/>
    <x v="6"/>
    <x v="2"/>
    <s v="ICM"/>
    <x v="6"/>
    <s v="Cooling Mechanism"/>
    <s v="Cooling Components"/>
    <s v="Compressors"/>
    <n v="0"/>
    <m/>
    <s v="Yes"/>
    <m/>
    <m/>
    <m/>
    <m/>
    <n v="6"/>
    <m/>
    <m/>
    <m/>
    <m/>
    <m/>
    <m/>
    <m/>
    <m/>
    <x v="0"/>
  </r>
  <r>
    <n v="401"/>
    <x v="29"/>
    <m/>
    <m/>
    <x v="0"/>
    <x v="0"/>
    <s v="TBA"/>
    <s v="24ROM002_3"/>
    <s v="Max 700 B _Meta Certification with VFTB72 Compressor "/>
    <x v="6"/>
    <x v="2"/>
    <s v="ICM"/>
    <x v="6"/>
    <s v="Cooling Mechanism"/>
    <s v="Cooling Components"/>
    <s v="Compressors"/>
    <n v="0"/>
    <m/>
    <s v="Yes"/>
    <m/>
    <m/>
    <m/>
    <m/>
    <n v="6"/>
    <m/>
    <m/>
    <m/>
    <m/>
    <m/>
    <m/>
    <m/>
    <m/>
    <x v="0"/>
  </r>
  <r>
    <n v="402"/>
    <x v="30"/>
    <m/>
    <m/>
    <x v="0"/>
    <x v="0"/>
    <s v="24-00551"/>
    <s v="25SRC012_2"/>
    <s v="Max-450[R290]  C _  Meta Certification "/>
    <x v="6"/>
    <x v="2"/>
    <s v="ICM"/>
    <x v="6"/>
    <s v="Cooling Mechanism"/>
    <s v="Cooling Components"/>
    <m/>
    <n v="0"/>
    <m/>
    <s v="Yes"/>
    <m/>
    <m/>
    <m/>
    <m/>
    <n v="6"/>
    <m/>
    <m/>
    <m/>
    <m/>
    <m/>
    <m/>
    <m/>
    <m/>
    <x v="5"/>
  </r>
  <r>
    <n v="403"/>
    <x v="30"/>
    <m/>
    <s v="Y"/>
    <x v="0"/>
    <x v="0"/>
    <s v="24-00550"/>
    <s v="25SRC059"/>
    <s v="Alternative compressor to Wanbao FTB45 -Donper SZ43WU1"/>
    <x v="6"/>
    <x v="2"/>
    <s v="ICM"/>
    <x v="0"/>
    <s v="Cooling Mechanism"/>
    <s v="Cooling Components"/>
    <s v="Compressors"/>
    <n v="20"/>
    <n v="13"/>
    <s v="Yes"/>
    <m/>
    <m/>
    <m/>
    <m/>
    <m/>
    <m/>
    <m/>
    <m/>
    <m/>
    <m/>
    <m/>
    <m/>
    <m/>
    <x v="1"/>
  </r>
  <r>
    <n v="404"/>
    <x v="1"/>
    <m/>
    <m/>
    <x v="0"/>
    <x v="0"/>
    <s v="24-00526"/>
    <s v="Missing"/>
    <s v="NINGBO Combine Refrigeration Equipment HEXs"/>
    <x v="6"/>
    <x v="2"/>
    <s v="ICM"/>
    <x v="0"/>
    <s v="Cooling Mechanism"/>
    <s v="Cooling Components"/>
    <s v="HEX"/>
    <n v="0"/>
    <n v="4"/>
    <s v="Yes"/>
    <m/>
    <m/>
    <m/>
    <m/>
    <n v="0"/>
    <s v="N/A"/>
    <m/>
    <m/>
    <m/>
    <m/>
    <m/>
    <m/>
    <m/>
    <x v="0"/>
  </r>
  <r>
    <n v="405"/>
    <x v="29"/>
    <m/>
    <m/>
    <x v="0"/>
    <x v="0"/>
    <s v="25-00610"/>
    <s v="24ROM002"/>
    <s v="Wanbao VFTZ72"/>
    <x v="6"/>
    <x v="2"/>
    <s v="ICM"/>
    <x v="0"/>
    <s v="Cooling Mechanism"/>
    <s v="Cooling Components"/>
    <s v="Compressors"/>
    <n v="2"/>
    <n v="4"/>
    <s v="Yes"/>
    <m/>
    <m/>
    <m/>
    <m/>
    <n v="0"/>
    <s v="Yes"/>
    <m/>
    <m/>
    <m/>
    <m/>
    <m/>
    <m/>
    <m/>
    <x v="0"/>
  </r>
  <r>
    <n v="406"/>
    <x v="29"/>
    <m/>
    <m/>
    <x v="0"/>
    <x v="0"/>
    <s v="25-00605"/>
    <s v="24ROM002_1"/>
    <s v="Icool 2 Eco 800 [R290] B + NBR evaporator"/>
    <x v="6"/>
    <x v="2"/>
    <s v="ICM"/>
    <x v="6"/>
    <s v="Cooling Mechanism"/>
    <s v="Cooling Components"/>
    <m/>
    <n v="0"/>
    <m/>
    <s v="Yes"/>
    <m/>
    <m/>
    <m/>
    <m/>
    <n v="1"/>
    <m/>
    <m/>
    <m/>
    <m/>
    <m/>
    <m/>
    <m/>
    <m/>
    <x v="0"/>
  </r>
  <r>
    <n v="407"/>
    <x v="22"/>
    <m/>
    <m/>
    <x v="2"/>
    <x v="0"/>
    <s v="25-00586"/>
    <s v="Missing"/>
    <s v="iPixel LEDs as alternative to Refond"/>
    <x v="6"/>
    <x v="2"/>
    <s v="ICM"/>
    <x v="0"/>
    <s v="Illumination"/>
    <s v="Electrical Components"/>
    <s v="LED"/>
    <n v="1.5"/>
    <n v="2"/>
    <s v="No"/>
    <m/>
    <m/>
    <m/>
    <m/>
    <n v="0"/>
    <s v="Yes"/>
    <m/>
    <m/>
    <m/>
    <m/>
    <m/>
    <m/>
    <m/>
    <x v="1"/>
  </r>
  <r>
    <n v="408"/>
    <x v="22"/>
    <m/>
    <m/>
    <x v="2"/>
    <x v="0"/>
    <s v="25-00587"/>
    <s v="Missing"/>
    <s v="Hengtong LEDs as alternative to Refond"/>
    <x v="6"/>
    <x v="2"/>
    <s v="ICM"/>
    <x v="0"/>
    <s v="Illumination"/>
    <s v="Electrical Components"/>
    <s v="LED"/>
    <n v="1.5"/>
    <n v="2"/>
    <s v="No"/>
    <m/>
    <m/>
    <m/>
    <m/>
    <n v="0"/>
    <s v="Yes"/>
    <m/>
    <m/>
    <m/>
    <m/>
    <m/>
    <m/>
    <m/>
    <x v="5"/>
  </r>
  <r>
    <n v="409"/>
    <x v="22"/>
    <m/>
    <m/>
    <x v="0"/>
    <x v="0"/>
    <s v="25-00588"/>
    <s v="Missing"/>
    <s v="Tauras new cost reduced 3kV series"/>
    <x v="6"/>
    <x v="2"/>
    <s v="ICM"/>
    <x v="0"/>
    <s v="Electrical Parts"/>
    <s v="Electrical Components"/>
    <s v="PSU"/>
    <n v="2"/>
    <n v="4"/>
    <s v="No"/>
    <m/>
    <m/>
    <m/>
    <m/>
    <n v="0"/>
    <s v="Yes"/>
    <m/>
    <m/>
    <s v="Certification available "/>
    <m/>
    <m/>
    <m/>
    <m/>
    <x v="0"/>
  </r>
  <r>
    <n v="410"/>
    <x v="22"/>
    <m/>
    <m/>
    <x v="0"/>
    <x v="0"/>
    <s v="25-00589"/>
    <s v="Missing"/>
    <s v="Saiwei 5W EC compact motor"/>
    <x v="6"/>
    <x v="2"/>
    <s v="ICM"/>
    <x v="0"/>
    <s v="Cooling Mechanism"/>
    <s v="Electrical Components"/>
    <s v="Block Motors"/>
    <n v="1.5"/>
    <n v="4"/>
    <s v="Yes"/>
    <m/>
    <m/>
    <m/>
    <m/>
    <n v="2"/>
    <m/>
    <m/>
    <m/>
    <m/>
    <m/>
    <m/>
    <m/>
    <m/>
    <x v="2"/>
  </r>
  <r>
    <n v="411"/>
    <x v="22"/>
    <m/>
    <m/>
    <x v="0"/>
    <x v="0"/>
    <s v="25-00591"/>
    <s v="Missing"/>
    <s v="Honker controller"/>
    <x v="6"/>
    <x v="2"/>
    <s v="ICM"/>
    <x v="0"/>
    <s v="Electrical Parts"/>
    <s v="Electrical Components"/>
    <s v="Electronic Motors"/>
    <n v="2.5"/>
    <n v="4"/>
    <s v="Yes"/>
    <m/>
    <m/>
    <m/>
    <m/>
    <n v="0"/>
    <s v="Yes"/>
    <m/>
    <m/>
    <m/>
    <m/>
    <m/>
    <m/>
    <m/>
    <x v="2"/>
  </r>
  <r>
    <n v="412"/>
    <x v="1"/>
    <m/>
    <m/>
    <x v="0"/>
    <x v="0"/>
    <s v="24-00531"/>
    <s v="Missing"/>
    <s v="BMR HEXs"/>
    <x v="6"/>
    <x v="2"/>
    <s v="ICM"/>
    <x v="0"/>
    <s v="Cooling Mechanism"/>
    <s v="Cooling Components"/>
    <s v="HEX"/>
    <n v="0.5"/>
    <n v="4"/>
    <s v="Yes"/>
    <m/>
    <m/>
    <m/>
    <m/>
    <n v="0"/>
    <s v="N/A"/>
    <m/>
    <m/>
    <m/>
    <m/>
    <m/>
    <m/>
    <m/>
    <x v="0"/>
  </r>
  <r>
    <n v="413"/>
    <x v="31"/>
    <m/>
    <m/>
    <x v="0"/>
    <x v="0"/>
    <s v="25-00585"/>
    <s v="Missing"/>
    <s v="Retekool HEX"/>
    <x v="6"/>
    <x v="2"/>
    <s v="ICM"/>
    <x v="0"/>
    <s v="Cooling Mechanism"/>
    <s v="Cooling Components"/>
    <s v="HEX"/>
    <n v="0.5"/>
    <n v="4"/>
    <s v="Yes"/>
    <m/>
    <m/>
    <m/>
    <m/>
    <n v="0"/>
    <s v="N/A"/>
    <m/>
    <m/>
    <m/>
    <m/>
    <m/>
    <m/>
    <m/>
    <x v="0"/>
  </r>
  <r>
    <n v="414"/>
    <x v="31"/>
    <m/>
    <m/>
    <x v="0"/>
    <x v="0"/>
    <s v="25-00585"/>
    <s v="Missing_1"/>
    <s v="Condenser Retekool  as alternative to  Konveyor Max 700 C "/>
    <x v="6"/>
    <x v="2"/>
    <s v="ICM"/>
    <x v="6"/>
    <s v="Cooling Mechanism"/>
    <s v="Cooling Components"/>
    <m/>
    <n v="0"/>
    <m/>
    <s v="Yes"/>
    <m/>
    <m/>
    <m/>
    <m/>
    <n v="1"/>
    <m/>
    <m/>
    <m/>
    <m/>
    <m/>
    <m/>
    <m/>
    <m/>
    <x v="0"/>
  </r>
  <r>
    <n v="415"/>
    <x v="30"/>
    <m/>
    <m/>
    <x v="0"/>
    <x v="0"/>
    <s v="24-00557"/>
    <s v="24SRC035-2"/>
    <s v="PSU Done 24W"/>
    <x v="6"/>
    <x v="2"/>
    <s v="ICM"/>
    <x v="0"/>
    <s v="Electrical Parts"/>
    <s v="Electrical Components"/>
    <s v="PSU"/>
    <n v="0.75"/>
    <n v="4"/>
    <s v="No"/>
    <m/>
    <m/>
    <m/>
    <m/>
    <n v="0"/>
    <s v="Yes"/>
    <m/>
    <m/>
    <s v="12.04.25 Pending new samples for component testing"/>
    <m/>
    <m/>
    <m/>
    <m/>
    <x v="2"/>
  </r>
  <r>
    <n v="416"/>
    <x v="30"/>
    <m/>
    <m/>
    <x v="0"/>
    <x v="0"/>
    <s v="24-00556"/>
    <s v="24SRC034-1"/>
    <s v="PSU Done 16W"/>
    <x v="6"/>
    <x v="2"/>
    <s v="ICM"/>
    <x v="0"/>
    <s v="Electrical Parts"/>
    <s v="Electrical Components"/>
    <s v="PSU"/>
    <n v="0.75"/>
    <n v="4"/>
    <s v="No"/>
    <m/>
    <m/>
    <m/>
    <m/>
    <n v="0"/>
    <s v="Yes"/>
    <m/>
    <m/>
    <s v="12.04.25 Pending new samples for component testing"/>
    <m/>
    <m/>
    <m/>
    <m/>
    <x v="2"/>
  </r>
  <r>
    <n v="417"/>
    <x v="30"/>
    <m/>
    <m/>
    <x v="0"/>
    <x v="0"/>
    <s v="24-00555"/>
    <s v="24SRC033-2"/>
    <s v="PSU Done 12W"/>
    <x v="6"/>
    <x v="2"/>
    <s v="ICM"/>
    <x v="0"/>
    <s v="Electrical Parts"/>
    <s v="Electrical Components"/>
    <s v="PSU"/>
    <n v="0.75"/>
    <n v="4"/>
    <s v="No"/>
    <m/>
    <m/>
    <m/>
    <m/>
    <n v="0"/>
    <s v="Yes"/>
    <m/>
    <m/>
    <s v="12.04.25 Pending new samples for component testing"/>
    <m/>
    <m/>
    <m/>
    <m/>
    <x v="2"/>
  </r>
  <r>
    <n v="418"/>
    <x v="2"/>
    <m/>
    <m/>
    <x v="0"/>
    <x v="0"/>
    <s v="25-00605"/>
    <s v="25ROM004_2"/>
    <s v="Max-300 [R290] C and 1/4 return line pipe + NBR evaporator"/>
    <x v="6"/>
    <x v="2"/>
    <s v="ICM"/>
    <x v="6"/>
    <s v="Cooling Mechanism"/>
    <s v="Cooling Components"/>
    <m/>
    <n v="0"/>
    <m/>
    <s v="Yes"/>
    <m/>
    <m/>
    <m/>
    <m/>
    <n v="3"/>
    <m/>
    <m/>
    <m/>
    <m/>
    <m/>
    <m/>
    <m/>
    <m/>
    <x v="0"/>
  </r>
  <r>
    <n v="419"/>
    <x v="2"/>
    <m/>
    <m/>
    <x v="0"/>
    <x v="0"/>
    <s v="25-00605"/>
    <s v="25ROM004_3"/>
    <s v="Max-1000 [R290] C and 1/4 return line pipe + NBR evaporator"/>
    <x v="6"/>
    <x v="2"/>
    <s v="ICM"/>
    <x v="6"/>
    <s v="Cooling Mechanism"/>
    <s v="Cooling Components"/>
    <m/>
    <n v="0"/>
    <m/>
    <s v="Yes"/>
    <m/>
    <m/>
    <m/>
    <m/>
    <n v="4"/>
    <m/>
    <m/>
    <m/>
    <m/>
    <m/>
    <m/>
    <m/>
    <m/>
    <x v="0"/>
  </r>
  <r>
    <n v="420"/>
    <x v="2"/>
    <m/>
    <m/>
    <x v="0"/>
    <x v="0"/>
    <s v="25-00605"/>
    <s v="25ROM004_4"/>
    <s v="Max-450 [R290] C and 1/4 return line pipe + NBR evaporator"/>
    <x v="6"/>
    <x v="2"/>
    <s v="ICM"/>
    <x v="6"/>
    <s v="Cooling Mechanism"/>
    <s v="Cooling Components"/>
    <m/>
    <n v="0"/>
    <m/>
    <s v="Yes"/>
    <m/>
    <m/>
    <m/>
    <m/>
    <n v="4"/>
    <m/>
    <m/>
    <m/>
    <m/>
    <m/>
    <m/>
    <m/>
    <m/>
    <x v="0"/>
  </r>
  <r>
    <n v="421"/>
    <x v="2"/>
    <m/>
    <m/>
    <x v="0"/>
    <x v="0"/>
    <s v="25-00605"/>
    <s v="25ROM004_5"/>
    <s v="Max-900 [R290] C and 1/4 return line pipe + NBR evaporator"/>
    <x v="6"/>
    <x v="2"/>
    <s v="ICM"/>
    <x v="6"/>
    <s v="Cooling Mechanism"/>
    <s v="Cooling Components"/>
    <m/>
    <n v="0"/>
    <m/>
    <s v="Yes"/>
    <m/>
    <m/>
    <m/>
    <m/>
    <n v="4"/>
    <m/>
    <m/>
    <m/>
    <m/>
    <m/>
    <m/>
    <m/>
    <m/>
    <x v="0"/>
  </r>
  <r>
    <n v="422"/>
    <x v="2"/>
    <m/>
    <m/>
    <x v="2"/>
    <x v="0"/>
    <s v="25-00601"/>
    <s v="25ROM006"/>
    <s v="Change argon with air for Plus/MAX doors"/>
    <x v="6"/>
    <x v="2"/>
    <s v="ICM"/>
    <x v="2"/>
    <s v="Door"/>
    <s v="Door Components &amp; Acc."/>
    <s v="Glass"/>
    <n v="1"/>
    <n v="2"/>
    <s v="Yes"/>
    <m/>
    <m/>
    <m/>
    <m/>
    <n v="0"/>
    <s v="N/A"/>
    <m/>
    <m/>
    <m/>
    <m/>
    <m/>
    <m/>
    <m/>
    <x v="0"/>
  </r>
  <r>
    <n v="423"/>
    <x v="2"/>
    <m/>
    <m/>
    <x v="2"/>
    <x v="0"/>
    <s v="25-00602"/>
    <s v="25ROM007"/>
    <s v="Change inner glass pane from tempered to floating for IC2 doors "/>
    <x v="6"/>
    <x v="2"/>
    <s v="ICM"/>
    <x v="2"/>
    <s v="Door"/>
    <s v="Door Components &amp; Acc."/>
    <s v="Assembled Door"/>
    <n v="2"/>
    <n v="2"/>
    <s v="No"/>
    <m/>
    <m/>
    <m/>
    <m/>
    <n v="0"/>
    <s v="Yes"/>
    <m/>
    <m/>
    <m/>
    <m/>
    <m/>
    <m/>
    <m/>
    <x v="0"/>
  </r>
  <r>
    <n v="424"/>
    <x v="2"/>
    <m/>
    <m/>
    <x v="2"/>
    <x v="0"/>
    <s v="Combined with other TF"/>
    <s v="25ROM008"/>
    <s v="Eliminate evaporator compartment spacers ( plastic supports)"/>
    <x v="6"/>
    <x v="2"/>
    <s v="ICM"/>
    <x v="2"/>
    <s v="Insulated Cabin"/>
    <s v="Other"/>
    <s v="Other Materials"/>
    <n v="1"/>
    <n v="2"/>
    <s v="No"/>
    <m/>
    <m/>
    <m/>
    <m/>
    <n v="0"/>
    <s v="N/A"/>
    <m/>
    <m/>
    <m/>
    <m/>
    <m/>
    <m/>
    <m/>
    <x v="0"/>
  </r>
  <r>
    <n v="425"/>
    <x v="2"/>
    <m/>
    <m/>
    <x v="2"/>
    <x v="0"/>
    <s v="25-00603"/>
    <s v="25ROM009"/>
    <s v="Eliminate RCCB tap and FFXY cover"/>
    <x v="6"/>
    <x v="2"/>
    <s v="ICM"/>
    <x v="2"/>
    <s v="Electrical Parts"/>
    <s v="Plastics"/>
    <s v="Injection Plastics"/>
    <n v="1"/>
    <n v="2"/>
    <s v="No"/>
    <m/>
    <m/>
    <m/>
    <m/>
    <n v="0"/>
    <s v="No"/>
    <m/>
    <m/>
    <m/>
    <m/>
    <m/>
    <m/>
    <m/>
    <x v="0"/>
  </r>
  <r>
    <n v="426"/>
    <x v="2"/>
    <m/>
    <s v="Y"/>
    <x v="0"/>
    <x v="0"/>
    <s v="_x0009_25-00604"/>
    <s v="25ROM014"/>
    <s v="3mm glass pane vs 4mm pane for all models"/>
    <x v="6"/>
    <x v="2"/>
    <s v="ICM"/>
    <x v="2"/>
    <s v="Door"/>
    <s v="Door Components &amp; Acc."/>
    <s v="Assembled Door"/>
    <n v="20"/>
    <n v="12"/>
    <s v="No"/>
    <m/>
    <m/>
    <m/>
    <m/>
    <m/>
    <s v="Yes"/>
    <m/>
    <m/>
    <m/>
    <m/>
    <m/>
    <m/>
    <m/>
    <x v="2"/>
  </r>
  <r>
    <n v="427"/>
    <x v="2"/>
    <m/>
    <m/>
    <x v="2"/>
    <x v="0"/>
    <s v="25-00607"/>
    <s v="25ROM016"/>
    <s v="Cable kit wire cross section optimization"/>
    <x v="6"/>
    <x v="2"/>
    <s v="ICM"/>
    <x v="2"/>
    <s v="Electrical Parts"/>
    <s v="Electrical Components"/>
    <s v="Cable Harnesses"/>
    <n v="3"/>
    <n v="2"/>
    <s v="No"/>
    <m/>
    <m/>
    <m/>
    <m/>
    <n v="1"/>
    <s v="Yes"/>
    <m/>
    <m/>
    <m/>
    <m/>
    <m/>
    <m/>
    <m/>
    <x v="0"/>
  </r>
  <r>
    <n v="428"/>
    <x v="2"/>
    <m/>
    <m/>
    <x v="2"/>
    <x v="0"/>
    <s v="25-00607"/>
    <s v="25ROM017"/>
    <s v="Power cable wire cross sections optimization"/>
    <x v="6"/>
    <x v="2"/>
    <s v="ICM"/>
    <x v="2"/>
    <s v="Electrical Parts"/>
    <s v="Electrical Components"/>
    <s v="Power Cables"/>
    <n v="2"/>
    <n v="2"/>
    <s v="No"/>
    <m/>
    <m/>
    <m/>
    <m/>
    <n v="0"/>
    <s v="Yes"/>
    <m/>
    <m/>
    <m/>
    <m/>
    <m/>
    <m/>
    <m/>
    <x v="0"/>
  </r>
  <r>
    <n v="429"/>
    <x v="30"/>
    <m/>
    <m/>
    <x v="2"/>
    <x v="0"/>
    <s v="24-00554"/>
    <s v="25SRC029/30"/>
    <s v="Reed switch Ease MC37-C"/>
    <x v="6"/>
    <x v="2"/>
    <s v="ICM"/>
    <x v="0"/>
    <s v="Electrical Parts"/>
    <s v="Electrical Components"/>
    <s v="Electrical Components"/>
    <n v="0.5"/>
    <n v="2"/>
    <s v="No"/>
    <m/>
    <m/>
    <m/>
    <m/>
    <n v="0"/>
    <s v="Yes"/>
    <m/>
    <m/>
    <m/>
    <m/>
    <m/>
    <m/>
    <m/>
    <x v="0"/>
  </r>
  <r>
    <n v="430"/>
    <x v="0"/>
    <m/>
    <m/>
    <x v="2"/>
    <x v="2"/>
    <s v="24-00574"/>
    <s v="N/A"/>
    <s v="Optional EM lock for MAX-750 [R290] B &amp; MAX-750 [R290] C "/>
    <x v="6"/>
    <x v="2"/>
    <s v="ICM"/>
    <x v="1"/>
    <s v="Electrical Parts"/>
    <s v="Electrical Components"/>
    <s v="Locks"/>
    <n v="0"/>
    <m/>
    <s v="No"/>
    <m/>
    <m/>
    <m/>
    <m/>
    <n v="0"/>
    <s v="Yes"/>
    <m/>
    <m/>
    <m/>
    <m/>
    <m/>
    <m/>
    <m/>
    <x v="0"/>
  </r>
  <r>
    <n v="431"/>
    <x v="8"/>
    <m/>
    <m/>
    <x v="0"/>
    <x v="2"/>
    <s v="24-00540"/>
    <s v="N/A"/>
    <s v="450 Lt model with New Monster branding"/>
    <x v="6"/>
    <x v="2"/>
    <s v="ICM"/>
    <x v="1"/>
    <s v="Door"/>
    <s v="Door Components &amp; Acc."/>
    <s v="Assembled Door"/>
    <n v="0"/>
    <m/>
    <s v="No"/>
    <m/>
    <m/>
    <m/>
    <m/>
    <n v="0"/>
    <m/>
    <m/>
    <m/>
    <m/>
    <m/>
    <m/>
    <m/>
    <m/>
    <x v="0"/>
  </r>
  <r>
    <n v="432"/>
    <x v="32"/>
    <m/>
    <m/>
    <x v="0"/>
    <x v="0"/>
    <s v="24-00536"/>
    <s v="Missing"/>
    <s v="New pilaster"/>
    <x v="6"/>
    <x v="2"/>
    <s v="ICM"/>
    <x v="2"/>
    <s v="Insulated Cabin"/>
    <s v="Steel &amp; Parts"/>
    <s v="Metal Processing &amp; Components"/>
    <n v="0"/>
    <m/>
    <s v="No"/>
    <m/>
    <m/>
    <m/>
    <m/>
    <n v="0"/>
    <s v="N/A"/>
    <m/>
    <m/>
    <m/>
    <m/>
    <m/>
    <m/>
    <m/>
    <x v="5"/>
  </r>
  <r>
    <n v="433"/>
    <x v="33"/>
    <m/>
    <m/>
    <x v="2"/>
    <x v="0"/>
    <s v="24-00507"/>
    <s v="Missing"/>
    <s v="New plastic reinforcements"/>
    <x v="6"/>
    <x v="2"/>
    <s v="ICM"/>
    <x v="2"/>
    <s v="Insulated Cabin"/>
    <s v="Other"/>
    <s v="Other Materials"/>
    <n v="0.5"/>
    <n v="2"/>
    <s v="No"/>
    <m/>
    <m/>
    <m/>
    <m/>
    <n v="0"/>
    <s v="N/A"/>
    <m/>
    <m/>
    <m/>
    <m/>
    <m/>
    <m/>
    <m/>
    <x v="0"/>
  </r>
  <r>
    <n v="434"/>
    <x v="8"/>
    <m/>
    <m/>
    <x v="0"/>
    <x v="2"/>
    <s v="24-00542"/>
    <s v="N/A"/>
    <s v="IC 2 300 Eco with New Monster branding"/>
    <x v="6"/>
    <x v="2"/>
    <s v="ICM"/>
    <x v="1"/>
    <s v="Door"/>
    <s v="Door Components &amp; Acc."/>
    <s v="Assembled Door"/>
    <n v="0"/>
    <m/>
    <s v="No"/>
    <m/>
    <m/>
    <m/>
    <m/>
    <n v="0"/>
    <m/>
    <m/>
    <m/>
    <m/>
    <m/>
    <m/>
    <m/>
    <m/>
    <x v="0"/>
  </r>
  <r>
    <n v="435"/>
    <x v="2"/>
    <m/>
    <m/>
    <x v="0"/>
    <x v="2"/>
    <s v="24-00569"/>
    <s v="N/A"/>
    <s v="Optional L-R door for Plus 450 with LED including new production with left hand hinged door"/>
    <x v="6"/>
    <x v="2"/>
    <s v="ICM"/>
    <x v="1"/>
    <s v="Door"/>
    <s v="Door Components &amp; Acc."/>
    <s v="Assembled Door"/>
    <n v="0"/>
    <m/>
    <s v="No"/>
    <m/>
    <m/>
    <m/>
    <m/>
    <n v="0"/>
    <s v="Yes"/>
    <m/>
    <m/>
    <m/>
    <m/>
    <m/>
    <m/>
    <m/>
    <x v="0"/>
  </r>
  <r>
    <n v="436"/>
    <x v="34"/>
    <m/>
    <m/>
    <x v="2"/>
    <x v="2"/>
    <s v="24-00565"/>
    <s v="N/A"/>
    <s v="ICOOL2 Door with Neon LED  for Max 450 - 700 -1000"/>
    <x v="6"/>
    <x v="2"/>
    <s v="ICM"/>
    <x v="1"/>
    <s v="Door"/>
    <s v="Door Components &amp; Acc."/>
    <s v="Assembled Door"/>
    <n v="1"/>
    <n v="2"/>
    <s v="No"/>
    <m/>
    <m/>
    <m/>
    <m/>
    <n v="0"/>
    <s v="Yes"/>
    <m/>
    <m/>
    <m/>
    <m/>
    <m/>
    <m/>
    <m/>
    <x v="0"/>
  </r>
  <r>
    <n v="437"/>
    <x v="2"/>
    <m/>
    <m/>
    <x v="2"/>
    <x v="2"/>
    <s v="24-00576"/>
    <s v="N/A"/>
    <s v="Frameless &amp; ICOOL2 Spring type doors for Max B range"/>
    <x v="6"/>
    <x v="2"/>
    <s v="ICM"/>
    <x v="1"/>
    <s v="Door"/>
    <s v="Door Components &amp; Acc."/>
    <s v="Assembled Door"/>
    <n v="2.5"/>
    <n v="2"/>
    <s v="No"/>
    <m/>
    <m/>
    <m/>
    <m/>
    <n v="0"/>
    <s v="Yes"/>
    <m/>
    <m/>
    <m/>
    <m/>
    <m/>
    <m/>
    <m/>
    <x v="0"/>
  </r>
  <r>
    <n v="438"/>
    <x v="0"/>
    <m/>
    <m/>
    <x v="2"/>
    <x v="2"/>
    <s v="25-00578"/>
    <s v="N/A"/>
    <s v="Monster aesthetics for ICOOL2ECO-300 B"/>
    <x v="6"/>
    <x v="2"/>
    <s v="ICM"/>
    <x v="1"/>
    <s v="Door"/>
    <s v="Door Components &amp; Acc."/>
    <s v="Assembled Door"/>
    <n v="0"/>
    <n v="2"/>
    <s v="No"/>
    <m/>
    <m/>
    <m/>
    <m/>
    <n v="0"/>
    <s v="Yes"/>
    <m/>
    <m/>
    <m/>
    <m/>
    <m/>
    <m/>
    <m/>
    <x v="0"/>
  </r>
  <r>
    <n v="439"/>
    <x v="0"/>
    <m/>
    <m/>
    <x v="2"/>
    <x v="2"/>
    <s v="25-00579"/>
    <s v="N/A"/>
    <s v="ICOOL2ECO-450 [R290] B with Monster aesthetics"/>
    <x v="6"/>
    <x v="2"/>
    <s v="ICM"/>
    <x v="1"/>
    <s v="Door"/>
    <s v="Door Components &amp; Acc."/>
    <s v="Assembled Door"/>
    <n v="0.5"/>
    <n v="2"/>
    <s v="No"/>
    <m/>
    <m/>
    <m/>
    <m/>
    <n v="0"/>
    <s v="Yes"/>
    <m/>
    <m/>
    <m/>
    <m/>
    <m/>
    <m/>
    <m/>
    <x v="0"/>
  </r>
  <r>
    <n v="440"/>
    <x v="0"/>
    <m/>
    <m/>
    <x v="2"/>
    <x v="2"/>
    <s v="25-00581"/>
    <s v="N/A"/>
    <s v="ICOOL2ECO door with 3D illuminated Hell logo for MAX-450 C"/>
    <x v="6"/>
    <x v="2"/>
    <s v="ICM"/>
    <x v="1"/>
    <s v="Door"/>
    <s v="Door Components &amp; Acc."/>
    <s v="Assembled Door"/>
    <n v="0.5"/>
    <n v="2"/>
    <s v="No"/>
    <m/>
    <m/>
    <m/>
    <m/>
    <n v="0"/>
    <s v="Yes"/>
    <m/>
    <m/>
    <m/>
    <m/>
    <m/>
    <m/>
    <m/>
    <x v="0"/>
  </r>
  <r>
    <n v="441"/>
    <x v="0"/>
    <m/>
    <m/>
    <x v="0"/>
    <x v="2"/>
    <s v="25-00582"/>
    <s v="N/A"/>
    <s v="ICOOL2ECO door with 3D illuminated HELL logo for MAX-700 C"/>
    <x v="6"/>
    <x v="2"/>
    <s v="ICM"/>
    <x v="1"/>
    <s v="Door"/>
    <s v="Door Components &amp; Acc."/>
    <s v="Assembled Door"/>
    <n v="0.5"/>
    <n v="4"/>
    <s v="No"/>
    <m/>
    <m/>
    <m/>
    <m/>
    <n v="0"/>
    <s v="Yes"/>
    <m/>
    <m/>
    <m/>
    <m/>
    <m/>
    <m/>
    <m/>
    <x v="0"/>
  </r>
  <r>
    <n v="442"/>
    <x v="2"/>
    <m/>
    <m/>
    <x v="2"/>
    <x v="2"/>
    <s v="24-00564"/>
    <s v="N/A"/>
    <s v="New Coca-Cola branding for CCEP Europe"/>
    <x v="6"/>
    <x v="2"/>
    <s v="ICM"/>
    <x v="1"/>
    <s v="Insulated Cabin"/>
    <s v="Other"/>
    <s v="Printing Materials"/>
    <n v="0"/>
    <m/>
    <s v="No"/>
    <m/>
    <m/>
    <m/>
    <m/>
    <n v="0"/>
    <s v="N/A"/>
    <m/>
    <m/>
    <m/>
    <m/>
    <m/>
    <m/>
    <m/>
    <x v="1"/>
  </r>
  <r>
    <n v="443"/>
    <x v="35"/>
    <m/>
    <m/>
    <x v="1"/>
    <x v="1"/>
    <s v="24-00548"/>
    <s v="N/A"/>
    <s v="MAX-1200 HD [R290] B commercialization ex Romania "/>
    <x v="6"/>
    <x v="2"/>
    <s v="ICM"/>
    <x v="1"/>
    <s v="Complete Cooler"/>
    <s v="N/A"/>
    <s v="N/A"/>
    <n v="2"/>
    <n v="2"/>
    <s v="Yes"/>
    <m/>
    <m/>
    <m/>
    <m/>
    <n v="0"/>
    <s v="Yes"/>
    <m/>
    <m/>
    <m/>
    <m/>
    <m/>
    <m/>
    <m/>
    <x v="0"/>
  </r>
  <r>
    <n v="444"/>
    <x v="35"/>
    <m/>
    <m/>
    <x v="1"/>
    <x v="1"/>
    <s v="24-00547"/>
    <s v="N/A"/>
    <s v="MAX-750 [R290] B commercialization ex Romania"/>
    <x v="6"/>
    <x v="2"/>
    <s v="ICM"/>
    <x v="1"/>
    <s v="Complete Cooler"/>
    <s v="N/A"/>
    <s v="N/A"/>
    <n v="2"/>
    <n v="2"/>
    <s v="Yes"/>
    <m/>
    <m/>
    <m/>
    <m/>
    <n v="0"/>
    <s v="Yes"/>
    <m/>
    <m/>
    <m/>
    <m/>
    <m/>
    <m/>
    <m/>
    <x v="0"/>
  </r>
  <r>
    <n v="445"/>
    <x v="2"/>
    <m/>
    <m/>
    <x v="2"/>
    <x v="0"/>
    <s v="24-00572"/>
    <s v="25ROM011"/>
    <s v="L- Shape handle new design to Max, Plus &amp; ICOOL2 models  "/>
    <x v="6"/>
    <x v="2"/>
    <s v="ICM"/>
    <x v="1"/>
    <s v="Door"/>
    <s v="Steel &amp; Parts"/>
    <s v="Metal Processing &amp; Components"/>
    <n v="0"/>
    <n v="2"/>
    <s v="No"/>
    <m/>
    <m/>
    <m/>
    <m/>
    <n v="0"/>
    <s v="N/A"/>
    <m/>
    <m/>
    <m/>
    <m/>
    <m/>
    <m/>
    <m/>
    <x v="0"/>
  </r>
  <r>
    <n v="446"/>
    <x v="7"/>
    <m/>
    <m/>
    <x v="2"/>
    <x v="2"/>
    <s v="25-00612"/>
    <s v="N/A"/>
    <s v="Stabilization/Support kit for Plus 900 HD to prevent sagging of cooling mechanism due to customer mis-use"/>
    <x v="6"/>
    <x v="2"/>
    <m/>
    <x v="1"/>
    <m/>
    <m/>
    <m/>
    <m/>
    <m/>
    <m/>
    <m/>
    <m/>
    <m/>
    <m/>
    <m/>
    <m/>
    <m/>
    <m/>
    <m/>
    <m/>
    <m/>
    <m/>
    <m/>
    <x v="1"/>
  </r>
  <r>
    <n v="447"/>
    <x v="4"/>
    <m/>
    <m/>
    <x v="2"/>
    <x v="2"/>
    <s v="25-00609"/>
    <s v="N/A"/>
    <s v="Full door sticker for Max 750 and Max 1200"/>
    <x v="6"/>
    <x v="2"/>
    <s v="ICM"/>
    <x v="1"/>
    <m/>
    <m/>
    <m/>
    <m/>
    <m/>
    <m/>
    <m/>
    <m/>
    <m/>
    <m/>
    <m/>
    <m/>
    <m/>
    <m/>
    <m/>
    <m/>
    <m/>
    <m/>
    <m/>
    <x v="0"/>
  </r>
  <r>
    <n v="448"/>
    <x v="5"/>
    <m/>
    <m/>
    <x v="2"/>
    <x v="2"/>
    <s v="25-00616"/>
    <s v="N/A"/>
    <s v="Update of the FDE parameters list in ICOOL2ECO-300/500/450/900/1000 models"/>
    <x v="6"/>
    <x v="2"/>
    <m/>
    <x v="5"/>
    <m/>
    <m/>
    <m/>
    <m/>
    <m/>
    <m/>
    <m/>
    <m/>
    <m/>
    <m/>
    <m/>
    <m/>
    <m/>
    <m/>
    <m/>
    <m/>
    <m/>
    <m/>
    <m/>
    <x v="0"/>
  </r>
  <r>
    <n v="449"/>
    <x v="10"/>
    <m/>
    <m/>
    <x v="2"/>
    <x v="2"/>
    <s v="25-00614"/>
    <s v="N/A"/>
    <s v="Dimmer for Max 450 B"/>
    <x v="6"/>
    <x v="2"/>
    <s v="ICM"/>
    <x v="1"/>
    <s v="PDD-N"/>
    <s v="Adrian"/>
    <d v="2025-04-25T00:00:00"/>
    <m/>
    <m/>
    <m/>
    <m/>
    <m/>
    <m/>
    <m/>
    <m/>
    <m/>
    <m/>
    <m/>
    <m/>
    <m/>
    <m/>
    <m/>
    <m/>
    <x v="0"/>
  </r>
  <r>
    <n v="450"/>
    <x v="10"/>
    <m/>
    <m/>
    <x v="2"/>
    <x v="2"/>
    <s v="25-00619"/>
    <s v="N/A"/>
    <s v="Pepsi 3D Branding for MAX 450 B"/>
    <x v="6"/>
    <x v="2"/>
    <s v="ICM"/>
    <x v="1"/>
    <m/>
    <m/>
    <m/>
    <m/>
    <m/>
    <m/>
    <m/>
    <m/>
    <m/>
    <m/>
    <m/>
    <m/>
    <m/>
    <m/>
    <m/>
    <m/>
    <m/>
    <m/>
    <m/>
    <x v="0"/>
  </r>
  <r>
    <n v="451"/>
    <x v="22"/>
    <m/>
    <m/>
    <x v="2"/>
    <x v="0"/>
    <s v="25-00593"/>
    <s v="Missing"/>
    <s v="Qingda Reed Switch"/>
    <x v="6"/>
    <x v="2"/>
    <s v="ICM"/>
    <x v="0"/>
    <s v="Electrical Parts"/>
    <s v="Electrical Components"/>
    <s v="Electrical Components"/>
    <n v="0.5"/>
    <n v="2"/>
    <s v="No"/>
    <m/>
    <m/>
    <m/>
    <m/>
    <n v="0"/>
    <s v="Yes"/>
    <m/>
    <m/>
    <m/>
    <m/>
    <m/>
    <m/>
    <m/>
    <x v="0"/>
  </r>
  <r>
    <n v="452"/>
    <x v="34"/>
    <m/>
    <m/>
    <x v="0"/>
    <x v="0"/>
    <s v="24-00568"/>
    <s v="25SRC013"/>
    <s v="Compressor Huayi NUF45NA as alternative to Wanbao FTB45"/>
    <x v="6"/>
    <x v="2"/>
    <s v="ICM"/>
    <x v="0"/>
    <s v="Cooling Mechanism"/>
    <s v="Cooling Components"/>
    <s v="Compressors"/>
    <n v="0.5"/>
    <n v="4"/>
    <s v="Yes"/>
    <m/>
    <m/>
    <m/>
    <m/>
    <n v="0"/>
    <s v="Yes"/>
    <m/>
    <m/>
    <m/>
    <m/>
    <m/>
    <m/>
    <m/>
    <x v="0"/>
  </r>
  <r>
    <n v="453"/>
    <x v="34"/>
    <m/>
    <m/>
    <x v="0"/>
    <x v="0"/>
    <s v="24-00568"/>
    <s v="25SRC013_2"/>
    <s v="Max-450 [R290] B Meta Certification "/>
    <x v="6"/>
    <x v="2"/>
    <s v="ICM"/>
    <x v="6"/>
    <s v="Cooling Mechanism"/>
    <s v="Cooling Components"/>
    <m/>
    <n v="0"/>
    <m/>
    <s v="Yes"/>
    <m/>
    <m/>
    <m/>
    <m/>
    <n v="6"/>
    <m/>
    <m/>
    <m/>
    <m/>
    <m/>
    <m/>
    <m/>
    <m/>
    <x v="5"/>
  </r>
  <r>
    <n v="454"/>
    <x v="35"/>
    <m/>
    <m/>
    <x v="0"/>
    <x v="2"/>
    <s v="24-00551"/>
    <s v="Missing"/>
    <s v="Max 450 C _x000a_Donper SK43CU1_x000a_Su 50 DU1  "/>
    <x v="6"/>
    <x v="2"/>
    <s v="ICM"/>
    <x v="5"/>
    <m/>
    <m/>
    <m/>
    <n v="0"/>
    <m/>
    <s v="Yes"/>
    <m/>
    <m/>
    <m/>
    <m/>
    <n v="10"/>
    <m/>
    <m/>
    <m/>
    <m/>
    <m/>
    <m/>
    <m/>
    <m/>
    <x v="5"/>
  </r>
  <r>
    <n v="455"/>
    <x v="36"/>
    <m/>
    <m/>
    <x v="0"/>
    <x v="2"/>
    <s v="TBA"/>
    <s v="Missing"/>
    <s v="Alternative compressor_x000a_ Donper VFLJ070  to Wanbao VFTB72_x000a_"/>
    <x v="6"/>
    <x v="2"/>
    <s v="ICM"/>
    <x v="0"/>
    <m/>
    <m/>
    <m/>
    <n v="0"/>
    <m/>
    <s v="Yes"/>
    <m/>
    <m/>
    <m/>
    <m/>
    <n v="10"/>
    <m/>
    <m/>
    <m/>
    <m/>
    <m/>
    <m/>
    <m/>
    <m/>
    <x v="1"/>
  </r>
  <r>
    <n v="456"/>
    <x v="35"/>
    <m/>
    <m/>
    <x v="0"/>
    <x v="2"/>
    <s v="24-00563"/>
    <s v="N/A"/>
    <s v="IC2-500 &amp; IC2-800 D Condition : Feasibility Study"/>
    <x v="6"/>
    <x v="2"/>
    <s v="ICM"/>
    <x v="1"/>
    <s v="Cooling Mechanism"/>
    <s v="Other"/>
    <s v="Other Materials"/>
    <n v="3"/>
    <n v="4"/>
    <s v="Yes"/>
    <m/>
    <m/>
    <m/>
    <m/>
    <n v="8"/>
    <m/>
    <m/>
    <m/>
    <m/>
    <m/>
    <m/>
    <m/>
    <m/>
    <x v="5"/>
  </r>
  <r>
    <n v="457"/>
    <x v="37"/>
    <m/>
    <m/>
    <x v="0"/>
    <x v="0"/>
    <s v="25-00606"/>
    <s v="25ROM015"/>
    <s v="Small electrical box for Plus/Max/IC2"/>
    <x v="6"/>
    <x v="2"/>
    <s v="ICM"/>
    <x v="2"/>
    <s v="Electrical Parts"/>
    <s v="Electrical Components"/>
    <s v="Injection Plastics"/>
    <n v="4"/>
    <n v="4"/>
    <s v="Yes"/>
    <m/>
    <m/>
    <m/>
    <m/>
    <n v="1"/>
    <s v="Yes"/>
    <m/>
    <m/>
    <m/>
    <m/>
    <m/>
    <m/>
    <m/>
    <x v="5"/>
  </r>
  <r>
    <n v="458"/>
    <x v="22"/>
    <m/>
    <m/>
    <x v="2"/>
    <x v="0"/>
    <s v="25-00594"/>
    <s v="Missing"/>
    <s v="Yongxing Switch"/>
    <x v="6"/>
    <x v="2"/>
    <s v="ICM"/>
    <x v="0"/>
    <s v="Electrical Parts"/>
    <s v="Electrical Components"/>
    <s v="Electrical Components"/>
    <n v="0.5"/>
    <n v="2"/>
    <s v="No"/>
    <m/>
    <m/>
    <m/>
    <m/>
    <n v="0"/>
    <s v="Yes"/>
    <m/>
    <m/>
    <m/>
    <m/>
    <m/>
    <m/>
    <m/>
    <x v="0"/>
  </r>
  <r>
    <n v="459"/>
    <x v="22"/>
    <m/>
    <m/>
    <x v="2"/>
    <x v="0"/>
    <s v="25-00596"/>
    <s v="Missing"/>
    <s v="Bubujing Electronic Switch"/>
    <x v="6"/>
    <x v="2"/>
    <s v="ICM"/>
    <x v="0"/>
    <s v="Electrical Parts"/>
    <s v="Electrical Components"/>
    <s v="Electrical Components"/>
    <n v="0.5"/>
    <n v="2"/>
    <s v="No"/>
    <m/>
    <m/>
    <m/>
    <m/>
    <n v="0"/>
    <s v="Yes"/>
    <m/>
    <m/>
    <m/>
    <m/>
    <m/>
    <m/>
    <m/>
    <x v="5"/>
  </r>
  <r>
    <n v="460"/>
    <x v="22"/>
    <m/>
    <m/>
    <x v="2"/>
    <x v="0"/>
    <s v="25-00597"/>
    <s v="Missing"/>
    <s v="Coolwell TCB"/>
    <x v="6"/>
    <x v="2"/>
    <s v="ICM"/>
    <x v="0"/>
    <s v="Electrical Parts"/>
    <s v="Electrical Components"/>
    <s v="Electrical Components"/>
    <n v="0.5"/>
    <n v="2"/>
    <s v="No"/>
    <m/>
    <m/>
    <m/>
    <m/>
    <n v="0"/>
    <s v="Yes"/>
    <m/>
    <m/>
    <m/>
    <m/>
    <m/>
    <m/>
    <m/>
    <x v="0"/>
  </r>
  <r>
    <n v="461"/>
    <x v="22"/>
    <m/>
    <m/>
    <x v="2"/>
    <x v="0"/>
    <s v="25-00598"/>
    <s v="Missing"/>
    <s v="Qingda TCB"/>
    <x v="6"/>
    <x v="2"/>
    <s v="ICM"/>
    <x v="0"/>
    <s v="Electrical Parts"/>
    <s v="Electrical Components"/>
    <s v="Electrical Components"/>
    <n v="0.5"/>
    <n v="2"/>
    <s v="No"/>
    <m/>
    <m/>
    <m/>
    <m/>
    <n v="0"/>
    <s v="Yes"/>
    <m/>
    <m/>
    <m/>
    <m/>
    <m/>
    <m/>
    <m/>
    <x v="0"/>
  </r>
  <r>
    <n v="462"/>
    <x v="22"/>
    <m/>
    <m/>
    <x v="2"/>
    <x v="0"/>
    <s v="25-00599"/>
    <s v="Missing"/>
    <s v="Oxvardar Glass"/>
    <x v="6"/>
    <x v="2"/>
    <s v="ICM"/>
    <x v="0"/>
    <s v="Door"/>
    <s v="Door Components &amp; Acc."/>
    <s v="Glass"/>
    <n v="0"/>
    <n v="2"/>
    <s v="No"/>
    <m/>
    <m/>
    <m/>
    <m/>
    <n v="0"/>
    <s v="Yes"/>
    <m/>
    <m/>
    <s v="12.04.25 Safety test PASS"/>
    <m/>
    <m/>
    <m/>
    <m/>
    <x v="0"/>
  </r>
  <r>
    <n v="463"/>
    <x v="25"/>
    <m/>
    <m/>
    <x v="2"/>
    <x v="2"/>
    <s v="25-00627"/>
    <m/>
    <s v="_x0009_ICOOL2 Eco range with Door Neon LED"/>
    <x v="6"/>
    <x v="2"/>
    <s v="ICM"/>
    <x v="1"/>
    <s v="Door"/>
    <s v="Door Components &amp; Acc."/>
    <s v="Assembled Door"/>
    <m/>
    <m/>
    <s v="No"/>
    <m/>
    <m/>
    <m/>
    <m/>
    <m/>
    <s v="Yes"/>
    <m/>
    <m/>
    <m/>
    <m/>
    <m/>
    <m/>
    <m/>
    <x v="0"/>
  </r>
  <r>
    <n v="464"/>
    <x v="32"/>
    <m/>
    <m/>
    <x v="2"/>
    <x v="0"/>
    <s v="24-00535"/>
    <s v="25SRC054/56"/>
    <s v="LUK LEDs LRB B/S/G Series"/>
    <x v="6"/>
    <x v="2"/>
    <s v="ICM"/>
    <x v="0"/>
    <s v="Illumination"/>
    <s v="Electrical Components"/>
    <s v="LED"/>
    <n v="1.5"/>
    <n v="2"/>
    <s v="No"/>
    <m/>
    <m/>
    <m/>
    <m/>
    <n v="0"/>
    <s v="Yes"/>
    <m/>
    <m/>
    <m/>
    <m/>
    <m/>
    <m/>
    <m/>
    <x v="0"/>
  </r>
  <r>
    <n v="465"/>
    <x v="32"/>
    <m/>
    <m/>
    <x v="2"/>
    <x v="0"/>
    <s v="24-00534"/>
    <s v="25SRC021/27"/>
    <s v="Conrun LEDs LRB B/S/G series"/>
    <x v="6"/>
    <x v="2"/>
    <s v="ICM"/>
    <x v="0"/>
    <s v="Illumination"/>
    <s v="Electrical Components"/>
    <s v="LED"/>
    <n v="1.5"/>
    <n v="2"/>
    <s v="No"/>
    <m/>
    <m/>
    <m/>
    <m/>
    <n v="0"/>
    <s v="Yes"/>
    <m/>
    <m/>
    <m/>
    <m/>
    <m/>
    <m/>
    <m/>
    <x v="0"/>
  </r>
  <r>
    <n v="466"/>
    <x v="38"/>
    <m/>
    <m/>
    <x v="0"/>
    <x v="2"/>
    <s v="TBA"/>
    <s v="N/A"/>
    <s v="MAX-1200 B _META Certification VFTB72 Compressor "/>
    <x v="6"/>
    <x v="2"/>
    <s v="ICM"/>
    <x v="5"/>
    <m/>
    <m/>
    <m/>
    <n v="0"/>
    <m/>
    <s v="Yes"/>
    <m/>
    <m/>
    <m/>
    <m/>
    <n v="11"/>
    <m/>
    <m/>
    <m/>
    <m/>
    <m/>
    <m/>
    <m/>
    <m/>
    <x v="0"/>
  </r>
  <r>
    <n v="467"/>
    <x v="1"/>
    <m/>
    <m/>
    <x v="0"/>
    <x v="0"/>
    <s v="24-00530"/>
    <s v="Missing"/>
    <s v="Weiguang 5W EC Block Motor ECM12038"/>
    <x v="6"/>
    <x v="2"/>
    <s v="ICM"/>
    <x v="0"/>
    <s v="Cooling Mechanism"/>
    <s v="Electrical Components"/>
    <s v="Block Motors"/>
    <n v="1.5"/>
    <n v="4"/>
    <s v="Yes"/>
    <m/>
    <m/>
    <m/>
    <m/>
    <n v="0"/>
    <s v="Yes"/>
    <m/>
    <m/>
    <m/>
    <m/>
    <m/>
    <m/>
    <m/>
    <x v="5"/>
  </r>
  <r>
    <n v="468"/>
    <x v="1"/>
    <m/>
    <m/>
    <x v="0"/>
    <x v="0"/>
    <s v="24-00529"/>
    <s v="Missing"/>
    <s v="XRL 5W EC Block Motor RJM1238S2"/>
    <x v="6"/>
    <x v="2"/>
    <s v="ICM"/>
    <x v="0"/>
    <s v="Cooling Mechanism"/>
    <s v="Electrical Components"/>
    <s v="Block Motors"/>
    <n v="1.5"/>
    <n v="4"/>
    <s v="Yes"/>
    <m/>
    <m/>
    <m/>
    <m/>
    <n v="0"/>
    <s v="Yes"/>
    <m/>
    <m/>
    <m/>
    <m/>
    <m/>
    <m/>
    <m/>
    <x v="5"/>
  </r>
  <r>
    <n v="469"/>
    <x v="1"/>
    <m/>
    <m/>
    <x v="0"/>
    <x v="0"/>
    <s v="24-00528"/>
    <s v="Missing"/>
    <s v="Hicool 5W EC Block Motor 12P230HSEC"/>
    <x v="6"/>
    <x v="2"/>
    <s v="ICM"/>
    <x v="0"/>
    <s v="Cooling Mechanism"/>
    <s v="Electrical Components"/>
    <s v="Block Motors"/>
    <n v="1.5"/>
    <n v="4"/>
    <s v="Yes"/>
    <m/>
    <m/>
    <m/>
    <m/>
    <n v="0"/>
    <s v="Yes"/>
    <m/>
    <m/>
    <m/>
    <m/>
    <m/>
    <m/>
    <m/>
    <x v="0"/>
  </r>
  <r>
    <n v="470"/>
    <x v="1"/>
    <m/>
    <m/>
    <x v="0"/>
    <x v="0"/>
    <s v="24-00527"/>
    <s v="24SRC005-1"/>
    <s v="Rexnord 5W EC Block Motor"/>
    <x v="6"/>
    <x v="2"/>
    <s v="ICM"/>
    <x v="0"/>
    <s v="Cooling Mechanism"/>
    <s v="Electrical Components"/>
    <s v="Block Motors"/>
    <n v="1.5"/>
    <n v="4"/>
    <s v="Yes"/>
    <m/>
    <m/>
    <m/>
    <m/>
    <n v="0"/>
    <s v="Yes"/>
    <m/>
    <m/>
    <m/>
    <m/>
    <m/>
    <m/>
    <m/>
    <x v="5"/>
  </r>
  <r>
    <n v="471"/>
    <x v="38"/>
    <m/>
    <m/>
    <x v="0"/>
    <x v="2"/>
    <s v="TBA"/>
    <s v="N/A"/>
    <s v="MAX-750 B _ META Certification VFTB72 Compressor "/>
    <x v="6"/>
    <x v="2"/>
    <s v="ICM"/>
    <x v="5"/>
    <m/>
    <m/>
    <m/>
    <n v="0"/>
    <m/>
    <s v="Yes"/>
    <m/>
    <m/>
    <m/>
    <m/>
    <n v="11"/>
    <m/>
    <m/>
    <m/>
    <m/>
    <m/>
    <m/>
    <m/>
    <m/>
    <x v="0"/>
  </r>
  <r>
    <n v="472"/>
    <x v="36"/>
    <m/>
    <m/>
    <x v="0"/>
    <x v="8"/>
    <s v="TBA"/>
    <m/>
    <s v="IC2-40 CC Certification"/>
    <x v="6"/>
    <x v="2"/>
    <s v="ICM"/>
    <x v="2"/>
    <m/>
    <m/>
    <m/>
    <n v="0"/>
    <m/>
    <s v="Yes"/>
    <m/>
    <m/>
    <m/>
    <m/>
    <n v="4"/>
    <m/>
    <m/>
    <m/>
    <m/>
    <m/>
    <m/>
    <m/>
    <m/>
    <x v="1"/>
  </r>
  <r>
    <n v="473"/>
    <x v="0"/>
    <m/>
    <m/>
    <x v="2"/>
    <x v="3"/>
    <s v="TBA"/>
    <s v="N/A"/>
    <s v="SM-Updates Romania"/>
    <x v="6"/>
    <x v="2"/>
    <s v="ICM"/>
    <x v="2"/>
    <m/>
    <m/>
    <m/>
    <n v="3"/>
    <n v="0"/>
    <s v="No"/>
    <m/>
    <m/>
    <m/>
    <m/>
    <m/>
    <m/>
    <m/>
    <m/>
    <m/>
    <m/>
    <m/>
    <m/>
    <m/>
    <x v="0"/>
  </r>
  <r>
    <n v="474"/>
    <x v="22"/>
    <m/>
    <m/>
    <x v="2"/>
    <x v="1"/>
    <s v="25-00600"/>
    <s v="N/A"/>
    <s v="ICOOL2ECO-900 HD [R290] B with Monster Aesthetics"/>
    <x v="6"/>
    <x v="2"/>
    <s v="ICM"/>
    <x v="1"/>
    <s v="Door"/>
    <s v="Door Components &amp; Acc."/>
    <s v="Assembled Door"/>
    <n v="0.5"/>
    <n v="2"/>
    <s v="No"/>
    <m/>
    <m/>
    <m/>
    <m/>
    <n v="0"/>
    <s v="Yes"/>
    <m/>
    <m/>
    <m/>
    <m/>
    <m/>
    <m/>
    <m/>
    <x v="0"/>
  </r>
  <r>
    <n v="475"/>
    <x v="2"/>
    <m/>
    <m/>
    <x v="0"/>
    <x v="0"/>
    <s v="25-00590"/>
    <s v="25SRC027"/>
    <s v="Keepthink controller"/>
    <x v="6"/>
    <x v="2"/>
    <s v="ICM"/>
    <x v="0"/>
    <s v="Electrical Parts"/>
    <s v="Electrical Components"/>
    <s v="Electronic Controllers &amp; Acces"/>
    <n v="2.5"/>
    <n v="4"/>
    <s v="Yes"/>
    <m/>
    <m/>
    <m/>
    <m/>
    <n v="1"/>
    <s v="Yes"/>
    <m/>
    <m/>
    <m/>
    <m/>
    <m/>
    <m/>
    <m/>
    <x v="5"/>
  </r>
  <r>
    <n v="476"/>
    <x v="30"/>
    <m/>
    <m/>
    <x v="0"/>
    <x v="0"/>
    <s v="24-00553"/>
    <s v="25SRC009"/>
    <s v="Alternative compressor to Huayi NUY90RAb - Wanbao Icool 2 1000 C _FTK95ML"/>
    <x v="6"/>
    <x v="2"/>
    <s v="ICM"/>
    <x v="0"/>
    <s v="Cooling Mechanism"/>
    <s v="Cooling Components"/>
    <s v="Compressors"/>
    <n v="2"/>
    <n v="4"/>
    <s v="Yes"/>
    <m/>
    <m/>
    <m/>
    <m/>
    <n v="0"/>
    <s v="Yes"/>
    <m/>
    <m/>
    <m/>
    <m/>
    <m/>
    <m/>
    <m/>
    <x v="0"/>
  </r>
  <r>
    <n v="477"/>
    <x v="30"/>
    <m/>
    <m/>
    <x v="0"/>
    <x v="0"/>
    <s v="24-00553"/>
    <s v="25SRC009_0"/>
    <s v="META Certification Max 1000 C "/>
    <x v="6"/>
    <x v="2"/>
    <s v="ICM"/>
    <x v="6"/>
    <s v="Cooling Mechanism"/>
    <s v="Cooling Components"/>
    <m/>
    <n v="0"/>
    <m/>
    <s v="Yes"/>
    <m/>
    <m/>
    <m/>
    <m/>
    <n v="6"/>
    <m/>
    <m/>
    <m/>
    <m/>
    <m/>
    <m/>
    <m/>
    <m/>
    <x v="5"/>
  </r>
  <r>
    <n v="478"/>
    <x v="30"/>
    <m/>
    <m/>
    <x v="0"/>
    <x v="0"/>
    <s v="24-00553"/>
    <s v="25SRC009_1"/>
    <s v="META Certification Max- 900C "/>
    <x v="6"/>
    <x v="2"/>
    <s v="ICM"/>
    <x v="6"/>
    <s v="Cooling Mechanism"/>
    <s v="Cooling Components"/>
    <m/>
    <n v="0"/>
    <m/>
    <s v="Yes"/>
    <m/>
    <m/>
    <m/>
    <m/>
    <n v="6"/>
    <m/>
    <m/>
    <m/>
    <m/>
    <m/>
    <m/>
    <m/>
    <m/>
    <x v="5"/>
  </r>
  <r>
    <n v="479"/>
    <x v="30"/>
    <m/>
    <m/>
    <x v="0"/>
    <x v="0"/>
    <s v="24-00551"/>
    <s v="25SRC012"/>
    <s v="Alternative compressor to Wanbao FTA45L - GMCC PA50EME  "/>
    <x v="6"/>
    <x v="2"/>
    <s v="ICM"/>
    <x v="0"/>
    <s v="Cooling Mechanism"/>
    <s v="Cooling Components"/>
    <s v="Compressors"/>
    <n v="2"/>
    <n v="4"/>
    <s v="Yes"/>
    <m/>
    <m/>
    <m/>
    <m/>
    <n v="0"/>
    <s v="Yes"/>
    <m/>
    <m/>
    <m/>
    <m/>
    <m/>
    <m/>
    <m/>
    <x v="5"/>
  </r>
  <r>
    <n v="480"/>
    <x v="39"/>
    <m/>
    <s v="Y"/>
    <x v="3"/>
    <x v="1"/>
    <m/>
    <s v="N/A"/>
    <s v="NGC 450 Project B rating"/>
    <x v="6"/>
    <x v="3"/>
    <s v="ICM"/>
    <x v="1"/>
    <m/>
    <s v="N/A"/>
    <s v="N/A"/>
    <n v="30"/>
    <m/>
    <s v="Yes"/>
    <n v="20"/>
    <m/>
    <n v="4"/>
    <m/>
    <n v="8"/>
    <m/>
    <m/>
    <m/>
    <m/>
    <m/>
    <m/>
    <m/>
    <m/>
    <x v="3"/>
  </r>
  <r>
    <n v="481"/>
    <x v="6"/>
    <m/>
    <s v="Y"/>
    <x v="0"/>
    <x v="1"/>
    <s v="TBA"/>
    <s v="N/A"/>
    <s v="MAX-1200 A Huayi Alternative Compressor"/>
    <x v="6"/>
    <x v="3"/>
    <s v="ICM"/>
    <x v="1"/>
    <m/>
    <s v="N/A"/>
    <s v="N/A"/>
    <n v="5"/>
    <m/>
    <s v="Yes"/>
    <n v="55"/>
    <m/>
    <m/>
    <m/>
    <n v="7"/>
    <m/>
    <m/>
    <m/>
    <m/>
    <m/>
    <m/>
    <m/>
    <m/>
    <x v="3"/>
  </r>
  <r>
    <n v="482"/>
    <x v="6"/>
    <m/>
    <s v="Y"/>
    <x v="0"/>
    <x v="1"/>
    <s v="TBA"/>
    <s v="N/A"/>
    <s v="MAX-750 A Huayi Alternative Compressor"/>
    <x v="6"/>
    <x v="3"/>
    <s v="ICM"/>
    <x v="1"/>
    <m/>
    <s v="N/A"/>
    <s v="N/A"/>
    <n v="5"/>
    <m/>
    <s v="Yes"/>
    <n v="60"/>
    <m/>
    <m/>
    <m/>
    <n v="2"/>
    <m/>
    <m/>
    <m/>
    <m/>
    <m/>
    <m/>
    <m/>
    <m/>
    <x v="3"/>
  </r>
  <r>
    <n v="483"/>
    <x v="40"/>
    <m/>
    <m/>
    <x v="3"/>
    <x v="1"/>
    <m/>
    <s v="N/A"/>
    <s v="MAX-750 [R290] A"/>
    <x v="6"/>
    <x v="3"/>
    <s v="ICM"/>
    <x v="1"/>
    <m/>
    <s v="N/A"/>
    <s v="N/A"/>
    <n v="4"/>
    <m/>
    <s v="Yes"/>
    <m/>
    <m/>
    <n v="5"/>
    <m/>
    <n v="5"/>
    <m/>
    <m/>
    <m/>
    <m/>
    <m/>
    <m/>
    <m/>
    <m/>
    <x v="0"/>
  </r>
  <r>
    <n v="484"/>
    <x v="1"/>
    <m/>
    <m/>
    <x v="1"/>
    <x v="1"/>
    <m/>
    <s v="N/A"/>
    <s v="MAX-750 [R290] B"/>
    <x v="6"/>
    <x v="3"/>
    <s v="ICM"/>
    <x v="1"/>
    <s v="Complete Cooler"/>
    <s v="N/A"/>
    <s v="N/A"/>
    <n v="1"/>
    <m/>
    <m/>
    <m/>
    <m/>
    <n v="8"/>
    <m/>
    <n v="0"/>
    <m/>
    <m/>
    <m/>
    <m/>
    <m/>
    <m/>
    <m/>
    <m/>
    <x v="0"/>
  </r>
  <r>
    <n v="485"/>
    <x v="6"/>
    <m/>
    <s v="Y"/>
    <x v="1"/>
    <x v="1"/>
    <s v="TBA"/>
    <s v="N/A"/>
    <s v="NGC 450 A rating Project"/>
    <x v="6"/>
    <x v="3"/>
    <s v="ICM"/>
    <x v="1"/>
    <s v="Complete Cooler"/>
    <s v="N/A"/>
    <s v="N/A"/>
    <n v="20"/>
    <m/>
    <s v="Yes"/>
    <n v="70"/>
    <m/>
    <m/>
    <m/>
    <n v="1"/>
    <m/>
    <m/>
    <m/>
    <m/>
    <m/>
    <m/>
    <m/>
    <m/>
    <x v="4"/>
  </r>
  <r>
    <n v="486"/>
    <x v="35"/>
    <m/>
    <m/>
    <x v="4"/>
    <x v="1"/>
    <m/>
    <s v="N/A"/>
    <s v="Corner Fridge"/>
    <x v="7"/>
    <x v="4"/>
    <s v="HA"/>
    <x v="1"/>
    <s v="Complete Cooler"/>
    <s v="N/A"/>
    <s v="N/A"/>
    <n v="3"/>
    <m/>
    <m/>
    <m/>
    <m/>
    <m/>
    <m/>
    <n v="0"/>
    <m/>
    <m/>
    <m/>
    <m/>
    <m/>
    <m/>
    <m/>
    <n v="1"/>
    <x v="0"/>
  </r>
  <r>
    <n v="487"/>
    <x v="30"/>
    <m/>
    <m/>
    <x v="5"/>
    <x v="1"/>
    <m/>
    <s v="N/A"/>
    <s v="MONSTER 2.0 40"/>
    <x v="8"/>
    <x v="5"/>
    <s v="ICM"/>
    <x v="1"/>
    <s v="Complete Cooler"/>
    <s v="N/A"/>
    <s v="N/A"/>
    <n v="0"/>
    <m/>
    <m/>
    <m/>
    <m/>
    <m/>
    <m/>
    <n v="0"/>
    <m/>
    <m/>
    <m/>
    <m/>
    <m/>
    <m/>
    <m/>
    <m/>
    <x v="0"/>
  </r>
  <r>
    <n v="488"/>
    <x v="8"/>
    <m/>
    <m/>
    <x v="5"/>
    <x v="1"/>
    <m/>
    <s v="N/A"/>
    <s v="MONSTER 2.0 130"/>
    <x v="7"/>
    <x v="4"/>
    <s v="ICM"/>
    <x v="1"/>
    <s v="Complete Cooler"/>
    <s v="N/A"/>
    <s v="N/A"/>
    <n v="0"/>
    <m/>
    <m/>
    <m/>
    <m/>
    <m/>
    <m/>
    <n v="0"/>
    <m/>
    <m/>
    <m/>
    <m/>
    <m/>
    <m/>
    <m/>
    <m/>
    <x v="0"/>
  </r>
  <r>
    <n v="489"/>
    <x v="8"/>
    <m/>
    <m/>
    <x v="5"/>
    <x v="1"/>
    <m/>
    <s v="N/A"/>
    <s v="MONSTER EREX3.0"/>
    <x v="7"/>
    <x v="4"/>
    <s v="ICM"/>
    <x v="1"/>
    <s v="Complete Cooler"/>
    <s v="N/A"/>
    <s v="N/A"/>
    <n v="1"/>
    <m/>
    <s v="Yes"/>
    <m/>
    <m/>
    <m/>
    <m/>
    <n v="2"/>
    <m/>
    <m/>
    <m/>
    <m/>
    <m/>
    <m/>
    <m/>
    <m/>
    <x v="0"/>
  </r>
  <r>
    <n v="490"/>
    <x v="30"/>
    <m/>
    <m/>
    <x v="5"/>
    <x v="1"/>
    <m/>
    <s v="N/A"/>
    <s v="MONSTER 2.0 290"/>
    <x v="8"/>
    <x v="5"/>
    <s v="ICM"/>
    <x v="1"/>
    <s v="Complete Cooler"/>
    <s v="N/A"/>
    <s v="N/A"/>
    <n v="0"/>
    <m/>
    <m/>
    <m/>
    <m/>
    <m/>
    <m/>
    <n v="0"/>
    <m/>
    <m/>
    <m/>
    <m/>
    <m/>
    <m/>
    <m/>
    <m/>
    <x v="0"/>
  </r>
  <r>
    <n v="491"/>
    <x v="8"/>
    <m/>
    <m/>
    <x v="5"/>
    <x v="1"/>
    <m/>
    <s v="N/A"/>
    <s v="CU-350 re-design"/>
    <x v="7"/>
    <x v="4"/>
    <s v="ICM"/>
    <x v="8"/>
    <s v="Cooling Mechanism"/>
    <s v="N/A"/>
    <s v="N/A"/>
    <n v="1"/>
    <m/>
    <m/>
    <m/>
    <m/>
    <m/>
    <m/>
    <n v="0"/>
    <m/>
    <m/>
    <m/>
    <m/>
    <m/>
    <m/>
    <m/>
    <m/>
    <x v="0"/>
  </r>
  <r>
    <n v="492"/>
    <x v="32"/>
    <m/>
    <m/>
    <x v="5"/>
    <x v="2"/>
    <m/>
    <s v="N/A"/>
    <s v="IC2-150 WITH GMC CONNECTIVITY DEVICE_x000a_"/>
    <x v="7"/>
    <x v="4"/>
    <s v="ICM"/>
    <x v="1"/>
    <s v="Cabin Electronics"/>
    <s v="N/A"/>
    <s v="N/A"/>
    <n v="1"/>
    <m/>
    <m/>
    <m/>
    <m/>
    <m/>
    <m/>
    <n v="0"/>
    <m/>
    <m/>
    <m/>
    <m/>
    <m/>
    <m/>
    <m/>
    <m/>
    <x v="0"/>
  </r>
  <r>
    <n v="493"/>
    <x v="32"/>
    <m/>
    <m/>
    <x v="5"/>
    <x v="2"/>
    <m/>
    <s v="N/A"/>
    <s v="FLEX-130 GMC CONNECTIVITY DEVICE_x000a_"/>
    <x v="7"/>
    <x v="4"/>
    <s v="ICM"/>
    <x v="1"/>
    <s v="Cabin Electronics"/>
    <s v="N/A"/>
    <s v="N/A"/>
    <n v="1"/>
    <m/>
    <m/>
    <m/>
    <m/>
    <m/>
    <m/>
    <n v="0"/>
    <m/>
    <m/>
    <m/>
    <m/>
    <m/>
    <m/>
    <m/>
    <m/>
    <x v="0"/>
  </r>
  <r>
    <n v="494"/>
    <x v="32"/>
    <m/>
    <m/>
    <x v="5"/>
    <x v="2"/>
    <m/>
    <s v="N/A"/>
    <s v="EREX3.0 WITH GMC CONNECTIVITY DEVICE_x000a_"/>
    <x v="7"/>
    <x v="4"/>
    <s v="ICM"/>
    <x v="1"/>
    <s v="Cabin Electronics"/>
    <s v="N/A"/>
    <s v="N/A"/>
    <n v="1"/>
    <m/>
    <m/>
    <m/>
    <m/>
    <m/>
    <m/>
    <n v="0"/>
    <m/>
    <m/>
    <m/>
    <m/>
    <m/>
    <m/>
    <m/>
    <m/>
    <x v="0"/>
  </r>
  <r>
    <n v="495"/>
    <x v="32"/>
    <m/>
    <m/>
    <x v="5"/>
    <x v="2"/>
    <m/>
    <s v="N/A"/>
    <s v="IC2-40 WITH GMC CONNECTIVITY DEVICE_x000a_"/>
    <x v="8"/>
    <x v="5"/>
    <s v="ICM"/>
    <x v="1"/>
    <s v="Cabin Electronics"/>
    <s v="N/A"/>
    <s v="N/A"/>
    <n v="1"/>
    <m/>
    <m/>
    <m/>
    <m/>
    <m/>
    <m/>
    <n v="0"/>
    <m/>
    <m/>
    <m/>
    <m/>
    <m/>
    <m/>
    <m/>
    <m/>
    <x v="0"/>
  </r>
  <r>
    <n v="496"/>
    <x v="2"/>
    <m/>
    <m/>
    <x v="5"/>
    <x v="1"/>
    <m/>
    <s v="N/A"/>
    <s v="Premium Slim 200 (BR208 for Kazakhstan) "/>
    <x v="7"/>
    <x v="4"/>
    <s v="ICM"/>
    <x v="1"/>
    <s v="Complete Cooler"/>
    <s v="N/A"/>
    <s v="N/A"/>
    <n v="2"/>
    <m/>
    <s v="Yes"/>
    <m/>
    <m/>
    <m/>
    <m/>
    <n v="3"/>
    <m/>
    <m/>
    <m/>
    <m/>
    <m/>
    <m/>
    <m/>
    <m/>
    <x v="0"/>
  </r>
  <r>
    <n v="497"/>
    <x v="34"/>
    <m/>
    <m/>
    <x v="5"/>
    <x v="2"/>
    <m/>
    <s v="N/A"/>
    <s v="ERE3.0 voltage stabilizer  and SONCAP"/>
    <x v="7"/>
    <x v="4"/>
    <s v="ICM"/>
    <x v="1"/>
    <s v="Cooling Mechanism"/>
    <s v="N/A"/>
    <s v="N/A"/>
    <n v="1"/>
    <m/>
    <m/>
    <m/>
    <m/>
    <m/>
    <m/>
    <n v="0"/>
    <m/>
    <m/>
    <m/>
    <m/>
    <m/>
    <m/>
    <m/>
    <m/>
    <x v="0"/>
  </r>
  <r>
    <n v="498"/>
    <x v="2"/>
    <m/>
    <m/>
    <x v="5"/>
    <x v="1"/>
    <m/>
    <s v="N/A"/>
    <s v="SD 605 Kazakhstan"/>
    <x v="8"/>
    <x v="5"/>
    <s v="ICM"/>
    <x v="1"/>
    <s v="Complete Cooler"/>
    <s v="N/A"/>
    <s v="N/A"/>
    <n v="0"/>
    <m/>
    <m/>
    <m/>
    <m/>
    <m/>
    <m/>
    <n v="0"/>
    <m/>
    <m/>
    <m/>
    <m/>
    <m/>
    <m/>
    <m/>
    <m/>
    <x v="5"/>
  </r>
  <r>
    <n v="499"/>
    <x v="6"/>
    <m/>
    <m/>
    <x v="5"/>
    <x v="2"/>
    <s v="TBA"/>
    <s v="N/A"/>
    <s v="FLEX-400 @ K2 (HEINEKEN PROTOCOL)"/>
    <x v="8"/>
    <x v="5"/>
    <s v="ICM"/>
    <x v="1"/>
    <s v="Cooling Mechanism"/>
    <s v="N/A"/>
    <s v="N/A"/>
    <n v="2"/>
    <m/>
    <m/>
    <m/>
    <m/>
    <m/>
    <m/>
    <n v="0"/>
    <m/>
    <m/>
    <m/>
    <m/>
    <m/>
    <m/>
    <m/>
    <m/>
    <x v="1"/>
  </r>
  <r>
    <n v="500"/>
    <x v="0"/>
    <m/>
    <m/>
    <x v="5"/>
    <x v="3"/>
    <m/>
    <s v="N/A"/>
    <s v="Flex 35 Tall EER Improvement (@K1, EEI&lt;20)"/>
    <x v="8"/>
    <x v="5"/>
    <s v="ICM"/>
    <x v="1"/>
    <s v="Complete Cooler"/>
    <s v="N/A"/>
    <s v="N/A"/>
    <n v="2"/>
    <m/>
    <m/>
    <m/>
    <m/>
    <m/>
    <m/>
    <n v="0"/>
    <m/>
    <m/>
    <m/>
    <m/>
    <m/>
    <m/>
    <m/>
    <m/>
    <x v="0"/>
  </r>
  <r>
    <n v="501"/>
    <x v="0"/>
    <m/>
    <m/>
    <x v="5"/>
    <x v="3"/>
    <m/>
    <s v="N/A"/>
    <s v="IC2-40 EER Improvement (@K4, EEI&lt;20)"/>
    <x v="8"/>
    <x v="5"/>
    <s v="ICM"/>
    <x v="1"/>
    <s v="Complete Cooler"/>
    <s v="N/A"/>
    <s v="N/A"/>
    <n v="2"/>
    <m/>
    <s v="Yes"/>
    <m/>
    <m/>
    <m/>
    <m/>
    <n v="4"/>
    <m/>
    <m/>
    <m/>
    <m/>
    <m/>
    <m/>
    <m/>
    <m/>
    <x v="0"/>
  </r>
  <r>
    <n v="502"/>
    <x v="0"/>
    <m/>
    <s v="Y"/>
    <x v="5"/>
    <x v="3"/>
    <m/>
    <s v="N/A"/>
    <s v="IC2-40 CC Certification"/>
    <x v="8"/>
    <x v="5"/>
    <s v="ICM"/>
    <x v="1"/>
    <s v="Complete Cooler"/>
    <s v="N/A"/>
    <s v="N/A"/>
    <n v="5"/>
    <m/>
    <s v="Yes"/>
    <m/>
    <m/>
    <m/>
    <m/>
    <n v="4"/>
    <m/>
    <m/>
    <m/>
    <m/>
    <m/>
    <m/>
    <m/>
    <m/>
    <x v="1"/>
  </r>
  <r>
    <n v="503"/>
    <x v="0"/>
    <m/>
    <m/>
    <x v="5"/>
    <x v="3"/>
    <s v="TBA"/>
    <s v="N/A"/>
    <s v="IC2-40 ECO WITH FDE32"/>
    <x v="8"/>
    <x v="5"/>
    <s v="ICM"/>
    <x v="1"/>
    <s v="Complete Cooler"/>
    <s v="N/A"/>
    <s v="N/A"/>
    <n v="2"/>
    <m/>
    <m/>
    <m/>
    <m/>
    <m/>
    <m/>
    <n v="0"/>
    <s v="Yes"/>
    <m/>
    <m/>
    <m/>
    <m/>
    <m/>
    <m/>
    <m/>
    <x v="2"/>
  </r>
  <r>
    <n v="504"/>
    <x v="0"/>
    <m/>
    <m/>
    <x v="5"/>
    <x v="2"/>
    <m/>
    <s v="N/A"/>
    <s v="EREX3.0 META CERTIFICATION "/>
    <x v="7"/>
    <x v="4"/>
    <s v="ICM"/>
    <x v="1"/>
    <s v="Cooling Mechanism"/>
    <s v="N/A"/>
    <s v="N/A"/>
    <n v="0"/>
    <m/>
    <m/>
    <m/>
    <m/>
    <m/>
    <m/>
    <n v="0"/>
    <m/>
    <m/>
    <m/>
    <m/>
    <m/>
    <m/>
    <m/>
    <m/>
    <x v="0"/>
  </r>
  <r>
    <n v="505"/>
    <x v="6"/>
    <m/>
    <m/>
    <x v="5"/>
    <x v="2"/>
    <s v="TBA"/>
    <s v="N/A"/>
    <s v="EREX3.0 [R600a] C WIITH DANFOSS CONTROLLER AND PROSA "/>
    <x v="7"/>
    <x v="4"/>
    <s v="ICM"/>
    <x v="1"/>
    <s v="Cooling Mechanism"/>
    <s v="N/A"/>
    <s v="N/A"/>
    <n v="2"/>
    <m/>
    <s v="Yes"/>
    <m/>
    <m/>
    <m/>
    <m/>
    <n v="2"/>
    <m/>
    <m/>
    <m/>
    <m/>
    <m/>
    <m/>
    <m/>
    <m/>
    <x v="5"/>
  </r>
  <r>
    <n v="506"/>
    <x v="6"/>
    <m/>
    <m/>
    <x v="4"/>
    <x v="1"/>
    <s v="TBA"/>
    <s v="N/A"/>
    <s v="S8 for Kazakhstan"/>
    <x v="7"/>
    <x v="4"/>
    <s v="ICM"/>
    <x v="1"/>
    <s v="Complete Cooler"/>
    <s v="N/A"/>
    <s v="N/A"/>
    <n v="4"/>
    <m/>
    <s v="Yes"/>
    <m/>
    <m/>
    <m/>
    <m/>
    <n v="3"/>
    <m/>
    <m/>
    <m/>
    <m/>
    <m/>
    <m/>
    <m/>
    <m/>
    <x v="0"/>
  </r>
  <r>
    <n v="507"/>
    <x v="6"/>
    <m/>
    <m/>
    <x v="5"/>
    <x v="1"/>
    <s v="TBA"/>
    <s v="N/A"/>
    <s v="BAR-150 HEINEKEN"/>
    <x v="8"/>
    <x v="5"/>
    <s v="ICM"/>
    <x v="1"/>
    <s v="Complete Cooler"/>
    <s v="N/A"/>
    <s v="N/A"/>
    <n v="1"/>
    <m/>
    <m/>
    <m/>
    <m/>
    <m/>
    <m/>
    <n v="0"/>
    <m/>
    <m/>
    <m/>
    <m/>
    <m/>
    <m/>
    <m/>
    <m/>
    <x v="5"/>
  </r>
  <r>
    <n v="508"/>
    <x v="41"/>
    <m/>
    <s v="Y"/>
    <x v="4"/>
    <x v="1"/>
    <m/>
    <s v="N/A"/>
    <s v="Family Fridge"/>
    <x v="7"/>
    <x v="4"/>
    <s v="HA"/>
    <x v="1"/>
    <s v="Complete Cooler"/>
    <s v="N/A"/>
    <s v="N/A"/>
    <n v="40"/>
    <m/>
    <m/>
    <m/>
    <m/>
    <m/>
    <m/>
    <n v="0"/>
    <m/>
    <m/>
    <m/>
    <m/>
    <m/>
    <m/>
    <m/>
    <n v="3"/>
    <x v="1"/>
  </r>
  <r>
    <n v="509"/>
    <x v="6"/>
    <m/>
    <s v="Y"/>
    <x v="5"/>
    <x v="1"/>
    <s v="TBA"/>
    <s v="N/A"/>
    <s v="Drawer Freezer Climate ST"/>
    <x v="8"/>
    <x v="5"/>
    <s v="ICM"/>
    <x v="1"/>
    <s v="Complete Cooler"/>
    <s v="N/A"/>
    <s v="N/A"/>
    <n v="5"/>
    <m/>
    <m/>
    <m/>
    <m/>
    <m/>
    <m/>
    <n v="0"/>
    <m/>
    <m/>
    <m/>
    <m/>
    <m/>
    <m/>
    <m/>
    <m/>
    <x v="3"/>
  </r>
  <r>
    <n v="510"/>
    <x v="6"/>
    <m/>
    <s v="Y"/>
    <x v="5"/>
    <x v="1"/>
    <s v="TBA"/>
    <s v="N/A"/>
    <s v="Drawer Fridge Climate ST"/>
    <x v="8"/>
    <x v="5"/>
    <s v="ICM"/>
    <x v="1"/>
    <s v="Cooling Mechanism"/>
    <s v="N/A"/>
    <s v="N/A"/>
    <n v="5"/>
    <m/>
    <m/>
    <m/>
    <m/>
    <m/>
    <m/>
    <n v="0"/>
    <m/>
    <m/>
    <m/>
    <m/>
    <m/>
    <m/>
    <m/>
    <m/>
    <x v="3"/>
  </r>
  <r>
    <n v="511"/>
    <x v="0"/>
    <m/>
    <m/>
    <x v="5"/>
    <x v="2"/>
    <s v="25-00580"/>
    <s v="N/A"/>
    <s v="Flex-290 HELL"/>
    <x v="8"/>
    <x v="5"/>
    <s v="ICM"/>
    <x v="1"/>
    <s v="Door"/>
    <s v="N/A"/>
    <s v="N/A"/>
    <n v="2"/>
    <m/>
    <m/>
    <m/>
    <m/>
    <m/>
    <m/>
    <n v="0"/>
    <m/>
    <m/>
    <m/>
    <m/>
    <m/>
    <m/>
    <m/>
    <m/>
    <x v="0"/>
  </r>
  <r>
    <n v="512"/>
    <x v="0"/>
    <m/>
    <m/>
    <x v="0"/>
    <x v="3"/>
    <m/>
    <s v="N/A"/>
    <s v="SM Updates-6 SM"/>
    <x v="4"/>
    <x v="3"/>
    <s v="ICM"/>
    <x v="0"/>
    <s v="Complete Cooler"/>
    <s v="N/A"/>
    <s v="N/A"/>
    <n v="12"/>
    <m/>
    <m/>
    <m/>
    <m/>
    <m/>
    <m/>
    <n v="0"/>
    <m/>
    <m/>
    <m/>
    <m/>
    <m/>
    <m/>
    <m/>
    <m/>
    <x v="3"/>
  </r>
  <r>
    <n v="513"/>
    <x v="30"/>
    <m/>
    <m/>
    <x v="2"/>
    <x v="3"/>
    <m/>
    <s v="N/A"/>
    <s v="SM Revision Polyurethane"/>
    <x v="4"/>
    <x v="3"/>
    <s v="Other"/>
    <x v="0"/>
    <s v="Complete Cooler"/>
    <s v="N/A"/>
    <s v="N/A"/>
    <n v="0"/>
    <m/>
    <m/>
    <m/>
    <m/>
    <m/>
    <m/>
    <n v="0"/>
    <m/>
    <m/>
    <m/>
    <m/>
    <m/>
    <m/>
    <m/>
    <m/>
    <x v="0"/>
  </r>
  <r>
    <n v="514"/>
    <x v="30"/>
    <m/>
    <m/>
    <x v="2"/>
    <x v="3"/>
    <m/>
    <s v="N/A"/>
    <s v="SM Revision Harnesses/Cables"/>
    <x v="4"/>
    <x v="3"/>
    <s v="Other"/>
    <x v="0"/>
    <s v="Complete Cooler"/>
    <s v="N/A"/>
    <s v="N/A"/>
    <n v="0"/>
    <m/>
    <m/>
    <m/>
    <m/>
    <m/>
    <m/>
    <n v="0"/>
    <m/>
    <m/>
    <m/>
    <m/>
    <m/>
    <m/>
    <m/>
    <m/>
    <x v="0"/>
  </r>
  <r>
    <n v="515"/>
    <x v="30"/>
    <m/>
    <s v="Y"/>
    <x v="2"/>
    <x v="3"/>
    <m/>
    <s v="N/A"/>
    <s v="SM Revision Outsourced doors"/>
    <x v="4"/>
    <x v="3"/>
    <s v="Other"/>
    <x v="0"/>
    <s v="Complete Cooler"/>
    <s v="N/A"/>
    <s v="N/A"/>
    <n v="5"/>
    <m/>
    <m/>
    <m/>
    <m/>
    <m/>
    <m/>
    <n v="0"/>
    <m/>
    <m/>
    <m/>
    <m/>
    <m/>
    <m/>
    <m/>
    <m/>
    <x v="3"/>
  </r>
  <r>
    <n v="516"/>
    <x v="30"/>
    <m/>
    <m/>
    <x v="0"/>
    <x v="0"/>
    <s v="24-00553"/>
    <s v="25SRC009_H2"/>
    <s v="Huaiy NUM90RAa"/>
    <x v="6"/>
    <x v="2"/>
    <s v="ICM"/>
    <x v="6"/>
    <s v="Cooling Mechanism"/>
    <s v="Cooling Components"/>
    <m/>
    <n v="0"/>
    <m/>
    <s v="Yes"/>
    <m/>
    <m/>
    <m/>
    <m/>
    <n v="8"/>
    <m/>
    <m/>
    <m/>
    <m/>
    <m/>
    <m/>
    <m/>
    <m/>
    <x v="5"/>
  </r>
  <r>
    <n v="517"/>
    <x v="30"/>
    <m/>
    <m/>
    <x v="0"/>
    <x v="0"/>
    <s v="24-00552"/>
    <s v="25SRC007"/>
    <s v="Alternative compressor to Huayi NUY80RAa - Wanbao FTK80X "/>
    <x v="6"/>
    <x v="2"/>
    <s v="ICM"/>
    <x v="0"/>
    <s v="Cooling Mechanism"/>
    <s v="Cooling Components"/>
    <s v="Compressors"/>
    <n v="2"/>
    <n v="4"/>
    <s v="Yes"/>
    <m/>
    <m/>
    <m/>
    <m/>
    <n v="0"/>
    <s v="Yes"/>
    <m/>
    <m/>
    <m/>
    <m/>
    <m/>
    <m/>
    <m/>
    <x v="0"/>
  </r>
  <r>
    <n v="518"/>
    <x v="30"/>
    <m/>
    <m/>
    <x v="0"/>
    <x v="0"/>
    <s v="24-00552"/>
    <s v="25SRC007_H1"/>
    <s v="Huaiy NFG80Ra"/>
    <x v="6"/>
    <x v="2"/>
    <s v="ICM"/>
    <x v="6"/>
    <s v="Cooling Mechanism"/>
    <s v="Cooling Components"/>
    <m/>
    <n v="0"/>
    <m/>
    <s v="Yes"/>
    <m/>
    <m/>
    <m/>
    <m/>
    <n v="8"/>
    <m/>
    <m/>
    <m/>
    <m/>
    <m/>
    <m/>
    <m/>
    <m/>
    <x v="5"/>
  </r>
  <r>
    <n v="519"/>
    <x v="2"/>
    <m/>
    <s v="Y"/>
    <x v="0"/>
    <x v="0"/>
    <s v="25-00605"/>
    <s v="25ROM004"/>
    <s v="Migration to small suction line 5/16 &gt; Ø6mm for 300/700/800/900/1000 coolers range "/>
    <x v="6"/>
    <x v="2"/>
    <s v="ICM"/>
    <x v="2"/>
    <s v="Cooling Mechanism"/>
    <s v="Cooling Components"/>
    <s v="Copper Tubes"/>
    <n v="20"/>
    <n v="10"/>
    <s v="Yes"/>
    <m/>
    <m/>
    <m/>
    <m/>
    <m/>
    <s v="No"/>
    <m/>
    <m/>
    <m/>
    <m/>
    <m/>
    <m/>
    <m/>
    <x v="2"/>
  </r>
  <r>
    <n v="520"/>
    <x v="13"/>
    <m/>
    <m/>
    <x v="5"/>
    <x v="3"/>
    <m/>
    <s v="N/A"/>
    <s v="FLEX-290 EEI&lt;20 @ K1"/>
    <x v="8"/>
    <x v="5"/>
    <s v="ICM"/>
    <x v="1"/>
    <s v="Complete Cooler"/>
    <s v="N/A"/>
    <m/>
    <m/>
    <m/>
    <m/>
    <m/>
    <m/>
    <m/>
    <m/>
    <m/>
    <m/>
    <m/>
    <m/>
    <m/>
    <m/>
    <m/>
    <m/>
    <m/>
    <x v="3"/>
  </r>
  <r>
    <n v="521"/>
    <x v="10"/>
    <m/>
    <m/>
    <x v="5"/>
    <x v="1"/>
    <m/>
    <s v="N/A"/>
    <s v="Slim CT"/>
    <x v="7"/>
    <x v="4"/>
    <s v="ICM"/>
    <x v="1"/>
    <s v="Complete Cooler"/>
    <s v="N/A"/>
    <m/>
    <m/>
    <m/>
    <m/>
    <m/>
    <m/>
    <m/>
    <m/>
    <m/>
    <m/>
    <m/>
    <m/>
    <m/>
    <m/>
    <m/>
    <m/>
    <m/>
    <x v="0"/>
  </r>
  <r>
    <n v="522"/>
    <x v="25"/>
    <m/>
    <m/>
    <x v="5"/>
    <x v="1"/>
    <m/>
    <s v="N/A"/>
    <s v="Mini Cube CT"/>
    <x v="7"/>
    <x v="4"/>
    <s v="ICM"/>
    <x v="1"/>
    <s v="Complete Cooler"/>
    <s v="N/A"/>
    <m/>
    <m/>
    <m/>
    <m/>
    <m/>
    <m/>
    <m/>
    <m/>
    <m/>
    <m/>
    <m/>
    <m/>
    <m/>
    <m/>
    <m/>
    <m/>
    <m/>
    <x v="0"/>
  </r>
  <r>
    <n v="523"/>
    <x v="42"/>
    <m/>
    <m/>
    <x v="5"/>
    <x v="2"/>
    <m/>
    <s v="N/A"/>
    <s v="ERE3.0 with FDE32"/>
    <x v="7"/>
    <x v="4"/>
    <s v="ICM"/>
    <x v="1"/>
    <s v="Electrical Parts"/>
    <s v="N/A"/>
    <m/>
    <m/>
    <m/>
    <m/>
    <m/>
    <m/>
    <m/>
    <m/>
    <m/>
    <m/>
    <m/>
    <m/>
    <m/>
    <m/>
    <m/>
    <m/>
    <m/>
    <x v="0"/>
  </r>
  <r>
    <n v="524"/>
    <x v="42"/>
    <m/>
    <m/>
    <x v="5"/>
    <x v="2"/>
    <m/>
    <s v="N/A"/>
    <s v="IC2-150 with FDE32"/>
    <x v="7"/>
    <x v="4"/>
    <s v="ICM"/>
    <x v="1"/>
    <s v="Electrical Parts"/>
    <s v="N/A"/>
    <m/>
    <m/>
    <m/>
    <m/>
    <m/>
    <m/>
    <m/>
    <m/>
    <m/>
    <m/>
    <m/>
    <m/>
    <m/>
    <m/>
    <m/>
    <m/>
    <m/>
    <x v="0"/>
  </r>
  <r>
    <n v="525"/>
    <x v="43"/>
    <m/>
    <m/>
    <x v="5"/>
    <x v="2"/>
    <m/>
    <s v="N/A"/>
    <s v="FLEX-130 with FDE32"/>
    <x v="7"/>
    <x v="4"/>
    <s v="ICM"/>
    <x v="1"/>
    <s v="Electrical Parts"/>
    <s v="N/A"/>
    <m/>
    <m/>
    <m/>
    <m/>
    <m/>
    <m/>
    <m/>
    <m/>
    <m/>
    <m/>
    <m/>
    <m/>
    <m/>
    <m/>
    <m/>
    <m/>
    <m/>
    <x v="0"/>
  </r>
  <r>
    <n v="526"/>
    <x v="44"/>
    <m/>
    <s v="Y"/>
    <x v="4"/>
    <x v="1"/>
    <m/>
    <s v="N/A"/>
    <s v="TwinReach for Monster"/>
    <x v="7"/>
    <x v="4"/>
    <s v="ICM"/>
    <x v="1"/>
    <s v="Complete Cooler"/>
    <s v="N/A"/>
    <m/>
    <n v="15"/>
    <m/>
    <m/>
    <m/>
    <m/>
    <m/>
    <m/>
    <m/>
    <m/>
    <m/>
    <m/>
    <m/>
    <m/>
    <m/>
    <m/>
    <m/>
    <x v="3"/>
  </r>
  <r>
    <n v="527"/>
    <x v="45"/>
    <m/>
    <s v="Y"/>
    <x v="4"/>
    <x v="1"/>
    <m/>
    <s v="N/A"/>
    <s v="S16 (DD sliding) for Kazakhstan"/>
    <x v="9"/>
    <x v="4"/>
    <s v="ICM"/>
    <x v="1"/>
    <s v="Complete Cooler"/>
    <s v="N/A"/>
    <m/>
    <n v="15"/>
    <m/>
    <m/>
    <m/>
    <m/>
    <m/>
    <m/>
    <m/>
    <m/>
    <m/>
    <m/>
    <m/>
    <m/>
    <m/>
    <m/>
    <m/>
    <x v="3"/>
  </r>
  <r>
    <n v="528"/>
    <x v="14"/>
    <m/>
    <s v="Y"/>
    <x v="5"/>
    <x v="3"/>
    <m/>
    <s v="N/A"/>
    <s v="ERE3.0 B RATING"/>
    <x v="7"/>
    <x v="4"/>
    <s v="ICM"/>
    <x v="1"/>
    <s v="Door"/>
    <s v="N/A"/>
    <m/>
    <n v="5"/>
    <m/>
    <m/>
    <m/>
    <m/>
    <m/>
    <m/>
    <m/>
    <m/>
    <m/>
    <m/>
    <m/>
    <m/>
    <m/>
    <m/>
    <m/>
    <x v="3"/>
  </r>
  <r>
    <n v="529"/>
    <x v="6"/>
    <m/>
    <s v="Y"/>
    <x v="5"/>
    <x v="3"/>
    <s v="TBA"/>
    <s v="N/A"/>
    <s v="FLEX 60 and FLEX-60 SZ EEI Improvement"/>
    <x v="8"/>
    <x v="5"/>
    <s v="ICM"/>
    <x v="1"/>
    <m/>
    <m/>
    <m/>
    <n v="5"/>
    <m/>
    <m/>
    <m/>
    <m/>
    <m/>
    <m/>
    <m/>
    <m/>
    <m/>
    <m/>
    <m/>
    <m/>
    <m/>
    <m/>
    <m/>
    <x v="4"/>
  </r>
  <r>
    <n v="530"/>
    <x v="6"/>
    <m/>
    <s v="Y"/>
    <x v="5"/>
    <x v="3"/>
    <s v="TBA"/>
    <s v="N/A"/>
    <s v="BAR-150, BAR-250 HD &amp; SD EEI B (CC Certification)"/>
    <x v="8"/>
    <x v="5"/>
    <s v="ICM"/>
    <x v="1"/>
    <m/>
    <m/>
    <m/>
    <n v="5"/>
    <m/>
    <m/>
    <m/>
    <m/>
    <m/>
    <m/>
    <m/>
    <m/>
    <m/>
    <m/>
    <m/>
    <m/>
    <m/>
    <m/>
    <m/>
    <x v="3"/>
  </r>
  <r>
    <n v="531"/>
    <x v="6"/>
    <m/>
    <s v="Y"/>
    <x v="5"/>
    <x v="3"/>
    <s v="TBA"/>
    <s v="N/A"/>
    <s v="DRAWER FRIDGE with Extended Panel"/>
    <x v="7"/>
    <x v="5"/>
    <s v="ICM"/>
    <x v="1"/>
    <m/>
    <m/>
    <m/>
    <n v="5"/>
    <m/>
    <m/>
    <m/>
    <m/>
    <m/>
    <m/>
    <m/>
    <m/>
    <m/>
    <m/>
    <m/>
    <m/>
    <m/>
    <m/>
    <m/>
    <x v="3"/>
  </r>
  <r>
    <n v="532"/>
    <x v="46"/>
    <m/>
    <s v="Y"/>
    <x v="5"/>
    <x v="3"/>
    <m/>
    <s v="N/A"/>
    <s v="FLEX-290 @ K2 for HEINEKEN - Feasibility to define cost &amp; CAPEX for EEI&lt;15 &amp; EEI&lt;20"/>
    <x v="8"/>
    <x v="5"/>
    <s v="ICM"/>
    <x v="1"/>
    <m/>
    <m/>
    <m/>
    <n v="5"/>
    <m/>
    <m/>
    <m/>
    <m/>
    <m/>
    <m/>
    <m/>
    <m/>
    <m/>
    <m/>
    <m/>
    <m/>
    <m/>
    <m/>
    <m/>
    <x v="3"/>
  </r>
  <r>
    <n v="533"/>
    <x v="46"/>
    <m/>
    <s v="Y"/>
    <x v="5"/>
    <x v="3"/>
    <m/>
    <s v="N/A"/>
    <s v="FLEX-400 @ K2 for HEINEKEN - Feasibility to define cost &amp; CAPEX for EEI&lt;15 &amp; EEI&lt;20"/>
    <x v="8"/>
    <x v="5"/>
    <s v="ICM"/>
    <x v="1"/>
    <m/>
    <m/>
    <m/>
    <n v="5"/>
    <m/>
    <m/>
    <m/>
    <m/>
    <m/>
    <m/>
    <m/>
    <m/>
    <m/>
    <m/>
    <m/>
    <m/>
    <m/>
    <m/>
    <m/>
    <x v="3"/>
  </r>
  <r>
    <n v="534"/>
    <x v="46"/>
    <m/>
    <s v="Y"/>
    <x v="5"/>
    <x v="3"/>
    <m/>
    <s v="N/A"/>
    <s v="FLEX-130 @ K2  for HEINEKEN - Feasibility to define cost &amp; CAPEX for EEI&lt;15 &amp; EEI&lt;20"/>
    <x v="7"/>
    <x v="4"/>
    <s v="ICM"/>
    <x v="1"/>
    <m/>
    <m/>
    <m/>
    <n v="5"/>
    <m/>
    <m/>
    <m/>
    <m/>
    <m/>
    <m/>
    <m/>
    <m/>
    <m/>
    <m/>
    <m/>
    <m/>
    <m/>
    <m/>
    <m/>
    <x v="3"/>
  </r>
  <r>
    <n v="535"/>
    <x v="46"/>
    <m/>
    <s v="Y"/>
    <x v="5"/>
    <x v="3"/>
    <m/>
    <s v="N/A"/>
    <s v="MAX-150 @ K2 for HEINEKEN - Feasibility to define cost &amp; CAPEX for EEI&lt;15 &amp; EEI&lt;20"/>
    <x v="7"/>
    <x v="4"/>
    <s v="ICM"/>
    <x v="1"/>
    <m/>
    <m/>
    <m/>
    <n v="5"/>
    <m/>
    <m/>
    <m/>
    <m/>
    <m/>
    <m/>
    <m/>
    <m/>
    <m/>
    <m/>
    <m/>
    <m/>
    <m/>
    <m/>
    <m/>
    <x v="3"/>
  </r>
  <r>
    <n v="536"/>
    <x v="6"/>
    <m/>
    <s v="Y"/>
    <x v="5"/>
    <x v="3"/>
    <s v="TBA"/>
    <s v="N/A"/>
    <s v="ERE 3.0 HC @ 60HZ &amp; C-Condition with back airflow and market required features (HD Shelves,SS based, Temp. display castor. etc) – Meet CC EC’26 requirement -  ex Seitek"/>
    <x v="7"/>
    <x v="4"/>
    <s v="ICM"/>
    <x v="1"/>
    <m/>
    <m/>
    <m/>
    <n v="5"/>
    <m/>
    <m/>
    <m/>
    <m/>
    <m/>
    <m/>
    <m/>
    <m/>
    <m/>
    <m/>
    <m/>
    <m/>
    <m/>
    <m/>
    <m/>
    <x v="4"/>
  </r>
  <r>
    <n v="537"/>
    <x v="6"/>
    <m/>
    <s v="Y"/>
    <x v="5"/>
    <x v="3"/>
    <s v="TBA"/>
    <s v="N/A"/>
    <s v="S99 EER improvement"/>
    <x v="8"/>
    <x v="5"/>
    <s v="ICM"/>
    <x v="1"/>
    <m/>
    <m/>
    <m/>
    <n v="5"/>
    <m/>
    <m/>
    <m/>
    <m/>
    <m/>
    <m/>
    <m/>
    <m/>
    <m/>
    <m/>
    <m/>
    <m/>
    <m/>
    <m/>
    <m/>
    <x v="4"/>
  </r>
  <r>
    <n v="538"/>
    <x v="6"/>
    <m/>
    <s v="Y"/>
    <x v="5"/>
    <x v="2"/>
    <s v="TBA"/>
    <s v="N/A"/>
    <s v="FLEX 65 ECO ambient light Heineken Germany"/>
    <x v="8"/>
    <x v="5"/>
    <s v="ICM"/>
    <x v="1"/>
    <m/>
    <m/>
    <m/>
    <m/>
    <m/>
    <m/>
    <m/>
    <m/>
    <m/>
    <m/>
    <m/>
    <m/>
    <m/>
    <m/>
    <m/>
    <m/>
    <m/>
    <m/>
    <m/>
    <x v="4"/>
  </r>
  <r>
    <n v="539"/>
    <x v="47"/>
    <m/>
    <s v="Y"/>
    <x v="5"/>
    <x v="2"/>
    <m/>
    <s v="N/A"/>
    <s v="BEATBOX 3D LOGO PREMIUM SLIM 130"/>
    <x v="7"/>
    <x v="4"/>
    <s v="ICM"/>
    <x v="1"/>
    <m/>
    <m/>
    <m/>
    <n v="10"/>
    <m/>
    <m/>
    <m/>
    <m/>
    <m/>
    <m/>
    <m/>
    <m/>
    <m/>
    <m/>
    <m/>
    <m/>
    <m/>
    <m/>
    <m/>
    <x v="3"/>
  </r>
  <r>
    <n v="540"/>
    <x v="47"/>
    <m/>
    <s v="Y"/>
    <x v="5"/>
    <x v="2"/>
    <m/>
    <s v="N/A"/>
    <s v="BEATBOX 3D LOGO FLEX60"/>
    <x v="8"/>
    <x v="5"/>
    <s v="ICM"/>
    <x v="1"/>
    <m/>
    <m/>
    <m/>
    <n v="10"/>
    <m/>
    <m/>
    <m/>
    <m/>
    <m/>
    <m/>
    <m/>
    <m/>
    <m/>
    <m/>
    <m/>
    <m/>
    <m/>
    <m/>
    <m/>
    <x v="3"/>
  </r>
  <r>
    <n v="541"/>
    <x v="48"/>
    <m/>
    <s v="Y"/>
    <x v="5"/>
    <x v="2"/>
    <m/>
    <s v="N/A"/>
    <s v="SENSOR FOR COOLING WALL"/>
    <x v="7"/>
    <x v="4"/>
    <s v="ICM"/>
    <x v="1"/>
    <m/>
    <m/>
    <m/>
    <n v="3"/>
    <m/>
    <m/>
    <m/>
    <m/>
    <m/>
    <m/>
    <m/>
    <m/>
    <m/>
    <m/>
    <m/>
    <m/>
    <m/>
    <m/>
    <m/>
    <x v="3"/>
  </r>
  <r>
    <n v="542"/>
    <x v="49"/>
    <m/>
    <s v="Y"/>
    <x v="5"/>
    <x v="3"/>
    <m/>
    <s v="N/A"/>
    <s v="DRAWER MODELS IMPROVEMENTS"/>
    <x v="7"/>
    <x v="4"/>
    <s v="HA"/>
    <x v="1"/>
    <m/>
    <m/>
    <m/>
    <n v="5"/>
    <m/>
    <m/>
    <m/>
    <m/>
    <m/>
    <m/>
    <m/>
    <m/>
    <m/>
    <m/>
    <m/>
    <m/>
    <m/>
    <m/>
    <m/>
    <x v="3"/>
  </r>
  <r>
    <n v="543"/>
    <x v="50"/>
    <m/>
    <m/>
    <x v="2"/>
    <x v="2"/>
    <s v="25-00625"/>
    <s v="NA"/>
    <s v="MAX 700 B for packed meat products"/>
    <x v="6"/>
    <x v="2"/>
    <s v="ICM"/>
    <x v="1"/>
    <m/>
    <m/>
    <m/>
    <m/>
    <m/>
    <m/>
    <m/>
    <m/>
    <m/>
    <m/>
    <m/>
    <m/>
    <m/>
    <m/>
    <m/>
    <m/>
    <m/>
    <m/>
    <m/>
    <x v="0"/>
  </r>
  <r>
    <n v="544"/>
    <x v="36"/>
    <m/>
    <m/>
    <x v="0"/>
    <x v="2"/>
    <s v="25-00633"/>
    <s v="NA"/>
    <s v="ICOOL 2 door with Strip or LED on MAX 750 &amp; MAX 1200"/>
    <x v="6"/>
    <x v="2"/>
    <s v="ICM"/>
    <x v="1"/>
    <m/>
    <m/>
    <m/>
    <n v="4"/>
    <n v="2"/>
    <m/>
    <m/>
    <m/>
    <m/>
    <m/>
    <m/>
    <m/>
    <m/>
    <m/>
    <m/>
    <m/>
    <m/>
    <m/>
    <m/>
    <x v="2"/>
  </r>
  <r>
    <n v="545"/>
    <x v="36"/>
    <m/>
    <m/>
    <x v="0"/>
    <x v="0"/>
    <s v="25-00636"/>
    <m/>
    <s v="Wanbao VFTB-72 compressor to MAX/Plus/IC2ECO B rating models"/>
    <x v="6"/>
    <x v="2"/>
    <s v="ICM"/>
    <x v="1"/>
    <m/>
    <m/>
    <s v="Compressors"/>
    <m/>
    <m/>
    <m/>
    <m/>
    <m/>
    <m/>
    <m/>
    <m/>
    <m/>
    <m/>
    <m/>
    <m/>
    <m/>
    <m/>
    <m/>
    <m/>
    <x v="0"/>
  </r>
  <r>
    <n v="546"/>
    <x v="2"/>
    <m/>
    <m/>
    <x v="0"/>
    <x v="0"/>
    <s v="25-00605"/>
    <s v="25ROM004_1"/>
    <s v="Max-700 [R290] C and 1/4 return line pipe + NBR evaporator"/>
    <x v="6"/>
    <x v="2"/>
    <s v="ICM"/>
    <x v="6"/>
    <s v="Cooling Mechanism"/>
    <s v="Cooling Components"/>
    <m/>
    <n v="0"/>
    <m/>
    <s v="Yes"/>
    <m/>
    <m/>
    <m/>
    <m/>
    <n v="6"/>
    <m/>
    <m/>
    <m/>
    <m/>
    <m/>
    <m/>
    <m/>
    <m/>
    <x v="0"/>
  </r>
  <r>
    <n v="547"/>
    <x v="18"/>
    <m/>
    <m/>
    <x v="2"/>
    <x v="2"/>
    <s v="25-00633"/>
    <s v="NA"/>
    <s v="MAX-1200 Front Grid Fixing Improvement for LIDL"/>
    <x v="6"/>
    <x v="2"/>
    <s v="ICM"/>
    <x v="9"/>
    <m/>
    <s v="Antonis"/>
    <m/>
    <n v="3"/>
    <n v="1"/>
    <s v="No"/>
    <m/>
    <m/>
    <m/>
    <m/>
    <m/>
    <m/>
    <m/>
    <m/>
    <m/>
    <m/>
    <m/>
    <m/>
    <m/>
    <x v="0"/>
  </r>
  <r>
    <n v="548"/>
    <x v="51"/>
    <m/>
    <m/>
    <x v="2"/>
    <x v="1"/>
    <s v="25-00639"/>
    <s v="NA"/>
    <s v="Development of Plus 1200 DD with FDE-32 (K4)"/>
    <x v="6"/>
    <x v="2"/>
    <s v="ICM"/>
    <x v="9"/>
    <m/>
    <s v="Adrian"/>
    <m/>
    <n v="3"/>
    <n v="1.5"/>
    <m/>
    <m/>
    <m/>
    <m/>
    <m/>
    <m/>
    <m/>
    <m/>
    <m/>
    <m/>
    <m/>
    <m/>
    <m/>
    <m/>
    <x v="0"/>
  </r>
  <r>
    <n v="549"/>
    <x v="52"/>
    <m/>
    <m/>
    <x v="2"/>
    <x v="2"/>
    <s v="26-00655"/>
    <s v="NA"/>
    <s v="Max 700 B with 3D Pepsi logo"/>
    <x v="6"/>
    <x v="2"/>
    <s v="ICM"/>
    <x v="9"/>
    <m/>
    <s v="Bianca"/>
    <m/>
    <n v="3"/>
    <n v="1"/>
    <m/>
    <m/>
    <m/>
    <m/>
    <m/>
    <m/>
    <m/>
    <m/>
    <m/>
    <m/>
    <m/>
    <m/>
    <m/>
    <m/>
    <x v="0"/>
  </r>
  <r>
    <n v="550"/>
    <x v="52"/>
    <m/>
    <s v="Y"/>
    <x v="0"/>
    <x v="2"/>
    <s v="26-00652"/>
    <s v="NA"/>
    <s v="Beatbox Max 450 3D logo"/>
    <x v="6"/>
    <x v="2"/>
    <s v="ICM"/>
    <x v="1"/>
    <m/>
    <s v="Adrian"/>
    <m/>
    <n v="20"/>
    <n v="15"/>
    <s v="No"/>
    <m/>
    <m/>
    <m/>
    <n v="15"/>
    <n v="15"/>
    <m/>
    <m/>
    <m/>
    <m/>
    <m/>
    <m/>
    <m/>
    <m/>
    <x v="2"/>
  </r>
  <r>
    <n v="551"/>
    <x v="52"/>
    <m/>
    <s v="Y"/>
    <x v="0"/>
    <x v="2"/>
    <s v="26-00647"/>
    <s v="NA"/>
    <s v="Cameras installation for Romania models ( Cool R)"/>
    <x v="6"/>
    <x v="2"/>
    <s v="ICM"/>
    <x v="1"/>
    <m/>
    <s v="Bianca"/>
    <m/>
    <n v="20"/>
    <n v="20"/>
    <s v="No"/>
    <m/>
    <m/>
    <m/>
    <m/>
    <m/>
    <m/>
    <m/>
    <m/>
    <m/>
    <m/>
    <m/>
    <m/>
    <m/>
    <x v="4"/>
  </r>
  <r>
    <n v="552"/>
    <x v="36"/>
    <m/>
    <s v="Y"/>
    <x v="0"/>
    <x v="7"/>
    <s v="TBA"/>
    <s v="NA"/>
    <s v="Honker VCC controller  (Max 700 [R290] B  )"/>
    <x v="6"/>
    <x v="2"/>
    <s v="ICM"/>
    <x v="0"/>
    <m/>
    <s v="Bianca"/>
    <m/>
    <n v="20"/>
    <n v="20"/>
    <s v="No"/>
    <m/>
    <m/>
    <n v="70"/>
    <n v="20"/>
    <n v="90"/>
    <m/>
    <m/>
    <m/>
    <m/>
    <m/>
    <m/>
    <m/>
    <m/>
    <x v="1"/>
  </r>
  <r>
    <n v="553"/>
    <x v="36"/>
    <m/>
    <s v="Y"/>
    <x v="0"/>
    <x v="7"/>
    <s v="TBA"/>
    <s v="NA"/>
    <s v="Schtroll controler "/>
    <x v="6"/>
    <x v="2"/>
    <s v="ICM"/>
    <x v="0"/>
    <m/>
    <m/>
    <m/>
    <n v="20"/>
    <n v="20"/>
    <s v="No"/>
    <m/>
    <m/>
    <n v="70"/>
    <n v="20"/>
    <n v="90"/>
    <m/>
    <m/>
    <m/>
    <m/>
    <m/>
    <m/>
    <m/>
    <m/>
    <x v="1"/>
  </r>
  <r>
    <n v="554"/>
    <x v="36"/>
    <m/>
    <m/>
    <x v="0"/>
    <x v="7"/>
    <s v="TBA"/>
    <s v="NA"/>
    <s v="Delta PSU"/>
    <x v="6"/>
    <x v="2"/>
    <s v="ICM"/>
    <x v="0"/>
    <m/>
    <m/>
    <m/>
    <n v="4"/>
    <n v="2.5"/>
    <s v="No"/>
    <m/>
    <m/>
    <n v="0"/>
    <n v="0"/>
    <n v="0"/>
    <m/>
    <m/>
    <m/>
    <m/>
    <m/>
    <m/>
    <m/>
    <m/>
    <x v="1"/>
  </r>
  <r>
    <n v="555"/>
    <x v="18"/>
    <m/>
    <s v="Y"/>
    <x v="2"/>
    <x v="6"/>
    <s v="TBA"/>
    <s v="NA"/>
    <s v="MAX-1200 ERR error"/>
    <x v="6"/>
    <x v="2"/>
    <s v="ICM"/>
    <x v="3"/>
    <m/>
    <m/>
    <m/>
    <n v="15"/>
    <n v="15"/>
    <s v="No"/>
    <m/>
    <m/>
    <n v="14"/>
    <n v="0"/>
    <n v="30"/>
    <m/>
    <m/>
    <m/>
    <m/>
    <m/>
    <m/>
    <m/>
    <m/>
    <x v="1"/>
  </r>
  <r>
    <n v="556"/>
    <x v="18"/>
    <m/>
    <s v="Y"/>
    <x v="2"/>
    <x v="3"/>
    <s v="TBA"/>
    <s v="NA"/>
    <s v="Neon LED color matching issue"/>
    <x v="6"/>
    <x v="2"/>
    <s v="ICM"/>
    <x v="5"/>
    <m/>
    <m/>
    <m/>
    <n v="15"/>
    <n v="15"/>
    <s v="No"/>
    <m/>
    <m/>
    <n v="0"/>
    <n v="0"/>
    <n v="0"/>
    <m/>
    <m/>
    <m/>
    <m/>
    <m/>
    <m/>
    <m/>
    <m/>
    <x v="0"/>
  </r>
  <r>
    <n v="557"/>
    <x v="19"/>
    <m/>
    <s v="Y"/>
    <x v="2"/>
    <x v="3"/>
    <s v="TBA"/>
    <s v="NA"/>
    <s v="3D logo issues (soldering, plastic qualilty, PCB tracks)"/>
    <x v="6"/>
    <x v="2"/>
    <s v="ICM"/>
    <x v="8"/>
    <m/>
    <m/>
    <m/>
    <n v="15"/>
    <n v="15"/>
    <s v="No"/>
    <m/>
    <m/>
    <n v="0"/>
    <n v="10"/>
    <n v="10"/>
    <m/>
    <m/>
    <m/>
    <m/>
    <m/>
    <m/>
    <m/>
    <m/>
    <x v="1"/>
  </r>
  <r>
    <n v="558"/>
    <x v="36"/>
    <m/>
    <m/>
    <x v="0"/>
    <x v="7"/>
    <s v="TBA"/>
    <s v="NA"/>
    <s v="Yuanwei Tech LED Strip"/>
    <x v="6"/>
    <x v="2"/>
    <s v="ICM"/>
    <x v="0"/>
    <m/>
    <m/>
    <m/>
    <n v="4"/>
    <n v="2.5"/>
    <m/>
    <m/>
    <m/>
    <m/>
    <m/>
    <m/>
    <m/>
    <m/>
    <m/>
    <m/>
    <m/>
    <m/>
    <m/>
    <m/>
    <x v="2"/>
  </r>
  <r>
    <n v="559"/>
    <x v="36"/>
    <m/>
    <m/>
    <x v="2"/>
    <x v="0"/>
    <s v="TBA"/>
    <m/>
    <s v="Mebak Torsion bar   (B class steel)"/>
    <x v="6"/>
    <x v="2"/>
    <s v="ICM"/>
    <x v="0"/>
    <m/>
    <m/>
    <m/>
    <n v="3"/>
    <n v="1"/>
    <s v="No"/>
    <m/>
    <m/>
    <n v="0"/>
    <n v="0"/>
    <n v="0"/>
    <m/>
    <m/>
    <m/>
    <m/>
    <s v="Yes"/>
    <m/>
    <m/>
    <m/>
    <x v="3"/>
  </r>
  <r>
    <n v="560"/>
    <x v="53"/>
    <m/>
    <m/>
    <x v="0"/>
    <x v="3"/>
    <s v="TBA"/>
    <m/>
    <s v="EST/CPT plant issues  "/>
    <x v="6"/>
    <x v="2"/>
    <s v="ICM"/>
    <x v="2"/>
    <m/>
    <m/>
    <m/>
    <n v="4"/>
    <n v="0"/>
    <s v="No"/>
    <m/>
    <m/>
    <n v="10"/>
    <n v="0"/>
    <n v="2"/>
    <m/>
    <m/>
    <m/>
    <m/>
    <m/>
    <m/>
    <m/>
    <m/>
    <x v="1"/>
  </r>
  <r>
    <n v="561"/>
    <x v="53"/>
    <m/>
    <m/>
    <x v="2"/>
    <x v="3"/>
    <s v="TBA"/>
    <m/>
    <s v="Coolers failure analysis from Production FA"/>
    <x v="6"/>
    <x v="2"/>
    <s v="ICM"/>
    <x v="2"/>
    <m/>
    <m/>
    <m/>
    <n v="3"/>
    <n v="0"/>
    <s v="No"/>
    <m/>
    <m/>
    <n v="2"/>
    <n v="0"/>
    <n v="2"/>
    <m/>
    <m/>
    <m/>
    <m/>
    <m/>
    <m/>
    <m/>
    <m/>
    <x v="1"/>
  </r>
  <r>
    <n v="562"/>
    <x v="53"/>
    <m/>
    <m/>
    <x v="0"/>
    <x v="8"/>
    <s v="TBA"/>
    <m/>
    <s v="Easy reach express 3.0 ISO 22044 certification"/>
    <x v="6"/>
    <x v="2"/>
    <s v="ICM"/>
    <x v="5"/>
    <m/>
    <m/>
    <m/>
    <m/>
    <m/>
    <m/>
    <m/>
    <m/>
    <m/>
    <m/>
    <m/>
    <m/>
    <m/>
    <m/>
    <m/>
    <m/>
    <m/>
    <m/>
    <m/>
    <x v="0"/>
  </r>
  <r>
    <n v="563"/>
    <x v="53"/>
    <m/>
    <m/>
    <x v="0"/>
    <x v="3"/>
    <s v="TBA"/>
    <m/>
    <s v="Double door cooler lip gasket market issues"/>
    <x v="6"/>
    <x v="2"/>
    <s v="ICM"/>
    <x v="5"/>
    <m/>
    <m/>
    <m/>
    <n v="4"/>
    <n v="1"/>
    <s v="No"/>
    <m/>
    <m/>
    <n v="10"/>
    <n v="0"/>
    <n v="4"/>
    <m/>
    <m/>
    <m/>
    <m/>
    <m/>
    <m/>
    <m/>
    <m/>
    <x v="0"/>
  </r>
  <r>
    <n v="564"/>
    <x v="53"/>
    <m/>
    <s v="Y"/>
    <x v="0"/>
    <x v="7"/>
    <s v="TBA"/>
    <s v="NA"/>
    <s v="Donper fan motors   (Max 1200 [R290] B )"/>
    <x v="6"/>
    <x v="2"/>
    <s v="ICM"/>
    <x v="2"/>
    <m/>
    <s v="Elena Micu"/>
    <m/>
    <n v="20"/>
    <n v="15"/>
    <s v="Yes"/>
    <m/>
    <m/>
    <n v="70"/>
    <n v="20"/>
    <n v="90"/>
    <m/>
    <m/>
    <m/>
    <m/>
    <m/>
    <m/>
    <m/>
    <m/>
    <x v="1"/>
  </r>
  <r>
    <n v="565"/>
    <x v="52"/>
    <m/>
    <s v="Y"/>
    <x v="0"/>
    <x v="7"/>
    <s v="TBA"/>
    <s v="NA"/>
    <s v="Huaiy NUD45  (Plus 450 [R290] B)"/>
    <x v="6"/>
    <x v="2"/>
    <s v="ICM"/>
    <x v="0"/>
    <m/>
    <s v="Elena Micu"/>
    <m/>
    <n v="20"/>
    <n v="13"/>
    <s v="Yes"/>
    <m/>
    <m/>
    <n v="70"/>
    <n v="10"/>
    <n v="80"/>
    <m/>
    <m/>
    <m/>
    <m/>
    <m/>
    <m/>
    <m/>
    <m/>
    <x v="1"/>
  </r>
  <r>
    <n v="566"/>
    <x v="52"/>
    <m/>
    <s v="Y"/>
    <x v="0"/>
    <x v="7"/>
    <s v="TBA"/>
    <s v="NA"/>
    <s v="Huaiy  NUD 80  (Max-1000 [R290] B)"/>
    <x v="6"/>
    <x v="2"/>
    <s v="ICM"/>
    <x v="0"/>
    <m/>
    <s v="Elena Micu"/>
    <m/>
    <n v="20"/>
    <n v="13"/>
    <s v="Yes"/>
    <m/>
    <m/>
    <n v="70"/>
    <n v="10"/>
    <n v="80"/>
    <m/>
    <m/>
    <m/>
    <m/>
    <m/>
    <m/>
    <m/>
    <m/>
    <x v="3"/>
  </r>
  <r>
    <n v="567"/>
    <x v="52"/>
    <m/>
    <s v="Y"/>
    <x v="0"/>
    <x v="2"/>
    <s v="26-00659"/>
    <s v="NA"/>
    <s v="FDE 32 X3 "/>
    <x v="6"/>
    <x v="2"/>
    <s v="ICM"/>
    <x v="1"/>
    <s v="For Heineken project"/>
    <s v="Elena Micu"/>
    <m/>
    <n v="20"/>
    <n v="20"/>
    <s v="Yes"/>
    <m/>
    <m/>
    <n v="70"/>
    <n v="20"/>
    <n v="90"/>
    <m/>
    <m/>
    <m/>
    <m/>
    <m/>
    <m/>
    <m/>
    <m/>
    <x v="2"/>
  </r>
  <r>
    <n v="568"/>
    <x v="52"/>
    <m/>
    <m/>
    <x v="2"/>
    <x v="3"/>
    <s v="TBA"/>
    <m/>
    <s v="Max 300 [R600a] B, one condenser configuration"/>
    <x v="6"/>
    <x v="2"/>
    <s v="ICM"/>
    <x v="9"/>
    <m/>
    <s v="Elena Micu"/>
    <m/>
    <n v="3"/>
    <n v="0"/>
    <s v="Yes"/>
    <m/>
    <m/>
    <n v="2"/>
    <n v="0"/>
    <n v="0"/>
    <m/>
    <m/>
    <m/>
    <m/>
    <m/>
    <m/>
    <m/>
    <m/>
    <x v="5"/>
  </r>
  <r>
    <n v="569"/>
    <x v="52"/>
    <m/>
    <s v="Y"/>
    <x v="0"/>
    <x v="0"/>
    <s v="TBA"/>
    <s v="26ROM005"/>
    <s v="GMCC PZ90H1W ( Max -300 [R600a] B)"/>
    <x v="6"/>
    <x v="2"/>
    <s v="ICM"/>
    <x v="0"/>
    <m/>
    <s v="Elena Micu"/>
    <m/>
    <n v="20"/>
    <n v="13"/>
    <s v="Yes"/>
    <m/>
    <m/>
    <n v="70"/>
    <n v="10"/>
    <n v="80"/>
    <m/>
    <m/>
    <m/>
    <m/>
    <m/>
    <m/>
    <m/>
    <m/>
    <x v="3"/>
  </r>
  <r>
    <n v="570"/>
    <x v="52"/>
    <m/>
    <s v="Y"/>
    <x v="0"/>
    <x v="0"/>
    <s v="TBA"/>
    <s v="26ROM005"/>
    <s v="Jiaxipera TE1114Y new motor ( Max -300 [R600a] B)"/>
    <x v="6"/>
    <x v="2"/>
    <s v="ICM"/>
    <x v="0"/>
    <m/>
    <s v="Elena Micu"/>
    <m/>
    <n v="20"/>
    <n v="13"/>
    <s v="Yes"/>
    <m/>
    <m/>
    <n v="70"/>
    <n v="10"/>
    <n v="80"/>
    <m/>
    <m/>
    <m/>
    <m/>
    <m/>
    <m/>
    <m/>
    <m/>
    <x v="1"/>
  </r>
  <r>
    <n v="571"/>
    <x v="52"/>
    <m/>
    <s v="Y"/>
    <x v="0"/>
    <x v="0"/>
    <s v="TBA"/>
    <s v="TBA"/>
    <s v="GMCC PA45HMZ  (IC2-500/Plus-450 B)"/>
    <x v="6"/>
    <x v="2"/>
    <s v="ICM"/>
    <x v="0"/>
    <m/>
    <s v="Elena Micu"/>
    <m/>
    <n v="20"/>
    <n v="13"/>
    <s v="Yes"/>
    <m/>
    <m/>
    <n v="70"/>
    <n v="10"/>
    <n v="80"/>
    <m/>
    <m/>
    <m/>
    <m/>
    <m/>
    <m/>
    <m/>
    <m/>
    <x v="3"/>
  </r>
  <r>
    <n v="572"/>
    <x v="53"/>
    <m/>
    <m/>
    <x v="0"/>
    <x v="7"/>
    <s v="TBA"/>
    <s v="NA"/>
    <s v="YCC variable fan motors "/>
    <x v="6"/>
    <x v="2"/>
    <s v="ICM"/>
    <x v="0"/>
    <m/>
    <s v="Elena Micu"/>
    <m/>
    <n v="4"/>
    <n v="3"/>
    <s v="Yes"/>
    <m/>
    <m/>
    <n v="10"/>
    <n v="4"/>
    <n v="10"/>
    <m/>
    <m/>
    <m/>
    <m/>
    <m/>
    <m/>
    <m/>
    <m/>
    <x v="1"/>
  </r>
  <r>
    <n v="573"/>
    <x v="54"/>
    <m/>
    <s v="Y"/>
    <x v="5"/>
    <x v="2"/>
    <m/>
    <s v="NA"/>
    <s v="FLEX-130 with FDEx3"/>
    <x v="7"/>
    <x v="4"/>
    <m/>
    <x v="0"/>
    <m/>
    <m/>
    <m/>
    <n v="5"/>
    <m/>
    <m/>
    <m/>
    <m/>
    <m/>
    <m/>
    <m/>
    <m/>
    <m/>
    <m/>
    <m/>
    <m/>
    <m/>
    <m/>
    <m/>
    <x v="3"/>
  </r>
  <r>
    <n v="574"/>
    <x v="54"/>
    <m/>
    <s v="Y"/>
    <x v="5"/>
    <x v="2"/>
    <m/>
    <s v="NA"/>
    <s v="ERE3.0 with FDEx3"/>
    <x v="7"/>
    <x v="4"/>
    <m/>
    <x v="0"/>
    <m/>
    <m/>
    <m/>
    <n v="5"/>
    <m/>
    <m/>
    <m/>
    <m/>
    <m/>
    <m/>
    <m/>
    <m/>
    <m/>
    <m/>
    <m/>
    <m/>
    <m/>
    <m/>
    <m/>
    <x v="3"/>
  </r>
  <r>
    <n v="575"/>
    <x v="54"/>
    <m/>
    <s v="Y"/>
    <x v="5"/>
    <x v="2"/>
    <m/>
    <s v="NA"/>
    <s v="IC2-40 ECO with FDEx3"/>
    <x v="8"/>
    <x v="5"/>
    <m/>
    <x v="0"/>
    <m/>
    <m/>
    <m/>
    <n v="5"/>
    <m/>
    <m/>
    <m/>
    <m/>
    <m/>
    <m/>
    <m/>
    <m/>
    <m/>
    <m/>
    <m/>
    <m/>
    <m/>
    <m/>
    <m/>
    <x v="3"/>
  </r>
  <r>
    <n v="576"/>
    <x v="52"/>
    <m/>
    <m/>
    <x v="0"/>
    <x v="7"/>
    <s v="TBA"/>
    <m/>
    <s v="Icool 2 ECO 800[ R290] B /Max-700[R290] B _ Huaiy NMS70 alternative to Wanbao VFTB72  "/>
    <x v="6"/>
    <x v="2"/>
    <s v="ICM"/>
    <x v="0"/>
    <m/>
    <m/>
    <m/>
    <m/>
    <m/>
    <m/>
    <m/>
    <m/>
    <m/>
    <m/>
    <m/>
    <m/>
    <m/>
    <m/>
    <m/>
    <m/>
    <m/>
    <m/>
    <m/>
    <x v="4"/>
  </r>
  <r>
    <n v="577"/>
    <x v="52"/>
    <m/>
    <m/>
    <x v="0"/>
    <x v="7"/>
    <s v="TBA"/>
    <m/>
    <s v="Plus 900 [R290] /Max-900 [R290] B _ Huaiy NMS70 alternative to Wanbao VFTB72  "/>
    <x v="6"/>
    <x v="2"/>
    <s v="ICM"/>
    <x v="0"/>
    <m/>
    <m/>
    <m/>
    <m/>
    <m/>
    <m/>
    <m/>
    <m/>
    <m/>
    <m/>
    <m/>
    <m/>
    <m/>
    <m/>
    <m/>
    <m/>
    <m/>
    <m/>
    <m/>
    <x v="4"/>
  </r>
  <r>
    <n v="578"/>
    <x v="52"/>
    <m/>
    <m/>
    <x v="0"/>
    <x v="7"/>
    <s v="TBA"/>
    <m/>
    <s v="Icool 2 ECO 10000/ Max-1000 [R290] B _ Huaiy NMS70 alternative to Wanbao VFTB72  "/>
    <x v="6"/>
    <x v="2"/>
    <s v="ICM"/>
    <x v="0"/>
    <m/>
    <m/>
    <m/>
    <m/>
    <m/>
    <m/>
    <m/>
    <m/>
    <m/>
    <m/>
    <m/>
    <m/>
    <m/>
    <m/>
    <m/>
    <m/>
    <m/>
    <m/>
    <m/>
    <x v="4"/>
  </r>
  <r>
    <n v="579"/>
    <x v="52"/>
    <m/>
    <m/>
    <x v="0"/>
    <x v="7"/>
    <s v="TBA"/>
    <m/>
    <s v="Max 700 [R290] B  _Huaiy NMD070 "/>
    <x v="6"/>
    <x v="2"/>
    <s v="ICM"/>
    <x v="0"/>
    <m/>
    <m/>
    <m/>
    <m/>
    <m/>
    <m/>
    <m/>
    <m/>
    <m/>
    <m/>
    <m/>
    <m/>
    <m/>
    <m/>
    <m/>
    <m/>
    <m/>
    <m/>
    <m/>
    <x v="3"/>
  </r>
  <r>
    <n v="580"/>
    <x v="55"/>
    <m/>
    <m/>
    <x v="2"/>
    <x v="2"/>
    <s v="TBA"/>
    <m/>
    <s v="Plus -750 [R290] B _k4 +FDE 32 X3 "/>
    <x v="6"/>
    <x v="2"/>
    <s v="ICM"/>
    <x v="1"/>
    <m/>
    <m/>
    <m/>
    <m/>
    <m/>
    <m/>
    <m/>
    <m/>
    <m/>
    <m/>
    <m/>
    <m/>
    <m/>
    <m/>
    <m/>
    <m/>
    <m/>
    <m/>
    <m/>
    <x v="3"/>
  </r>
  <r>
    <n v="581"/>
    <x v="55"/>
    <m/>
    <m/>
    <x v="2"/>
    <x v="2"/>
    <s v="TBA"/>
    <m/>
    <s v="Max-750 [R290] B_k2 +FDE 32 X3 "/>
    <x v="6"/>
    <x v="2"/>
    <s v="ICM"/>
    <x v="1"/>
    <m/>
    <m/>
    <m/>
    <m/>
    <m/>
    <m/>
    <m/>
    <m/>
    <m/>
    <m/>
    <m/>
    <m/>
    <m/>
    <m/>
    <m/>
    <m/>
    <m/>
    <m/>
    <m/>
    <x v="3"/>
  </r>
  <r>
    <n v="582"/>
    <x v="55"/>
    <m/>
    <m/>
    <x v="0"/>
    <x v="7"/>
    <s v="TBA"/>
    <s v="Max 700 [R290] B  _Huaiy NMD070 "/>
    <s v="Aofrio controller  - Max-1200 [R290] "/>
    <x v="6"/>
    <x v="2"/>
    <s v="ICM"/>
    <x v="1"/>
    <m/>
    <m/>
    <m/>
    <m/>
    <m/>
    <m/>
    <m/>
    <m/>
    <m/>
    <m/>
    <m/>
    <m/>
    <m/>
    <m/>
    <m/>
    <m/>
    <m/>
    <m/>
    <m/>
    <x v="3"/>
  </r>
  <r>
    <n v="583"/>
    <x v="56"/>
    <m/>
    <m/>
    <x v="2"/>
    <x v="2"/>
    <s v="26-00661"/>
    <m/>
    <s v="3D Heineken logo on Max 450 B"/>
    <x v="6"/>
    <x v="2"/>
    <s v="ICM"/>
    <x v="1"/>
    <m/>
    <m/>
    <m/>
    <m/>
    <m/>
    <m/>
    <m/>
    <m/>
    <m/>
    <m/>
    <m/>
    <m/>
    <m/>
    <m/>
    <m/>
    <m/>
    <m/>
    <m/>
    <m/>
    <x v="3"/>
  </r>
  <r>
    <n v="584"/>
    <x v="56"/>
    <m/>
    <m/>
    <x v="2"/>
    <x v="2"/>
    <s v="26-00660"/>
    <m/>
    <s v="Sollatek Planogram Camera to Plus-450"/>
    <x v="6"/>
    <x v="2"/>
    <s v="ICM"/>
    <x v="1"/>
    <m/>
    <m/>
    <m/>
    <m/>
    <m/>
    <m/>
    <m/>
    <m/>
    <m/>
    <m/>
    <m/>
    <m/>
    <m/>
    <m/>
    <m/>
    <m/>
    <m/>
    <m/>
    <m/>
    <x v="3"/>
  </r>
  <r>
    <n v="585"/>
    <x v="18"/>
    <m/>
    <m/>
    <x v="2"/>
    <x v="2"/>
    <s v="26-00657"/>
    <m/>
    <s v="MAX-1200 Front Grid Fixing Improvement for LIDL"/>
    <x v="6"/>
    <x v="2"/>
    <s v="ICM"/>
    <x v="1"/>
    <m/>
    <m/>
    <m/>
    <m/>
    <m/>
    <m/>
    <m/>
    <m/>
    <m/>
    <m/>
    <m/>
    <m/>
    <m/>
    <m/>
    <m/>
    <m/>
    <m/>
    <m/>
    <m/>
    <x v="4"/>
  </r>
  <r>
    <n v="586"/>
    <x v="53"/>
    <m/>
    <m/>
    <x v="2"/>
    <x v="2"/>
    <s v="25-00642"/>
    <m/>
    <s v="3D logo Hell for Max 1000 C"/>
    <x v="6"/>
    <x v="2"/>
    <s v="ICM"/>
    <x v="1"/>
    <m/>
    <m/>
    <m/>
    <m/>
    <m/>
    <m/>
    <m/>
    <m/>
    <m/>
    <m/>
    <m/>
    <m/>
    <m/>
    <m/>
    <m/>
    <m/>
    <m/>
    <m/>
    <m/>
    <x v="2"/>
  </r>
  <r>
    <n v="587"/>
    <x v="53"/>
    <m/>
    <m/>
    <x v="2"/>
    <x v="2"/>
    <s v="26-00655"/>
    <m/>
    <s v="Max 700 B with 3D Pepsi logo"/>
    <x v="6"/>
    <x v="2"/>
    <s v="ICM"/>
    <x v="1"/>
    <m/>
    <m/>
    <m/>
    <m/>
    <m/>
    <m/>
    <m/>
    <m/>
    <m/>
    <m/>
    <m/>
    <m/>
    <m/>
    <m/>
    <m/>
    <m/>
    <m/>
    <m/>
    <m/>
    <x v="2"/>
  </r>
  <r>
    <n v="588"/>
    <x v="57"/>
    <m/>
    <m/>
    <x v="2"/>
    <x v="2"/>
    <s v="26-00656"/>
    <m/>
    <s v="Pepsi 3D logo for Max 450 C"/>
    <x v="6"/>
    <x v="2"/>
    <s v="ICM"/>
    <x v="1"/>
    <m/>
    <m/>
    <m/>
    <m/>
    <m/>
    <m/>
    <m/>
    <m/>
    <m/>
    <m/>
    <m/>
    <m/>
    <m/>
    <m/>
    <m/>
    <m/>
    <m/>
    <m/>
    <m/>
    <x v="4"/>
  </r>
  <r>
    <n v="589"/>
    <x v="55"/>
    <m/>
    <m/>
    <x v="1"/>
    <x v="1"/>
    <s v="26-00664"/>
    <s v="Aofrio controller  - Max-1200 [R290] "/>
    <s v="IC3-450 B rating"/>
    <x v="6"/>
    <x v="2"/>
    <s v="ICM"/>
    <x v="1"/>
    <m/>
    <m/>
    <m/>
    <m/>
    <m/>
    <m/>
    <m/>
    <m/>
    <m/>
    <m/>
    <m/>
    <m/>
    <m/>
    <m/>
    <m/>
    <m/>
    <m/>
    <m/>
    <m/>
    <x v="2"/>
  </r>
  <r>
    <n v="590"/>
    <x v="55"/>
    <m/>
    <s v="Y"/>
    <x v="0"/>
    <x v="3"/>
    <s v="TBA"/>
    <s v="26ROM003"/>
    <s v="Plus 450 [R290] B_ Centrifugal motor vs 2 Nisiki motors on Evaporator side "/>
    <x v="6"/>
    <x v="2"/>
    <s v="ICM"/>
    <x v="2"/>
    <m/>
    <s v="Elena Micu"/>
    <m/>
    <n v="20"/>
    <n v="20"/>
    <s v="Yes"/>
    <m/>
    <m/>
    <n v="70"/>
    <n v="20"/>
    <n v="90"/>
    <m/>
    <m/>
    <m/>
    <m/>
    <m/>
    <m/>
    <m/>
    <m/>
    <x v="3"/>
  </r>
  <r>
    <n v="591"/>
    <x v="49"/>
    <m/>
    <m/>
    <x v="0"/>
    <x v="2"/>
    <m/>
    <s v="N/A"/>
    <s v="MAX-750  NU with Upgrade Aesthetics V3"/>
    <x v="6"/>
    <x v="3"/>
    <s v="ICM"/>
    <x v="1"/>
    <s v="Complete Cooler"/>
    <s v="N/A"/>
    <s v="N/A"/>
    <n v="12"/>
    <m/>
    <m/>
    <m/>
    <m/>
    <n v="6"/>
    <n v="4"/>
    <m/>
    <m/>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C605E-EF80-4B1B-AE6C-F126300E236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8:J38" firstHeaderRow="0" firstDataRow="1" firstDataCol="1" rowPageCount="2" colPageCount="1"/>
  <pivotFields count="35">
    <pivotField showAll="0"/>
    <pivotField axis="axisPage" multipleItemSelectionAllowed="1" showAll="0">
      <items count="57">
        <item x="34"/>
        <item x="32"/>
        <item x="1"/>
        <item x="31"/>
        <item x="8"/>
        <item x="29"/>
        <item x="33"/>
        <item x="2"/>
        <item x="0"/>
        <item x="4"/>
        <item x="22"/>
        <item x="3"/>
        <item x="28"/>
        <item x="36"/>
        <item x="7"/>
        <item x="37"/>
        <item x="13"/>
        <item x="41"/>
        <item x="39"/>
        <item x="5"/>
        <item x="10"/>
        <item x="38"/>
        <item x="49"/>
        <item x="24"/>
        <item x="11"/>
        <item x="42"/>
        <item x="35"/>
        <item x="26"/>
        <item x="47"/>
        <item x="23"/>
        <item x="25"/>
        <item x="40"/>
        <item x="43"/>
        <item x="14"/>
        <item x="30"/>
        <item x="6"/>
        <item x="44"/>
        <item x="51"/>
        <item x="46"/>
        <item x="48"/>
        <item x="45"/>
        <item x="15"/>
        <item x="18"/>
        <item x="50"/>
        <item x="55"/>
        <item x="9"/>
        <item x="12"/>
        <item x="16"/>
        <item x="17"/>
        <item x="19"/>
        <item x="20"/>
        <item x="21"/>
        <item x="52"/>
        <item x="53"/>
        <item x="54"/>
        <item x="27"/>
        <item t="default"/>
      </items>
    </pivotField>
    <pivotField showAll="0"/>
    <pivotField axis="axisPage" multipleItemSelectionAllowed="1" showAll="0">
      <items count="7">
        <item m="1" x="2"/>
        <item m="1" x="3"/>
        <item m="1" x="4"/>
        <item m="1" x="5"/>
        <item h="1" x="0"/>
        <item x="1"/>
        <item t="default"/>
      </items>
    </pivotField>
    <pivotField axis="axisRow" dataField="1" showAll="0">
      <items count="8">
        <item x="1"/>
        <item x="3"/>
        <item x="0"/>
        <item x="2"/>
        <item x="4"/>
        <item x="5"/>
        <item h="1" x="6"/>
        <item t="default"/>
      </items>
    </pivotField>
    <pivotField showAll="0"/>
    <pivotField showAll="0"/>
    <pivotField showAll="0"/>
    <pivotField showAll="0"/>
    <pivotField showAll="0"/>
    <pivotField axis="axisRow" showAll="0">
      <items count="8">
        <item x="3"/>
        <item x="1"/>
        <item x="0"/>
        <item x="2"/>
        <item x="5"/>
        <item x="4"/>
        <item x="6"/>
        <item t="default"/>
      </items>
    </pivotField>
    <pivotField showAll="0"/>
    <pivotField showAll="0"/>
    <pivotField showAll="0"/>
    <pivotField showAll="0"/>
    <pivotField showAll="0"/>
    <pivotField dataField="1" showAll="0"/>
    <pivotField dataField="1" showAll="0"/>
    <pivotField dataField="1"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2">
    <field x="10"/>
    <field x="4"/>
  </rowFields>
  <rowItems count="20">
    <i>
      <x/>
    </i>
    <i r="1">
      <x/>
    </i>
    <i r="1">
      <x v="1"/>
    </i>
    <i r="1">
      <x v="2"/>
    </i>
    <i r="1">
      <x v="3"/>
    </i>
    <i>
      <x v="1"/>
    </i>
    <i r="1">
      <x/>
    </i>
    <i>
      <x v="2"/>
    </i>
    <i r="1">
      <x/>
    </i>
    <i r="1">
      <x v="2"/>
    </i>
    <i r="1">
      <x v="3"/>
    </i>
    <i>
      <x v="3"/>
    </i>
    <i r="1">
      <x v="2"/>
    </i>
    <i r="1">
      <x v="3"/>
    </i>
    <i>
      <x v="4"/>
    </i>
    <i r="1">
      <x v="5"/>
    </i>
    <i>
      <x v="5"/>
    </i>
    <i r="1">
      <x v="4"/>
    </i>
    <i r="1">
      <x v="5"/>
    </i>
    <i t="grand">
      <x/>
    </i>
  </rowItems>
  <colFields count="1">
    <field x="-2"/>
  </colFields>
  <colItems count="7">
    <i>
      <x/>
    </i>
    <i i="1">
      <x v="1"/>
    </i>
    <i i="2">
      <x v="2"/>
    </i>
    <i i="3">
      <x v="3"/>
    </i>
    <i i="4">
      <x v="4"/>
    </i>
    <i i="5">
      <x v="5"/>
    </i>
    <i i="6">
      <x v="6"/>
    </i>
  </colItems>
  <pageFields count="2">
    <pageField fld="1" hier="-1"/>
    <pageField fld="3" hier="-1"/>
  </pageFields>
  <dataFields count="7">
    <dataField name="Count of Project Category" fld="4" subtotal="count" baseField="0" baseItem="0"/>
    <dataField name="Sum of Process Design Man Week" fld="16" baseField="0" baseItem="0"/>
    <dataField name="Sum of Actual Design Man Week" fld="17" baseField="0" baseItem="0"/>
    <dataField name="Count of  Certification Testing  Required" fld="18" subtotal="count" baseField="0" baseItem="0"/>
    <dataField name="Sum of Lab Weeks- Process Derived" fld="21" baseField="0" baseItem="0"/>
    <dataField name="Sum of Actual Testing Time " fld="23" baseField="0" baseItem="0"/>
    <dataField name="Count of Safety Certification Required" fld="24" subtotal="count" baseField="0" baseItem="0"/>
  </dataFields>
  <formats count="97">
    <format dxfId="286">
      <pivotArea outline="0" collapsedLevelsAreSubtotals="1" fieldPosition="0"/>
    </format>
    <format dxfId="285">
      <pivotArea dataOnly="0" labelOnly="1" fieldPosition="0">
        <references count="1">
          <reference field="4" count="0"/>
        </references>
      </pivotArea>
    </format>
    <format dxfId="284">
      <pivotArea dataOnly="0" labelOnly="1" grandRow="1" outline="0" fieldPosition="0"/>
    </format>
    <format dxfId="283">
      <pivotArea outline="0" collapsedLevelsAreSubtotals="1" fieldPosition="0"/>
    </format>
    <format dxfId="282">
      <pivotArea dataOnly="0" labelOnly="1" fieldPosition="0">
        <references count="1">
          <reference field="4" count="0"/>
        </references>
      </pivotArea>
    </format>
    <format dxfId="281">
      <pivotArea dataOnly="0" labelOnly="1" grandRow="1" outline="0" fieldPosition="0"/>
    </format>
    <format dxfId="280">
      <pivotArea outline="0" collapsedLevelsAreSubtotals="1" fieldPosition="0"/>
    </format>
    <format dxfId="279">
      <pivotArea dataOnly="0" labelOnly="1" fieldPosition="0">
        <references count="1">
          <reference field="10" count="5">
            <x v="0"/>
            <x v="2"/>
            <x v="3"/>
            <x v="4"/>
            <x v="5"/>
          </reference>
        </references>
      </pivotArea>
    </format>
    <format dxfId="278">
      <pivotArea field="10" dataOnly="0" labelOnly="1" grandRow="1" outline="0" axis="axisRow" fieldPosition="0">
        <references count="1">
          <reference field="4294967294" count="1" selected="0">
            <x v="0"/>
          </reference>
        </references>
      </pivotArea>
    </format>
    <format dxfId="277">
      <pivotArea field="10" dataOnly="0" labelOnly="1" grandRow="1" outline="0" axis="axisRow" fieldPosition="0">
        <references count="1">
          <reference field="4294967294" count="1" selected="0">
            <x v="1"/>
          </reference>
        </references>
      </pivotArea>
    </format>
    <format dxfId="276">
      <pivotArea dataOnly="0" labelOnly="1" outline="0" fieldPosition="0">
        <references count="2">
          <reference field="4294967294" count="2">
            <x v="0"/>
            <x v="1"/>
          </reference>
          <reference field="10" count="1" selected="0">
            <x v="2"/>
          </reference>
        </references>
      </pivotArea>
    </format>
    <format dxfId="275">
      <pivotArea dataOnly="0" labelOnly="1" outline="0" fieldPosition="0">
        <references count="2">
          <reference field="4294967294" count="2">
            <x v="0"/>
            <x v="1"/>
          </reference>
          <reference field="10" count="1" selected="0">
            <x v="3"/>
          </reference>
        </references>
      </pivotArea>
    </format>
    <format dxfId="274">
      <pivotArea dataOnly="0" labelOnly="1" outline="0" fieldPosition="0">
        <references count="2">
          <reference field="4294967294" count="2">
            <x v="0"/>
            <x v="1"/>
          </reference>
          <reference field="10" count="1" selected="0">
            <x v="4"/>
          </reference>
        </references>
      </pivotArea>
    </format>
    <format dxfId="273">
      <pivotArea dataOnly="0" labelOnly="1" outline="0" fieldPosition="0">
        <references count="2">
          <reference field="4294967294" count="2">
            <x v="0"/>
            <x v="1"/>
          </reference>
          <reference field="10" count="1" selected="0">
            <x v="0"/>
          </reference>
        </references>
      </pivotArea>
    </format>
    <format dxfId="272">
      <pivotArea dataOnly="0" labelOnly="1" outline="0" fieldPosition="0">
        <references count="2">
          <reference field="4294967294" count="2">
            <x v="0"/>
            <x v="1"/>
          </reference>
          <reference field="10" count="1" selected="0">
            <x v="5"/>
          </reference>
        </references>
      </pivotArea>
    </format>
    <format dxfId="271">
      <pivotArea dataOnly="0" labelOnly="1" offset="IV1" fieldPosition="0">
        <references count="1">
          <reference field="10" count="1">
            <x v="2"/>
          </reference>
        </references>
      </pivotArea>
    </format>
    <format dxfId="270">
      <pivotArea dataOnly="0" labelOnly="1" offset="IV1" fieldPosition="0">
        <references count="1">
          <reference field="10" count="1">
            <x v="3"/>
          </reference>
        </references>
      </pivotArea>
    </format>
    <format dxfId="269">
      <pivotArea dataOnly="0" labelOnly="1" offset="IV1" fieldPosition="0">
        <references count="1">
          <reference field="10" count="1">
            <x v="0"/>
          </reference>
        </references>
      </pivotArea>
    </format>
    <format dxfId="268">
      <pivotArea dataOnly="0" labelOnly="1" offset="IV1" fieldPosition="0">
        <references count="1">
          <reference field="10" count="1">
            <x v="4"/>
          </reference>
        </references>
      </pivotArea>
    </format>
    <format dxfId="267">
      <pivotArea dataOnly="0" labelOnly="1" offset="IV1" fieldPosition="0">
        <references count="1">
          <reference field="10" count="1">
            <x v="5"/>
          </reference>
        </references>
      </pivotArea>
    </format>
    <format dxfId="266">
      <pivotArea dataOnly="0" labelOnly="1" outline="0" fieldPosition="0">
        <references count="2">
          <reference field="4294967294" count="1">
            <x v="0"/>
          </reference>
          <reference field="10" count="1" selected="0">
            <x v="2"/>
          </reference>
        </references>
      </pivotArea>
    </format>
    <format dxfId="265">
      <pivotArea dataOnly="0" labelOnly="1" outline="0" fieldPosition="0">
        <references count="2">
          <reference field="4294967294" count="1">
            <x v="0"/>
          </reference>
          <reference field="10" count="1" selected="0">
            <x v="3"/>
          </reference>
        </references>
      </pivotArea>
    </format>
    <format dxfId="264">
      <pivotArea dataOnly="0" labelOnly="1" outline="0" fieldPosition="0">
        <references count="2">
          <reference field="4294967294" count="1">
            <x v="0"/>
          </reference>
          <reference field="10" count="1" selected="0">
            <x v="0"/>
          </reference>
        </references>
      </pivotArea>
    </format>
    <format dxfId="263">
      <pivotArea dataOnly="0" labelOnly="1" outline="0" fieldPosition="0">
        <references count="2">
          <reference field="4294967294" count="1">
            <x v="0"/>
          </reference>
          <reference field="10" count="1" selected="0">
            <x v="4"/>
          </reference>
        </references>
      </pivotArea>
    </format>
    <format dxfId="262">
      <pivotArea dataOnly="0" labelOnly="1" outline="0" fieldPosition="0">
        <references count="2">
          <reference field="4294967294" count="1">
            <x v="0"/>
          </reference>
          <reference field="10" count="1" selected="0">
            <x v="5"/>
          </reference>
        </references>
      </pivotArea>
    </format>
    <format dxfId="261">
      <pivotArea dataOnly="0" labelOnly="1" outline="0" fieldPosition="0">
        <references count="2">
          <reference field="4294967294" count="1">
            <x v="1"/>
          </reference>
          <reference field="10" count="1" selected="0">
            <x v="2"/>
          </reference>
        </references>
      </pivotArea>
    </format>
    <format dxfId="260">
      <pivotArea dataOnly="0" labelOnly="1" outline="0" fieldPosition="0">
        <references count="2">
          <reference field="4294967294" count="1">
            <x v="1"/>
          </reference>
          <reference field="10" count="1" selected="0">
            <x v="3"/>
          </reference>
        </references>
      </pivotArea>
    </format>
    <format dxfId="259">
      <pivotArea dataOnly="0" labelOnly="1" outline="0" fieldPosition="0">
        <references count="2">
          <reference field="4294967294" count="1">
            <x v="1"/>
          </reference>
          <reference field="10" count="1" selected="0">
            <x v="0"/>
          </reference>
        </references>
      </pivotArea>
    </format>
    <format dxfId="258">
      <pivotArea dataOnly="0" labelOnly="1" outline="0" fieldPosition="0">
        <references count="2">
          <reference field="4294967294" count="1">
            <x v="1"/>
          </reference>
          <reference field="10" count="1" selected="0">
            <x v="4"/>
          </reference>
        </references>
      </pivotArea>
    </format>
    <format dxfId="257">
      <pivotArea dataOnly="0" labelOnly="1" outline="0" fieldPosition="0">
        <references count="2">
          <reference field="4294967294" count="1">
            <x v="1"/>
          </reference>
          <reference field="10" count="1" selected="0">
            <x v="5"/>
          </reference>
        </references>
      </pivotArea>
    </format>
    <format dxfId="256">
      <pivotArea type="all" dataOnly="0" outline="0" fieldPosition="0"/>
    </format>
    <format dxfId="255">
      <pivotArea outline="0" collapsedLevelsAreSubtotals="1" fieldPosition="0"/>
    </format>
    <format dxfId="254">
      <pivotArea field="10" type="button" dataOnly="0" labelOnly="1" outline="0" axis="axisRow" fieldPosition="0"/>
    </format>
    <format dxfId="253">
      <pivotArea dataOnly="0" labelOnly="1" fieldPosition="0">
        <references count="1">
          <reference field="10" count="2">
            <x v="2"/>
            <x v="3"/>
          </reference>
        </references>
      </pivotArea>
    </format>
    <format dxfId="252">
      <pivotArea dataOnly="0" labelOnly="1" grandRow="1" outline="0" fieldPosition="0"/>
    </format>
    <format dxfId="251">
      <pivotArea dataOnly="0" labelOnly="1" fieldPosition="0">
        <references count="2">
          <reference field="4" count="3">
            <x v="0"/>
            <x v="2"/>
            <x v="3"/>
          </reference>
          <reference field="10" count="1" selected="0">
            <x v="2"/>
          </reference>
        </references>
      </pivotArea>
    </format>
    <format dxfId="250">
      <pivotArea dataOnly="0" labelOnly="1" fieldPosition="0">
        <references count="2">
          <reference field="4" count="1">
            <x v="3"/>
          </reference>
          <reference field="10" count="1" selected="0">
            <x v="3"/>
          </reference>
        </references>
      </pivotArea>
    </format>
    <format dxfId="249">
      <pivotArea dataOnly="0" labelOnly="1" outline="0" fieldPosition="0">
        <references count="1">
          <reference field="4294967294" count="4">
            <x v="0"/>
            <x v="1"/>
            <x v="2"/>
            <x v="5"/>
          </reference>
        </references>
      </pivotArea>
    </format>
    <format dxfId="248">
      <pivotArea type="all" dataOnly="0" outline="0" fieldPosition="0"/>
    </format>
    <format dxfId="247">
      <pivotArea outline="0" collapsedLevelsAreSubtotals="1" fieldPosition="0"/>
    </format>
    <format dxfId="246">
      <pivotArea field="10" type="button" dataOnly="0" labelOnly="1" outline="0" axis="axisRow" fieldPosition="0"/>
    </format>
    <format dxfId="245">
      <pivotArea dataOnly="0" labelOnly="1" fieldPosition="0">
        <references count="1">
          <reference field="10" count="2">
            <x v="2"/>
            <x v="3"/>
          </reference>
        </references>
      </pivotArea>
    </format>
    <format dxfId="244">
      <pivotArea dataOnly="0" labelOnly="1" grandRow="1" outline="0" fieldPosition="0"/>
    </format>
    <format dxfId="243">
      <pivotArea dataOnly="0" labelOnly="1" fieldPosition="0">
        <references count="2">
          <reference field="4" count="3">
            <x v="0"/>
            <x v="2"/>
            <x v="3"/>
          </reference>
          <reference field="10" count="1" selected="0">
            <x v="2"/>
          </reference>
        </references>
      </pivotArea>
    </format>
    <format dxfId="242">
      <pivotArea dataOnly="0" labelOnly="1" fieldPosition="0">
        <references count="2">
          <reference field="4" count="2">
            <x v="2"/>
            <x v="3"/>
          </reference>
          <reference field="10" count="1" selected="0">
            <x v="3"/>
          </reference>
        </references>
      </pivotArea>
    </format>
    <format dxfId="241">
      <pivotArea dataOnly="0" labelOnly="1" outline="0" fieldPosition="0">
        <references count="1">
          <reference field="4294967294" count="7">
            <x v="0"/>
            <x v="1"/>
            <x v="2"/>
            <x v="3"/>
            <x v="4"/>
            <x v="5"/>
            <x v="6"/>
          </reference>
        </references>
      </pivotArea>
    </format>
    <format dxfId="240">
      <pivotArea type="all" dataOnly="0" outline="0" fieldPosition="0"/>
    </format>
    <format dxfId="239">
      <pivotArea dataOnly="0" labelOnly="1" outline="0" fieldPosition="0">
        <references count="1">
          <reference field="4294967294" count="7">
            <x v="0"/>
            <x v="1"/>
            <x v="2"/>
            <x v="3"/>
            <x v="4"/>
            <x v="5"/>
            <x v="6"/>
          </reference>
        </references>
      </pivotArea>
    </format>
    <format dxfId="238">
      <pivotArea dataOnly="0" labelOnly="1" outline="0" fieldPosition="0">
        <references count="1">
          <reference field="4294967294" count="7">
            <x v="0"/>
            <x v="1"/>
            <x v="2"/>
            <x v="3"/>
            <x v="4"/>
            <x v="5"/>
            <x v="6"/>
          </reference>
        </references>
      </pivotArea>
    </format>
    <format dxfId="237">
      <pivotArea type="all" dataOnly="0" outline="0" fieldPosition="0"/>
    </format>
    <format dxfId="236">
      <pivotArea outline="0" collapsedLevelsAreSubtotals="1" fieldPosition="0"/>
    </format>
    <format dxfId="235">
      <pivotArea field="10" type="button" dataOnly="0" labelOnly="1" outline="0" axis="axisRow" fieldPosition="0"/>
    </format>
    <format dxfId="234">
      <pivotArea dataOnly="0" labelOnly="1" fieldPosition="0">
        <references count="1">
          <reference field="10" count="4">
            <x v="0"/>
            <x v="1"/>
            <x v="2"/>
            <x v="3"/>
          </reference>
        </references>
      </pivotArea>
    </format>
    <format dxfId="233">
      <pivotArea dataOnly="0" labelOnly="1" grandRow="1" outline="0" fieldPosition="0"/>
    </format>
    <format dxfId="232">
      <pivotArea dataOnly="0" labelOnly="1" fieldPosition="0">
        <references count="2">
          <reference field="4" count="3">
            <x v="0"/>
            <x v="2"/>
            <x v="3"/>
          </reference>
          <reference field="10" count="1" selected="0">
            <x v="2"/>
          </reference>
        </references>
      </pivotArea>
    </format>
    <format dxfId="231">
      <pivotArea dataOnly="0" labelOnly="1" outline="0" fieldPosition="0">
        <references count="1">
          <reference field="4294967294" count="7">
            <x v="0"/>
            <x v="1"/>
            <x v="2"/>
            <x v="3"/>
            <x v="4"/>
            <x v="5"/>
            <x v="6"/>
          </reference>
        </references>
      </pivotArea>
    </format>
    <format dxfId="230">
      <pivotArea outline="0" collapsedLevelsAreSubtotals="1" fieldPosition="0">
        <references count="1">
          <reference field="4294967294" count="1" selected="0">
            <x v="6"/>
          </reference>
        </references>
      </pivotArea>
    </format>
    <format dxfId="229">
      <pivotArea dataOnly="0" labelOnly="1" outline="0" fieldPosition="0">
        <references count="1">
          <reference field="4294967294" count="1">
            <x v="6"/>
          </reference>
        </references>
      </pivotArea>
    </format>
    <format dxfId="228">
      <pivotArea outline="0" collapsedLevelsAreSubtotals="1" fieldPosition="0">
        <references count="1">
          <reference field="4294967294" count="1" selected="0">
            <x v="6"/>
          </reference>
        </references>
      </pivotArea>
    </format>
    <format dxfId="227">
      <pivotArea dataOnly="0" labelOnly="1" outline="0" fieldPosition="0">
        <references count="1">
          <reference field="4294967294" count="1">
            <x v="6"/>
          </reference>
        </references>
      </pivotArea>
    </format>
    <format dxfId="226">
      <pivotArea dataOnly="0" labelOnly="1" fieldPosition="0">
        <references count="1">
          <reference field="10" count="1">
            <x v="0"/>
          </reference>
        </references>
      </pivotArea>
    </format>
    <format dxfId="225">
      <pivotArea dataOnly="0" labelOnly="1" fieldPosition="0">
        <references count="2">
          <reference field="4" count="1">
            <x v="0"/>
          </reference>
          <reference field="10" count="1" selected="0">
            <x v="0"/>
          </reference>
        </references>
      </pivotArea>
    </format>
    <format dxfId="224">
      <pivotArea dataOnly="0" labelOnly="1" fieldPosition="0">
        <references count="1">
          <reference field="10" count="1">
            <x v="3"/>
          </reference>
        </references>
      </pivotArea>
    </format>
    <format dxfId="223">
      <pivotArea dataOnly="0" labelOnly="1" fieldPosition="0">
        <references count="2">
          <reference field="4" count="2">
            <x v="2"/>
            <x v="3"/>
          </reference>
          <reference field="10" count="1" selected="0">
            <x v="3"/>
          </reference>
        </references>
      </pivotArea>
    </format>
    <format dxfId="222">
      <pivotArea dataOnly="0" labelOnly="1" fieldPosition="0">
        <references count="1">
          <reference field="10" count="2">
            <x v="1"/>
            <x v="2"/>
          </reference>
        </references>
      </pivotArea>
    </format>
    <format dxfId="221">
      <pivotArea dataOnly="0" labelOnly="1" fieldPosition="0">
        <references count="2">
          <reference field="4" count="1">
            <x v="0"/>
          </reference>
          <reference field="10" count="1" selected="0">
            <x v="1"/>
          </reference>
        </references>
      </pivotArea>
    </format>
    <format dxfId="220">
      <pivotArea dataOnly="0" labelOnly="1" fieldPosition="0">
        <references count="2">
          <reference field="4" count="2">
            <x v="2"/>
            <x v="3"/>
          </reference>
          <reference field="10" count="1" selected="0">
            <x v="2"/>
          </reference>
        </references>
      </pivotArea>
    </format>
    <format dxfId="219">
      <pivotArea type="all" dataOnly="0" outline="0" fieldPosition="0"/>
    </format>
    <format dxfId="218">
      <pivotArea outline="0" collapsedLevelsAreSubtotals="1" fieldPosition="0"/>
    </format>
    <format dxfId="217">
      <pivotArea field="10" type="button" dataOnly="0" labelOnly="1" outline="0" axis="axisRow" fieldPosition="0"/>
    </format>
    <format dxfId="216">
      <pivotArea dataOnly="0" labelOnly="1" fieldPosition="0">
        <references count="1">
          <reference field="10" count="4">
            <x v="0"/>
            <x v="1"/>
            <x v="2"/>
            <x v="3"/>
          </reference>
        </references>
      </pivotArea>
    </format>
    <format dxfId="215">
      <pivotArea dataOnly="0" labelOnly="1" grandRow="1" outline="0" fieldPosition="0"/>
    </format>
    <format dxfId="214">
      <pivotArea dataOnly="0" labelOnly="1" fieldPosition="0">
        <references count="2">
          <reference field="4" count="1">
            <x v="0"/>
          </reference>
          <reference field="10" count="1" selected="0">
            <x v="0"/>
          </reference>
        </references>
      </pivotArea>
    </format>
    <format dxfId="213">
      <pivotArea dataOnly="0" labelOnly="1" fieldPosition="0">
        <references count="2">
          <reference field="4" count="1">
            <x v="0"/>
          </reference>
          <reference field="10" count="1" selected="0">
            <x v="1"/>
          </reference>
        </references>
      </pivotArea>
    </format>
    <format dxfId="212">
      <pivotArea dataOnly="0" labelOnly="1" fieldPosition="0">
        <references count="2">
          <reference field="4" count="2">
            <x v="2"/>
            <x v="3"/>
          </reference>
          <reference field="10" count="1" selected="0">
            <x v="2"/>
          </reference>
        </references>
      </pivotArea>
    </format>
    <format dxfId="211">
      <pivotArea dataOnly="0" labelOnly="1" fieldPosition="0">
        <references count="2">
          <reference field="4" count="2">
            <x v="2"/>
            <x v="3"/>
          </reference>
          <reference field="10" count="1" selected="0">
            <x v="3"/>
          </reference>
        </references>
      </pivotArea>
    </format>
    <format dxfId="210">
      <pivotArea dataOnly="0" labelOnly="1" outline="0" fieldPosition="0">
        <references count="1">
          <reference field="4294967294" count="7">
            <x v="0"/>
            <x v="1"/>
            <x v="2"/>
            <x v="3"/>
            <x v="4"/>
            <x v="5"/>
            <x v="6"/>
          </reference>
        </references>
      </pivotArea>
    </format>
    <format dxfId="209">
      <pivotArea type="all" dataOnly="0" outline="0" fieldPosition="0"/>
    </format>
    <format dxfId="208">
      <pivotArea outline="0" collapsedLevelsAreSubtotals="1" fieldPosition="0"/>
    </format>
    <format dxfId="207">
      <pivotArea field="10" type="button" dataOnly="0" labelOnly="1" outline="0" axis="axisRow" fieldPosition="0"/>
    </format>
    <format dxfId="206">
      <pivotArea dataOnly="0" labelOnly="1" fieldPosition="0">
        <references count="1">
          <reference field="10" count="4">
            <x v="0"/>
            <x v="1"/>
            <x v="2"/>
            <x v="3"/>
          </reference>
        </references>
      </pivotArea>
    </format>
    <format dxfId="205">
      <pivotArea dataOnly="0" labelOnly="1" grandRow="1" outline="0" fieldPosition="0"/>
    </format>
    <format dxfId="204">
      <pivotArea dataOnly="0" labelOnly="1" fieldPosition="0">
        <references count="2">
          <reference field="4" count="1">
            <x v="0"/>
          </reference>
          <reference field="10" count="1" selected="0">
            <x v="0"/>
          </reference>
        </references>
      </pivotArea>
    </format>
    <format dxfId="203">
      <pivotArea dataOnly="0" labelOnly="1" fieldPosition="0">
        <references count="2">
          <reference field="4" count="1">
            <x v="0"/>
          </reference>
          <reference field="10" count="1" selected="0">
            <x v="1"/>
          </reference>
        </references>
      </pivotArea>
    </format>
    <format dxfId="202">
      <pivotArea dataOnly="0" labelOnly="1" fieldPosition="0">
        <references count="2">
          <reference field="4" count="2">
            <x v="2"/>
            <x v="3"/>
          </reference>
          <reference field="10" count="1" selected="0">
            <x v="2"/>
          </reference>
        </references>
      </pivotArea>
    </format>
    <format dxfId="201">
      <pivotArea dataOnly="0" labelOnly="1" fieldPosition="0">
        <references count="2">
          <reference field="4" count="2">
            <x v="2"/>
            <x v="3"/>
          </reference>
          <reference field="10" count="1" selected="0">
            <x v="3"/>
          </reference>
        </references>
      </pivotArea>
    </format>
    <format dxfId="200">
      <pivotArea dataOnly="0" labelOnly="1" outline="0" fieldPosition="0">
        <references count="1">
          <reference field="4294967294" count="7">
            <x v="0"/>
            <x v="1"/>
            <x v="2"/>
            <x v="3"/>
            <x v="4"/>
            <x v="5"/>
            <x v="6"/>
          </reference>
        </references>
      </pivotArea>
    </format>
    <format dxfId="199">
      <pivotArea type="all" dataOnly="0" outline="0" fieldPosition="0"/>
    </format>
    <format dxfId="198">
      <pivotArea outline="0" collapsedLevelsAreSubtotals="1" fieldPosition="0"/>
    </format>
    <format dxfId="197">
      <pivotArea field="10" type="button" dataOnly="0" labelOnly="1" outline="0" axis="axisRow" fieldPosition="0"/>
    </format>
    <format dxfId="196">
      <pivotArea dataOnly="0" labelOnly="1" fieldPosition="0">
        <references count="1">
          <reference field="10" count="4">
            <x v="0"/>
            <x v="1"/>
            <x v="2"/>
            <x v="3"/>
          </reference>
        </references>
      </pivotArea>
    </format>
    <format dxfId="195">
      <pivotArea dataOnly="0" labelOnly="1" grandRow="1" outline="0" fieldPosition="0"/>
    </format>
    <format dxfId="194">
      <pivotArea dataOnly="0" labelOnly="1" fieldPosition="0">
        <references count="2">
          <reference field="4" count="1">
            <x v="0"/>
          </reference>
          <reference field="10" count="1" selected="0">
            <x v="0"/>
          </reference>
        </references>
      </pivotArea>
    </format>
    <format dxfId="193">
      <pivotArea dataOnly="0" labelOnly="1" fieldPosition="0">
        <references count="2">
          <reference field="4" count="1">
            <x v="0"/>
          </reference>
          <reference field="10" count="1" selected="0">
            <x v="1"/>
          </reference>
        </references>
      </pivotArea>
    </format>
    <format dxfId="192">
      <pivotArea dataOnly="0" labelOnly="1" fieldPosition="0">
        <references count="2">
          <reference field="4" count="2">
            <x v="2"/>
            <x v="3"/>
          </reference>
          <reference field="10" count="1" selected="0">
            <x v="2"/>
          </reference>
        </references>
      </pivotArea>
    </format>
    <format dxfId="191">
      <pivotArea dataOnly="0" labelOnly="1" fieldPosition="0">
        <references count="2">
          <reference field="4" count="2">
            <x v="2"/>
            <x v="3"/>
          </reference>
          <reference field="10" count="1" selected="0">
            <x v="3"/>
          </reference>
        </references>
      </pivotArea>
    </format>
    <format dxfId="190">
      <pivotArea dataOnly="0" labelOnly="1" outline="0" fieldPosition="0">
        <references count="1">
          <reference field="4294967294" count="7">
            <x v="0"/>
            <x v="1"/>
            <x v="2"/>
            <x v="3"/>
            <x v="4"/>
            <x v="5"/>
            <x v="6"/>
          </reference>
        </references>
      </pivotArea>
    </format>
  </formats>
  <chartFormats count="7">
    <chartFormat chart="6" format="28" series="1">
      <pivotArea type="data" outline="0" fieldPosition="0">
        <references count="1">
          <reference field="4294967294" count="1" selected="0">
            <x v="0"/>
          </reference>
        </references>
      </pivotArea>
    </chartFormat>
    <chartFormat chart="6" format="29" series="1">
      <pivotArea type="data" outline="0" fieldPosition="0">
        <references count="1">
          <reference field="4294967294" count="1" selected="0">
            <x v="1"/>
          </reference>
        </references>
      </pivotArea>
    </chartFormat>
    <chartFormat chart="6" format="30" series="1">
      <pivotArea type="data" outline="0" fieldPosition="0">
        <references count="1">
          <reference field="4294967294" count="1" selected="0">
            <x v="2"/>
          </reference>
        </references>
      </pivotArea>
    </chartFormat>
    <chartFormat chart="6" format="31" series="1">
      <pivotArea type="data" outline="0" fieldPosition="0">
        <references count="1">
          <reference field="4294967294" count="1" selected="0">
            <x v="5"/>
          </reference>
        </references>
      </pivotArea>
    </chartFormat>
    <chartFormat chart="6" format="33" series="1">
      <pivotArea type="data" outline="0" fieldPosition="0">
        <references count="1">
          <reference field="4294967294" count="1" selected="0">
            <x v="6"/>
          </reference>
        </references>
      </pivotArea>
    </chartFormat>
    <chartFormat chart="6" format="34" series="1">
      <pivotArea type="data" outline="0" fieldPosition="0">
        <references count="1">
          <reference field="4294967294" count="1" selected="0">
            <x v="3"/>
          </reference>
        </references>
      </pivotArea>
    </chartFormat>
    <chartFormat chart="6" format="3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C66C7D-ADA0-403E-93DF-722EFAD72242}"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E10" firstHeaderRow="1" firstDataRow="2" firstDataCol="1" rowPageCount="1" colPageCount="1"/>
  <pivotFields count="36">
    <pivotField showAll="0"/>
    <pivotField showAll="0">
      <items count="69">
        <item x="35"/>
        <item x="33"/>
        <item x="1"/>
        <item x="32"/>
        <item x="8"/>
        <item x="12"/>
        <item m="1" x="60"/>
        <item m="1" x="66"/>
        <item x="30"/>
        <item m="1" x="67"/>
        <item x="34"/>
        <item x="2"/>
        <item x="0"/>
        <item x="4"/>
        <item x="22"/>
        <item x="3"/>
        <item x="29"/>
        <item x="37"/>
        <item x="7"/>
        <item x="38"/>
        <item x="13"/>
        <item x="42"/>
        <item x="40"/>
        <item x="5"/>
        <item x="9"/>
        <item m="1" x="61"/>
        <item m="1" x="62"/>
        <item m="1" x="58"/>
        <item m="1" x="59"/>
        <item m="1" x="63"/>
        <item m="1" x="64"/>
        <item m="1" x="65"/>
        <item x="10"/>
        <item x="39"/>
        <item x="50"/>
        <item x="25"/>
        <item x="11"/>
        <item x="43"/>
        <item x="36"/>
        <item x="27"/>
        <item x="48"/>
        <item x="23"/>
        <item x="26"/>
        <item x="41"/>
        <item x="44"/>
        <item x="53"/>
        <item x="14"/>
        <item x="31"/>
        <item x="6"/>
        <item x="17"/>
        <item x="45"/>
        <item x="52"/>
        <item x="28"/>
        <item x="47"/>
        <item x="49"/>
        <item x="16"/>
        <item x="46"/>
        <item x="15"/>
        <item x="18"/>
        <item x="54"/>
        <item x="19"/>
        <item x="20"/>
        <item x="21"/>
        <item x="55"/>
        <item x="51"/>
        <item x="24"/>
        <item x="56"/>
        <item x="57"/>
        <item t="default"/>
      </items>
    </pivotField>
    <pivotField showAll="0"/>
    <pivotField showAll="0"/>
    <pivotField axis="axisCol" showAll="0">
      <items count="8">
        <item x="1"/>
        <item x="3"/>
        <item x="4"/>
        <item x="0"/>
        <item x="5"/>
        <item x="2"/>
        <item m="1" x="6"/>
        <item t="default"/>
      </items>
    </pivotField>
    <pivotField showAll="0"/>
    <pivotField showAll="0"/>
    <pivotField showAll="0"/>
    <pivotField showAll="0"/>
    <pivotField showAll="0"/>
    <pivotField axis="axisPage" showAll="0">
      <items count="8">
        <item x="5"/>
        <item x="4"/>
        <item x="0"/>
        <item x="2"/>
        <item x="3"/>
        <item m="1" x="6"/>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multipleItemSelectionAllowed="1" showAll="0">
      <items count="8">
        <item h="1" x="5"/>
        <item h="1" x="0"/>
        <item x="3"/>
        <item x="4"/>
        <item x="2"/>
        <item x="1"/>
        <item h="1" m="1"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2"/>
  </rowFields>
  <rowItems count="5">
    <i>
      <x v="2"/>
    </i>
    <i>
      <x v="3"/>
    </i>
    <i>
      <x v="4"/>
    </i>
    <i>
      <x v="5"/>
    </i>
    <i t="grand">
      <x/>
    </i>
  </rowItems>
  <colFields count="1">
    <field x="4"/>
  </colFields>
  <colItems count="4">
    <i>
      <x/>
    </i>
    <i>
      <x v="3"/>
    </i>
    <i>
      <x v="5"/>
    </i>
    <i t="grand">
      <x/>
    </i>
  </colItems>
  <pageFields count="1">
    <pageField fld="10" item="3" hier="-1"/>
  </pageFields>
  <dataFields count="1">
    <dataField name="Count of Project Status" fld="3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59713E-E2AF-42E6-AC57-7426301B365B}"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64:V178" firstHeaderRow="1" firstDataRow="3" firstDataCol="1"/>
  <pivotFields count="14">
    <pivotField showAll="0"/>
    <pivotField showAll="0"/>
    <pivotField axis="axisRow" showAll="0">
      <items count="6">
        <item x="0"/>
        <item x="1"/>
        <item x="2"/>
        <item x="3"/>
        <item x="4"/>
        <item t="default"/>
      </items>
    </pivotField>
    <pivotField showAll="0"/>
    <pivotField showAll="0"/>
    <pivotField showAll="0"/>
    <pivotField axis="axisCol" showAll="0">
      <items count="3">
        <item x="0"/>
        <item x="1"/>
        <item t="default"/>
      </items>
    </pivotField>
    <pivotField axis="axisCol" dataField="1" showAll="0">
      <items count="10">
        <item x="4"/>
        <item x="0"/>
        <item x="3"/>
        <item x="2"/>
        <item x="5"/>
        <item x="1"/>
        <item x="6"/>
        <item x="7"/>
        <item m="1" x="8"/>
        <item t="default"/>
      </items>
    </pivotField>
    <pivotField showAll="0"/>
    <pivotField showAll="0"/>
    <pivotField axis="axisRow" showAll="0">
      <items count="4">
        <item x="1"/>
        <item x="0"/>
        <item x="2"/>
        <item t="default"/>
      </items>
    </pivotField>
    <pivotField showAll="0"/>
    <pivotField showAll="0"/>
    <pivotField showAll="0"/>
  </pivotFields>
  <rowFields count="2">
    <field x="10"/>
    <field x="2"/>
  </rowFields>
  <rowItems count="12">
    <i>
      <x/>
    </i>
    <i r="1">
      <x v="1"/>
    </i>
    <i r="1">
      <x v="2"/>
    </i>
    <i>
      <x v="1"/>
    </i>
    <i r="1">
      <x/>
    </i>
    <i r="1">
      <x v="1"/>
    </i>
    <i r="1">
      <x v="2"/>
    </i>
    <i r="1">
      <x v="3"/>
    </i>
    <i r="1">
      <x v="4"/>
    </i>
    <i>
      <x v="2"/>
    </i>
    <i r="1">
      <x v="1"/>
    </i>
    <i t="grand">
      <x/>
    </i>
  </rowItems>
  <colFields count="2">
    <field x="6"/>
    <field x="7"/>
  </colFields>
  <colItems count="16">
    <i>
      <x/>
      <x v="1"/>
    </i>
    <i r="1">
      <x v="4"/>
    </i>
    <i r="1">
      <x v="5"/>
    </i>
    <i r="1">
      <x v="6"/>
    </i>
    <i r="1">
      <x v="7"/>
    </i>
    <i t="default">
      <x/>
    </i>
    <i>
      <x v="1"/>
      <x/>
    </i>
    <i r="1">
      <x v="1"/>
    </i>
    <i r="1">
      <x v="2"/>
    </i>
    <i r="1">
      <x v="3"/>
    </i>
    <i r="1">
      <x v="4"/>
    </i>
    <i r="1">
      <x v="5"/>
    </i>
    <i r="1">
      <x v="6"/>
    </i>
    <i r="1">
      <x v="7"/>
    </i>
    <i t="default">
      <x v="1"/>
    </i>
    <i t="grand">
      <x/>
    </i>
  </colItems>
  <dataFields count="1">
    <dataField name="Count of Plant/OEM" fld="7" subtotal="count" baseField="0" baseItem="0"/>
  </dataFields>
  <chartFormats count="14">
    <chartFormat chart="0" format="0" series="1">
      <pivotArea type="data" outline="0" fieldPosition="0">
        <references count="3">
          <reference field="4294967294" count="1" selected="0">
            <x v="0"/>
          </reference>
          <reference field="6" count="1" selected="0">
            <x v="0"/>
          </reference>
          <reference field="7" count="1" selected="0">
            <x v="1"/>
          </reference>
        </references>
      </pivotArea>
    </chartFormat>
    <chartFormat chart="0" format="1" series="1">
      <pivotArea type="data" outline="0" fieldPosition="0">
        <references count="3">
          <reference field="4294967294" count="1" selected="0">
            <x v="0"/>
          </reference>
          <reference field="6" count="1" selected="0">
            <x v="0"/>
          </reference>
          <reference field="7" count="1" selected="0">
            <x v="4"/>
          </reference>
        </references>
      </pivotArea>
    </chartFormat>
    <chartFormat chart="0" format="2" series="1">
      <pivotArea type="data" outline="0" fieldPosition="0">
        <references count="3">
          <reference field="4294967294" count="1" selected="0">
            <x v="0"/>
          </reference>
          <reference field="6" count="1" selected="0">
            <x v="0"/>
          </reference>
          <reference field="7" count="1" selected="0">
            <x v="5"/>
          </reference>
        </references>
      </pivotArea>
    </chartFormat>
    <chartFormat chart="0" format="3" series="1">
      <pivotArea type="data" outline="0" fieldPosition="0">
        <references count="3">
          <reference field="4294967294" count="1" selected="0">
            <x v="0"/>
          </reference>
          <reference field="6" count="1" selected="0">
            <x v="1"/>
          </reference>
          <reference field="7" count="1" selected="0">
            <x v="0"/>
          </reference>
        </references>
      </pivotArea>
    </chartFormat>
    <chartFormat chart="0" format="4" series="1">
      <pivotArea type="data" outline="0" fieldPosition="0">
        <references count="3">
          <reference field="4294967294" count="1" selected="0">
            <x v="0"/>
          </reference>
          <reference field="6" count="1" selected="0">
            <x v="1"/>
          </reference>
          <reference field="7" count="1" selected="0">
            <x v="1"/>
          </reference>
        </references>
      </pivotArea>
    </chartFormat>
    <chartFormat chart="0" format="5" series="1">
      <pivotArea type="data" outline="0" fieldPosition="0">
        <references count="3">
          <reference field="4294967294" count="1" selected="0">
            <x v="0"/>
          </reference>
          <reference field="6" count="1" selected="0">
            <x v="1"/>
          </reference>
          <reference field="7" count="1" selected="0">
            <x v="2"/>
          </reference>
        </references>
      </pivotArea>
    </chartFormat>
    <chartFormat chart="0" format="6" series="1">
      <pivotArea type="data" outline="0" fieldPosition="0">
        <references count="3">
          <reference field="4294967294" count="1" selected="0">
            <x v="0"/>
          </reference>
          <reference field="6" count="1" selected="0">
            <x v="1"/>
          </reference>
          <reference field="7" count="1" selected="0">
            <x v="3"/>
          </reference>
        </references>
      </pivotArea>
    </chartFormat>
    <chartFormat chart="0" format="7" series="1">
      <pivotArea type="data" outline="0" fieldPosition="0">
        <references count="3">
          <reference field="4294967294" count="1" selected="0">
            <x v="0"/>
          </reference>
          <reference field="6" count="1" selected="0">
            <x v="1"/>
          </reference>
          <reference field="7" count="1" selected="0">
            <x v="4"/>
          </reference>
        </references>
      </pivotArea>
    </chartFormat>
    <chartFormat chart="0" format="8" series="1">
      <pivotArea type="data" outline="0" fieldPosition="0">
        <references count="3">
          <reference field="4294967294" count="1" selected="0">
            <x v="0"/>
          </reference>
          <reference field="6" count="1" selected="0">
            <x v="1"/>
          </reference>
          <reference field="7" count="1" selected="0">
            <x v="5"/>
          </reference>
        </references>
      </pivotArea>
    </chartFormat>
    <chartFormat chart="0" format="9" series="1">
      <pivotArea type="data" outline="0" fieldPosition="0">
        <references count="3">
          <reference field="4294967294" count="1" selected="0">
            <x v="0"/>
          </reference>
          <reference field="6" count="1" selected="0">
            <x v="1"/>
          </reference>
          <reference field="7" count="1" selected="0">
            <x v="6"/>
          </reference>
        </references>
      </pivotArea>
    </chartFormat>
    <chartFormat chart="0" format="10" series="1">
      <pivotArea type="data" outline="0" fieldPosition="0">
        <references count="3">
          <reference field="4294967294" count="1" selected="0">
            <x v="0"/>
          </reference>
          <reference field="6" count="1" selected="0">
            <x v="1"/>
          </reference>
          <reference field="7" count="1" selected="0">
            <x v="7"/>
          </reference>
        </references>
      </pivotArea>
    </chartFormat>
    <chartFormat chart="0" format="11" series="1">
      <pivotArea type="data" outline="0" fieldPosition="0">
        <references count="3">
          <reference field="4294967294" count="1" selected="0">
            <x v="0"/>
          </reference>
          <reference field="6" count="1" selected="0">
            <x v="0"/>
          </reference>
          <reference field="7" count="1" selected="0">
            <x v="6"/>
          </reference>
        </references>
      </pivotArea>
    </chartFormat>
    <chartFormat chart="0" format="12" series="1">
      <pivotArea type="data" outline="0" fieldPosition="0">
        <references count="3">
          <reference field="4294967294" count="1" selected="0">
            <x v="0"/>
          </reference>
          <reference field="6" count="1" selected="0">
            <x v="0"/>
          </reference>
          <reference field="7" count="1" selected="0">
            <x v="7"/>
          </reference>
        </references>
      </pivotArea>
    </chartFormat>
    <chartFormat chart="0" format="13" series="1">
      <pivotArea type="data" outline="0" fieldPosition="0">
        <references count="3">
          <reference field="4294967294" count="1" selected="0">
            <x v="0"/>
          </reference>
          <reference field="6"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29AFC1-2190-4943-913D-A359BED4825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92:M200" firstHeaderRow="1" firstDataRow="3" firstDataCol="1" rowPageCount="1" colPageCount="1"/>
  <pivotFields count="19">
    <pivotField showAll="0"/>
    <pivotField showAll="0"/>
    <pivotField axis="axisRow" showAll="0">
      <items count="6">
        <item x="0"/>
        <item x="3"/>
        <item x="1"/>
        <item x="4"/>
        <item x="2"/>
        <item t="default"/>
      </items>
    </pivotField>
    <pivotField showAll="0"/>
    <pivotField showAll="0"/>
    <pivotField showAll="0"/>
    <pivotField axis="axisCol" showAll="0">
      <items count="3">
        <item x="0"/>
        <item x="1"/>
        <item t="default"/>
      </items>
    </pivotField>
    <pivotField axis="axisCol" dataField="1" showAll="0">
      <items count="9">
        <item x="4"/>
        <item x="0"/>
        <item x="3"/>
        <item x="2"/>
        <item x="7"/>
        <item x="6"/>
        <item x="5"/>
        <item x="1"/>
        <item t="default"/>
      </items>
    </pivotField>
    <pivotField axis="axisPage" multipleItemSelectionAllowed="1" showAll="0">
      <items count="7">
        <item x="4"/>
        <item x="3"/>
        <item h="1" x="0"/>
        <item h="1" x="1"/>
        <item h="1" x="2"/>
        <item h="1" x="5"/>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s>
  <rowFields count="2">
    <field x="10"/>
    <field x="2"/>
  </rowFields>
  <rowItems count="6">
    <i>
      <x v="1"/>
    </i>
    <i r="1">
      <x/>
    </i>
    <i r="1">
      <x v="1"/>
    </i>
    <i r="1">
      <x v="2"/>
    </i>
    <i r="1">
      <x v="3"/>
    </i>
    <i t="grand">
      <x/>
    </i>
  </rowItems>
  <colFields count="2">
    <field x="6"/>
    <field x="7"/>
  </colFields>
  <colItems count="7">
    <i>
      <x/>
      <x v="4"/>
    </i>
    <i r="1">
      <x v="5"/>
    </i>
    <i t="default">
      <x/>
    </i>
    <i>
      <x v="1"/>
      <x v="4"/>
    </i>
    <i r="1">
      <x v="5"/>
    </i>
    <i t="default">
      <x v="1"/>
    </i>
    <i t="grand">
      <x/>
    </i>
  </colItems>
  <pageFields count="1">
    <pageField fld="8" hier="-1"/>
  </pageFields>
  <dataFields count="1">
    <dataField name="Count of Plant/OEM" fld="7" subtotal="count" baseField="0" baseItem="0"/>
  </dataFields>
  <chartFormats count="4">
    <chartFormat chart="0" format="0" series="1">
      <pivotArea type="data" outline="0" fieldPosition="0">
        <references count="3">
          <reference field="4294967294" count="1" selected="0">
            <x v="0"/>
          </reference>
          <reference field="6" count="1" selected="0">
            <x v="0"/>
          </reference>
          <reference field="7" count="1" selected="0">
            <x v="4"/>
          </reference>
        </references>
      </pivotArea>
    </chartFormat>
    <chartFormat chart="0" format="1" series="1">
      <pivotArea type="data" outline="0" fieldPosition="0">
        <references count="3">
          <reference field="4294967294" count="1" selected="0">
            <x v="0"/>
          </reference>
          <reference field="6" count="1" selected="0">
            <x v="0"/>
          </reference>
          <reference field="7" count="1" selected="0">
            <x v="5"/>
          </reference>
        </references>
      </pivotArea>
    </chartFormat>
    <chartFormat chart="0" format="2" series="1">
      <pivotArea type="data" outline="0" fieldPosition="0">
        <references count="3">
          <reference field="4294967294" count="1" selected="0">
            <x v="0"/>
          </reference>
          <reference field="6" count="1" selected="0">
            <x v="1"/>
          </reference>
          <reference field="7" count="1" selected="0">
            <x v="4"/>
          </reference>
        </references>
      </pivotArea>
    </chartFormat>
    <chartFormat chart="0" format="3" series="1">
      <pivotArea type="data" outline="0" fieldPosition="0">
        <references count="3">
          <reference field="4294967294" count="1" selected="0">
            <x v="0"/>
          </reference>
          <reference field="6" count="1" selected="0">
            <x v="1"/>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9AF59C-8BC8-4C56-BF90-59A0207530B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48:I157" firstHeaderRow="1" firstDataRow="2" firstDataCol="1" rowPageCount="1" colPageCount="1"/>
  <pivotFields count="19">
    <pivotField showAll="0"/>
    <pivotField showAll="0"/>
    <pivotField axis="axisRow" showAll="0">
      <items count="6">
        <item x="0"/>
        <item x="1"/>
        <item x="2"/>
        <item m="1" x="4"/>
        <item x="3"/>
        <item t="default"/>
      </items>
    </pivotField>
    <pivotField dataField="1" showAll="0"/>
    <pivotField showAll="0"/>
    <pivotField showAll="0"/>
    <pivotField axis="axisCol" showAll="0">
      <items count="3">
        <item x="0"/>
        <item x="1"/>
        <item t="default"/>
      </items>
    </pivotField>
    <pivotField showAll="0"/>
    <pivotField axis="axisPage" showAll="0">
      <items count="5">
        <item x="0"/>
        <item x="1"/>
        <item x="2"/>
        <item x="3"/>
        <item t="default"/>
      </items>
    </pivotField>
    <pivotField showAll="0"/>
    <pivotField axis="axisRow" showAll="0">
      <items count="6">
        <item x="1"/>
        <item m="1" x="3"/>
        <item x="0"/>
        <item x="2"/>
        <item m="1" x="4"/>
        <item t="default"/>
      </items>
    </pivotField>
    <pivotField showAll="0"/>
    <pivotField showAll="0"/>
    <pivotField showAll="0"/>
    <pivotField showAll="0"/>
    <pivotField showAll="0"/>
    <pivotField showAll="0"/>
    <pivotField showAll="0"/>
    <pivotField showAll="0"/>
  </pivotFields>
  <rowFields count="2">
    <field x="10"/>
    <field x="2"/>
  </rowFields>
  <rowItems count="8">
    <i>
      <x/>
    </i>
    <i r="1">
      <x v="1"/>
    </i>
    <i r="1">
      <x v="2"/>
    </i>
    <i>
      <x v="2"/>
    </i>
    <i r="1">
      <x/>
    </i>
    <i r="1">
      <x v="1"/>
    </i>
    <i r="1">
      <x v="2"/>
    </i>
    <i t="grand">
      <x/>
    </i>
  </rowItems>
  <colFields count="1">
    <field x="6"/>
  </colFields>
  <colItems count="3">
    <i>
      <x/>
    </i>
    <i>
      <x v="1"/>
    </i>
    <i t="grand">
      <x/>
    </i>
  </colItems>
  <pageFields count="1">
    <pageField fld="8" item="1" hier="-1"/>
  </pageFields>
  <dataFields count="1">
    <dataField name="Count of Project Type" fld="3"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5774F6-C1E6-4698-B1B9-2D97F80C6E6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G36" firstHeaderRow="1" firstDataRow="2" firstDataCol="1"/>
  <pivotFields count="14">
    <pivotField showAll="0"/>
    <pivotField numFmtId="17" showAll="0"/>
    <pivotField axis="axisRow" showAll="0">
      <items count="4">
        <item x="0"/>
        <item x="1"/>
        <item x="2"/>
        <item t="default"/>
      </items>
    </pivotField>
    <pivotField showAll="0"/>
    <pivotField showAll="0"/>
    <pivotField showAll="0"/>
    <pivotField showAll="0"/>
    <pivotField axis="axisCol" dataField="1" showAll="0">
      <items count="6">
        <item x="4"/>
        <item x="0"/>
        <item x="3"/>
        <item x="2"/>
        <item x="1"/>
        <item t="default"/>
      </items>
    </pivotField>
    <pivotField showAll="0"/>
    <pivotField showAll="0"/>
    <pivotField axis="axisRow" showAll="0">
      <items count="5">
        <item x="0"/>
        <item x="2"/>
        <item x="1"/>
        <item m="1" x="3"/>
        <item t="default"/>
      </items>
    </pivotField>
    <pivotField showAll="0"/>
    <pivotField showAll="0"/>
    <pivotField showAll="0"/>
  </pivotFields>
  <rowFields count="2">
    <field x="10"/>
    <field x="2"/>
  </rowFields>
  <rowItems count="9">
    <i>
      <x/>
    </i>
    <i r="1">
      <x/>
    </i>
    <i r="1">
      <x v="1"/>
    </i>
    <i r="1">
      <x v="2"/>
    </i>
    <i>
      <x v="1"/>
    </i>
    <i r="1">
      <x v="1"/>
    </i>
    <i>
      <x v="2"/>
    </i>
    <i r="1">
      <x v="2"/>
    </i>
    <i t="grand">
      <x/>
    </i>
  </rowItems>
  <colFields count="1">
    <field x="7"/>
  </colFields>
  <colItems count="6">
    <i>
      <x/>
    </i>
    <i>
      <x v="1"/>
    </i>
    <i>
      <x v="2"/>
    </i>
    <i>
      <x v="3"/>
    </i>
    <i>
      <x v="4"/>
    </i>
    <i t="grand">
      <x/>
    </i>
  </colItems>
  <dataFields count="1">
    <dataField name="Count of Plant/OEM" fld="7" subtotal="count" baseField="0" baseItem="0"/>
  </dataFields>
  <formats count="1">
    <format dxfId="186">
      <pivotArea outline="0" collapsedLevelsAreSubtotals="1" fieldPosition="0"/>
    </format>
  </formats>
  <chartFormats count="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88CA1A-0EEC-444D-9A77-3FF636591CD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G20" firstHeaderRow="1" firstDataRow="2" firstDataCol="1"/>
  <pivotFields count="14">
    <pivotField showAll="0"/>
    <pivotField numFmtId="17" showAll="0"/>
    <pivotField axis="axisRow" showAll="0">
      <items count="4">
        <item x="0"/>
        <item x="1"/>
        <item x="2"/>
        <item t="default"/>
      </items>
    </pivotField>
    <pivotField showAll="0"/>
    <pivotField showAll="0"/>
    <pivotField showAll="0"/>
    <pivotField axis="axisRow" showAll="0">
      <items count="3">
        <item x="1"/>
        <item x="0"/>
        <item t="default"/>
      </items>
    </pivotField>
    <pivotField axis="axisCol" showAll="0">
      <items count="6">
        <item x="0"/>
        <item x="3"/>
        <item x="2"/>
        <item x="1"/>
        <item x="4"/>
        <item t="default"/>
      </items>
    </pivotField>
    <pivotField showAll="0"/>
    <pivotField showAll="0"/>
    <pivotField axis="axisRow" showAll="0">
      <items count="5">
        <item x="0"/>
        <item x="2"/>
        <item x="1"/>
        <item m="1" x="3"/>
        <item t="default"/>
      </items>
    </pivotField>
    <pivotField dataField="1" showAll="0"/>
    <pivotField showAll="0"/>
    <pivotField showAll="0"/>
  </pivotFields>
  <rowFields count="3">
    <field x="10"/>
    <field x="2"/>
    <field x="6"/>
  </rowFields>
  <rowItems count="18">
    <i>
      <x/>
    </i>
    <i r="1">
      <x/>
    </i>
    <i r="2">
      <x/>
    </i>
    <i r="2">
      <x v="1"/>
    </i>
    <i r="1">
      <x v="1"/>
    </i>
    <i r="2">
      <x/>
    </i>
    <i r="2">
      <x v="1"/>
    </i>
    <i r="1">
      <x v="2"/>
    </i>
    <i r="2">
      <x/>
    </i>
    <i r="2">
      <x v="1"/>
    </i>
    <i>
      <x v="1"/>
    </i>
    <i r="1">
      <x v="1"/>
    </i>
    <i r="2">
      <x/>
    </i>
    <i r="2">
      <x v="1"/>
    </i>
    <i>
      <x v="2"/>
    </i>
    <i r="1">
      <x v="2"/>
    </i>
    <i r="2">
      <x/>
    </i>
    <i t="grand">
      <x/>
    </i>
  </rowItems>
  <colFields count="1">
    <field x="7"/>
  </colFields>
  <colItems count="6">
    <i>
      <x/>
    </i>
    <i>
      <x v="1"/>
    </i>
    <i>
      <x v="2"/>
    </i>
    <i>
      <x v="3"/>
    </i>
    <i>
      <x v="4"/>
    </i>
    <i t="grand">
      <x/>
    </i>
  </colItems>
  <dataFields count="1">
    <dataField name="Count of Customer" fld="11" subtotal="count" baseField="0" baseItem="0"/>
  </dataFields>
  <formats count="3">
    <format dxfId="189">
      <pivotArea outline="0" collapsedLevelsAreSubtotals="1" fieldPosition="0"/>
    </format>
    <format dxfId="188">
      <pivotArea dataOnly="0" labelOnly="1" fieldPosition="0">
        <references count="1">
          <reference field="7" count="0"/>
        </references>
      </pivotArea>
    </format>
    <format dxfId="187">
      <pivotArea dataOnly="0" labelOnly="1" grandCol="1" outline="0" fieldPosition="0"/>
    </format>
  </formats>
  <chartFormats count="5">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5"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4D5462-F8D9-4C20-8580-90FE73237602}" name="Global - Total No. of Proje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6:B12" firstHeaderRow="1" firstDataRow="1" firstDataCol="1" rowPageCount="1" colPageCount="1"/>
  <pivotFields count="40">
    <pivotField showAll="0"/>
    <pivotField showAll="0"/>
    <pivotField showAll="0"/>
    <pivotField axis="axisPage" multipleItemSelectionAllowed="1" showAll="0">
      <items count="8">
        <item x="2"/>
        <item x="3"/>
        <item x="5"/>
        <item x="0"/>
        <item x="6"/>
        <item x="1"/>
        <item x="4"/>
        <item t="default"/>
      </items>
    </pivotField>
    <pivotField showAll="0"/>
    <pivotField showAll="0"/>
    <pivotField showAll="0"/>
    <pivotField showAll="0"/>
    <pivotField showAll="0"/>
    <pivotField axis="axisRow" dataField="1" showAll="0">
      <items count="7">
        <item x="2"/>
        <item x="1"/>
        <item x="0"/>
        <item x="4"/>
        <item x="3"/>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pageFields count="1">
    <pageField fld="3" hier="-1"/>
  </pageFields>
  <dataFields count="1">
    <dataField name="Count of RPDO hub" fld="9" subtotal="count" baseField="0" baseItem="0"/>
  </dataFields>
  <formats count="10">
    <format dxfId="40">
      <pivotArea type="all" dataOnly="0" outline="0" fieldPosition="0"/>
    </format>
    <format dxfId="39">
      <pivotArea outline="0" collapsedLevelsAreSubtotals="1" fieldPosition="0"/>
    </format>
    <format dxfId="38">
      <pivotArea grandRow="1"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9" type="button" dataOnly="0" labelOnly="1" outline="0" axis="axisRow" fieldPosition="0"/>
    </format>
    <format dxfId="33">
      <pivotArea dataOnly="0" labelOnly="1" fieldPosition="0">
        <references count="1">
          <reference field="9" count="0"/>
        </references>
      </pivotArea>
    </format>
    <format dxfId="32">
      <pivotArea dataOnly="0" labelOnly="1" grandRow="1" outline="0" fieldPosition="0"/>
    </format>
    <format dxfId="31">
      <pivotArea dataOnly="0" labelOnly="1" outline="0" axis="axisValues" fieldPosition="0"/>
    </format>
  </formats>
  <chartFormats count="8">
    <chartFormat chart="3" format="26" series="1">
      <pivotArea type="data" outline="0" fieldPosition="0">
        <references count="1">
          <reference field="4294967294" count="1" selected="0">
            <x v="0"/>
          </reference>
        </references>
      </pivotArea>
    </chartFormat>
    <chartFormat chart="3" format="41" series="1">
      <pivotArea type="data" outline="0" fieldPosition="0">
        <references count="2">
          <reference field="4294967294" count="1" selected="0">
            <x v="0"/>
          </reference>
          <reference field="3" count="1" selected="0">
            <x v="2"/>
          </reference>
        </references>
      </pivotArea>
    </chartFormat>
    <chartFormat chart="3" format="42" series="1">
      <pivotArea type="data" outline="0" fieldPosition="0">
        <references count="2">
          <reference field="4294967294" count="1" selected="0">
            <x v="0"/>
          </reference>
          <reference field="3" count="1" selected="0">
            <x v="3"/>
          </reference>
        </references>
      </pivotArea>
    </chartFormat>
    <chartFormat chart="3" format="43" series="1">
      <pivotArea type="data" outline="0" fieldPosition="0">
        <references count="2">
          <reference field="4294967294" count="1" selected="0">
            <x v="0"/>
          </reference>
          <reference field="3" count="1" selected="0">
            <x v="4"/>
          </reference>
        </references>
      </pivotArea>
    </chartFormat>
    <chartFormat chart="3" format="44" series="1">
      <pivotArea type="data" outline="0" fieldPosition="0">
        <references count="2">
          <reference field="4294967294" count="1" selected="0">
            <x v="0"/>
          </reference>
          <reference field="3" count="1" selected="0">
            <x v="5"/>
          </reference>
        </references>
      </pivotArea>
    </chartFormat>
    <chartFormat chart="23" format="51" series="1">
      <pivotArea type="data" outline="0" fieldPosition="0">
        <references count="1">
          <reference field="4294967294" count="1" selected="0">
            <x v="0"/>
          </reference>
        </references>
      </pivotArea>
    </chartFormat>
    <chartFormat chart="31" format="52" series="1">
      <pivotArea type="data" outline="0" fieldPosition="0">
        <references count="1">
          <reference field="4294967294" count="1" selected="0">
            <x v="0"/>
          </reference>
        </references>
      </pivotArea>
    </chartFormat>
    <chartFormat chart="32" format="5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0AC96C-D65F-4938-8911-0BE6C175E2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4:V14" firstHeaderRow="1" firstDataRow="2" firstDataCol="1"/>
  <pivotFields count="40">
    <pivotField showAll="0"/>
    <pivotField showAll="0"/>
    <pivotField showAll="0"/>
    <pivotField showAll="0"/>
    <pivotField showAll="0"/>
    <pivotField showAll="0"/>
    <pivotField showAll="0"/>
    <pivotField showAll="0"/>
    <pivotField showAll="0"/>
    <pivotField showAll="0"/>
    <pivotField showAll="0"/>
    <pivotField axis="axisRow" dataField="1" showAll="0">
      <items count="12">
        <item x="3"/>
        <item x="1"/>
        <item m="1" x="8"/>
        <item m="1" x="9"/>
        <item x="0"/>
        <item m="1" x="10"/>
        <item x="7"/>
        <item x="2"/>
        <item x="6"/>
        <item x="4"/>
        <item x="5"/>
        <item t="default"/>
      </items>
    </pivotField>
    <pivotField showAll="0"/>
    <pivotField showAll="0"/>
    <pivotField showAll="0"/>
    <pivotField axis="axisCol" showAll="0">
      <items count="8">
        <item x="0"/>
        <item x="1"/>
        <item x="6"/>
        <item x="4"/>
        <item x="3"/>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9">
    <i>
      <x/>
    </i>
    <i>
      <x v="1"/>
    </i>
    <i>
      <x v="4"/>
    </i>
    <i>
      <x v="6"/>
    </i>
    <i>
      <x v="7"/>
    </i>
    <i>
      <x v="8"/>
    </i>
    <i>
      <x v="9"/>
    </i>
    <i>
      <x v="10"/>
    </i>
    <i t="grand">
      <x/>
    </i>
  </rowItems>
  <colFields count="1">
    <field x="15"/>
  </colFields>
  <colItems count="7">
    <i>
      <x/>
    </i>
    <i>
      <x v="1"/>
    </i>
    <i>
      <x v="2"/>
    </i>
    <i>
      <x v="3"/>
    </i>
    <i>
      <x v="4"/>
    </i>
    <i>
      <x v="5"/>
    </i>
    <i t="grand">
      <x/>
    </i>
  </colItems>
  <dataFields count="1">
    <dataField name="Count of Requesting Department" fld="11" subtotal="count" baseField="0" baseItem="0"/>
  </dataFields>
  <formats count="14">
    <format dxfId="54">
      <pivotArea collapsedLevelsAreSubtotals="1" fieldPosition="0">
        <references count="1">
          <reference field="11" count="0"/>
        </references>
      </pivotArea>
    </format>
    <format dxfId="53">
      <pivotArea grandRow="1" outline="0" collapsedLevelsAreSubtotals="1" fieldPosition="0"/>
    </format>
    <format dxfId="52">
      <pivotArea dataOnly="0" labelOnly="1" fieldPosition="0">
        <references count="1">
          <reference field="15" count="0"/>
        </references>
      </pivotArea>
    </format>
    <format dxfId="51">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5" type="button" dataOnly="0" labelOnly="1" outline="0" axis="axisCol" fieldPosition="0"/>
    </format>
    <format dxfId="46">
      <pivotArea type="topRight" dataOnly="0" labelOnly="1" outline="0" fieldPosition="0"/>
    </format>
    <format dxfId="45">
      <pivotArea field="11" type="button" dataOnly="0" labelOnly="1" outline="0" axis="axisRow" fieldPosition="0"/>
    </format>
    <format dxfId="44">
      <pivotArea dataOnly="0" labelOnly="1" fieldPosition="0">
        <references count="1">
          <reference field="11" count="0"/>
        </references>
      </pivotArea>
    </format>
    <format dxfId="43">
      <pivotArea dataOnly="0" labelOnly="1" grandRow="1" outline="0" fieldPosition="0"/>
    </format>
    <format dxfId="42">
      <pivotArea dataOnly="0" labelOnly="1" fieldPosition="0">
        <references count="1">
          <reference field="15" count="0"/>
        </references>
      </pivotArea>
    </format>
    <format dxfId="41">
      <pivotArea dataOnly="0" labelOnly="1" grandCol="1" outline="0" fieldPosition="0"/>
    </format>
  </formats>
  <chartFormats count="6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0" format="8">
      <pivotArea type="data" outline="0" fieldPosition="0">
        <references count="2">
          <reference field="4294967294" count="1" selected="0">
            <x v="0"/>
          </reference>
          <reference field="11" count="1" selected="0">
            <x v="7"/>
          </reference>
        </references>
      </pivotArea>
    </chartFormat>
    <chartFormat chart="0" format="9" series="1">
      <pivotArea type="data" outline="0" fieldPosition="0">
        <references count="2">
          <reference field="4294967294" count="1" selected="0">
            <x v="0"/>
          </reference>
          <reference field="15" count="1" selected="0">
            <x v="0"/>
          </reference>
        </references>
      </pivotArea>
    </chartFormat>
    <chartFormat chart="0" format="10" series="1">
      <pivotArea type="data" outline="0" fieldPosition="0">
        <references count="2">
          <reference field="4294967294" count="1" selected="0">
            <x v="0"/>
          </reference>
          <reference field="15" count="1" selected="0">
            <x v="2"/>
          </reference>
        </references>
      </pivotArea>
    </chartFormat>
    <chartFormat chart="0" format="11" series="1">
      <pivotArea type="data" outline="0" fieldPosition="0">
        <references count="2">
          <reference field="4294967294" count="1" selected="0">
            <x v="0"/>
          </reference>
          <reference field="15" count="1" selected="0">
            <x v="1"/>
          </reference>
        </references>
      </pivotArea>
    </chartFormat>
    <chartFormat chart="0" format="12" series="1">
      <pivotArea type="data" outline="0" fieldPosition="0">
        <references count="2">
          <reference field="4294967294" count="1" selected="0">
            <x v="0"/>
          </reference>
          <reference field="15" count="1" selected="0">
            <x v="3"/>
          </reference>
        </references>
      </pivotArea>
    </chartFormat>
    <chartFormat chart="0" format="13" series="1">
      <pivotArea type="data" outline="0" fieldPosition="0">
        <references count="2">
          <reference field="4294967294" count="1" selected="0">
            <x v="0"/>
          </reference>
          <reference field="15" count="1" selected="0">
            <x v="5"/>
          </reference>
        </references>
      </pivotArea>
    </chartFormat>
    <chartFormat chart="0" format="14" series="1">
      <pivotArea type="data" outline="0" fieldPosition="0">
        <references count="2">
          <reference field="4294967294" count="1" selected="0">
            <x v="0"/>
          </reference>
          <reference field="15" count="1" selected="0">
            <x v="6"/>
          </reference>
        </references>
      </pivotArea>
    </chartFormat>
    <chartFormat chart="0" format="15" series="1">
      <pivotArea type="data" outline="0" fieldPosition="0">
        <references count="2">
          <reference field="4294967294" count="1" selected="0">
            <x v="0"/>
          </reference>
          <reference field="15" count="1" selected="0">
            <x v="4"/>
          </reference>
        </references>
      </pivotArea>
    </chartFormat>
    <chartFormat chart="0" format="16">
      <pivotArea type="data" outline="0" fieldPosition="0">
        <references count="3">
          <reference field="4294967294" count="1" selected="0">
            <x v="0"/>
          </reference>
          <reference field="11" count="1" selected="0">
            <x v="0"/>
          </reference>
          <reference field="15" count="1" selected="0">
            <x v="5"/>
          </reference>
        </references>
      </pivotArea>
    </chartFormat>
    <chartFormat chart="0" format="17">
      <pivotArea type="data" outline="0" fieldPosition="0">
        <references count="3">
          <reference field="4294967294" count="1" selected="0">
            <x v="0"/>
          </reference>
          <reference field="11" count="1" selected="0">
            <x v="0"/>
          </reference>
          <reference field="15" count="1" selected="0">
            <x v="0"/>
          </reference>
        </references>
      </pivotArea>
    </chartFormat>
    <chartFormat chart="0" format="18">
      <pivotArea type="data" outline="0" fieldPosition="0">
        <references count="3">
          <reference field="4294967294" count="1" selected="0">
            <x v="0"/>
          </reference>
          <reference field="11" count="1" selected="0">
            <x v="2"/>
          </reference>
          <reference field="15" count="1" selected="0">
            <x v="5"/>
          </reference>
        </references>
      </pivotArea>
    </chartFormat>
    <chartFormat chart="0" format="19">
      <pivotArea type="data" outline="0" fieldPosition="0">
        <references count="3">
          <reference field="4294967294" count="1" selected="0">
            <x v="0"/>
          </reference>
          <reference field="11" count="1" selected="0">
            <x v="1"/>
          </reference>
          <reference field="15" count="1" selected="0">
            <x v="5"/>
          </reference>
        </references>
      </pivotArea>
    </chartFormat>
    <chartFormat chart="0" format="20">
      <pivotArea type="data" outline="0" fieldPosition="0">
        <references count="3">
          <reference field="4294967294" count="1" selected="0">
            <x v="0"/>
          </reference>
          <reference field="11" count="1" selected="0">
            <x v="1"/>
          </reference>
          <reference field="15" count="1" selected="0">
            <x v="4"/>
          </reference>
        </references>
      </pivotArea>
    </chartFormat>
    <chartFormat chart="0" format="21">
      <pivotArea type="data" outline="0" fieldPosition="0">
        <references count="3">
          <reference field="4294967294" count="1" selected="0">
            <x v="0"/>
          </reference>
          <reference field="11" count="1" selected="0">
            <x v="3"/>
          </reference>
          <reference field="15" count="1" selected="0">
            <x v="3"/>
          </reference>
        </references>
      </pivotArea>
    </chartFormat>
    <chartFormat chart="0" format="22">
      <pivotArea type="data" outline="0" fieldPosition="0">
        <references count="3">
          <reference field="4294967294" count="1" selected="0">
            <x v="0"/>
          </reference>
          <reference field="11" count="1" selected="0">
            <x v="4"/>
          </reference>
          <reference field="15" count="1" selected="0">
            <x v="1"/>
          </reference>
        </references>
      </pivotArea>
    </chartFormat>
    <chartFormat chart="0" format="23">
      <pivotArea type="data" outline="0" fieldPosition="0">
        <references count="3">
          <reference field="4294967294" count="1" selected="0">
            <x v="0"/>
          </reference>
          <reference field="11" count="1" selected="0">
            <x v="5"/>
          </reference>
          <reference field="15" count="1" selected="0">
            <x v="3"/>
          </reference>
        </references>
      </pivotArea>
    </chartFormat>
    <chartFormat chart="0" format="24">
      <pivotArea type="data" outline="0" fieldPosition="0">
        <references count="3">
          <reference field="4294967294" count="1" selected="0">
            <x v="0"/>
          </reference>
          <reference field="11" count="1" selected="0">
            <x v="7"/>
          </reference>
          <reference field="15" count="1" selected="0">
            <x v="4"/>
          </reference>
        </references>
      </pivotArea>
    </chartFormat>
    <chartFormat chart="0" format="25">
      <pivotArea type="data" outline="0" fieldPosition="0">
        <references count="3">
          <reference field="4294967294" count="1" selected="0">
            <x v="0"/>
          </reference>
          <reference field="11" count="1" selected="0">
            <x v="7"/>
          </reference>
          <reference field="15" count="1" selected="0">
            <x v="3"/>
          </reference>
        </references>
      </pivotArea>
    </chartFormat>
    <chartFormat chart="0" format="26">
      <pivotArea type="data" outline="0" fieldPosition="0">
        <references count="3">
          <reference field="4294967294" count="1" selected="0">
            <x v="0"/>
          </reference>
          <reference field="11" count="1" selected="0">
            <x v="1"/>
          </reference>
          <reference field="15" count="1" selected="0">
            <x v="0"/>
          </reference>
        </references>
      </pivotArea>
    </chartFormat>
    <chartFormat chart="0" format="27">
      <pivotArea type="data" outline="0" fieldPosition="0">
        <references count="3">
          <reference field="4294967294" count="1" selected="0">
            <x v="0"/>
          </reference>
          <reference field="11" count="1" selected="0">
            <x v="2"/>
          </reference>
          <reference field="15" count="1" selected="0">
            <x v="0"/>
          </reference>
        </references>
      </pivotArea>
    </chartFormat>
    <chartFormat chart="0" format="28">
      <pivotArea type="data" outline="0" fieldPosition="0">
        <references count="3">
          <reference field="4294967294" count="1" selected="0">
            <x v="0"/>
          </reference>
          <reference field="11" count="1" selected="0">
            <x v="3"/>
          </reference>
          <reference field="15" count="1" selected="0">
            <x v="0"/>
          </reference>
        </references>
      </pivotArea>
    </chartFormat>
    <chartFormat chart="0" format="29">
      <pivotArea type="data" outline="0" fieldPosition="0">
        <references count="3">
          <reference field="4294967294" count="1" selected="0">
            <x v="0"/>
          </reference>
          <reference field="11" count="1" selected="0">
            <x v="4"/>
          </reference>
          <reference field="15" count="1" selected="0">
            <x v="0"/>
          </reference>
        </references>
      </pivotArea>
    </chartFormat>
    <chartFormat chart="0" format="30">
      <pivotArea type="data" outline="0" fieldPosition="0">
        <references count="3">
          <reference field="4294967294" count="1" selected="0">
            <x v="0"/>
          </reference>
          <reference field="11" count="1" selected="0">
            <x v="5"/>
          </reference>
          <reference field="15" count="1" selected="0">
            <x v="0"/>
          </reference>
        </references>
      </pivotArea>
    </chartFormat>
    <chartFormat chart="0" format="31">
      <pivotArea type="data" outline="0" fieldPosition="0">
        <references count="3">
          <reference field="4294967294" count="1" selected="0">
            <x v="0"/>
          </reference>
          <reference field="11" count="1" selected="0">
            <x v="6"/>
          </reference>
          <reference field="15" count="1" selected="0">
            <x v="0"/>
          </reference>
        </references>
      </pivotArea>
    </chartFormat>
    <chartFormat chart="0" format="32">
      <pivotArea type="data" outline="0" fieldPosition="0">
        <references count="3">
          <reference field="4294967294" count="1" selected="0">
            <x v="0"/>
          </reference>
          <reference field="11" count="1" selected="0">
            <x v="7"/>
          </reference>
          <reference field="15" count="1" selected="0">
            <x v="0"/>
          </reference>
        </references>
      </pivotArea>
    </chartFormat>
    <chartFormat chart="0" format="33">
      <pivotArea type="data" outline="0" fieldPosition="0">
        <references count="3">
          <reference field="4294967294" count="1" selected="0">
            <x v="0"/>
          </reference>
          <reference field="11" count="1" selected="0">
            <x v="0"/>
          </reference>
          <reference field="15" count="1" selected="0">
            <x v="1"/>
          </reference>
        </references>
      </pivotArea>
    </chartFormat>
    <chartFormat chart="0" format="34">
      <pivotArea type="data" outline="0" fieldPosition="0">
        <references count="3">
          <reference field="4294967294" count="1" selected="0">
            <x v="0"/>
          </reference>
          <reference field="11" count="1" selected="0">
            <x v="1"/>
          </reference>
          <reference field="15" count="1" selected="0">
            <x v="1"/>
          </reference>
        </references>
      </pivotArea>
    </chartFormat>
    <chartFormat chart="0" format="35">
      <pivotArea type="data" outline="0" fieldPosition="0">
        <references count="3">
          <reference field="4294967294" count="1" selected="0">
            <x v="0"/>
          </reference>
          <reference field="11" count="1" selected="0">
            <x v="2"/>
          </reference>
          <reference field="15" count="1" selected="0">
            <x v="1"/>
          </reference>
        </references>
      </pivotArea>
    </chartFormat>
    <chartFormat chart="0" format="36">
      <pivotArea type="data" outline="0" fieldPosition="0">
        <references count="3">
          <reference field="4294967294" count="1" selected="0">
            <x v="0"/>
          </reference>
          <reference field="11" count="1" selected="0">
            <x v="3"/>
          </reference>
          <reference field="15" count="1" selected="0">
            <x v="1"/>
          </reference>
        </references>
      </pivotArea>
    </chartFormat>
    <chartFormat chart="0" format="37">
      <pivotArea type="data" outline="0" fieldPosition="0">
        <references count="3">
          <reference field="4294967294" count="1" selected="0">
            <x v="0"/>
          </reference>
          <reference field="11" count="1" selected="0">
            <x v="5"/>
          </reference>
          <reference field="15" count="1" selected="0">
            <x v="1"/>
          </reference>
        </references>
      </pivotArea>
    </chartFormat>
    <chartFormat chart="0" format="38">
      <pivotArea type="data" outline="0" fieldPosition="0">
        <references count="3">
          <reference field="4294967294" count="1" selected="0">
            <x v="0"/>
          </reference>
          <reference field="11" count="1" selected="0">
            <x v="6"/>
          </reference>
          <reference field="15" count="1" selected="0">
            <x v="1"/>
          </reference>
        </references>
      </pivotArea>
    </chartFormat>
    <chartFormat chart="0" format="39">
      <pivotArea type="data" outline="0" fieldPosition="0">
        <references count="3">
          <reference field="4294967294" count="1" selected="0">
            <x v="0"/>
          </reference>
          <reference field="11" count="1" selected="0">
            <x v="7"/>
          </reference>
          <reference field="15" count="1" selected="0">
            <x v="1"/>
          </reference>
        </references>
      </pivotArea>
    </chartFormat>
    <chartFormat chart="0" format="40">
      <pivotArea type="data" outline="0" fieldPosition="0">
        <references count="3">
          <reference field="4294967294" count="1" selected="0">
            <x v="0"/>
          </reference>
          <reference field="11" count="1" selected="0">
            <x v="0"/>
          </reference>
          <reference field="15" count="1" selected="0">
            <x v="2"/>
          </reference>
        </references>
      </pivotArea>
    </chartFormat>
    <chartFormat chart="0" format="41">
      <pivotArea type="data" outline="0" fieldPosition="0">
        <references count="3">
          <reference field="4294967294" count="1" selected="0">
            <x v="0"/>
          </reference>
          <reference field="11" count="1" selected="0">
            <x v="1"/>
          </reference>
          <reference field="15" count="1" selected="0">
            <x v="2"/>
          </reference>
        </references>
      </pivotArea>
    </chartFormat>
    <chartFormat chart="0" format="42">
      <pivotArea type="data" outline="0" fieldPosition="0">
        <references count="3">
          <reference field="4294967294" count="1" selected="0">
            <x v="0"/>
          </reference>
          <reference field="11" count="1" selected="0">
            <x v="2"/>
          </reference>
          <reference field="15" count="1" selected="0">
            <x v="2"/>
          </reference>
        </references>
      </pivotArea>
    </chartFormat>
    <chartFormat chart="0" format="43">
      <pivotArea type="data" outline="0" fieldPosition="0">
        <references count="3">
          <reference field="4294967294" count="1" selected="0">
            <x v="0"/>
          </reference>
          <reference field="11" count="1" selected="0">
            <x v="3"/>
          </reference>
          <reference field="15" count="1" selected="0">
            <x v="2"/>
          </reference>
        </references>
      </pivotArea>
    </chartFormat>
    <chartFormat chart="0" format="44">
      <pivotArea type="data" outline="0" fieldPosition="0">
        <references count="3">
          <reference field="4294967294" count="1" selected="0">
            <x v="0"/>
          </reference>
          <reference field="11" count="1" selected="0">
            <x v="4"/>
          </reference>
          <reference field="15" count="1" selected="0">
            <x v="2"/>
          </reference>
        </references>
      </pivotArea>
    </chartFormat>
    <chartFormat chart="0" format="45">
      <pivotArea type="data" outline="0" fieldPosition="0">
        <references count="3">
          <reference field="4294967294" count="1" selected="0">
            <x v="0"/>
          </reference>
          <reference field="11" count="1" selected="0">
            <x v="5"/>
          </reference>
          <reference field="15" count="1" selected="0">
            <x v="2"/>
          </reference>
        </references>
      </pivotArea>
    </chartFormat>
    <chartFormat chart="0" format="46">
      <pivotArea type="data" outline="0" fieldPosition="0">
        <references count="3">
          <reference field="4294967294" count="1" selected="0">
            <x v="0"/>
          </reference>
          <reference field="11" count="1" selected="0">
            <x v="6"/>
          </reference>
          <reference field="15" count="1" selected="0">
            <x v="2"/>
          </reference>
        </references>
      </pivotArea>
    </chartFormat>
    <chartFormat chart="0" format="47">
      <pivotArea type="data" outline="0" fieldPosition="0">
        <references count="3">
          <reference field="4294967294" count="1" selected="0">
            <x v="0"/>
          </reference>
          <reference field="11" count="1" selected="0">
            <x v="7"/>
          </reference>
          <reference field="15" count="1" selected="0">
            <x v="2"/>
          </reference>
        </references>
      </pivotArea>
    </chartFormat>
    <chartFormat chart="0" format="48">
      <pivotArea type="data" outline="0" fieldPosition="0">
        <references count="3">
          <reference field="4294967294" count="1" selected="0">
            <x v="0"/>
          </reference>
          <reference field="11" count="1" selected="0">
            <x v="0"/>
          </reference>
          <reference field="15" count="1" selected="0">
            <x v="3"/>
          </reference>
        </references>
      </pivotArea>
    </chartFormat>
    <chartFormat chart="0" format="49">
      <pivotArea type="data" outline="0" fieldPosition="0">
        <references count="3">
          <reference field="4294967294" count="1" selected="0">
            <x v="0"/>
          </reference>
          <reference field="11" count="1" selected="0">
            <x v="1"/>
          </reference>
          <reference field="15" count="1" selected="0">
            <x v="3"/>
          </reference>
        </references>
      </pivotArea>
    </chartFormat>
    <chartFormat chart="0" format="50">
      <pivotArea type="data" outline="0" fieldPosition="0">
        <references count="3">
          <reference field="4294967294" count="1" selected="0">
            <x v="0"/>
          </reference>
          <reference field="11" count="1" selected="0">
            <x v="2"/>
          </reference>
          <reference field="15" count="1" selected="0">
            <x v="3"/>
          </reference>
        </references>
      </pivotArea>
    </chartFormat>
    <chartFormat chart="0" format="51">
      <pivotArea type="data" outline="0" fieldPosition="0">
        <references count="3">
          <reference field="4294967294" count="1" selected="0">
            <x v="0"/>
          </reference>
          <reference field="11" count="1" selected="0">
            <x v="4"/>
          </reference>
          <reference field="15" count="1" selected="0">
            <x v="3"/>
          </reference>
        </references>
      </pivotArea>
    </chartFormat>
    <chartFormat chart="0" format="52">
      <pivotArea type="data" outline="0" fieldPosition="0">
        <references count="3">
          <reference field="4294967294" count="1" selected="0">
            <x v="0"/>
          </reference>
          <reference field="11" count="1" selected="0">
            <x v="6"/>
          </reference>
          <reference field="15" count="1" selected="0">
            <x v="3"/>
          </reference>
        </references>
      </pivotArea>
    </chartFormat>
    <chartFormat chart="0" format="53">
      <pivotArea type="data" outline="0" fieldPosition="0">
        <references count="3">
          <reference field="4294967294" count="1" selected="0">
            <x v="0"/>
          </reference>
          <reference field="11" count="1" selected="0">
            <x v="0"/>
          </reference>
          <reference field="15" count="1" selected="0">
            <x v="4"/>
          </reference>
        </references>
      </pivotArea>
    </chartFormat>
    <chartFormat chart="0" format="54">
      <pivotArea type="data" outline="0" fieldPosition="0">
        <references count="3">
          <reference field="4294967294" count="1" selected="0">
            <x v="0"/>
          </reference>
          <reference field="11" count="1" selected="0">
            <x v="2"/>
          </reference>
          <reference field="15" count="1" selected="0">
            <x v="4"/>
          </reference>
        </references>
      </pivotArea>
    </chartFormat>
    <chartFormat chart="0" format="55">
      <pivotArea type="data" outline="0" fieldPosition="0">
        <references count="3">
          <reference field="4294967294" count="1" selected="0">
            <x v="0"/>
          </reference>
          <reference field="11" count="1" selected="0">
            <x v="3"/>
          </reference>
          <reference field="15" count="1" selected="0">
            <x v="4"/>
          </reference>
        </references>
      </pivotArea>
    </chartFormat>
    <chartFormat chart="0" format="56">
      <pivotArea type="data" outline="0" fieldPosition="0">
        <references count="3">
          <reference field="4294967294" count="1" selected="0">
            <x v="0"/>
          </reference>
          <reference field="11" count="1" selected="0">
            <x v="4"/>
          </reference>
          <reference field="15" count="1" selected="0">
            <x v="4"/>
          </reference>
        </references>
      </pivotArea>
    </chartFormat>
    <chartFormat chart="0" format="57">
      <pivotArea type="data" outline="0" fieldPosition="0">
        <references count="3">
          <reference field="4294967294" count="1" selected="0">
            <x v="0"/>
          </reference>
          <reference field="11" count="1" selected="0">
            <x v="5"/>
          </reference>
          <reference field="15" count="1" selected="0">
            <x v="4"/>
          </reference>
        </references>
      </pivotArea>
    </chartFormat>
    <chartFormat chart="0" format="58">
      <pivotArea type="data" outline="0" fieldPosition="0">
        <references count="3">
          <reference field="4294967294" count="1" selected="0">
            <x v="0"/>
          </reference>
          <reference field="11" count="1" selected="0">
            <x v="6"/>
          </reference>
          <reference field="15" count="1" selected="0">
            <x v="4"/>
          </reference>
        </references>
      </pivotArea>
    </chartFormat>
    <chartFormat chart="0" format="59">
      <pivotArea type="data" outline="0" fieldPosition="0">
        <references count="3">
          <reference field="4294967294" count="1" selected="0">
            <x v="0"/>
          </reference>
          <reference field="11" count="1" selected="0">
            <x v="3"/>
          </reference>
          <reference field="15" count="1" selected="0">
            <x v="5"/>
          </reference>
        </references>
      </pivotArea>
    </chartFormat>
    <chartFormat chart="0" format="60">
      <pivotArea type="data" outline="0" fieldPosition="0">
        <references count="3">
          <reference field="4294967294" count="1" selected="0">
            <x v="0"/>
          </reference>
          <reference field="11" count="1" selected="0">
            <x v="4"/>
          </reference>
          <reference field="15" count="1" selected="0">
            <x v="5"/>
          </reference>
        </references>
      </pivotArea>
    </chartFormat>
    <chartFormat chart="0" format="61">
      <pivotArea type="data" outline="0" fieldPosition="0">
        <references count="3">
          <reference field="4294967294" count="1" selected="0">
            <x v="0"/>
          </reference>
          <reference field="11" count="1" selected="0">
            <x v="5"/>
          </reference>
          <reference field="15" count="1" selected="0">
            <x v="5"/>
          </reference>
        </references>
      </pivotArea>
    </chartFormat>
    <chartFormat chart="0" format="62">
      <pivotArea type="data" outline="0" fieldPosition="0">
        <references count="3">
          <reference field="4294967294" count="1" selected="0">
            <x v="0"/>
          </reference>
          <reference field="11" count="1" selected="0">
            <x v="6"/>
          </reference>
          <reference field="15" count="1" selected="0">
            <x v="5"/>
          </reference>
        </references>
      </pivotArea>
    </chartFormat>
    <chartFormat chart="0" format="63">
      <pivotArea type="data" outline="0" fieldPosition="0">
        <references count="3">
          <reference field="4294967294" count="1" selected="0">
            <x v="0"/>
          </reference>
          <reference field="11" count="1" selected="0">
            <x v="7"/>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E91102-6361-4ED4-A875-C2AA3831A60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F4:CL20" firstHeaderRow="1" firstDataRow="2" firstDataCol="1"/>
  <pivotFields count="40">
    <pivotField showAll="0"/>
    <pivotField showAll="0"/>
    <pivotField showAll="0"/>
    <pivotField axis="axisRow" showAll="0">
      <items count="8">
        <item x="2"/>
        <item x="3"/>
        <item x="5"/>
        <item x="0"/>
        <item x="6"/>
        <item x="1"/>
        <item x="4"/>
        <item t="default"/>
      </items>
    </pivotField>
    <pivotField dataField="1" showAll="0"/>
    <pivotField showAll="0"/>
    <pivotField showAll="0"/>
    <pivotField showAll="0"/>
    <pivotField showAll="0"/>
    <pivotField axis="axisCol" showAll="0">
      <items count="7">
        <item x="2"/>
        <item x="1"/>
        <item x="0"/>
        <item x="4"/>
        <item x="3"/>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sd="0" x="17"/>
        <item sd="0" x="19"/>
        <item sd="0" x="18"/>
        <item sd="0" x="12"/>
        <item sd="0" x="16"/>
        <item sd="0" x="14"/>
        <item sd="0" x="15"/>
        <item sd="0" x="0"/>
        <item sd="0" x="2"/>
        <item sd="0" x="3"/>
        <item h="1" sd="0" x="11"/>
        <item h="1" sd="0" x="9"/>
        <item sd="0" x="5"/>
        <item sd="0" x="1"/>
        <item h="1" sd="0" x="10"/>
        <item sd="0" x="4"/>
        <item sd="0" x="8"/>
        <item h="1" x="6"/>
        <item h="1" x="7"/>
        <item h="1" x="13"/>
        <item t="default"/>
      </items>
    </pivotField>
    <pivotField showAll="0"/>
  </pivotFields>
  <rowFields count="2">
    <field x="38"/>
    <field x="3"/>
  </rowFields>
  <rowItems count="15">
    <i>
      <x/>
    </i>
    <i>
      <x v="1"/>
    </i>
    <i>
      <x v="2"/>
    </i>
    <i>
      <x v="3"/>
    </i>
    <i>
      <x v="4"/>
    </i>
    <i>
      <x v="5"/>
    </i>
    <i>
      <x v="6"/>
    </i>
    <i>
      <x v="7"/>
    </i>
    <i>
      <x v="8"/>
    </i>
    <i>
      <x v="9"/>
    </i>
    <i>
      <x v="12"/>
    </i>
    <i>
      <x v="13"/>
    </i>
    <i>
      <x v="15"/>
    </i>
    <i>
      <x v="16"/>
    </i>
    <i t="grand">
      <x/>
    </i>
  </rowItems>
  <colFields count="1">
    <field x="9"/>
  </colFields>
  <colItems count="6">
    <i>
      <x/>
    </i>
    <i>
      <x v="1"/>
    </i>
    <i>
      <x v="2"/>
    </i>
    <i>
      <x v="3"/>
    </i>
    <i>
      <x v="4"/>
    </i>
    <i t="grand">
      <x/>
    </i>
  </colItems>
  <dataFields count="1">
    <dataField name="Count of Project Type" fld="4" subtotal="count" baseField="0" baseItem="0"/>
  </dataFields>
  <formats count="21">
    <format dxfId="75">
      <pivotArea outline="0" collapsedLevelsAreSubtotals="1" fieldPosition="0"/>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9" type="button" dataOnly="0" labelOnly="1" outline="0" axis="axisCol" fieldPosition="0"/>
    </format>
    <format dxfId="70">
      <pivotArea type="topRight" dataOnly="0" labelOnly="1" outline="0" fieldPosition="0"/>
    </format>
    <format dxfId="69">
      <pivotArea field="38" type="button" dataOnly="0" labelOnly="1" outline="0" axis="axisRow" fieldPosition="0"/>
    </format>
    <format dxfId="68">
      <pivotArea dataOnly="0" labelOnly="1" fieldPosition="0">
        <references count="1">
          <reference field="38" count="0"/>
        </references>
      </pivotArea>
    </format>
    <format dxfId="67">
      <pivotArea dataOnly="0" labelOnly="1" grandRow="1" outline="0" fieldPosition="0"/>
    </format>
    <format dxfId="66">
      <pivotArea dataOnly="0" labelOnly="1" fieldPosition="0">
        <references count="1">
          <reference field="9" count="0"/>
        </references>
      </pivotArea>
    </format>
    <format dxfId="65">
      <pivotArea dataOnly="0" labelOnly="1" grandCol="1" outline="0"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9" type="button" dataOnly="0" labelOnly="1" outline="0" axis="axisCol" fieldPosition="0"/>
    </format>
    <format dxfId="60">
      <pivotArea type="topRight" dataOnly="0" labelOnly="1" outline="0" fieldPosition="0"/>
    </format>
    <format dxfId="59">
      <pivotArea field="38" type="button" dataOnly="0" labelOnly="1" outline="0" axis="axisRow" fieldPosition="0"/>
    </format>
    <format dxfId="58">
      <pivotArea dataOnly="0" labelOnly="1" fieldPosition="0">
        <references count="1">
          <reference field="38" count="0"/>
        </references>
      </pivotArea>
    </format>
    <format dxfId="57">
      <pivotArea dataOnly="0" labelOnly="1" grandRow="1" outline="0" fieldPosition="0"/>
    </format>
    <format dxfId="56">
      <pivotArea dataOnly="0" labelOnly="1" fieldPosition="0">
        <references count="1">
          <reference field="9" count="0"/>
        </references>
      </pivotArea>
    </format>
    <format dxfId="55">
      <pivotArea dataOnly="0" labelOnly="1" grandCol="1" outline="0" fieldPosition="0"/>
    </format>
  </formats>
  <chartFormats count="19">
    <chartFormat chart="1" format="0" series="1">
      <pivotArea type="data" outline="0" fieldPosition="0">
        <references count="2">
          <reference field="4294967294" count="1" selected="0">
            <x v="0"/>
          </reference>
          <reference field="38" count="1" selected="0">
            <x v="0"/>
          </reference>
        </references>
      </pivotArea>
    </chartFormat>
    <chartFormat chart="1" format="1" series="1">
      <pivotArea type="data" outline="0" fieldPosition="0">
        <references count="2">
          <reference field="4294967294" count="1" selected="0">
            <x v="0"/>
          </reference>
          <reference field="38" count="1" selected="0">
            <x v="13"/>
          </reference>
        </references>
      </pivotArea>
    </chartFormat>
    <chartFormat chart="1" format="2" series="1">
      <pivotArea type="data" outline="0" fieldPosition="0">
        <references count="2">
          <reference field="4294967294" count="1" selected="0">
            <x v="0"/>
          </reference>
          <reference field="38" count="1" selected="0">
            <x v="7"/>
          </reference>
        </references>
      </pivotArea>
    </chartFormat>
    <chartFormat chart="1" format="4" series="1">
      <pivotArea type="data" outline="0" fieldPosition="0">
        <references count="2">
          <reference field="4294967294" count="1" selected="0">
            <x v="0"/>
          </reference>
          <reference field="38" count="1" selected="0">
            <x v="8"/>
          </reference>
        </references>
      </pivotArea>
    </chartFormat>
    <chartFormat chart="1" format="5" series="1">
      <pivotArea type="data" outline="0" fieldPosition="0">
        <references count="2">
          <reference field="4294967294" count="1" selected="0">
            <x v="0"/>
          </reference>
          <reference field="38" count="1" selected="0">
            <x v="9"/>
          </reference>
        </references>
      </pivotArea>
    </chartFormat>
    <chartFormat chart="1" format="6" series="1">
      <pivotArea type="data" outline="0" fieldPosition="0">
        <references count="2">
          <reference field="4294967294" count="1" selected="0">
            <x v="0"/>
          </reference>
          <reference field="38" count="1" selected="0">
            <x v="1"/>
          </reference>
        </references>
      </pivotArea>
    </chartFormat>
    <chartFormat chart="1" format="7" series="1">
      <pivotArea type="data" outline="0" fieldPosition="0">
        <references count="2">
          <reference field="4294967294" count="1" selected="0">
            <x v="0"/>
          </reference>
          <reference field="38" count="1" selected="0">
            <x v="2"/>
          </reference>
        </references>
      </pivotArea>
    </chartFormat>
    <chartFormat chart="1" format="8" series="1">
      <pivotArea type="data" outline="0" fieldPosition="0">
        <references count="2">
          <reference field="4294967294" count="1" selected="0">
            <x v="0"/>
          </reference>
          <reference field="38" count="1" selected="0">
            <x v="12"/>
          </reference>
        </references>
      </pivotArea>
    </chartFormat>
    <chartFormat chart="1" format="9" series="1">
      <pivotArea type="data" outline="0" fieldPosition="0">
        <references count="2">
          <reference field="4294967294" count="1" selected="0">
            <x v="0"/>
          </reference>
          <reference field="38" count="1" selected="0">
            <x v="10"/>
          </reference>
        </references>
      </pivotArea>
    </chartFormat>
    <chartFormat chart="1" format="13" series="1">
      <pivotArea type="data" outline="0" fieldPosition="0">
        <references count="3">
          <reference field="4294967294" count="1" selected="0">
            <x v="0"/>
          </reference>
          <reference field="3" count="1" selected="0">
            <x v="4"/>
          </reference>
          <reference field="9" count="1" selected="0">
            <x v="3"/>
          </reference>
        </references>
      </pivotArea>
    </chartFormat>
    <chartFormat chart="1" format="14" series="1">
      <pivotArea type="data" outline="0" fieldPosition="0">
        <references count="3">
          <reference field="4294967294" count="1" selected="0">
            <x v="0"/>
          </reference>
          <reference field="3" count="1" selected="0">
            <x v="2"/>
          </reference>
          <reference field="9" count="1" selected="0">
            <x v="4"/>
          </reference>
        </references>
      </pivotArea>
    </chartFormat>
    <chartFormat chart="1" format="15" series="1">
      <pivotArea type="data" outline="0" fieldPosition="0">
        <references count="3">
          <reference field="4294967294" count="1" selected="0">
            <x v="0"/>
          </reference>
          <reference field="3" count="1" selected="0">
            <x v="4"/>
          </reference>
          <reference field="9" count="1" selected="0">
            <x v="4"/>
          </reference>
        </references>
      </pivotArea>
    </chartFormat>
    <chartFormat chart="1" format="23" series="1">
      <pivotArea type="data" outline="0" fieldPosition="0">
        <references count="2">
          <reference field="4294967294" count="1" selected="0">
            <x v="0"/>
          </reference>
          <reference field="9" count="1" selected="0">
            <x v="3"/>
          </reference>
        </references>
      </pivotArea>
    </chartFormat>
    <chartFormat chart="1" format="24" series="1">
      <pivotArea type="data" outline="0" fieldPosition="0">
        <references count="2">
          <reference field="4294967294" count="1" selected="0">
            <x v="0"/>
          </reference>
          <reference field="9" count="1" selected="0">
            <x v="4"/>
          </reference>
        </references>
      </pivotArea>
    </chartFormat>
    <chartFormat chart="5" format="31" series="1">
      <pivotArea type="data" outline="0" fieldPosition="0">
        <references count="2">
          <reference field="4294967294" count="1" selected="0">
            <x v="0"/>
          </reference>
          <reference field="9" count="1" selected="0">
            <x v="3"/>
          </reference>
        </references>
      </pivotArea>
    </chartFormat>
    <chartFormat chart="5" format="32" series="1">
      <pivotArea type="data" outline="0" fieldPosition="0">
        <references count="2">
          <reference field="4294967294" count="1" selected="0">
            <x v="0"/>
          </reference>
          <reference field="9" count="1" selected="0">
            <x v="4"/>
          </reference>
        </references>
      </pivotArea>
    </chartFormat>
    <chartFormat chart="5" format="36" series="1">
      <pivotArea type="data" outline="0" fieldPosition="0">
        <references count="2">
          <reference field="4294967294" count="1" selected="0">
            <x v="0"/>
          </reference>
          <reference field="9" count="1" selected="0">
            <x v="2"/>
          </reference>
        </references>
      </pivotArea>
    </chartFormat>
    <chartFormat chart="5" format="37" series="1">
      <pivotArea type="data" outline="0" fieldPosition="0">
        <references count="2">
          <reference field="4294967294" count="1" selected="0">
            <x v="0"/>
          </reference>
          <reference field="9" count="1" selected="0">
            <x v="1"/>
          </reference>
        </references>
      </pivotArea>
    </chartFormat>
    <chartFormat chart="5" format="3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CACA75-B8A8-415D-B4A2-C704D2B667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E5:BM14" firstHeaderRow="1" firstDataRow="3" firstDataCol="1" rowPageCount="1" colPageCount="1"/>
  <pivotFields count="40">
    <pivotField showAll="0"/>
    <pivotField showAll="0"/>
    <pivotField showAll="0"/>
    <pivotField axis="axisCol" showAll="0">
      <items count="8">
        <item x="3"/>
        <item x="2"/>
        <item x="0"/>
        <item x="1"/>
        <item x="5"/>
        <item x="6"/>
        <item x="4"/>
        <item t="default"/>
      </items>
    </pivotField>
    <pivotField axis="axisCol" dataField="1" showAll="0">
      <items count="8">
        <item h="1" x="4"/>
        <item h="1" x="0"/>
        <item h="1" x="1"/>
        <item x="3"/>
        <item h="1" x="2"/>
        <item h="1" x="5"/>
        <item h="1" m="1" x="6"/>
        <item t="default"/>
      </items>
    </pivotField>
    <pivotField showAll="0"/>
    <pivotField showAll="0"/>
    <pivotField axis="axisRow" showAll="0">
      <items count="297">
        <item x="38"/>
        <item x="85"/>
        <item x="78"/>
        <item x="79"/>
        <item x="81"/>
        <item x="82"/>
        <item x="80"/>
        <item x="83"/>
        <item x="84"/>
        <item x="201"/>
        <item x="101"/>
        <item x="180"/>
        <item x="185"/>
        <item x="127"/>
        <item x="148"/>
        <item x="73"/>
        <item m="1" x="288"/>
        <item m="1" x="287"/>
        <item x="277"/>
        <item x="231"/>
        <item x="234"/>
        <item x="156"/>
        <item x="112"/>
        <item x="102"/>
        <item x="268"/>
        <item x="269"/>
        <item x="166"/>
        <item x="125"/>
        <item x="114"/>
        <item x="258"/>
        <item m="1" x="290"/>
        <item x="213"/>
        <item x="33"/>
        <item x="181"/>
        <item x="139"/>
        <item x="176"/>
        <item x="118"/>
        <item x="117"/>
        <item x="177"/>
        <item x="27"/>
        <item x="6"/>
        <item x="16"/>
        <item x="119"/>
        <item x="4"/>
        <item x="5"/>
        <item x="3"/>
        <item x="1"/>
        <item x="2"/>
        <item x="8"/>
        <item x="7"/>
        <item x="10"/>
        <item x="11"/>
        <item x="13"/>
        <item x="12"/>
        <item x="14"/>
        <item x="15"/>
        <item x="9"/>
        <item x="0"/>
        <item x="204"/>
        <item x="34"/>
        <item x="218"/>
        <item x="214"/>
        <item x="113"/>
        <item x="247"/>
        <item x="249"/>
        <item x="267"/>
        <item x="31"/>
        <item x="135"/>
        <item m="1" x="289"/>
        <item x="239"/>
        <item x="42"/>
        <item x="59"/>
        <item x="60"/>
        <item x="61"/>
        <item x="62"/>
        <item x="63"/>
        <item x="41"/>
        <item x="43"/>
        <item x="178"/>
        <item x="179"/>
        <item x="259"/>
        <item x="266"/>
        <item x="265"/>
        <item x="256"/>
        <item x="248"/>
        <item x="120"/>
        <item x="30"/>
        <item x="270"/>
        <item x="262"/>
        <item x="264"/>
        <item x="255"/>
        <item x="271"/>
        <item x="261"/>
        <item x="191"/>
        <item x="77"/>
        <item x="87"/>
        <item x="105"/>
        <item x="32"/>
        <item x="86"/>
        <item x="136"/>
        <item x="104"/>
        <item x="29"/>
        <item x="138"/>
        <item x="162"/>
        <item x="240"/>
        <item x="223"/>
        <item x="44"/>
        <item x="165"/>
        <item x="188"/>
        <item x="209"/>
        <item x="254"/>
        <item x="227"/>
        <item x="263"/>
        <item x="257"/>
        <item x="210"/>
        <item x="190"/>
        <item x="195"/>
        <item x="196"/>
        <item x="194"/>
        <item x="229"/>
        <item x="141"/>
        <item x="140"/>
        <item x="76"/>
        <item x="110"/>
        <item x="107"/>
        <item x="108"/>
        <item x="109"/>
        <item m="1" x="282"/>
        <item x="103"/>
        <item x="36"/>
        <item x="35"/>
        <item x="161"/>
        <item x="40"/>
        <item x="230"/>
        <item x="193"/>
        <item x="200"/>
        <item x="18"/>
        <item x="19"/>
        <item x="24"/>
        <item x="20"/>
        <item x="25"/>
        <item x="21"/>
        <item x="22"/>
        <item x="23"/>
        <item x="126"/>
        <item x="217"/>
        <item x="235"/>
        <item x="236"/>
        <item x="237"/>
        <item x="238"/>
        <item x="198"/>
        <item x="244"/>
        <item x="245"/>
        <item x="199"/>
        <item x="242"/>
        <item x="243"/>
        <item x="279"/>
        <item x="251"/>
        <item x="253"/>
        <item x="250"/>
        <item x="192"/>
        <item x="252"/>
        <item x="197"/>
        <item x="186"/>
        <item x="187"/>
        <item x="157"/>
        <item x="111"/>
        <item x="64"/>
        <item x="184"/>
        <item x="189"/>
        <item x="216"/>
        <item x="121"/>
        <item x="71"/>
        <item x="70"/>
        <item x="72"/>
        <item x="149"/>
        <item m="1" x="286"/>
        <item x="182"/>
        <item x="129"/>
        <item x="171"/>
        <item x="170"/>
        <item x="169"/>
        <item m="1" x="291"/>
        <item m="1" x="292"/>
        <item m="1" x="293"/>
        <item m="1" x="294"/>
        <item m="1" x="295"/>
        <item x="203"/>
        <item x="215"/>
        <item x="37"/>
        <item x="183"/>
        <item x="167"/>
        <item x="202"/>
        <item x="224"/>
        <item x="39"/>
        <item x="66"/>
        <item x="65"/>
        <item x="67"/>
        <item x="68"/>
        <item x="69"/>
        <item x="26"/>
        <item x="55"/>
        <item x="57"/>
        <item x="75"/>
        <item x="142"/>
        <item x="54"/>
        <item x="56"/>
        <item x="164"/>
        <item x="260"/>
        <item x="45"/>
        <item x="46"/>
        <item x="100"/>
        <item x="274"/>
        <item x="275"/>
        <item x="273"/>
        <item x="211"/>
        <item x="128"/>
        <item x="134"/>
        <item x="130"/>
        <item x="131"/>
        <item x="132"/>
        <item x="133"/>
        <item x="163"/>
        <item x="58"/>
        <item x="115"/>
        <item x="74"/>
        <item x="97"/>
        <item x="88"/>
        <item x="89"/>
        <item x="90"/>
        <item x="91"/>
        <item x="92"/>
        <item x="98"/>
        <item x="99"/>
        <item x="122"/>
        <item x="123"/>
        <item x="93"/>
        <item x="94"/>
        <item x="95"/>
        <item x="96"/>
        <item x="158"/>
        <item x="221"/>
        <item x="116"/>
        <item x="17"/>
        <item x="222"/>
        <item x="212"/>
        <item x="47"/>
        <item x="48"/>
        <item x="49"/>
        <item x="50"/>
        <item x="51"/>
        <item x="52"/>
        <item x="53"/>
        <item x="28"/>
        <item x="106"/>
        <item x="137"/>
        <item m="1" x="283"/>
        <item m="1" x="284"/>
        <item m="1" x="285"/>
        <item x="146"/>
        <item x="147"/>
        <item x="241"/>
        <item x="124"/>
        <item x="143"/>
        <item x="144"/>
        <item x="145"/>
        <item x="205"/>
        <item x="206"/>
        <item x="207"/>
        <item x="208"/>
        <item x="232"/>
        <item x="233"/>
        <item x="276"/>
        <item x="278"/>
        <item x="150"/>
        <item x="155"/>
        <item x="151"/>
        <item x="152"/>
        <item x="153"/>
        <item x="154"/>
        <item x="159"/>
        <item x="160"/>
        <item x="168"/>
        <item x="280"/>
        <item x="172"/>
        <item x="173"/>
        <item x="174"/>
        <item x="175"/>
        <item x="219"/>
        <item x="220"/>
        <item x="225"/>
        <item x="226"/>
        <item x="228"/>
        <item x="246"/>
        <item x="272"/>
        <item m="1" x="281"/>
        <item t="default"/>
      </items>
    </pivotField>
    <pivotField axis="axisRow" showAll="0">
      <items count="9">
        <item sd="0" x="5"/>
        <item sd="0" x="0"/>
        <item sd="0" x="2"/>
        <item x="3"/>
        <item sd="0" x="1"/>
        <item sd="0" x="4"/>
        <item sd="0" x="6"/>
        <item m="1" x="7"/>
        <item t="default"/>
      </items>
    </pivotField>
    <pivotField showAll="0"/>
    <pivotField axis="axisPage" multipleItemSelectionAllowed="1" showAll="0">
      <items count="6">
        <item x="4"/>
        <item x="0"/>
        <item x="3"/>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7"/>
  </rowFields>
  <rowItems count="7">
    <i>
      <x/>
    </i>
    <i>
      <x v="1"/>
    </i>
    <i>
      <x v="2"/>
    </i>
    <i>
      <x v="4"/>
    </i>
    <i>
      <x v="5"/>
    </i>
    <i>
      <x v="6"/>
    </i>
    <i t="grand">
      <x/>
    </i>
  </rowItems>
  <colFields count="2">
    <field x="4"/>
    <field x="3"/>
  </colFields>
  <colItems count="8">
    <i>
      <x v="3"/>
      <x/>
    </i>
    <i r="1">
      <x v="1"/>
    </i>
    <i r="1">
      <x v="2"/>
    </i>
    <i r="1">
      <x v="3"/>
    </i>
    <i r="1">
      <x v="4"/>
    </i>
    <i r="1">
      <x v="5"/>
    </i>
    <i t="default">
      <x v="3"/>
    </i>
    <i t="grand">
      <x/>
    </i>
  </colItems>
  <pageFields count="1">
    <pageField fld="10" hier="-1"/>
  </pageFields>
  <dataFields count="1">
    <dataField name="Count of Project Type" fld="4" subtotal="count" baseField="0" baseItem="0"/>
  </dataFields>
  <formats count="18">
    <format dxfId="93">
      <pivotArea dataOnly="0" labelOnly="1" fieldPosition="0">
        <references count="1">
          <reference field="4" count="0"/>
        </references>
      </pivotArea>
    </format>
    <format dxfId="92">
      <pivotArea outline="0" collapsedLevelsAreSubtotals="1" fieldPosition="0"/>
    </format>
    <format dxfId="91">
      <pivotArea dataOnly="0" labelOnly="1" fieldPosition="0">
        <references count="1">
          <reference field="4" count="0" defaultSubtotal="1"/>
        </references>
      </pivotArea>
    </format>
    <format dxfId="90">
      <pivotArea dataOnly="0" labelOnly="1" grandCol="1" outline="0" fieldPosition="0"/>
    </format>
    <format dxfId="89">
      <pivotArea dataOnly="0" labelOnly="1" fieldPosition="0">
        <references count="2">
          <reference field="3" count="0"/>
          <reference field="4" count="0" selected="0"/>
        </references>
      </pivotArea>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4" type="button" dataOnly="0" labelOnly="1" outline="0" axis="axisCol" fieldPosition="0"/>
    </format>
    <format dxfId="84">
      <pivotArea field="3" type="button" dataOnly="0" labelOnly="1" outline="0" axis="axisCol" fieldPosition="1"/>
    </format>
    <format dxfId="83">
      <pivotArea type="topRight" dataOnly="0" labelOnly="1" outline="0" fieldPosition="0"/>
    </format>
    <format dxfId="82">
      <pivotArea field="8" type="button" dataOnly="0" labelOnly="1" outline="0" axis="axisRow" fieldPosition="0"/>
    </format>
    <format dxfId="81">
      <pivotArea dataOnly="0" labelOnly="1" fieldPosition="0">
        <references count="1">
          <reference field="8" count="6">
            <x v="0"/>
            <x v="1"/>
            <x v="2"/>
            <x v="4"/>
            <x v="5"/>
            <x v="6"/>
          </reference>
        </references>
      </pivotArea>
    </format>
    <format dxfId="80">
      <pivotArea dataOnly="0" labelOnly="1" grandRow="1" outline="0" fieldPosition="0"/>
    </format>
    <format dxfId="79">
      <pivotArea dataOnly="0" labelOnly="1" fieldPosition="0">
        <references count="1">
          <reference field="4" count="0"/>
        </references>
      </pivotArea>
    </format>
    <format dxfId="78">
      <pivotArea dataOnly="0" labelOnly="1" fieldPosition="0">
        <references count="1">
          <reference field="4" count="0" defaultSubtotal="1"/>
        </references>
      </pivotArea>
    </format>
    <format dxfId="77">
      <pivotArea dataOnly="0" labelOnly="1" grandCol="1" outline="0" fieldPosition="0"/>
    </format>
    <format dxfId="76">
      <pivotArea dataOnly="0" labelOnly="1" fieldPosition="0">
        <references count="2">
          <reference field="3" count="0"/>
          <reference field="4" count="0" selected="0"/>
        </references>
      </pivotArea>
    </format>
  </formats>
  <chartFormats count="49">
    <chartFormat chart="7" format="0" series="1">
      <pivotArea type="data" outline="0" fieldPosition="0">
        <references count="2">
          <reference field="4294967294" count="1" selected="0">
            <x v="0"/>
          </reference>
          <reference field="4" count="1" selected="0">
            <x v="3"/>
          </reference>
        </references>
      </pivotArea>
    </chartFormat>
    <chartFormat chart="7" format="1" series="1">
      <pivotArea type="data" outline="0" fieldPosition="0">
        <references count="3">
          <reference field="4294967294" count="1" selected="0">
            <x v="0"/>
          </reference>
          <reference field="3" count="1" selected="0">
            <x v="0"/>
          </reference>
          <reference field="4" count="1" selected="0">
            <x v="3"/>
          </reference>
        </references>
      </pivotArea>
    </chartFormat>
    <chartFormat chart="7" format="2" series="1">
      <pivotArea type="data" outline="0" fieldPosition="0">
        <references count="3">
          <reference field="4294967294" count="1" selected="0">
            <x v="0"/>
          </reference>
          <reference field="3" count="1" selected="0">
            <x v="4"/>
          </reference>
          <reference field="4" count="1" selected="0">
            <x v="3"/>
          </reference>
        </references>
      </pivotArea>
    </chartFormat>
    <chartFormat chart="7" format="3" series="1">
      <pivotArea type="data" outline="0" fieldPosition="0">
        <references count="3">
          <reference field="4294967294" count="1" selected="0">
            <x v="0"/>
          </reference>
          <reference field="3" count="1" selected="0">
            <x v="2"/>
          </reference>
          <reference field="4" count="1" selected="0">
            <x v="3"/>
          </reference>
        </references>
      </pivotArea>
    </chartFormat>
    <chartFormat chart="7" format="4" series="1">
      <pivotArea type="data" outline="0" fieldPosition="0">
        <references count="3">
          <reference field="4294967294" count="1" selected="0">
            <x v="0"/>
          </reference>
          <reference field="3" count="1" selected="0">
            <x v="5"/>
          </reference>
          <reference field="4" count="1" selected="0">
            <x v="3"/>
          </reference>
        </references>
      </pivotArea>
    </chartFormat>
    <chartFormat chart="7" format="5" series="1">
      <pivotArea type="data" outline="0" fieldPosition="0">
        <references count="3">
          <reference field="4294967294" count="1" selected="0">
            <x v="0"/>
          </reference>
          <reference field="3" count="1" selected="0">
            <x v="3"/>
          </reference>
          <reference field="4" count="1" selected="0">
            <x v="3"/>
          </reference>
        </references>
      </pivotArea>
    </chartFormat>
    <chartFormat chart="22" format="0" series="1">
      <pivotArea type="data" outline="0" fieldPosition="0">
        <references count="3">
          <reference field="4294967294" count="1" selected="0">
            <x v="0"/>
          </reference>
          <reference field="3" count="1" selected="0">
            <x v="0"/>
          </reference>
          <reference field="4" count="1" selected="0">
            <x v="3"/>
          </reference>
        </references>
      </pivotArea>
    </chartFormat>
    <chartFormat chart="22" format="1" series="1">
      <pivotArea type="data" outline="0" fieldPosition="0">
        <references count="3">
          <reference field="4294967294" count="1" selected="0">
            <x v="0"/>
          </reference>
          <reference field="3" count="1" selected="0">
            <x v="1"/>
          </reference>
          <reference field="4" count="1" selected="0">
            <x v="3"/>
          </reference>
        </references>
      </pivotArea>
    </chartFormat>
    <chartFormat chart="22" format="2" series="1">
      <pivotArea type="data" outline="0" fieldPosition="0">
        <references count="3">
          <reference field="4294967294" count="1" selected="0">
            <x v="0"/>
          </reference>
          <reference field="3" count="1" selected="0">
            <x v="2"/>
          </reference>
          <reference field="4" count="1" selected="0">
            <x v="3"/>
          </reference>
        </references>
      </pivotArea>
    </chartFormat>
    <chartFormat chart="22" format="3" series="1">
      <pivotArea type="data" outline="0" fieldPosition="0">
        <references count="3">
          <reference field="4294967294" count="1" selected="0">
            <x v="0"/>
          </reference>
          <reference field="3" count="1" selected="0">
            <x v="3"/>
          </reference>
          <reference field="4" count="1" selected="0">
            <x v="3"/>
          </reference>
        </references>
      </pivotArea>
    </chartFormat>
    <chartFormat chart="22" format="4" series="1">
      <pivotArea type="data" outline="0" fieldPosition="0">
        <references count="3">
          <reference field="4294967294" count="1" selected="0">
            <x v="0"/>
          </reference>
          <reference field="3" count="1" selected="0">
            <x v="4"/>
          </reference>
          <reference field="4" count="1" selected="0">
            <x v="3"/>
          </reference>
        </references>
      </pivotArea>
    </chartFormat>
    <chartFormat chart="22" format="5" series="1">
      <pivotArea type="data" outline="0" fieldPosition="0">
        <references count="3">
          <reference field="4294967294" count="1" selected="0">
            <x v="0"/>
          </reference>
          <reference field="3" count="1" selected="0">
            <x v="5"/>
          </reference>
          <reference field="4" count="1" selected="0">
            <x v="3"/>
          </reference>
        </references>
      </pivotArea>
    </chartFormat>
    <chartFormat chart="7" format="6">
      <pivotArea type="data" outline="0" fieldPosition="0">
        <references count="4">
          <reference field="4294967294" count="1" selected="0">
            <x v="0"/>
          </reference>
          <reference field="3" count="1" selected="0">
            <x v="0"/>
          </reference>
          <reference field="4" count="1" selected="0">
            <x v="3"/>
          </reference>
          <reference field="8" count="1" selected="0">
            <x v="0"/>
          </reference>
        </references>
      </pivotArea>
    </chartFormat>
    <chartFormat chart="7" format="7">
      <pivotArea type="data" outline="0" fieldPosition="0">
        <references count="4">
          <reference field="4294967294" count="1" selected="0">
            <x v="0"/>
          </reference>
          <reference field="3" count="1" selected="0">
            <x v="0"/>
          </reference>
          <reference field="4" count="1" selected="0">
            <x v="3"/>
          </reference>
          <reference field="8" count="1" selected="0">
            <x v="1"/>
          </reference>
        </references>
      </pivotArea>
    </chartFormat>
    <chartFormat chart="7" format="8">
      <pivotArea type="data" outline="0" fieldPosition="0">
        <references count="4">
          <reference field="4294967294" count="1" selected="0">
            <x v="0"/>
          </reference>
          <reference field="3" count="1" selected="0">
            <x v="0"/>
          </reference>
          <reference field="4" count="1" selected="0">
            <x v="3"/>
          </reference>
          <reference field="8" count="1" selected="0">
            <x v="2"/>
          </reference>
        </references>
      </pivotArea>
    </chartFormat>
    <chartFormat chart="7" format="9">
      <pivotArea type="data" outline="0" fieldPosition="0">
        <references count="4">
          <reference field="4294967294" count="1" selected="0">
            <x v="0"/>
          </reference>
          <reference field="3" count="1" selected="0">
            <x v="0"/>
          </reference>
          <reference field="4" count="1" selected="0">
            <x v="3"/>
          </reference>
          <reference field="8" count="1" selected="0">
            <x v="4"/>
          </reference>
        </references>
      </pivotArea>
    </chartFormat>
    <chartFormat chart="7" format="10">
      <pivotArea type="data" outline="0" fieldPosition="0">
        <references count="4">
          <reference field="4294967294" count="1" selected="0">
            <x v="0"/>
          </reference>
          <reference field="3" count="1" selected="0">
            <x v="0"/>
          </reference>
          <reference field="4" count="1" selected="0">
            <x v="3"/>
          </reference>
          <reference field="8" count="1" selected="0">
            <x v="5"/>
          </reference>
        </references>
      </pivotArea>
    </chartFormat>
    <chartFormat chart="7" format="11">
      <pivotArea type="data" outline="0" fieldPosition="0">
        <references count="4">
          <reference field="4294967294" count="1" selected="0">
            <x v="0"/>
          </reference>
          <reference field="3" count="1" selected="0">
            <x v="0"/>
          </reference>
          <reference field="4" count="1" selected="0">
            <x v="3"/>
          </reference>
          <reference field="8" count="1" selected="0">
            <x v="6"/>
          </reference>
        </references>
      </pivotArea>
    </chartFormat>
    <chartFormat chart="7" format="12" series="1">
      <pivotArea type="data" outline="0" fieldPosition="0">
        <references count="3">
          <reference field="4294967294" count="1" selected="0">
            <x v="0"/>
          </reference>
          <reference field="3" count="1" selected="0">
            <x v="1"/>
          </reference>
          <reference field="4" count="1" selected="0">
            <x v="3"/>
          </reference>
        </references>
      </pivotArea>
    </chartFormat>
    <chartFormat chart="7" format="13">
      <pivotArea type="data" outline="0" fieldPosition="0">
        <references count="4">
          <reference field="4294967294" count="1" selected="0">
            <x v="0"/>
          </reference>
          <reference field="3" count="1" selected="0">
            <x v="1"/>
          </reference>
          <reference field="4" count="1" selected="0">
            <x v="3"/>
          </reference>
          <reference field="8" count="1" selected="0">
            <x v="0"/>
          </reference>
        </references>
      </pivotArea>
    </chartFormat>
    <chartFormat chart="7" format="14">
      <pivotArea type="data" outline="0" fieldPosition="0">
        <references count="4">
          <reference field="4294967294" count="1" selected="0">
            <x v="0"/>
          </reference>
          <reference field="3" count="1" selected="0">
            <x v="1"/>
          </reference>
          <reference field="4" count="1" selected="0">
            <x v="3"/>
          </reference>
          <reference field="8" count="1" selected="0">
            <x v="1"/>
          </reference>
        </references>
      </pivotArea>
    </chartFormat>
    <chartFormat chart="7" format="15">
      <pivotArea type="data" outline="0" fieldPosition="0">
        <references count="4">
          <reference field="4294967294" count="1" selected="0">
            <x v="0"/>
          </reference>
          <reference field="3" count="1" selected="0">
            <x v="1"/>
          </reference>
          <reference field="4" count="1" selected="0">
            <x v="3"/>
          </reference>
          <reference field="8" count="1" selected="0">
            <x v="2"/>
          </reference>
        </references>
      </pivotArea>
    </chartFormat>
    <chartFormat chart="7" format="16">
      <pivotArea type="data" outline="0" fieldPosition="0">
        <references count="4">
          <reference field="4294967294" count="1" selected="0">
            <x v="0"/>
          </reference>
          <reference field="3" count="1" selected="0">
            <x v="1"/>
          </reference>
          <reference field="4" count="1" selected="0">
            <x v="3"/>
          </reference>
          <reference field="8" count="1" selected="0">
            <x v="4"/>
          </reference>
        </references>
      </pivotArea>
    </chartFormat>
    <chartFormat chart="7" format="17">
      <pivotArea type="data" outline="0" fieldPosition="0">
        <references count="4">
          <reference field="4294967294" count="1" selected="0">
            <x v="0"/>
          </reference>
          <reference field="3" count="1" selected="0">
            <x v="1"/>
          </reference>
          <reference field="4" count="1" selected="0">
            <x v="3"/>
          </reference>
          <reference field="8" count="1" selected="0">
            <x v="5"/>
          </reference>
        </references>
      </pivotArea>
    </chartFormat>
    <chartFormat chart="7" format="18">
      <pivotArea type="data" outline="0" fieldPosition="0">
        <references count="4">
          <reference field="4294967294" count="1" selected="0">
            <x v="0"/>
          </reference>
          <reference field="3" count="1" selected="0">
            <x v="1"/>
          </reference>
          <reference field="4" count="1" selected="0">
            <x v="3"/>
          </reference>
          <reference field="8" count="1" selected="0">
            <x v="6"/>
          </reference>
        </references>
      </pivotArea>
    </chartFormat>
    <chartFormat chart="7" format="19">
      <pivotArea type="data" outline="0" fieldPosition="0">
        <references count="4">
          <reference field="4294967294" count="1" selected="0">
            <x v="0"/>
          </reference>
          <reference field="3" count="1" selected="0">
            <x v="2"/>
          </reference>
          <reference field="4" count="1" selected="0">
            <x v="3"/>
          </reference>
          <reference field="8" count="1" selected="0">
            <x v="0"/>
          </reference>
        </references>
      </pivotArea>
    </chartFormat>
    <chartFormat chart="7" format="20">
      <pivotArea type="data" outline="0" fieldPosition="0">
        <references count="4">
          <reference field="4294967294" count="1" selected="0">
            <x v="0"/>
          </reference>
          <reference field="3" count="1" selected="0">
            <x v="2"/>
          </reference>
          <reference field="4" count="1" selected="0">
            <x v="3"/>
          </reference>
          <reference field="8" count="1" selected="0">
            <x v="1"/>
          </reference>
        </references>
      </pivotArea>
    </chartFormat>
    <chartFormat chart="7" format="21">
      <pivotArea type="data" outline="0" fieldPosition="0">
        <references count="4">
          <reference field="4294967294" count="1" selected="0">
            <x v="0"/>
          </reference>
          <reference field="3" count="1" selected="0">
            <x v="2"/>
          </reference>
          <reference field="4" count="1" selected="0">
            <x v="3"/>
          </reference>
          <reference field="8" count="1" selected="0">
            <x v="2"/>
          </reference>
        </references>
      </pivotArea>
    </chartFormat>
    <chartFormat chart="7" format="22">
      <pivotArea type="data" outline="0" fieldPosition="0">
        <references count="4">
          <reference field="4294967294" count="1" selected="0">
            <x v="0"/>
          </reference>
          <reference field="3" count="1" selected="0">
            <x v="2"/>
          </reference>
          <reference field="4" count="1" selected="0">
            <x v="3"/>
          </reference>
          <reference field="8" count="1" selected="0">
            <x v="4"/>
          </reference>
        </references>
      </pivotArea>
    </chartFormat>
    <chartFormat chart="7" format="23">
      <pivotArea type="data" outline="0" fieldPosition="0">
        <references count="4">
          <reference field="4294967294" count="1" selected="0">
            <x v="0"/>
          </reference>
          <reference field="3" count="1" selected="0">
            <x v="2"/>
          </reference>
          <reference field="4" count="1" selected="0">
            <x v="3"/>
          </reference>
          <reference field="8" count="1" selected="0">
            <x v="5"/>
          </reference>
        </references>
      </pivotArea>
    </chartFormat>
    <chartFormat chart="7" format="24">
      <pivotArea type="data" outline="0" fieldPosition="0">
        <references count="4">
          <reference field="4294967294" count="1" selected="0">
            <x v="0"/>
          </reference>
          <reference field="3" count="1" selected="0">
            <x v="2"/>
          </reference>
          <reference field="4" count="1" selected="0">
            <x v="3"/>
          </reference>
          <reference field="8" count="1" selected="0">
            <x v="6"/>
          </reference>
        </references>
      </pivotArea>
    </chartFormat>
    <chartFormat chart="7" format="25">
      <pivotArea type="data" outline="0" fieldPosition="0">
        <references count="4">
          <reference field="4294967294" count="1" selected="0">
            <x v="0"/>
          </reference>
          <reference field="3" count="1" selected="0">
            <x v="3"/>
          </reference>
          <reference field="4" count="1" selected="0">
            <x v="3"/>
          </reference>
          <reference field="8" count="1" selected="0">
            <x v="0"/>
          </reference>
        </references>
      </pivotArea>
    </chartFormat>
    <chartFormat chart="7" format="26">
      <pivotArea type="data" outline="0" fieldPosition="0">
        <references count="4">
          <reference field="4294967294" count="1" selected="0">
            <x v="0"/>
          </reference>
          <reference field="3" count="1" selected="0">
            <x v="3"/>
          </reference>
          <reference field="4" count="1" selected="0">
            <x v="3"/>
          </reference>
          <reference field="8" count="1" selected="0">
            <x v="1"/>
          </reference>
        </references>
      </pivotArea>
    </chartFormat>
    <chartFormat chart="7" format="27">
      <pivotArea type="data" outline="0" fieldPosition="0">
        <references count="4">
          <reference field="4294967294" count="1" selected="0">
            <x v="0"/>
          </reference>
          <reference field="3" count="1" selected="0">
            <x v="3"/>
          </reference>
          <reference field="4" count="1" selected="0">
            <x v="3"/>
          </reference>
          <reference field="8" count="1" selected="0">
            <x v="2"/>
          </reference>
        </references>
      </pivotArea>
    </chartFormat>
    <chartFormat chart="7" format="28">
      <pivotArea type="data" outline="0" fieldPosition="0">
        <references count="4">
          <reference field="4294967294" count="1" selected="0">
            <x v="0"/>
          </reference>
          <reference field="3" count="1" selected="0">
            <x v="3"/>
          </reference>
          <reference field="4" count="1" selected="0">
            <x v="3"/>
          </reference>
          <reference field="8" count="1" selected="0">
            <x v="4"/>
          </reference>
        </references>
      </pivotArea>
    </chartFormat>
    <chartFormat chart="7" format="29">
      <pivotArea type="data" outline="0" fieldPosition="0">
        <references count="4">
          <reference field="4294967294" count="1" selected="0">
            <x v="0"/>
          </reference>
          <reference field="3" count="1" selected="0">
            <x v="3"/>
          </reference>
          <reference field="4" count="1" selected="0">
            <x v="3"/>
          </reference>
          <reference field="8" count="1" selected="0">
            <x v="5"/>
          </reference>
        </references>
      </pivotArea>
    </chartFormat>
    <chartFormat chart="7" format="30">
      <pivotArea type="data" outline="0" fieldPosition="0">
        <references count="4">
          <reference field="4294967294" count="1" selected="0">
            <x v="0"/>
          </reference>
          <reference field="3" count="1" selected="0">
            <x v="3"/>
          </reference>
          <reference field="4" count="1" selected="0">
            <x v="3"/>
          </reference>
          <reference field="8" count="1" selected="0">
            <x v="6"/>
          </reference>
        </references>
      </pivotArea>
    </chartFormat>
    <chartFormat chart="7" format="31">
      <pivotArea type="data" outline="0" fieldPosition="0">
        <references count="4">
          <reference field="4294967294" count="1" selected="0">
            <x v="0"/>
          </reference>
          <reference field="3" count="1" selected="0">
            <x v="4"/>
          </reference>
          <reference field="4" count="1" selected="0">
            <x v="3"/>
          </reference>
          <reference field="8" count="1" selected="0">
            <x v="0"/>
          </reference>
        </references>
      </pivotArea>
    </chartFormat>
    <chartFormat chart="7" format="32">
      <pivotArea type="data" outline="0" fieldPosition="0">
        <references count="4">
          <reference field="4294967294" count="1" selected="0">
            <x v="0"/>
          </reference>
          <reference field="3" count="1" selected="0">
            <x v="4"/>
          </reference>
          <reference field="4" count="1" selected="0">
            <x v="3"/>
          </reference>
          <reference field="8" count="1" selected="0">
            <x v="1"/>
          </reference>
        </references>
      </pivotArea>
    </chartFormat>
    <chartFormat chart="7" format="33">
      <pivotArea type="data" outline="0" fieldPosition="0">
        <references count="4">
          <reference field="4294967294" count="1" selected="0">
            <x v="0"/>
          </reference>
          <reference field="3" count="1" selected="0">
            <x v="4"/>
          </reference>
          <reference field="4" count="1" selected="0">
            <x v="3"/>
          </reference>
          <reference field="8" count="1" selected="0">
            <x v="2"/>
          </reference>
        </references>
      </pivotArea>
    </chartFormat>
    <chartFormat chart="7" format="34">
      <pivotArea type="data" outline="0" fieldPosition="0">
        <references count="4">
          <reference field="4294967294" count="1" selected="0">
            <x v="0"/>
          </reference>
          <reference field="3" count="1" selected="0">
            <x v="4"/>
          </reference>
          <reference field="4" count="1" selected="0">
            <x v="3"/>
          </reference>
          <reference field="8" count="1" selected="0">
            <x v="4"/>
          </reference>
        </references>
      </pivotArea>
    </chartFormat>
    <chartFormat chart="7" format="35">
      <pivotArea type="data" outline="0" fieldPosition="0">
        <references count="4">
          <reference field="4294967294" count="1" selected="0">
            <x v="0"/>
          </reference>
          <reference field="3" count="1" selected="0">
            <x v="4"/>
          </reference>
          <reference field="4" count="1" selected="0">
            <x v="3"/>
          </reference>
          <reference field="8" count="1" selected="0">
            <x v="5"/>
          </reference>
        </references>
      </pivotArea>
    </chartFormat>
    <chartFormat chart="7" format="36">
      <pivotArea type="data" outline="0" fieldPosition="0">
        <references count="4">
          <reference field="4294967294" count="1" selected="0">
            <x v="0"/>
          </reference>
          <reference field="3" count="1" selected="0">
            <x v="4"/>
          </reference>
          <reference field="4" count="1" selected="0">
            <x v="3"/>
          </reference>
          <reference field="8" count="1" selected="0">
            <x v="6"/>
          </reference>
        </references>
      </pivotArea>
    </chartFormat>
    <chartFormat chart="7" format="37">
      <pivotArea type="data" outline="0" fieldPosition="0">
        <references count="4">
          <reference field="4294967294" count="1" selected="0">
            <x v="0"/>
          </reference>
          <reference field="3" count="1" selected="0">
            <x v="5"/>
          </reference>
          <reference field="4" count="1" selected="0">
            <x v="3"/>
          </reference>
          <reference field="8" count="1" selected="0">
            <x v="0"/>
          </reference>
        </references>
      </pivotArea>
    </chartFormat>
    <chartFormat chart="7" format="38">
      <pivotArea type="data" outline="0" fieldPosition="0">
        <references count="4">
          <reference field="4294967294" count="1" selected="0">
            <x v="0"/>
          </reference>
          <reference field="3" count="1" selected="0">
            <x v="5"/>
          </reference>
          <reference field="4" count="1" selected="0">
            <x v="3"/>
          </reference>
          <reference field="8" count="1" selected="0">
            <x v="1"/>
          </reference>
        </references>
      </pivotArea>
    </chartFormat>
    <chartFormat chart="7" format="39">
      <pivotArea type="data" outline="0" fieldPosition="0">
        <references count="4">
          <reference field="4294967294" count="1" selected="0">
            <x v="0"/>
          </reference>
          <reference field="3" count="1" selected="0">
            <x v="5"/>
          </reference>
          <reference field="4" count="1" selected="0">
            <x v="3"/>
          </reference>
          <reference field="8" count="1" selected="0">
            <x v="2"/>
          </reference>
        </references>
      </pivotArea>
    </chartFormat>
    <chartFormat chart="7" format="40">
      <pivotArea type="data" outline="0" fieldPosition="0">
        <references count="4">
          <reference field="4294967294" count="1" selected="0">
            <x v="0"/>
          </reference>
          <reference field="3" count="1" selected="0">
            <x v="5"/>
          </reference>
          <reference field="4" count="1" selected="0">
            <x v="3"/>
          </reference>
          <reference field="8" count="1" selected="0">
            <x v="4"/>
          </reference>
        </references>
      </pivotArea>
    </chartFormat>
    <chartFormat chart="7" format="41">
      <pivotArea type="data" outline="0" fieldPosition="0">
        <references count="4">
          <reference field="4294967294" count="1" selected="0">
            <x v="0"/>
          </reference>
          <reference field="3" count="1" selected="0">
            <x v="5"/>
          </reference>
          <reference field="4" count="1" selected="0">
            <x v="3"/>
          </reference>
          <reference field="8" count="1" selected="0">
            <x v="5"/>
          </reference>
        </references>
      </pivotArea>
    </chartFormat>
    <chartFormat chart="7" format="42">
      <pivotArea type="data" outline="0" fieldPosition="0">
        <references count="4">
          <reference field="4294967294" count="1" selected="0">
            <x v="0"/>
          </reference>
          <reference field="3" count="1" selected="0">
            <x v="5"/>
          </reference>
          <reference field="4" count="1" selected="0">
            <x v="3"/>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66D8EA-5A77-4C2F-9EBB-B4EBA4E6F9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R5:AX33" firstHeaderRow="1" firstDataRow="2" firstDataCol="1" rowPageCount="1" colPageCount="1"/>
  <pivotFields count="40">
    <pivotField showAll="0"/>
    <pivotField showAll="0"/>
    <pivotField showAll="0"/>
    <pivotField showAll="0"/>
    <pivotField showAll="0"/>
    <pivotField showAll="0"/>
    <pivotField axis="axisPage" multipleItemSelectionAllowed="1" showAll="0">
      <items count="119">
        <item x="39"/>
        <item x="63"/>
        <item x="17"/>
        <item x="80"/>
        <item x="33"/>
        <item x="16"/>
        <item x="28"/>
        <item x="30"/>
        <item x="32"/>
        <item x="31"/>
        <item x="37"/>
        <item x="107"/>
        <item x="35"/>
        <item x="36"/>
        <item x="38"/>
        <item x="42"/>
        <item x="86"/>
        <item x="43"/>
        <item x="85"/>
        <item x="44"/>
        <item x="84"/>
        <item x="40"/>
        <item x="41"/>
        <item x="64"/>
        <item x="65"/>
        <item x="59"/>
        <item x="60"/>
        <item x="61"/>
        <item x="47"/>
        <item x="18"/>
        <item x="19"/>
        <item x="20"/>
        <item x="21"/>
        <item x="22"/>
        <item x="23"/>
        <item x="24"/>
        <item x="25"/>
        <item x="62"/>
        <item x="48"/>
        <item x="49"/>
        <item x="50"/>
        <item x="51"/>
        <item x="52"/>
        <item x="66"/>
        <item x="54"/>
        <item x="55"/>
        <item x="56"/>
        <item x="57"/>
        <item x="58"/>
        <item x="67"/>
        <item x="53"/>
        <item x="68"/>
        <item x="34"/>
        <item x="69"/>
        <item x="70"/>
        <item x="14"/>
        <item x="15"/>
        <item x="27"/>
        <item x="116"/>
        <item x="91"/>
        <item x="92"/>
        <item x="93"/>
        <item x="94"/>
        <item x="99"/>
        <item x="95"/>
        <item x="104"/>
        <item x="96"/>
        <item x="97"/>
        <item x="29"/>
        <item x="73"/>
        <item x="2"/>
        <item x="5"/>
        <item x="1"/>
        <item x="3"/>
        <item x="114"/>
        <item x="0"/>
        <item x="9"/>
        <item x="109"/>
        <item x="10"/>
        <item x="11"/>
        <item x="12"/>
        <item x="13"/>
        <item x="71"/>
        <item x="112"/>
        <item x="100"/>
        <item x="4"/>
        <item x="7"/>
        <item x="8"/>
        <item x="6"/>
        <item x="106"/>
        <item x="108"/>
        <item x="98"/>
        <item x="72"/>
        <item x="45"/>
        <item x="46"/>
        <item x="105"/>
        <item x="79"/>
        <item h="1" x="26"/>
        <item h="1" x="103"/>
        <item x="101"/>
        <item x="102"/>
        <item x="110"/>
        <item x="111"/>
        <item x="113"/>
        <item x="115"/>
        <item x="74"/>
        <item x="75"/>
        <item x="76"/>
        <item x="77"/>
        <item x="78"/>
        <item x="81"/>
        <item x="82"/>
        <item x="83"/>
        <item x="117"/>
        <item x="87"/>
        <item x="88"/>
        <item x="89"/>
        <item x="90"/>
        <item t="default"/>
      </items>
    </pivotField>
    <pivotField showAll="0"/>
    <pivotField axis="axisCol" showAll="0">
      <items count="9">
        <item x="5"/>
        <item x="0"/>
        <item x="2"/>
        <item x="1"/>
        <item x="3"/>
        <item x="4"/>
        <item x="6"/>
        <item m="1" x="7"/>
        <item t="default"/>
      </items>
    </pivotField>
    <pivotField showAll="0"/>
    <pivotField showAll="0"/>
    <pivotField showAll="0"/>
    <pivotField showAll="0"/>
    <pivotField axis="axisRow" dataField="1" showAll="0">
      <items count="9">
        <item x="0"/>
        <item x="4"/>
        <item x="1"/>
        <item x="3"/>
        <item x="6"/>
        <item x="5"/>
        <item x="2"/>
        <item x="7"/>
        <item t="default"/>
      </items>
    </pivotField>
    <pivotField showAll="0"/>
    <pivotField axis="axisRow" showAll="0">
      <items count="8">
        <item x="0"/>
        <item x="1"/>
        <item x="4"/>
        <item x="3"/>
        <item x="6"/>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3"/>
  </rowFields>
  <rowItems count="27">
    <i>
      <x/>
    </i>
    <i r="1">
      <x/>
    </i>
    <i r="1">
      <x v="2"/>
    </i>
    <i r="1">
      <x v="5"/>
    </i>
    <i r="1">
      <x v="6"/>
    </i>
    <i>
      <x v="1"/>
    </i>
    <i r="1">
      <x/>
    </i>
    <i r="1">
      <x v="2"/>
    </i>
    <i r="1">
      <x v="4"/>
    </i>
    <i r="1">
      <x v="5"/>
    </i>
    <i r="1">
      <x v="6"/>
    </i>
    <i>
      <x v="2"/>
    </i>
    <i r="1">
      <x/>
    </i>
    <i r="1">
      <x v="1"/>
    </i>
    <i r="1">
      <x v="2"/>
    </i>
    <i r="1">
      <x v="4"/>
    </i>
    <i r="1">
      <x v="5"/>
    </i>
    <i r="1">
      <x v="6"/>
    </i>
    <i r="1">
      <x v="7"/>
    </i>
    <i>
      <x v="3"/>
    </i>
    <i r="1">
      <x v="6"/>
    </i>
    <i>
      <x v="4"/>
    </i>
    <i r="1">
      <x v="2"/>
    </i>
    <i>
      <x v="5"/>
    </i>
    <i r="1">
      <x v="2"/>
    </i>
    <i r="1">
      <x v="6"/>
    </i>
    <i t="grand">
      <x/>
    </i>
  </rowItems>
  <colFields count="1">
    <field x="8"/>
  </colFields>
  <colItems count="6">
    <i>
      <x/>
    </i>
    <i>
      <x v="1"/>
    </i>
    <i>
      <x v="2"/>
    </i>
    <i>
      <x v="3"/>
    </i>
    <i>
      <x v="4"/>
    </i>
    <i t="grand">
      <x/>
    </i>
  </colItems>
  <pageFields count="1">
    <pageField fld="6" hier="-1"/>
  </pageFields>
  <dataFields count="1">
    <dataField name="Count of Component Group- For RM saving Project only" fld="13" subtotal="count" baseField="0" baseItem="0"/>
  </dataFields>
  <formats count="18">
    <format dxfId="111">
      <pivotArea outline="0" collapsedLevelsAreSubtotals="1" fieldPosition="0"/>
    </format>
    <format dxfId="110">
      <pivotArea dataOnly="0" labelOnly="1" fieldPosition="0">
        <references count="1">
          <reference field="8" count="0"/>
        </references>
      </pivotArea>
    </format>
    <format dxfId="109">
      <pivotArea dataOnly="0" labelOnly="1" grandCol="1" outline="0" fieldPosition="0"/>
    </format>
    <format dxfId="108">
      <pivotArea outline="0" collapsedLevelsAreSubtotals="1" fieldPosition="0"/>
    </format>
    <format dxfId="107">
      <pivotArea dataOnly="0" labelOnly="1" fieldPosition="0">
        <references count="1">
          <reference field="8" count="0"/>
        </references>
      </pivotArea>
    </format>
    <format dxfId="106">
      <pivotArea dataOnly="0" labelOnly="1" grandCol="1" outline="0" fieldPosition="0"/>
    </format>
    <format dxfId="105">
      <pivotArea dataOnly="0" labelOnly="1" fieldPosition="0">
        <references count="1">
          <reference field="8" count="0"/>
        </references>
      </pivotArea>
    </format>
    <format dxfId="104">
      <pivotArea type="origin" dataOnly="0" labelOnly="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8" type="button" dataOnly="0" labelOnly="1" outline="0" axis="axisCol" fieldPosition="0"/>
    </format>
    <format dxfId="99">
      <pivotArea type="topRight" dataOnly="0" labelOnly="1" outline="0" fieldPosition="0"/>
    </format>
    <format dxfId="98">
      <pivotArea field="15" type="button" dataOnly="0" labelOnly="1" outline="0" axis="axisRow" fieldPosition="0"/>
    </format>
    <format dxfId="97">
      <pivotArea dataOnly="0" labelOnly="1" fieldPosition="0">
        <references count="1">
          <reference field="15" count="0"/>
        </references>
      </pivotArea>
    </format>
    <format dxfId="96">
      <pivotArea dataOnly="0" labelOnly="1" grandRow="1" outline="0" fieldPosition="0"/>
    </format>
    <format dxfId="95">
      <pivotArea dataOnly="0" labelOnly="1" fieldPosition="0">
        <references count="1">
          <reference field="8" count="5">
            <x v="0"/>
            <x v="1"/>
            <x v="2"/>
            <x v="3"/>
            <x v="4"/>
          </reference>
        </references>
      </pivotArea>
    </format>
    <format dxfId="94">
      <pivotArea dataOnly="0" labelOnly="1" grandCol="1" outline="0" fieldPosition="0"/>
    </format>
  </formats>
  <chartFormats count="9">
    <chartFormat chart="0" format="7" series="1">
      <pivotArea type="data" outline="0" fieldPosition="0">
        <references count="1">
          <reference field="8" count="1" selected="0">
            <x v="0"/>
          </reference>
        </references>
      </pivotArea>
    </chartFormat>
    <chartFormat chart="0" format="8" series="1">
      <pivotArea type="data" outline="0" fieldPosition="0">
        <references count="1">
          <reference field="8" count="1" selected="0">
            <x v="1"/>
          </reference>
        </references>
      </pivotArea>
    </chartFormat>
    <chartFormat chart="0" format="9" series="1">
      <pivotArea type="data" outline="0" fieldPosition="0">
        <references count="1">
          <reference field="8" count="1" selected="0">
            <x v="2"/>
          </reference>
        </references>
      </pivotArea>
    </chartFormat>
    <chartFormat chart="0" format="10" series="1">
      <pivotArea type="data" outline="0" fieldPosition="0">
        <references count="1">
          <reference field="8" count="1" selected="0">
            <x v="3"/>
          </reference>
        </references>
      </pivotArea>
    </chartFormat>
    <chartFormat chart="0" format="11" series="1">
      <pivotArea type="data" outline="0" fieldPosition="0">
        <references count="1">
          <reference field="8" count="1" selected="0">
            <x v="4"/>
          </reference>
        </references>
      </pivotArea>
    </chartFormat>
    <chartFormat chart="0" format="12" series="1">
      <pivotArea type="data" outline="0" fieldPosition="0">
        <references count="2">
          <reference field="4294967294" count="1" selected="0">
            <x v="0"/>
          </reference>
          <reference field="8" count="1" selected="0">
            <x v="1"/>
          </reference>
        </references>
      </pivotArea>
    </chartFormat>
    <chartFormat chart="0" format="13" series="1">
      <pivotArea type="data" outline="0" fieldPosition="0">
        <references count="2">
          <reference field="4294967294" count="1" selected="0">
            <x v="0"/>
          </reference>
          <reference field="8" count="1" selected="0">
            <x v="2"/>
          </reference>
        </references>
      </pivotArea>
    </chartFormat>
    <chartFormat chart="0" format="14" series="1">
      <pivotArea type="data" outline="0" fieldPosition="0">
        <references count="2">
          <reference field="4294967294" count="1" selected="0">
            <x v="0"/>
          </reference>
          <reference field="8" count="1" selected="0">
            <x v="3"/>
          </reference>
        </references>
      </pivotArea>
    </chartFormat>
    <chartFormat chart="0" format="15"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5775C1-D83D-4698-9510-7869A06EFB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T4:CB13" firstHeaderRow="1" firstDataRow="2" firstDataCol="1"/>
  <pivotFields count="40">
    <pivotField showAll="0"/>
    <pivotField showAll="0"/>
    <pivotField showAll="0"/>
    <pivotField axis="axisRow" dataField="1" showAll="0">
      <items count="8">
        <item x="2"/>
        <item x="3"/>
        <item x="5"/>
        <item x="0"/>
        <item x="6"/>
        <item x="1"/>
        <item x="4"/>
        <item t="default"/>
      </items>
    </pivotField>
    <pivotField showAll="0"/>
    <pivotField showAll="0"/>
    <pivotField showAll="0"/>
    <pivotField showAll="0"/>
    <pivotField axis="axisCol" showAll="0">
      <items count="9">
        <item x="5"/>
        <item x="0"/>
        <item x="1"/>
        <item x="2"/>
        <item x="3"/>
        <item x="4"/>
        <item x="6"/>
        <item m="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8"/>
  </colFields>
  <colItems count="8">
    <i>
      <x/>
    </i>
    <i>
      <x v="1"/>
    </i>
    <i>
      <x v="2"/>
    </i>
    <i>
      <x v="3"/>
    </i>
    <i>
      <x v="4"/>
    </i>
    <i>
      <x v="5"/>
    </i>
    <i>
      <x v="6"/>
    </i>
    <i t="grand">
      <x/>
    </i>
  </colItems>
  <dataFields count="1">
    <dataField name="Count of Project Category" fld="3" subtotal="count" baseField="0" baseItem="0"/>
  </dataFields>
  <formats count="28">
    <format dxfId="139">
      <pivotArea type="all" dataOnly="0" outline="0" fieldPosition="0"/>
    </format>
    <format dxfId="138">
      <pivotArea outline="0" collapsedLevelsAreSubtotals="1" fieldPosition="0"/>
    </format>
    <format dxfId="137">
      <pivotArea dataOnly="0" labelOnly="1" fieldPosition="0">
        <references count="1">
          <reference field="8" count="0"/>
        </references>
      </pivotArea>
    </format>
    <format dxfId="136">
      <pivotArea collapsedLevelsAreSubtotals="1" fieldPosition="0">
        <references count="1">
          <reference field="3" count="0"/>
        </references>
      </pivotArea>
    </format>
    <format dxfId="135">
      <pivotArea dataOnly="0" labelOnly="1" fieldPosition="0">
        <references count="1">
          <reference field="8" count="0"/>
        </references>
      </pivotArea>
    </format>
    <format dxfId="134">
      <pivotArea dataOnly="0" labelOnly="1" fieldPosition="0">
        <references count="1">
          <reference field="8" count="0"/>
        </references>
      </pivotArea>
    </format>
    <format dxfId="133">
      <pivotArea collapsedLevelsAreSubtotals="1" fieldPosition="0">
        <references count="1">
          <reference field="3" count="0"/>
        </references>
      </pivotArea>
    </format>
    <format dxfId="132">
      <pivotArea outline="0" collapsedLevelsAreSubtotals="1" fieldPosition="0"/>
    </format>
    <format dxfId="131">
      <pivotArea type="all" dataOnly="0" outline="0" fieldPosition="0"/>
    </format>
    <format dxfId="130">
      <pivotArea field="3" type="button" dataOnly="0" labelOnly="1" outline="0" axis="axisRow" fieldPosition="0"/>
    </format>
    <format dxfId="129">
      <pivotArea dataOnly="0" labelOnly="1" fieldPosition="0">
        <references count="1">
          <reference field="8" count="0"/>
        </references>
      </pivotArea>
    </format>
    <format dxfId="128">
      <pivotArea dataOnly="0" labelOnly="1" grandCol="1" outline="0" fieldPosition="0"/>
    </format>
    <format dxfId="127">
      <pivotArea field="3" type="button" dataOnly="0" labelOnly="1" outline="0" axis="axisRow" fieldPosition="0"/>
    </format>
    <format dxfId="126">
      <pivotArea dataOnly="0" labelOnly="1" fieldPosition="0">
        <references count="1">
          <reference field="8" count="0"/>
        </references>
      </pivotArea>
    </format>
    <format dxfId="125">
      <pivotArea dataOnly="0" labelOnly="1" grandCol="1" outline="0" fieldPosition="0"/>
    </format>
    <format dxfId="124">
      <pivotArea field="3" type="button" dataOnly="0" labelOnly="1" outline="0" axis="axisRow" fieldPosition="0"/>
    </format>
    <format dxfId="123">
      <pivotArea dataOnly="0" labelOnly="1" fieldPosition="0">
        <references count="1">
          <reference field="8" count="0"/>
        </references>
      </pivotArea>
    </format>
    <format dxfId="122">
      <pivotArea dataOnly="0" labelOnly="1" grandCol="1" outline="0" fieldPosition="0"/>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8" type="button" dataOnly="0" labelOnly="1" outline="0" axis="axisCol" fieldPosition="0"/>
    </format>
    <format dxfId="117">
      <pivotArea type="topRight" dataOnly="0" labelOnly="1" outline="0"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grandRow="1" outline="0" fieldPosition="0"/>
    </format>
    <format dxfId="113">
      <pivotArea dataOnly="0" labelOnly="1" fieldPosition="0">
        <references count="1">
          <reference field="8" count="0"/>
        </references>
      </pivotArea>
    </format>
    <format dxfId="112">
      <pivotArea dataOnly="0" labelOnly="1" grandCol="1" outline="0" fieldPosition="0"/>
    </format>
  </formats>
  <chartFormats count="28">
    <chartFormat chart="1" format="0"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4"/>
          </reference>
        </references>
      </pivotArea>
    </chartFormat>
    <chartFormat chart="1" format="3" series="1">
      <pivotArea type="data" outline="0" fieldPosition="0">
        <references count="2">
          <reference field="4294967294" count="1" selected="0">
            <x v="0"/>
          </reference>
          <reference field="8" count="1" selected="0">
            <x v="5"/>
          </reference>
        </references>
      </pivotArea>
    </chartFormat>
    <chartFormat chart="1" format="4" series="1">
      <pivotArea type="data" outline="0" fieldPosition="0">
        <references count="2">
          <reference field="4294967294" count="1" selected="0">
            <x v="0"/>
          </reference>
          <reference field="8" count="1" selected="0">
            <x v="6"/>
          </reference>
        </references>
      </pivotArea>
    </chartFormat>
    <chartFormat chart="1" format="5" series="1">
      <pivotArea type="data" outline="0" fieldPosition="0">
        <references count="2">
          <reference field="4294967294" count="1" selected="0">
            <x v="0"/>
          </reference>
          <reference field="8" count="1" selected="0">
            <x v="0"/>
          </reference>
        </references>
      </pivotArea>
    </chartFormat>
    <chartFormat chart="1" format="7" series="1">
      <pivotArea type="data" outline="0" fieldPosition="0">
        <references count="2">
          <reference field="4294967294" count="1" selected="0">
            <x v="0"/>
          </reference>
          <reference field="3" count="1" selected="0">
            <x v="0"/>
          </reference>
        </references>
      </pivotArea>
    </chartFormat>
    <chartFormat chart="1" format="8" series="1">
      <pivotArea type="data" outline="0" fieldPosition="0">
        <references count="2">
          <reference field="4294967294" count="1" selected="0">
            <x v="0"/>
          </reference>
          <reference field="3" count="1" selected="0">
            <x v="1"/>
          </reference>
        </references>
      </pivotArea>
    </chartFormat>
    <chartFormat chart="1" format="9" series="1">
      <pivotArea type="data" outline="0" fieldPosition="0">
        <references count="2">
          <reference field="4294967294" count="1" selected="0">
            <x v="0"/>
          </reference>
          <reference field="3" count="1" selected="0">
            <x v="2"/>
          </reference>
        </references>
      </pivotArea>
    </chartFormat>
    <chartFormat chart="1" format="10" series="1">
      <pivotArea type="data" outline="0" fieldPosition="0">
        <references count="2">
          <reference field="4294967294" count="1" selected="0">
            <x v="0"/>
          </reference>
          <reference field="3" count="1" selected="0">
            <x v="3"/>
          </reference>
        </references>
      </pivotArea>
    </chartFormat>
    <chartFormat chart="1" format="11" series="1">
      <pivotArea type="data" outline="0" fieldPosition="0">
        <references count="2">
          <reference field="4294967294" count="1" selected="0">
            <x v="0"/>
          </reference>
          <reference field="3" count="1" selected="0">
            <x v="4"/>
          </reference>
        </references>
      </pivotArea>
    </chartFormat>
    <chartFormat chart="1" format="12" series="1">
      <pivotArea type="data" outline="0" fieldPosition="0">
        <references count="2">
          <reference field="4294967294" count="1" selected="0">
            <x v="0"/>
          </reference>
          <reference field="3" count="1" selected="0">
            <x v="5"/>
          </reference>
        </references>
      </pivotArea>
    </chartFormat>
    <chartFormat chart="14" format="20" series="1">
      <pivotArea type="data" outline="0" fieldPosition="0">
        <references count="2">
          <reference field="4294967294" count="1" selected="0">
            <x v="0"/>
          </reference>
          <reference field="8" count="1" selected="0">
            <x v="1"/>
          </reference>
        </references>
      </pivotArea>
    </chartFormat>
    <chartFormat chart="14" format="22" series="1">
      <pivotArea type="data" outline="0" fieldPosition="0">
        <references count="2">
          <reference field="4294967294" count="1" selected="0">
            <x v="0"/>
          </reference>
          <reference field="8" count="1" selected="0">
            <x v="4"/>
          </reference>
        </references>
      </pivotArea>
    </chartFormat>
    <chartFormat chart="14" format="23" series="1">
      <pivotArea type="data" outline="0" fieldPosition="0">
        <references count="2">
          <reference field="4294967294" count="1" selected="0">
            <x v="0"/>
          </reference>
          <reference field="8" count="1" selected="0">
            <x v="5"/>
          </reference>
        </references>
      </pivotArea>
    </chartFormat>
    <chartFormat chart="14" format="24" series="1">
      <pivotArea type="data" outline="0" fieldPosition="0">
        <references count="2">
          <reference field="4294967294" count="1" selected="0">
            <x v="0"/>
          </reference>
          <reference field="8" count="1" selected="0">
            <x v="6"/>
          </reference>
        </references>
      </pivotArea>
    </chartFormat>
    <chartFormat chart="14" format="25" series="1">
      <pivotArea type="data" outline="0" fieldPosition="0">
        <references count="2">
          <reference field="4294967294" count="1" selected="0">
            <x v="0"/>
          </reference>
          <reference field="8" count="1" selected="0">
            <x v="0"/>
          </reference>
        </references>
      </pivotArea>
    </chartFormat>
    <chartFormat chart="1" format="14" series="1">
      <pivotArea type="data" outline="0" fieldPosition="0">
        <references count="2">
          <reference field="4294967294" count="1" selected="0">
            <x v="0"/>
          </reference>
          <reference field="8" count="1" selected="0">
            <x v="2"/>
          </reference>
        </references>
      </pivotArea>
    </chartFormat>
    <chartFormat chart="1" format="15" series="1">
      <pivotArea type="data" outline="0" fieldPosition="0">
        <references count="2">
          <reference field="4294967294" count="1" selected="0">
            <x v="0"/>
          </reference>
          <reference field="8" count="1" selected="0">
            <x v="3"/>
          </reference>
        </references>
      </pivotArea>
    </chartFormat>
    <chartFormat chart="14" format="27" series="1">
      <pivotArea type="data" outline="0" fieldPosition="0">
        <references count="2">
          <reference field="4294967294" count="1" selected="0">
            <x v="0"/>
          </reference>
          <reference field="8" count="1" selected="0">
            <x v="2"/>
          </reference>
        </references>
      </pivotArea>
    </chartFormat>
    <chartFormat chart="14" format="28" series="1">
      <pivotArea type="data" outline="0" fieldPosition="0">
        <references count="2">
          <reference field="4294967294" count="1" selected="0">
            <x v="0"/>
          </reference>
          <reference field="8" count="1" selected="0">
            <x v="3"/>
          </reference>
        </references>
      </pivotArea>
    </chartFormat>
    <chartFormat chart="15" format="16" series="1">
      <pivotArea type="data" outline="0" fieldPosition="0">
        <references count="2">
          <reference field="4294967294" count="1" selected="0">
            <x v="0"/>
          </reference>
          <reference field="8" count="1" selected="0">
            <x v="1"/>
          </reference>
        </references>
      </pivotArea>
    </chartFormat>
    <chartFormat chart="15" format="17" series="1">
      <pivotArea type="data" outline="0" fieldPosition="0">
        <references count="2">
          <reference field="4294967294" count="1" selected="0">
            <x v="0"/>
          </reference>
          <reference field="8" count="1" selected="0">
            <x v="4"/>
          </reference>
        </references>
      </pivotArea>
    </chartFormat>
    <chartFormat chart="15" format="18" series="1">
      <pivotArea type="data" outline="0" fieldPosition="0">
        <references count="2">
          <reference field="4294967294" count="1" selected="0">
            <x v="0"/>
          </reference>
          <reference field="8" count="1" selected="0">
            <x v="5"/>
          </reference>
        </references>
      </pivotArea>
    </chartFormat>
    <chartFormat chart="15" format="19" series="1">
      <pivotArea type="data" outline="0" fieldPosition="0">
        <references count="2">
          <reference field="4294967294" count="1" selected="0">
            <x v="0"/>
          </reference>
          <reference field="8" count="1" selected="0">
            <x v="6"/>
          </reference>
        </references>
      </pivotArea>
    </chartFormat>
    <chartFormat chart="15" format="20" series="1">
      <pivotArea type="data" outline="0" fieldPosition="0">
        <references count="2">
          <reference field="4294967294" count="1" selected="0">
            <x v="0"/>
          </reference>
          <reference field="8" count="1" selected="0">
            <x v="0"/>
          </reference>
        </references>
      </pivotArea>
    </chartFormat>
    <chartFormat chart="15" format="21" series="1">
      <pivotArea type="data" outline="0" fieldPosition="0">
        <references count="2">
          <reference field="4294967294" count="1" selected="0">
            <x v="0"/>
          </reference>
          <reference field="8" count="1" selected="0">
            <x v="2"/>
          </reference>
        </references>
      </pivotArea>
    </chartFormat>
    <chartFormat chart="15" format="22" series="1">
      <pivotArea type="data" outline="0" fieldPosition="0">
        <references count="2">
          <reference field="4294967294" count="1" selected="0">
            <x v="0"/>
          </reference>
          <reference field="8" count="1" selected="0">
            <x v="3"/>
          </reference>
        </references>
      </pivotArea>
    </chartFormat>
    <chartFormat chart="15" format="23" series="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7B9D15-96BF-440F-8DF2-37C1FF7381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E6:AL13" firstHeaderRow="1" firstDataRow="2" firstDataCol="1"/>
  <pivotFields count="40">
    <pivotField showAll="0"/>
    <pivotField showAll="0"/>
    <pivotField showAll="0"/>
    <pivotField showAll="0"/>
    <pivotField axis="axisCol" showAll="0">
      <items count="8">
        <item x="0"/>
        <item x="4"/>
        <item x="3"/>
        <item x="1"/>
        <item x="2"/>
        <item x="5"/>
        <item n="TOC" m="1" x="6"/>
        <item t="default"/>
      </items>
    </pivotField>
    <pivotField showAll="0"/>
    <pivotField showAll="0"/>
    <pivotField showAll="0"/>
    <pivotField axis="axisRow" dataField="1" showAll="0">
      <items count="9">
        <item x="5"/>
        <item x="0"/>
        <item x="2"/>
        <item x="1"/>
        <item x="3"/>
        <item h="1" x="4"/>
        <item h="1" x="6"/>
        <item h="1" m="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4"/>
  </colFields>
  <colItems count="7">
    <i>
      <x/>
    </i>
    <i>
      <x v="1"/>
    </i>
    <i>
      <x v="2"/>
    </i>
    <i>
      <x v="3"/>
    </i>
    <i>
      <x v="4"/>
    </i>
    <i>
      <x v="5"/>
    </i>
    <i t="grand">
      <x/>
    </i>
  </colItems>
  <dataFields count="1">
    <dataField name="Count of Plant/OEM" fld="8" subtotal="count" baseField="0" baseItem="0"/>
  </dataFields>
  <formats count="35">
    <format dxfId="174">
      <pivotArea field="4" type="button" dataOnly="0" labelOnly="1" outline="0" axis="axisCol" fieldPosition="0"/>
    </format>
    <format dxfId="173">
      <pivotArea dataOnly="0" labelOnly="1" fieldPosition="0">
        <references count="1">
          <reference field="8" count="0"/>
        </references>
      </pivotArea>
    </format>
    <format dxfId="172">
      <pivotArea dataOnly="0" labelOnly="1" grandCol="1" outline="0" fieldPosition="0"/>
    </format>
    <format dxfId="171">
      <pivotArea field="4" type="button" dataOnly="0" labelOnly="1" outline="0" axis="axisCol" fieldPosition="0"/>
    </format>
    <format dxfId="170">
      <pivotArea dataOnly="0" labelOnly="1" fieldPosition="0">
        <references count="1">
          <reference field="8" count="0"/>
        </references>
      </pivotArea>
    </format>
    <format dxfId="169">
      <pivotArea field="4" type="button" dataOnly="0" labelOnly="1" outline="0" axis="axisCol" fieldPosition="0"/>
    </format>
    <format dxfId="168">
      <pivotArea dataOnly="0" labelOnly="1" fieldPosition="0">
        <references count="1">
          <reference field="8" count="0"/>
        </references>
      </pivotArea>
    </format>
    <format dxfId="167">
      <pivotArea type="all" dataOnly="0" outline="0" fieldPosition="0"/>
    </format>
    <format dxfId="166">
      <pivotArea outline="0" collapsedLevelsAreSubtotals="1" fieldPosition="0"/>
    </format>
    <format dxfId="165">
      <pivotArea dataOnly="0" labelOnly="1" fieldPosition="0">
        <references count="1">
          <reference field="4" count="0"/>
        </references>
      </pivotArea>
    </format>
    <format dxfId="164">
      <pivotArea dataOnly="0" labelOnly="1" grandCol="1" outline="0" fieldPosition="0"/>
    </format>
    <format dxfId="163">
      <pivotArea outline="0" collapsedLevelsAreSubtotals="1" fieldPosition="0"/>
    </format>
    <format dxfId="162">
      <pivotArea dataOnly="0" labelOnly="1" fieldPosition="0">
        <references count="1">
          <reference field="4" count="0"/>
        </references>
      </pivotArea>
    </format>
    <format dxfId="161">
      <pivotArea dataOnly="0" labelOnly="1" grandCol="1" outline="0" fieldPosition="0"/>
    </format>
    <format dxfId="160">
      <pivotArea outline="0" collapsedLevelsAreSubtotals="1" fieldPosition="0"/>
    </format>
    <format dxfId="159">
      <pivotArea outline="0" collapsedLevelsAreSubtotals="1" fieldPosition="0"/>
    </format>
    <format dxfId="158">
      <pivotArea dataOnly="0" labelOnly="1" fieldPosition="0">
        <references count="1">
          <reference field="4" count="0"/>
        </references>
      </pivotArea>
    </format>
    <format dxfId="157">
      <pivotArea dataOnly="0" labelOnly="1" grandCol="1" outline="0" fieldPosition="0"/>
    </format>
    <format dxfId="156">
      <pivotArea type="all" dataOnly="0" outline="0" fieldPosition="0"/>
    </format>
    <format dxfId="155">
      <pivotArea dataOnly="0" labelOnly="1" fieldPosition="0">
        <references count="1">
          <reference field="8" count="0"/>
        </references>
      </pivotArea>
    </format>
    <format dxfId="154">
      <pivotArea dataOnly="0" labelOnly="1" fieldPosition="0">
        <references count="1">
          <reference field="4" count="0"/>
        </references>
      </pivotArea>
    </format>
    <format dxfId="153">
      <pivotArea collapsedLevelsAreSubtotals="1" fieldPosition="0">
        <references count="1">
          <reference field="8" count="1">
            <x v="1"/>
          </reference>
        </references>
      </pivotArea>
    </format>
    <format dxfId="152">
      <pivotArea collapsedLevelsAreSubtotals="1" fieldPosition="0">
        <references count="1">
          <reference field="8" count="1">
            <x v="3"/>
          </reference>
        </references>
      </pivotArea>
    </format>
    <format dxfId="151">
      <pivotArea dataOnly="0" labelOnly="1" fieldPosition="0">
        <references count="1">
          <reference field="8" count="1">
            <x v="3"/>
          </reference>
        </references>
      </pivotArea>
    </format>
    <format dxfId="150">
      <pivotArea dataOnly="0" labelOnly="1" fieldPosition="0">
        <references count="1">
          <reference field="8" count="1">
            <x v="1"/>
          </reference>
        </references>
      </pivotArea>
    </format>
    <format dxfId="149">
      <pivotArea type="all" dataOnly="0" outline="0" fieldPosition="0"/>
    </format>
    <format dxfId="148">
      <pivotArea dataOnly="0" labelOnly="1" fieldPosition="0">
        <references count="1">
          <reference field="4" count="0"/>
        </references>
      </pivotArea>
    </format>
    <format dxfId="147">
      <pivotArea dataOnly="0" labelOnly="1" fieldPosition="0">
        <references count="1">
          <reference field="4" count="0"/>
        </references>
      </pivotArea>
    </format>
    <format dxfId="146">
      <pivotArea dataOnly="0" labelOnly="1" fieldPosition="0">
        <references count="1">
          <reference field="4" count="1">
            <x v="0"/>
          </reference>
        </references>
      </pivotArea>
    </format>
    <format dxfId="145">
      <pivotArea dataOnly="0" labelOnly="1" fieldPosition="0">
        <references count="1">
          <reference field="4" count="1">
            <x v="1"/>
          </reference>
        </references>
      </pivotArea>
    </format>
    <format dxfId="144">
      <pivotArea dataOnly="0" labelOnly="1" fieldPosition="0">
        <references count="1">
          <reference field="4" count="1">
            <x v="3"/>
          </reference>
        </references>
      </pivotArea>
    </format>
    <format dxfId="143">
      <pivotArea dataOnly="0" labelOnly="1" fieldPosition="0">
        <references count="1">
          <reference field="4" count="1">
            <x v="4"/>
          </reference>
        </references>
      </pivotArea>
    </format>
    <format dxfId="142">
      <pivotArea dataOnly="0" labelOnly="1" fieldPosition="0">
        <references count="1">
          <reference field="4" count="1">
            <x v="5"/>
          </reference>
        </references>
      </pivotArea>
    </format>
    <format dxfId="141">
      <pivotArea dataOnly="0" labelOnly="1" fieldPosition="0">
        <references count="1">
          <reference field="4" count="1">
            <x v="6"/>
          </reference>
        </references>
      </pivotArea>
    </format>
    <format dxfId="140">
      <pivotArea type="all" dataOnly="0" outline="0" fieldPosition="0"/>
    </format>
  </formats>
  <chartFormats count="12">
    <chartFormat chart="0" format="0" series="1">
      <pivotArea type="data" outline="0" fieldPosition="0">
        <references count="2">
          <reference field="4294967294" count="1" selected="0">
            <x v="0"/>
          </reference>
          <reference field="8" count="1" selected="0">
            <x v="1"/>
          </reference>
        </references>
      </pivotArea>
    </chartFormat>
    <chartFormat chart="0" format="1" series="1">
      <pivotArea type="data" outline="0" fieldPosition="0">
        <references count="2">
          <reference field="4294967294" count="1" selected="0">
            <x v="0"/>
          </reference>
          <reference field="8" count="1" selected="0">
            <x v="2"/>
          </reference>
        </references>
      </pivotArea>
    </chartFormat>
    <chartFormat chart="0" format="2" series="1">
      <pivotArea type="data" outline="0" fieldPosition="0">
        <references count="2">
          <reference field="4294967294" count="1" selected="0">
            <x v="0"/>
          </reference>
          <reference field="8" count="1" selected="0">
            <x v="4"/>
          </reference>
        </references>
      </pivotArea>
    </chartFormat>
    <chartFormat chart="0" format="3" series="1">
      <pivotArea type="data" outline="0" fieldPosition="0">
        <references count="2">
          <reference field="4294967294" count="1" selected="0">
            <x v="0"/>
          </reference>
          <reference field="8" count="1" selected="0">
            <x v="0"/>
          </reference>
        </references>
      </pivotArea>
    </chartFormat>
    <chartFormat chart="0" format="4" series="1">
      <pivotArea type="data" outline="0" fieldPosition="0">
        <references count="2">
          <reference field="4294967294" count="1" selected="0">
            <x v="0"/>
          </reference>
          <reference field="8" count="1" selected="0">
            <x v="3"/>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0"/>
          </reference>
        </references>
      </pivotArea>
    </chartFormat>
    <chartFormat chart="0" format="8" series="1">
      <pivotArea type="data" outline="0" fieldPosition="0">
        <references count="2">
          <reference field="4294967294" count="1" selected="0">
            <x v="0"/>
          </reference>
          <reference field="4" count="1" selected="0">
            <x v="3"/>
          </reference>
        </references>
      </pivotArea>
    </chartFormat>
    <chartFormat chart="0" format="9" series="1">
      <pivotArea type="data" outline="0" fieldPosition="0">
        <references count="2">
          <reference field="4294967294" count="1" selected="0">
            <x v="0"/>
          </reference>
          <reference field="4" count="1" selected="0">
            <x v="2"/>
          </reference>
        </references>
      </pivotArea>
    </chartFormat>
    <chartFormat chart="0" format="10" series="1">
      <pivotArea type="data" outline="0" fieldPosition="0">
        <references count="2">
          <reference field="4294967294" count="1" selected="0">
            <x v="0"/>
          </reference>
          <reference field="4" count="1" selected="0">
            <x v="4"/>
          </reference>
        </references>
      </pivotArea>
    </chartFormat>
    <chartFormat chart="0" format="11"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FCCC08-6E2E-475E-905E-C156F7890F9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T4:DB23" firstHeaderRow="1" firstDataRow="2" firstDataCol="1"/>
  <pivotFields count="40">
    <pivotField showAll="0"/>
    <pivotField showAll="0"/>
    <pivotField showAll="0"/>
    <pivotField showAll="0"/>
    <pivotField dataField="1" showAll="0"/>
    <pivotField showAll="0"/>
    <pivotField showAll="0"/>
    <pivotField showAll="0"/>
    <pivotField axis="axisCol" showAll="0">
      <items count="9">
        <item x="5"/>
        <item x="0"/>
        <item x="2"/>
        <item x="1"/>
        <item x="3"/>
        <item x="4"/>
        <item x="6"/>
        <item m="1" x="7"/>
        <item t="default"/>
      </items>
    </pivotField>
    <pivotField showAll="0"/>
    <pivotField showAll="0"/>
    <pivotField showAll="0"/>
    <pivotField showAll="0"/>
    <pivotField showAll="0"/>
    <pivotField showAll="0"/>
    <pivotField showAll="0"/>
    <pivotField showAll="0"/>
    <pivotField axis="axisRow" showAll="0">
      <items count="20">
        <item x="8"/>
        <item x="4"/>
        <item m="1" x="17"/>
        <item x="5"/>
        <item x="1"/>
        <item x="3"/>
        <item x="2"/>
        <item x="0"/>
        <item x="10"/>
        <item x="6"/>
        <item m="1" x="18"/>
        <item x="12"/>
        <item x="16"/>
        <item x="15"/>
        <item x="13"/>
        <item x="14"/>
        <item x="11"/>
        <item x="9"/>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8">
    <i>
      <x/>
    </i>
    <i>
      <x v="1"/>
    </i>
    <i>
      <x v="3"/>
    </i>
    <i>
      <x v="4"/>
    </i>
    <i>
      <x v="5"/>
    </i>
    <i>
      <x v="6"/>
    </i>
    <i>
      <x v="7"/>
    </i>
    <i>
      <x v="8"/>
    </i>
    <i>
      <x v="9"/>
    </i>
    <i>
      <x v="11"/>
    </i>
    <i>
      <x v="12"/>
    </i>
    <i>
      <x v="13"/>
    </i>
    <i>
      <x v="14"/>
    </i>
    <i>
      <x v="15"/>
    </i>
    <i>
      <x v="16"/>
    </i>
    <i>
      <x v="17"/>
    </i>
    <i>
      <x v="18"/>
    </i>
    <i t="grand">
      <x/>
    </i>
  </rowItems>
  <colFields count="1">
    <field x="8"/>
  </colFields>
  <colItems count="8">
    <i>
      <x/>
    </i>
    <i>
      <x v="1"/>
    </i>
    <i>
      <x v="2"/>
    </i>
    <i>
      <x v="3"/>
    </i>
    <i>
      <x v="4"/>
    </i>
    <i>
      <x v="5"/>
    </i>
    <i>
      <x v="6"/>
    </i>
    <i t="grand">
      <x/>
    </i>
  </colItems>
  <dataFields count="1">
    <dataField name="Count of Project Type" fld="4" subtotal="count" baseField="0" baseItem="0"/>
  </dataFields>
  <formats count="11">
    <format dxfId="185">
      <pivotArea outline="0" collapsedLevelsAreSubtotals="1" fieldPosition="0"/>
    </format>
    <format dxfId="184">
      <pivotArea outline="0" collapsedLevelsAreSubtotals="1" fieldPosition="0"/>
    </format>
    <format dxfId="183">
      <pivotArea dataOnly="0" fieldPosition="0">
        <references count="1">
          <reference field="17" count="0"/>
        </references>
      </pivotArea>
    </format>
    <format dxfId="182">
      <pivotArea dataOnly="0" fieldPosition="0">
        <references count="1">
          <reference field="17" count="0"/>
        </references>
      </pivotArea>
    </format>
    <format dxfId="181">
      <pivotArea collapsedLevelsAreSubtotals="1" fieldPosition="0">
        <references count="1">
          <reference field="17" count="0"/>
        </references>
      </pivotArea>
    </format>
    <format dxfId="180">
      <pivotArea field="17" type="button" dataOnly="0" labelOnly="1" outline="0" axis="axisRow" fieldPosition="0"/>
    </format>
    <format dxfId="179">
      <pivotArea dataOnly="0" labelOnly="1" fieldPosition="0">
        <references count="1">
          <reference field="8" count="0"/>
        </references>
      </pivotArea>
    </format>
    <format dxfId="178">
      <pivotArea dataOnly="0" labelOnly="1" grandCol="1" outline="0" fieldPosition="0"/>
    </format>
    <format dxfId="177">
      <pivotArea field="17" type="button" dataOnly="0" labelOnly="1" outline="0" axis="axisRow" fieldPosition="0"/>
    </format>
    <format dxfId="176">
      <pivotArea dataOnly="0" labelOnly="1" fieldPosition="0">
        <references count="1">
          <reference field="8" count="0"/>
        </references>
      </pivotArea>
    </format>
    <format dxfId="175">
      <pivotArea dataOnly="0" labelOnly="1" grandCol="1" outline="0" fieldPosition="0"/>
    </format>
  </formats>
  <chartFormats count="8">
    <chartFormat chart="0" format="0" series="1">
      <pivotArea type="data" outline="0" fieldPosition="0">
        <references count="2">
          <reference field="4294967294" count="1" selected="0">
            <x v="0"/>
          </reference>
          <reference field="8" count="1" selected="0">
            <x v="1"/>
          </reference>
        </references>
      </pivotArea>
    </chartFormat>
    <chartFormat chart="0" format="1" series="1">
      <pivotArea type="data" outline="0" fieldPosition="0">
        <references count="2">
          <reference field="4294967294" count="1" selected="0">
            <x v="0"/>
          </reference>
          <reference field="8" count="1" selected="0">
            <x v="2"/>
          </reference>
        </references>
      </pivotArea>
    </chartFormat>
    <chartFormat chart="0" format="2" series="1">
      <pivotArea type="data" outline="0" fieldPosition="0">
        <references count="2">
          <reference field="4294967294" count="1" selected="0">
            <x v="0"/>
          </reference>
          <reference field="8" count="1" selected="0">
            <x v="4"/>
          </reference>
        </references>
      </pivotArea>
    </chartFormat>
    <chartFormat chart="0" format="3" series="1">
      <pivotArea type="data" outline="0" fieldPosition="0">
        <references count="2">
          <reference field="4294967294" count="1" selected="0">
            <x v="0"/>
          </reference>
          <reference field="8" count="1" selected="0">
            <x v="5"/>
          </reference>
        </references>
      </pivotArea>
    </chartFormat>
    <chartFormat chart="0" format="4" series="1">
      <pivotArea type="data" outline="0" fieldPosition="0">
        <references count="2">
          <reference field="4294967294" count="1" selected="0">
            <x v="0"/>
          </reference>
          <reference field="8" count="1" selected="0">
            <x v="6"/>
          </reference>
        </references>
      </pivotArea>
    </chartFormat>
    <chartFormat chart="0" format="5" series="1">
      <pivotArea type="data" outline="0" fieldPosition="0">
        <references count="2">
          <reference field="4294967294" count="1" selected="0">
            <x v="0"/>
          </reference>
          <reference field="8" count="1" selected="0">
            <x v="0"/>
          </reference>
        </references>
      </pivotArea>
    </chartFormat>
    <chartFormat chart="0" format="6" series="1">
      <pivotArea type="data" outline="0" fieldPosition="0">
        <references count="2">
          <reference field="4294967294" count="1" selected="0">
            <x v="0"/>
          </reference>
          <reference field="8" count="1" selected="0">
            <x v="3"/>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J69" dT="2025-04-24T11:28:32.89" personId="{9803E538-D713-4053-A397-908AD10454D4}" id="{DE103BF3-EDBB-4313-92CD-6D699C2DE561}">
    <text>Only For Industrialization-Non Calibrated Lab</text>
  </threadedComment>
</ThreadedComments>
</file>

<file path=xl/threadedComments/threadedComment2.xml><?xml version="1.0" encoding="utf-8"?>
<ThreadedComments xmlns="http://schemas.microsoft.com/office/spreadsheetml/2018/threadedcomments" xmlns:x="http://schemas.openxmlformats.org/spreadsheetml/2006/main">
  <threadedComment ref="AK3" dT="2025-07-30T06:20:29.52" personId="{9803E538-D713-4053-A397-908AD10454D4}" id="{72F2EE6A-15CD-46E0-8709-3B99FD017039}">
    <text>Creo &amp; PLM upgradation training</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pivotTable" Target="../pivotTables/pivotTable5.xml"/><Relationship Id="rId7" Type="http://schemas.openxmlformats.org/officeDocument/2006/relationships/comments" Target="../comments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6.xml"/><Relationship Id="rId4" Type="http://schemas.openxmlformats.org/officeDocument/2006/relationships/pivotTable" Target="../pivotTables/pivotTable11.xml"/><Relationship Id="rId9"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C1736-58C7-4D23-A786-AF163BA6B228}">
  <sheetPr>
    <tabColor theme="8"/>
  </sheetPr>
  <dimension ref="A1:AG121"/>
  <sheetViews>
    <sheetView showGridLines="0" zoomScale="80" zoomScaleNormal="80" workbookViewId="0">
      <pane xSplit="4" ySplit="4" topLeftCell="E5" activePane="bottomRight" state="frozen"/>
      <selection pane="topRight" activeCell="O2" sqref="O2:P2"/>
      <selection pane="bottomLeft" activeCell="O2" sqref="O2:P2"/>
      <selection pane="bottomRight" activeCell="O2" sqref="O2:P2"/>
    </sheetView>
  </sheetViews>
  <sheetFormatPr defaultRowHeight="14.4" x14ac:dyDescent="0.3"/>
  <cols>
    <col min="1" max="1" width="2.88671875" style="25" customWidth="1"/>
    <col min="2" max="2" width="11.88671875" style="15" customWidth="1"/>
    <col min="3" max="3" width="45.88671875" style="25" customWidth="1"/>
    <col min="4" max="4" width="25.88671875" style="15" customWidth="1"/>
    <col min="5" max="5" width="14.88671875" style="25" customWidth="1"/>
    <col min="6" max="6" width="7.88671875" style="25" customWidth="1"/>
    <col min="7" max="7" width="9.88671875" style="25" customWidth="1"/>
    <col min="8" max="8" width="25.88671875" style="25" customWidth="1"/>
    <col min="9" max="12" width="10.109375" style="25" hidden="1" customWidth="1"/>
    <col min="13" max="13" width="9.88671875" style="57" customWidth="1"/>
    <col min="14" max="14" width="13.88671875" style="58" customWidth="1"/>
    <col min="15" max="15" width="12.88671875" style="59" customWidth="1"/>
    <col min="16" max="16" width="17.5546875" style="59" bestFit="1" customWidth="1"/>
    <col min="17" max="17" width="20.5546875" style="15" bestFit="1" customWidth="1"/>
    <col min="18" max="18" width="17.109375" style="60" bestFit="1" customWidth="1"/>
    <col min="19" max="19" width="16.5546875" style="60" bestFit="1" customWidth="1"/>
    <col min="20" max="20" width="17.109375" style="61" bestFit="1" customWidth="1"/>
    <col min="21" max="21" width="16.5546875" style="61" bestFit="1" customWidth="1"/>
    <col min="22" max="22" width="17.88671875" style="25" bestFit="1" customWidth="1"/>
    <col min="23" max="23" width="13.44140625" style="25" bestFit="1" customWidth="1"/>
    <col min="24" max="24" width="20.109375" style="25" bestFit="1" customWidth="1"/>
    <col min="25" max="25" width="30.88671875" style="62" customWidth="1"/>
    <col min="26" max="26" width="11.88671875" style="15" customWidth="1"/>
    <col min="27" max="27" width="11.88671875" style="63" customWidth="1"/>
    <col min="28" max="31" width="7.109375" style="25" customWidth="1"/>
    <col min="32" max="32" width="50.88671875" style="62" customWidth="1"/>
    <col min="33" max="33" width="12.109375" style="15" hidden="1" customWidth="1"/>
  </cols>
  <sheetData>
    <row r="1" spans="1:33" ht="18" x14ac:dyDescent="0.3">
      <c r="A1" s="1"/>
      <c r="B1" s="2"/>
      <c r="C1" s="3"/>
      <c r="D1" s="4"/>
      <c r="E1" s="1"/>
      <c r="F1" s="2"/>
      <c r="G1" s="1"/>
      <c r="H1" s="1"/>
      <c r="I1" s="1"/>
      <c r="J1" s="1"/>
      <c r="K1" s="1"/>
      <c r="L1" s="1"/>
      <c r="M1" s="1"/>
      <c r="N1" s="5"/>
      <c r="O1" s="6">
        <f>SUBTOTAL(9,O5:O401)</f>
        <v>3642.6838104038252</v>
      </c>
      <c r="P1" s="6">
        <f>SUBTOTAL(9,P5:P401)</f>
        <v>3022.9192510704916</v>
      </c>
      <c r="Q1" s="1"/>
      <c r="R1" s="7">
        <v>0</v>
      </c>
      <c r="S1" s="7">
        <v>0</v>
      </c>
      <c r="T1" s="8">
        <v>0</v>
      </c>
      <c r="U1" s="8">
        <v>0</v>
      </c>
      <c r="V1" s="835" t="s">
        <v>0</v>
      </c>
      <c r="W1" s="836"/>
      <c r="X1" s="836"/>
      <c r="Y1" s="9"/>
      <c r="Z1" s="10"/>
      <c r="AA1" s="11"/>
      <c r="AB1" s="2"/>
      <c r="AC1" s="2"/>
      <c r="AD1" s="2"/>
      <c r="AE1" s="2"/>
      <c r="AF1" s="9"/>
      <c r="AG1" s="12"/>
    </row>
    <row r="2" spans="1:33" x14ac:dyDescent="0.3">
      <c r="A2" s="801"/>
      <c r="B2" s="802"/>
      <c r="C2" s="801"/>
      <c r="D2" s="802"/>
      <c r="E2"/>
      <c r="F2" s="801"/>
      <c r="G2"/>
      <c r="H2"/>
      <c r="I2"/>
      <c r="J2"/>
      <c r="K2"/>
      <c r="L2"/>
      <c r="M2"/>
      <c r="N2" s="13"/>
      <c r="O2" s="837" t="s">
        <v>1</v>
      </c>
      <c r="P2" s="837"/>
      <c r="Q2" s="14" t="s">
        <v>2</v>
      </c>
      <c r="R2" s="838" t="s">
        <v>3</v>
      </c>
      <c r="S2" s="838"/>
      <c r="T2" s="839" t="s">
        <v>4</v>
      </c>
      <c r="U2" s="840"/>
      <c r="V2" s="841" t="s">
        <v>5</v>
      </c>
      <c r="W2" s="842"/>
      <c r="X2" s="842"/>
      <c r="Y2" s="803"/>
      <c r="Z2" s="802"/>
      <c r="AA2" s="804"/>
      <c r="AB2"/>
      <c r="AC2"/>
      <c r="AD2"/>
      <c r="AE2"/>
      <c r="AF2" s="803"/>
    </row>
    <row r="3" spans="1:33" ht="15.6" x14ac:dyDescent="0.3">
      <c r="A3" s="16"/>
      <c r="B3" s="17"/>
      <c r="C3" s="16"/>
      <c r="D3" s="18"/>
      <c r="E3" s="16"/>
      <c r="F3" s="19"/>
      <c r="G3" s="16"/>
      <c r="H3" s="16"/>
      <c r="I3" s="16"/>
      <c r="J3" s="16"/>
      <c r="K3" s="16"/>
      <c r="L3" s="16"/>
      <c r="M3" s="20"/>
      <c r="N3" s="843" t="s">
        <v>6</v>
      </c>
      <c r="O3" s="844"/>
      <c r="P3" s="845"/>
      <c r="Q3" s="846" t="s">
        <v>7</v>
      </c>
      <c r="R3" s="847"/>
      <c r="S3" s="848"/>
      <c r="T3" s="846" t="s">
        <v>7</v>
      </c>
      <c r="U3" s="848"/>
      <c r="V3" s="16"/>
      <c r="W3" s="16"/>
      <c r="X3" s="16"/>
      <c r="Y3" s="21"/>
      <c r="Z3" s="18"/>
      <c r="AA3" s="22"/>
      <c r="AB3" s="833" t="s">
        <v>8</v>
      </c>
      <c r="AC3" s="834"/>
      <c r="AD3" s="834"/>
      <c r="AE3" s="834"/>
      <c r="AF3" s="21"/>
      <c r="AG3" s="24"/>
    </row>
    <row r="4" spans="1:33" ht="72" x14ac:dyDescent="0.3">
      <c r="B4" s="26" t="s">
        <v>9</v>
      </c>
      <c r="C4" s="27" t="s">
        <v>10</v>
      </c>
      <c r="D4" s="27" t="s">
        <v>11</v>
      </c>
      <c r="E4" s="26" t="s">
        <v>12</v>
      </c>
      <c r="F4" s="23" t="s">
        <v>13</v>
      </c>
      <c r="G4" s="26" t="s">
        <v>14</v>
      </c>
      <c r="H4" s="26" t="s">
        <v>15</v>
      </c>
      <c r="I4" s="26" t="s">
        <v>16</v>
      </c>
      <c r="J4" s="26" t="s">
        <v>17</v>
      </c>
      <c r="K4" s="26" t="s">
        <v>18</v>
      </c>
      <c r="L4" s="26" t="s">
        <v>19</v>
      </c>
      <c r="M4" s="26" t="s">
        <v>20</v>
      </c>
      <c r="N4" s="26" t="s">
        <v>21</v>
      </c>
      <c r="O4" s="28" t="s">
        <v>22</v>
      </c>
      <c r="P4" s="29" t="s">
        <v>23</v>
      </c>
      <c r="Q4" s="30" t="s">
        <v>24</v>
      </c>
      <c r="R4" s="31" t="s">
        <v>25</v>
      </c>
      <c r="S4" s="28" t="s">
        <v>26</v>
      </c>
      <c r="T4" s="32" t="s">
        <v>25</v>
      </c>
      <c r="U4" s="33" t="s">
        <v>26</v>
      </c>
      <c r="V4" s="30" t="s">
        <v>27</v>
      </c>
      <c r="W4" s="30" t="s">
        <v>28</v>
      </c>
      <c r="X4" s="30" t="s">
        <v>29</v>
      </c>
      <c r="Y4" s="26" t="s">
        <v>30</v>
      </c>
      <c r="Z4" s="26" t="s">
        <v>31</v>
      </c>
      <c r="AA4" s="34" t="s">
        <v>32</v>
      </c>
      <c r="AB4" s="23" t="s">
        <v>33</v>
      </c>
      <c r="AC4" s="23" t="s">
        <v>34</v>
      </c>
      <c r="AD4" s="23" t="s">
        <v>35</v>
      </c>
      <c r="AE4" s="23" t="s">
        <v>36</v>
      </c>
      <c r="AF4" s="26" t="s">
        <v>37</v>
      </c>
      <c r="AG4" s="35" t="s">
        <v>38</v>
      </c>
    </row>
    <row r="5" spans="1:33" s="25" customFormat="1" ht="28.8" x14ac:dyDescent="0.3">
      <c r="B5" s="36" t="s">
        <v>39</v>
      </c>
      <c r="C5" s="37" t="s">
        <v>40</v>
      </c>
      <c r="D5" s="36" t="s">
        <v>41</v>
      </c>
      <c r="E5" s="38" t="s">
        <v>42</v>
      </c>
      <c r="F5" s="36" t="s">
        <v>33</v>
      </c>
      <c r="G5" s="38" t="s">
        <v>43</v>
      </c>
      <c r="H5" s="38" t="s">
        <v>44</v>
      </c>
      <c r="I5" s="38" t="s">
        <v>45</v>
      </c>
      <c r="J5" s="38" t="s">
        <v>46</v>
      </c>
      <c r="K5" s="38" t="s">
        <v>46</v>
      </c>
      <c r="L5" s="38" t="s">
        <v>47</v>
      </c>
      <c r="M5" s="39" t="s">
        <v>48</v>
      </c>
      <c r="N5" s="40" t="s">
        <v>49</v>
      </c>
      <c r="O5" s="41">
        <v>6.7398909676367449</v>
      </c>
      <c r="P5" s="41">
        <v>6.7398909676367449</v>
      </c>
      <c r="Q5" s="42">
        <v>0</v>
      </c>
      <c r="R5" s="41">
        <v>0</v>
      </c>
      <c r="S5" s="41">
        <v>0</v>
      </c>
      <c r="T5" s="43">
        <v>0</v>
      </c>
      <c r="U5" s="43">
        <v>0</v>
      </c>
      <c r="V5" s="39">
        <v>0</v>
      </c>
      <c r="W5" s="39">
        <v>0</v>
      </c>
      <c r="X5" s="39">
        <v>0</v>
      </c>
      <c r="Y5" s="44"/>
      <c r="Z5" s="45" t="s">
        <v>50</v>
      </c>
      <c r="AA5" s="46">
        <v>0.9</v>
      </c>
      <c r="AB5" s="47">
        <v>1</v>
      </c>
      <c r="AC5" s="47">
        <v>0</v>
      </c>
      <c r="AD5" s="47">
        <v>0</v>
      </c>
      <c r="AE5" s="47">
        <v>0</v>
      </c>
      <c r="AF5" s="44"/>
      <c r="AG5" s="38">
        <v>3</v>
      </c>
    </row>
    <row r="6" spans="1:33" s="25" customFormat="1" ht="28.8" x14ac:dyDescent="0.3">
      <c r="B6" s="36" t="s">
        <v>51</v>
      </c>
      <c r="C6" s="37" t="s">
        <v>52</v>
      </c>
      <c r="D6" s="36" t="s">
        <v>53</v>
      </c>
      <c r="E6" s="38" t="s">
        <v>54</v>
      </c>
      <c r="F6" s="36" t="s">
        <v>55</v>
      </c>
      <c r="G6" s="38" t="s">
        <v>43</v>
      </c>
      <c r="H6" s="38" t="s">
        <v>44</v>
      </c>
      <c r="I6" s="38">
        <v>0</v>
      </c>
      <c r="J6" s="38">
        <v>0</v>
      </c>
      <c r="K6" s="38">
        <v>0</v>
      </c>
      <c r="L6" s="38">
        <v>0</v>
      </c>
      <c r="M6" s="39" t="s">
        <v>48</v>
      </c>
      <c r="N6" s="40" t="s">
        <v>56</v>
      </c>
      <c r="O6" s="41">
        <v>10.75</v>
      </c>
      <c r="P6" s="41">
        <v>7.5249999999999995</v>
      </c>
      <c r="Q6" s="42">
        <v>0</v>
      </c>
      <c r="R6" s="41">
        <v>0</v>
      </c>
      <c r="S6" s="41">
        <v>0</v>
      </c>
      <c r="T6" s="43">
        <v>0</v>
      </c>
      <c r="U6" s="43">
        <v>0</v>
      </c>
      <c r="V6" s="39">
        <v>0</v>
      </c>
      <c r="W6" s="39">
        <v>0</v>
      </c>
      <c r="X6" s="39">
        <v>0</v>
      </c>
      <c r="Y6" s="44" t="s">
        <v>57</v>
      </c>
      <c r="Z6" s="45" t="s">
        <v>50</v>
      </c>
      <c r="AA6" s="46">
        <v>0.8</v>
      </c>
      <c r="AB6" s="47">
        <v>0</v>
      </c>
      <c r="AC6" s="47">
        <v>0</v>
      </c>
      <c r="AD6" s="47">
        <v>1</v>
      </c>
      <c r="AE6" s="47">
        <v>0</v>
      </c>
      <c r="AF6" s="44"/>
      <c r="AG6" s="38">
        <v>3</v>
      </c>
    </row>
    <row r="7" spans="1:33" s="25" customFormat="1" ht="28.8" x14ac:dyDescent="0.3">
      <c r="B7" s="36" t="s">
        <v>58</v>
      </c>
      <c r="C7" s="37" t="s">
        <v>59</v>
      </c>
      <c r="D7" s="36" t="s">
        <v>53</v>
      </c>
      <c r="E7" s="38" t="s">
        <v>60</v>
      </c>
      <c r="F7" s="36" t="s">
        <v>36</v>
      </c>
      <c r="G7" s="38" t="s">
        <v>43</v>
      </c>
      <c r="H7" s="38" t="s">
        <v>61</v>
      </c>
      <c r="I7" s="38">
        <v>0</v>
      </c>
      <c r="J7" s="38">
        <v>0</v>
      </c>
      <c r="K7" s="38">
        <v>0</v>
      </c>
      <c r="L7" s="38">
        <v>0</v>
      </c>
      <c r="M7" s="39" t="s">
        <v>48</v>
      </c>
      <c r="N7" s="40" t="s">
        <v>56</v>
      </c>
      <c r="O7" s="41">
        <v>23</v>
      </c>
      <c r="P7" s="41">
        <v>17.25</v>
      </c>
      <c r="Q7" s="42">
        <v>0</v>
      </c>
      <c r="R7" s="41">
        <v>0</v>
      </c>
      <c r="S7" s="41">
        <v>0</v>
      </c>
      <c r="T7" s="43">
        <v>0</v>
      </c>
      <c r="U7" s="43">
        <v>0</v>
      </c>
      <c r="V7" s="39">
        <v>0</v>
      </c>
      <c r="W7" s="39">
        <v>0</v>
      </c>
      <c r="X7" s="39">
        <v>0</v>
      </c>
      <c r="Y7" s="44" t="s">
        <v>62</v>
      </c>
      <c r="Z7" s="45" t="s">
        <v>50</v>
      </c>
      <c r="AA7" s="46">
        <v>0.8</v>
      </c>
      <c r="AB7" s="47">
        <v>0</v>
      </c>
      <c r="AC7" s="47">
        <v>0</v>
      </c>
      <c r="AD7" s="47">
        <v>0</v>
      </c>
      <c r="AE7" s="47">
        <v>1</v>
      </c>
      <c r="AF7" s="44" t="s">
        <v>63</v>
      </c>
      <c r="AG7" s="38">
        <v>3</v>
      </c>
    </row>
    <row r="8" spans="1:33" s="25" customFormat="1" ht="28.8" x14ac:dyDescent="0.3">
      <c r="B8" s="36" t="s">
        <v>64</v>
      </c>
      <c r="C8" s="37" t="s">
        <v>65</v>
      </c>
      <c r="D8" s="36" t="s">
        <v>53</v>
      </c>
      <c r="E8" s="38" t="s">
        <v>42</v>
      </c>
      <c r="F8" s="36" t="s">
        <v>35</v>
      </c>
      <c r="G8" s="38" t="s">
        <v>43</v>
      </c>
      <c r="H8" s="38" t="s">
        <v>44</v>
      </c>
      <c r="I8" s="38">
        <v>0</v>
      </c>
      <c r="J8" s="38">
        <v>0</v>
      </c>
      <c r="K8" s="38">
        <v>0</v>
      </c>
      <c r="L8" s="38">
        <v>0</v>
      </c>
      <c r="M8" s="39" t="s">
        <v>48</v>
      </c>
      <c r="N8" s="40" t="s">
        <v>49</v>
      </c>
      <c r="O8" s="41">
        <v>19.172463485000002</v>
      </c>
      <c r="P8" s="41">
        <v>19.172463485000002</v>
      </c>
      <c r="Q8" s="49">
        <v>0</v>
      </c>
      <c r="R8" s="50">
        <v>0</v>
      </c>
      <c r="S8" s="50">
        <v>0</v>
      </c>
      <c r="T8" s="51">
        <v>0</v>
      </c>
      <c r="U8" s="51">
        <v>0</v>
      </c>
      <c r="V8" s="52">
        <v>0</v>
      </c>
      <c r="W8" s="52">
        <v>0</v>
      </c>
      <c r="X8" s="52">
        <v>0</v>
      </c>
      <c r="Y8" s="44" t="s">
        <v>66</v>
      </c>
      <c r="Z8" s="45" t="s">
        <v>50</v>
      </c>
      <c r="AA8" s="46">
        <v>0.9</v>
      </c>
      <c r="AB8" s="47">
        <v>0</v>
      </c>
      <c r="AC8" s="47">
        <v>0</v>
      </c>
      <c r="AD8" s="47">
        <v>1</v>
      </c>
      <c r="AE8" s="47">
        <v>0</v>
      </c>
      <c r="AF8" s="53" t="s">
        <v>67</v>
      </c>
      <c r="AG8" s="38">
        <v>3</v>
      </c>
    </row>
    <row r="9" spans="1:33" s="25" customFormat="1" ht="28.8" x14ac:dyDescent="0.3">
      <c r="B9" s="36" t="s">
        <v>68</v>
      </c>
      <c r="C9" s="37" t="s">
        <v>69</v>
      </c>
      <c r="D9" s="36" t="s">
        <v>70</v>
      </c>
      <c r="E9" s="38" t="s">
        <v>42</v>
      </c>
      <c r="F9" s="36" t="s">
        <v>33</v>
      </c>
      <c r="G9" s="38" t="s">
        <v>43</v>
      </c>
      <c r="H9" s="38" t="s">
        <v>44</v>
      </c>
      <c r="I9" s="38" t="s">
        <v>45</v>
      </c>
      <c r="J9" s="38" t="s">
        <v>46</v>
      </c>
      <c r="K9" s="38" t="s">
        <v>46</v>
      </c>
      <c r="L9" s="38" t="s">
        <v>47</v>
      </c>
      <c r="M9" s="39" t="s">
        <v>48</v>
      </c>
      <c r="N9" s="54" t="s">
        <v>49</v>
      </c>
      <c r="O9" s="41">
        <v>3.0666666666666669</v>
      </c>
      <c r="P9" s="41">
        <v>3.0666666666666669</v>
      </c>
      <c r="Q9" s="42">
        <v>0</v>
      </c>
      <c r="R9" s="41">
        <v>0</v>
      </c>
      <c r="S9" s="41">
        <v>0</v>
      </c>
      <c r="T9" s="43">
        <v>0</v>
      </c>
      <c r="U9" s="43">
        <v>0</v>
      </c>
      <c r="V9" s="39">
        <v>0</v>
      </c>
      <c r="W9" s="39">
        <v>0</v>
      </c>
      <c r="X9" s="39">
        <v>0</v>
      </c>
      <c r="Y9" s="44"/>
      <c r="Z9" s="55" t="s">
        <v>71</v>
      </c>
      <c r="AA9" s="46">
        <v>0.8</v>
      </c>
      <c r="AB9" s="47">
        <v>1</v>
      </c>
      <c r="AC9" s="47">
        <v>0</v>
      </c>
      <c r="AD9" s="47">
        <v>0</v>
      </c>
      <c r="AE9" s="47">
        <v>0</v>
      </c>
      <c r="AF9" s="44"/>
      <c r="AG9" s="38">
        <v>2</v>
      </c>
    </row>
    <row r="10" spans="1:33" s="25" customFormat="1" ht="28.8" x14ac:dyDescent="0.3">
      <c r="B10" s="36" t="s">
        <v>72</v>
      </c>
      <c r="C10" s="37" t="s">
        <v>73</v>
      </c>
      <c r="D10" s="36" t="s">
        <v>74</v>
      </c>
      <c r="E10" s="38" t="s">
        <v>54</v>
      </c>
      <c r="F10" s="36" t="s">
        <v>55</v>
      </c>
      <c r="G10" s="38" t="s">
        <v>43</v>
      </c>
      <c r="H10" s="38" t="s">
        <v>44</v>
      </c>
      <c r="I10" s="38">
        <v>0</v>
      </c>
      <c r="J10" s="38">
        <v>0</v>
      </c>
      <c r="K10" s="38">
        <v>0</v>
      </c>
      <c r="L10" s="38">
        <v>0</v>
      </c>
      <c r="M10" s="39" t="s">
        <v>48</v>
      </c>
      <c r="N10" s="54" t="s">
        <v>75</v>
      </c>
      <c r="O10" s="41">
        <v>22.858560000000004</v>
      </c>
      <c r="P10" s="41">
        <v>4.5717120000000007</v>
      </c>
      <c r="Q10" s="42">
        <v>0</v>
      </c>
      <c r="R10" s="41">
        <v>0</v>
      </c>
      <c r="S10" s="41">
        <v>0</v>
      </c>
      <c r="T10" s="43">
        <v>0</v>
      </c>
      <c r="U10" s="43">
        <v>0</v>
      </c>
      <c r="V10" s="39">
        <v>0</v>
      </c>
      <c r="W10" s="39">
        <v>0</v>
      </c>
      <c r="X10" s="39">
        <v>0</v>
      </c>
      <c r="Y10" s="44" t="s">
        <v>76</v>
      </c>
      <c r="Z10" s="55" t="s">
        <v>71</v>
      </c>
      <c r="AA10" s="46">
        <v>0.60000000000000009</v>
      </c>
      <c r="AB10" s="47">
        <v>0</v>
      </c>
      <c r="AC10" s="47">
        <v>0</v>
      </c>
      <c r="AD10" s="47">
        <v>0</v>
      </c>
      <c r="AE10" s="47">
        <v>0</v>
      </c>
      <c r="AF10" s="44"/>
      <c r="AG10" s="38">
        <v>2</v>
      </c>
    </row>
    <row r="11" spans="1:33" s="25" customFormat="1" ht="86.4" x14ac:dyDescent="0.3">
      <c r="B11" s="36" t="s">
        <v>77</v>
      </c>
      <c r="C11" s="37" t="s">
        <v>78</v>
      </c>
      <c r="D11" s="36" t="s">
        <v>79</v>
      </c>
      <c r="E11" s="38" t="s">
        <v>42</v>
      </c>
      <c r="F11" s="36" t="s">
        <v>80</v>
      </c>
      <c r="G11" s="38" t="s">
        <v>43</v>
      </c>
      <c r="H11" s="38" t="s">
        <v>81</v>
      </c>
      <c r="I11" s="38">
        <v>0</v>
      </c>
      <c r="J11" s="38">
        <v>0</v>
      </c>
      <c r="K11" s="38">
        <v>0</v>
      </c>
      <c r="L11" s="38">
        <v>0</v>
      </c>
      <c r="M11" s="39" t="s">
        <v>48</v>
      </c>
      <c r="N11" s="54" t="s">
        <v>82</v>
      </c>
      <c r="O11" s="41">
        <v>376</v>
      </c>
      <c r="P11" s="41">
        <v>342</v>
      </c>
      <c r="Q11" s="42">
        <v>0</v>
      </c>
      <c r="R11" s="41">
        <v>0</v>
      </c>
      <c r="S11" s="41">
        <v>0</v>
      </c>
      <c r="T11" s="43">
        <v>0</v>
      </c>
      <c r="U11" s="43">
        <v>0</v>
      </c>
      <c r="V11" s="39">
        <v>0</v>
      </c>
      <c r="W11" s="39">
        <v>0</v>
      </c>
      <c r="X11" s="39">
        <v>0</v>
      </c>
      <c r="Y11" s="44" t="s">
        <v>83</v>
      </c>
      <c r="Z11" s="55" t="s">
        <v>50</v>
      </c>
      <c r="AA11" s="46">
        <v>0.9</v>
      </c>
      <c r="AB11" s="47">
        <v>0</v>
      </c>
      <c r="AC11" s="47">
        <v>0</v>
      </c>
      <c r="AD11" s="47">
        <v>1</v>
      </c>
      <c r="AE11" s="47">
        <v>0</v>
      </c>
      <c r="AF11" s="44" t="s">
        <v>84</v>
      </c>
      <c r="AG11" s="38">
        <v>3</v>
      </c>
    </row>
    <row r="12" spans="1:33" s="25" customFormat="1" ht="28.8" x14ac:dyDescent="0.3">
      <c r="B12" s="36" t="s">
        <v>85</v>
      </c>
      <c r="C12" s="37" t="s">
        <v>86</v>
      </c>
      <c r="D12" s="36" t="s">
        <v>79</v>
      </c>
      <c r="E12" s="38" t="s">
        <v>87</v>
      </c>
      <c r="F12" s="36" t="s">
        <v>36</v>
      </c>
      <c r="G12" s="38" t="s">
        <v>88</v>
      </c>
      <c r="H12" s="38" t="s">
        <v>61</v>
      </c>
      <c r="I12" s="38">
        <v>0</v>
      </c>
      <c r="J12" s="38">
        <v>0</v>
      </c>
      <c r="K12" s="38">
        <v>0</v>
      </c>
      <c r="L12" s="38">
        <v>0</v>
      </c>
      <c r="M12" s="39" t="s">
        <v>48</v>
      </c>
      <c r="N12" s="54" t="s">
        <v>56</v>
      </c>
      <c r="O12" s="41">
        <v>32</v>
      </c>
      <c r="P12" s="41">
        <v>16</v>
      </c>
      <c r="Q12" s="42">
        <v>0</v>
      </c>
      <c r="R12" s="41">
        <v>0</v>
      </c>
      <c r="S12" s="41">
        <v>0</v>
      </c>
      <c r="T12" s="43">
        <v>0</v>
      </c>
      <c r="U12" s="43">
        <v>0</v>
      </c>
      <c r="V12" s="39">
        <v>0</v>
      </c>
      <c r="W12" s="39">
        <v>0</v>
      </c>
      <c r="X12" s="39">
        <v>0</v>
      </c>
      <c r="Y12" s="44" t="s">
        <v>89</v>
      </c>
      <c r="Z12" s="55" t="s">
        <v>71</v>
      </c>
      <c r="AA12" s="46">
        <v>0.50000000000000011</v>
      </c>
      <c r="AB12" s="47">
        <v>0</v>
      </c>
      <c r="AC12" s="47">
        <v>0</v>
      </c>
      <c r="AD12" s="47">
        <v>0</v>
      </c>
      <c r="AE12" s="47">
        <v>1</v>
      </c>
      <c r="AF12" s="44" t="s">
        <v>90</v>
      </c>
      <c r="AG12" s="38">
        <v>2</v>
      </c>
    </row>
    <row r="13" spans="1:33" s="25" customFormat="1" ht="100.8" x14ac:dyDescent="0.3">
      <c r="B13" s="36" t="s">
        <v>91</v>
      </c>
      <c r="C13" s="37" t="s">
        <v>92</v>
      </c>
      <c r="D13" s="36" t="s">
        <v>93</v>
      </c>
      <c r="E13" s="38" t="s">
        <v>42</v>
      </c>
      <c r="F13" s="36" t="s">
        <v>36</v>
      </c>
      <c r="G13" s="38" t="s">
        <v>43</v>
      </c>
      <c r="H13" s="38" t="s">
        <v>44</v>
      </c>
      <c r="I13" s="38">
        <v>0</v>
      </c>
      <c r="J13" s="38">
        <v>0</v>
      </c>
      <c r="K13" s="38">
        <v>0</v>
      </c>
      <c r="L13" s="38">
        <v>0</v>
      </c>
      <c r="M13" s="39" t="s">
        <v>48</v>
      </c>
      <c r="N13" s="54" t="s">
        <v>56</v>
      </c>
      <c r="O13" s="41">
        <v>18</v>
      </c>
      <c r="P13" s="41">
        <v>13.5</v>
      </c>
      <c r="Q13" s="42">
        <v>0</v>
      </c>
      <c r="R13" s="41">
        <v>0</v>
      </c>
      <c r="S13" s="41">
        <v>0</v>
      </c>
      <c r="T13" s="43">
        <v>0</v>
      </c>
      <c r="U13" s="43">
        <v>0</v>
      </c>
      <c r="V13" s="39">
        <v>0</v>
      </c>
      <c r="W13" s="39">
        <v>0</v>
      </c>
      <c r="X13" s="39">
        <v>0</v>
      </c>
      <c r="Y13" s="44" t="s">
        <v>94</v>
      </c>
      <c r="Z13" s="55" t="s">
        <v>50</v>
      </c>
      <c r="AA13" s="46">
        <v>0.9</v>
      </c>
      <c r="AB13" s="47">
        <v>0</v>
      </c>
      <c r="AC13" s="47">
        <v>0</v>
      </c>
      <c r="AD13" s="47">
        <v>0</v>
      </c>
      <c r="AE13" s="47">
        <v>1</v>
      </c>
      <c r="AF13" s="44" t="s">
        <v>95</v>
      </c>
      <c r="AG13" s="38">
        <v>3</v>
      </c>
    </row>
    <row r="14" spans="1:33" s="25" customFormat="1" ht="28.8" x14ac:dyDescent="0.3">
      <c r="B14" s="36" t="s">
        <v>96</v>
      </c>
      <c r="C14" s="37" t="s">
        <v>97</v>
      </c>
      <c r="D14" s="36" t="s">
        <v>93</v>
      </c>
      <c r="E14" s="38" t="s">
        <v>42</v>
      </c>
      <c r="F14" s="36" t="s">
        <v>33</v>
      </c>
      <c r="G14" s="38" t="s">
        <v>43</v>
      </c>
      <c r="H14" s="38" t="s">
        <v>44</v>
      </c>
      <c r="I14" s="38" t="s">
        <v>46</v>
      </c>
      <c r="J14" s="38" t="s">
        <v>47</v>
      </c>
      <c r="K14" s="38" t="s">
        <v>46</v>
      </c>
      <c r="L14" s="38" t="s">
        <v>47</v>
      </c>
      <c r="M14" s="39" t="s">
        <v>48</v>
      </c>
      <c r="N14" s="54" t="s">
        <v>49</v>
      </c>
      <c r="O14" s="41">
        <v>63</v>
      </c>
      <c r="P14" s="41">
        <v>63</v>
      </c>
      <c r="Q14" s="42">
        <v>0</v>
      </c>
      <c r="R14" s="41">
        <v>0</v>
      </c>
      <c r="S14" s="41">
        <v>0</v>
      </c>
      <c r="T14" s="43">
        <v>0</v>
      </c>
      <c r="U14" s="43">
        <v>0</v>
      </c>
      <c r="V14" s="39">
        <v>0</v>
      </c>
      <c r="W14" s="39">
        <v>0</v>
      </c>
      <c r="X14" s="39">
        <v>0</v>
      </c>
      <c r="Y14" s="44"/>
      <c r="Z14" s="55" t="s">
        <v>50</v>
      </c>
      <c r="AA14" s="46">
        <v>1</v>
      </c>
      <c r="AB14" s="47">
        <v>1</v>
      </c>
      <c r="AC14" s="47">
        <v>0</v>
      </c>
      <c r="AD14" s="47">
        <v>0</v>
      </c>
      <c r="AE14" s="47">
        <v>0</v>
      </c>
      <c r="AF14" s="44"/>
      <c r="AG14" s="48">
        <v>3</v>
      </c>
    </row>
    <row r="15" spans="1:33" s="25" customFormat="1" ht="28.8" x14ac:dyDescent="0.3">
      <c r="B15" s="36" t="s">
        <v>98</v>
      </c>
      <c r="C15" s="37" t="s">
        <v>99</v>
      </c>
      <c r="D15" s="36" t="s">
        <v>100</v>
      </c>
      <c r="E15" s="38" t="s">
        <v>54</v>
      </c>
      <c r="F15" s="36" t="s">
        <v>55</v>
      </c>
      <c r="G15" s="38" t="s">
        <v>43</v>
      </c>
      <c r="H15" s="38" t="s">
        <v>44</v>
      </c>
      <c r="I15" s="38">
        <v>0</v>
      </c>
      <c r="J15" s="38">
        <v>0</v>
      </c>
      <c r="K15" s="38">
        <v>0</v>
      </c>
      <c r="L15" s="38">
        <v>0</v>
      </c>
      <c r="M15" s="39" t="s">
        <v>48</v>
      </c>
      <c r="N15" s="54" t="s">
        <v>75</v>
      </c>
      <c r="O15" s="41">
        <v>5.9258500000000005</v>
      </c>
      <c r="P15" s="41">
        <v>1.1851700000000001</v>
      </c>
      <c r="Q15" s="42">
        <v>0</v>
      </c>
      <c r="R15" s="41">
        <v>0</v>
      </c>
      <c r="S15" s="41">
        <v>0</v>
      </c>
      <c r="T15" s="43">
        <v>0</v>
      </c>
      <c r="U15" s="43">
        <v>0</v>
      </c>
      <c r="V15" s="39">
        <v>0</v>
      </c>
      <c r="W15" s="39">
        <v>0</v>
      </c>
      <c r="X15" s="39">
        <v>0</v>
      </c>
      <c r="Y15" s="44" t="s">
        <v>76</v>
      </c>
      <c r="Z15" s="55" t="s">
        <v>71</v>
      </c>
      <c r="AA15" s="46">
        <v>0.60000000000000009</v>
      </c>
      <c r="AB15" s="47">
        <v>0</v>
      </c>
      <c r="AC15" s="47">
        <v>0</v>
      </c>
      <c r="AD15" s="47">
        <v>0</v>
      </c>
      <c r="AE15" s="47">
        <v>0</v>
      </c>
      <c r="AF15" s="44"/>
      <c r="AG15" s="48">
        <v>2</v>
      </c>
    </row>
    <row r="16" spans="1:33" s="25" customFormat="1" ht="28.8" x14ac:dyDescent="0.3">
      <c r="B16" s="36" t="s">
        <v>101</v>
      </c>
      <c r="C16" s="37" t="s">
        <v>102</v>
      </c>
      <c r="D16" s="36" t="s">
        <v>103</v>
      </c>
      <c r="E16" s="38" t="s">
        <v>54</v>
      </c>
      <c r="F16" s="36" t="s">
        <v>55</v>
      </c>
      <c r="G16" s="38" t="s">
        <v>43</v>
      </c>
      <c r="H16" s="38" t="s">
        <v>44</v>
      </c>
      <c r="I16" s="38">
        <v>0</v>
      </c>
      <c r="J16" s="38">
        <v>0</v>
      </c>
      <c r="K16" s="38">
        <v>0</v>
      </c>
      <c r="L16" s="38">
        <v>0</v>
      </c>
      <c r="M16" s="39" t="s">
        <v>48</v>
      </c>
      <c r="N16" s="54" t="s">
        <v>75</v>
      </c>
      <c r="O16" s="41">
        <v>3.3104</v>
      </c>
      <c r="P16" s="41">
        <v>0.66208</v>
      </c>
      <c r="Q16" s="42">
        <v>0</v>
      </c>
      <c r="R16" s="41">
        <v>0</v>
      </c>
      <c r="S16" s="41">
        <v>0</v>
      </c>
      <c r="T16" s="43">
        <v>0</v>
      </c>
      <c r="U16" s="43">
        <v>0</v>
      </c>
      <c r="V16" s="39">
        <v>0</v>
      </c>
      <c r="W16" s="39">
        <v>0</v>
      </c>
      <c r="X16" s="39">
        <v>0</v>
      </c>
      <c r="Y16" s="44" t="s">
        <v>76</v>
      </c>
      <c r="Z16" s="55" t="s">
        <v>71</v>
      </c>
      <c r="AA16" s="46">
        <v>0.60000000000000009</v>
      </c>
      <c r="AB16" s="47">
        <v>0</v>
      </c>
      <c r="AC16" s="47">
        <v>0</v>
      </c>
      <c r="AD16" s="47">
        <v>0</v>
      </c>
      <c r="AE16" s="47">
        <v>0</v>
      </c>
      <c r="AF16" s="44"/>
      <c r="AG16" s="48">
        <v>2</v>
      </c>
    </row>
    <row r="17" spans="2:33" s="25" customFormat="1" ht="28.8" x14ac:dyDescent="0.3">
      <c r="B17" s="36" t="s">
        <v>104</v>
      </c>
      <c r="C17" s="37" t="s">
        <v>105</v>
      </c>
      <c r="D17" s="36" t="s">
        <v>106</v>
      </c>
      <c r="E17" s="38" t="s">
        <v>42</v>
      </c>
      <c r="F17" s="36" t="s">
        <v>33</v>
      </c>
      <c r="G17" s="38" t="s">
        <v>43</v>
      </c>
      <c r="H17" s="38" t="s">
        <v>44</v>
      </c>
      <c r="I17" s="38" t="s">
        <v>46</v>
      </c>
      <c r="J17" s="38" t="s">
        <v>47</v>
      </c>
      <c r="K17" s="38" t="s">
        <v>46</v>
      </c>
      <c r="L17" s="38" t="s">
        <v>47</v>
      </c>
      <c r="M17" s="39" t="s">
        <v>48</v>
      </c>
      <c r="N17" s="54" t="s">
        <v>49</v>
      </c>
      <c r="O17" s="41">
        <v>3.8080000000000003</v>
      </c>
      <c r="P17" s="41">
        <v>3.8080000000000003</v>
      </c>
      <c r="Q17" s="42">
        <v>0</v>
      </c>
      <c r="R17" s="41">
        <v>0</v>
      </c>
      <c r="S17" s="41">
        <v>0</v>
      </c>
      <c r="T17" s="43">
        <v>0</v>
      </c>
      <c r="U17" s="43">
        <v>0</v>
      </c>
      <c r="V17" s="39">
        <v>0</v>
      </c>
      <c r="W17" s="39">
        <v>0</v>
      </c>
      <c r="X17" s="39">
        <v>0</v>
      </c>
      <c r="Y17" s="44"/>
      <c r="Z17" s="55" t="s">
        <v>50</v>
      </c>
      <c r="AA17" s="46">
        <v>1</v>
      </c>
      <c r="AB17" s="47">
        <v>1</v>
      </c>
      <c r="AC17" s="47">
        <v>0</v>
      </c>
      <c r="AD17" s="47">
        <v>0</v>
      </c>
      <c r="AE17" s="47">
        <v>0</v>
      </c>
      <c r="AF17" s="44"/>
      <c r="AG17" s="48">
        <v>3</v>
      </c>
    </row>
    <row r="18" spans="2:33" s="25" customFormat="1" ht="28.8" x14ac:dyDescent="0.3">
      <c r="B18" s="36" t="s">
        <v>107</v>
      </c>
      <c r="C18" s="37" t="s">
        <v>108</v>
      </c>
      <c r="D18" s="36" t="s">
        <v>109</v>
      </c>
      <c r="E18" s="38" t="s">
        <v>54</v>
      </c>
      <c r="F18" s="36" t="s">
        <v>55</v>
      </c>
      <c r="G18" s="38" t="s">
        <v>43</v>
      </c>
      <c r="H18" s="38" t="s">
        <v>44</v>
      </c>
      <c r="I18" s="38">
        <v>0</v>
      </c>
      <c r="J18" s="38">
        <v>0</v>
      </c>
      <c r="K18" s="38">
        <v>0</v>
      </c>
      <c r="L18" s="38">
        <v>0</v>
      </c>
      <c r="M18" s="39" t="s">
        <v>48</v>
      </c>
      <c r="N18" s="54" t="s">
        <v>49</v>
      </c>
      <c r="O18" s="41">
        <v>43.453000000000003</v>
      </c>
      <c r="P18" s="41">
        <v>43.453000000000003</v>
      </c>
      <c r="Q18" s="42">
        <v>0</v>
      </c>
      <c r="R18" s="41">
        <v>0</v>
      </c>
      <c r="S18" s="41">
        <v>0</v>
      </c>
      <c r="T18" s="43">
        <v>0</v>
      </c>
      <c r="U18" s="43">
        <v>0</v>
      </c>
      <c r="V18" s="39">
        <v>0</v>
      </c>
      <c r="W18" s="39">
        <v>0</v>
      </c>
      <c r="X18" s="39">
        <v>0</v>
      </c>
      <c r="Y18" s="44" t="s">
        <v>57</v>
      </c>
      <c r="Z18" s="55" t="s">
        <v>50</v>
      </c>
      <c r="AA18" s="46">
        <v>0.8</v>
      </c>
      <c r="AB18" s="47">
        <v>0.8</v>
      </c>
      <c r="AC18" s="47">
        <v>0.10000000000000014</v>
      </c>
      <c r="AD18" s="47">
        <v>0</v>
      </c>
      <c r="AE18" s="47">
        <v>0.10000000000000014</v>
      </c>
      <c r="AF18" s="44"/>
      <c r="AG18" s="48">
        <v>3</v>
      </c>
    </row>
    <row r="19" spans="2:33" s="25" customFormat="1" ht="28.8" x14ac:dyDescent="0.3">
      <c r="B19" s="36" t="s">
        <v>110</v>
      </c>
      <c r="C19" s="37" t="s">
        <v>111</v>
      </c>
      <c r="D19" s="36" t="s">
        <v>109</v>
      </c>
      <c r="E19" s="38" t="s">
        <v>54</v>
      </c>
      <c r="F19" s="36" t="s">
        <v>55</v>
      </c>
      <c r="G19" s="38" t="s">
        <v>43</v>
      </c>
      <c r="H19" s="38" t="s">
        <v>44</v>
      </c>
      <c r="I19" s="38">
        <v>0</v>
      </c>
      <c r="J19" s="38">
        <v>0</v>
      </c>
      <c r="K19" s="38">
        <v>0</v>
      </c>
      <c r="L19" s="38">
        <v>0</v>
      </c>
      <c r="M19" s="39" t="s">
        <v>48</v>
      </c>
      <c r="N19" s="54" t="s">
        <v>49</v>
      </c>
      <c r="O19" s="41">
        <v>14.88</v>
      </c>
      <c r="P19" s="41">
        <v>14.88</v>
      </c>
      <c r="Q19" s="42">
        <v>0</v>
      </c>
      <c r="R19" s="41">
        <v>0</v>
      </c>
      <c r="S19" s="41">
        <v>0</v>
      </c>
      <c r="T19" s="43">
        <v>0</v>
      </c>
      <c r="U19" s="43">
        <v>0</v>
      </c>
      <c r="V19" s="39">
        <v>0</v>
      </c>
      <c r="W19" s="39">
        <v>0</v>
      </c>
      <c r="X19" s="39">
        <v>0</v>
      </c>
      <c r="Y19" s="44" t="s">
        <v>57</v>
      </c>
      <c r="Z19" s="55" t="s">
        <v>50</v>
      </c>
      <c r="AA19" s="46">
        <v>0.8</v>
      </c>
      <c r="AB19" s="47">
        <v>0.50000000000000011</v>
      </c>
      <c r="AC19" s="47">
        <v>0</v>
      </c>
      <c r="AD19" s="47">
        <v>0.20000000000000015</v>
      </c>
      <c r="AE19" s="47">
        <v>0.30000000000000016</v>
      </c>
      <c r="AF19" s="44"/>
      <c r="AG19" s="48">
        <v>3</v>
      </c>
    </row>
    <row r="20" spans="2:33" s="25" customFormat="1" ht="43.2" x14ac:dyDescent="0.3">
      <c r="B20" s="36" t="s">
        <v>112</v>
      </c>
      <c r="C20" s="37" t="s">
        <v>113</v>
      </c>
      <c r="D20" s="36" t="s">
        <v>114</v>
      </c>
      <c r="E20" s="38" t="s">
        <v>42</v>
      </c>
      <c r="F20" s="36" t="s">
        <v>33</v>
      </c>
      <c r="G20" s="38" t="s">
        <v>43</v>
      </c>
      <c r="H20" s="38" t="s">
        <v>44</v>
      </c>
      <c r="I20" s="38" t="s">
        <v>46</v>
      </c>
      <c r="J20" s="38" t="s">
        <v>47</v>
      </c>
      <c r="K20" s="38" t="s">
        <v>46</v>
      </c>
      <c r="L20" s="38" t="s">
        <v>47</v>
      </c>
      <c r="M20" s="39" t="s">
        <v>48</v>
      </c>
      <c r="N20" s="54" t="s">
        <v>82</v>
      </c>
      <c r="O20" s="41">
        <v>1</v>
      </c>
      <c r="P20" s="41">
        <v>0.7</v>
      </c>
      <c r="Q20" s="42">
        <v>0</v>
      </c>
      <c r="R20" s="41">
        <v>0</v>
      </c>
      <c r="S20" s="41">
        <v>0</v>
      </c>
      <c r="T20" s="43">
        <v>0</v>
      </c>
      <c r="U20" s="43">
        <v>0</v>
      </c>
      <c r="V20" s="39">
        <v>0</v>
      </c>
      <c r="W20" s="39">
        <v>0</v>
      </c>
      <c r="X20" s="39">
        <v>0</v>
      </c>
      <c r="Y20" s="44"/>
      <c r="Z20" s="55" t="s">
        <v>71</v>
      </c>
      <c r="AA20" s="46">
        <v>0.9</v>
      </c>
      <c r="AB20" s="47">
        <v>1</v>
      </c>
      <c r="AC20" s="47">
        <v>0</v>
      </c>
      <c r="AD20" s="47">
        <v>0</v>
      </c>
      <c r="AE20" s="47">
        <v>0</v>
      </c>
      <c r="AF20" s="44"/>
      <c r="AG20" s="38">
        <v>2</v>
      </c>
    </row>
    <row r="21" spans="2:33" s="25" customFormat="1" ht="28.8" x14ac:dyDescent="0.3">
      <c r="B21" s="36" t="s">
        <v>115</v>
      </c>
      <c r="C21" s="37" t="s">
        <v>116</v>
      </c>
      <c r="D21" s="36" t="s">
        <v>117</v>
      </c>
      <c r="E21" s="38" t="s">
        <v>54</v>
      </c>
      <c r="F21" s="36" t="s">
        <v>55</v>
      </c>
      <c r="G21" s="38" t="s">
        <v>43</v>
      </c>
      <c r="H21" s="38" t="s">
        <v>44</v>
      </c>
      <c r="I21" s="38">
        <v>0</v>
      </c>
      <c r="J21" s="38">
        <v>0</v>
      </c>
      <c r="K21" s="38">
        <v>0</v>
      </c>
      <c r="L21" s="38">
        <v>0</v>
      </c>
      <c r="M21" s="39" t="s">
        <v>48</v>
      </c>
      <c r="N21" s="54" t="s">
        <v>118</v>
      </c>
      <c r="O21" s="41">
        <v>7.798</v>
      </c>
      <c r="P21" s="41">
        <v>6.2384000000000004</v>
      </c>
      <c r="Q21" s="42">
        <v>0</v>
      </c>
      <c r="R21" s="41">
        <v>0</v>
      </c>
      <c r="S21" s="41">
        <v>0</v>
      </c>
      <c r="T21" s="43">
        <v>0</v>
      </c>
      <c r="U21" s="43">
        <v>0</v>
      </c>
      <c r="V21" s="39">
        <v>0</v>
      </c>
      <c r="W21" s="39">
        <v>0</v>
      </c>
      <c r="X21" s="39">
        <v>0</v>
      </c>
      <c r="Y21" s="44" t="s">
        <v>119</v>
      </c>
      <c r="Z21" s="55" t="s">
        <v>50</v>
      </c>
      <c r="AA21" s="46">
        <v>0.8</v>
      </c>
      <c r="AB21" s="47">
        <v>0</v>
      </c>
      <c r="AC21" s="47">
        <v>0.30000000000000016</v>
      </c>
      <c r="AD21" s="47">
        <v>0.70000000000000007</v>
      </c>
      <c r="AE21" s="47">
        <v>0</v>
      </c>
      <c r="AF21" s="44"/>
      <c r="AG21" s="48">
        <v>3</v>
      </c>
    </row>
    <row r="22" spans="2:33" s="25" customFormat="1" ht="28.8" x14ac:dyDescent="0.3">
      <c r="B22" s="36" t="s">
        <v>120</v>
      </c>
      <c r="C22" s="37" t="s">
        <v>121</v>
      </c>
      <c r="D22" s="36" t="s">
        <v>117</v>
      </c>
      <c r="E22" s="38" t="s">
        <v>54</v>
      </c>
      <c r="F22" s="36" t="s">
        <v>55</v>
      </c>
      <c r="G22" s="38" t="s">
        <v>43</v>
      </c>
      <c r="H22" s="38" t="s">
        <v>44</v>
      </c>
      <c r="I22" s="38">
        <v>0</v>
      </c>
      <c r="J22" s="38">
        <v>0</v>
      </c>
      <c r="K22" s="38">
        <v>0</v>
      </c>
      <c r="L22" s="38">
        <v>0</v>
      </c>
      <c r="M22" s="39" t="s">
        <v>48</v>
      </c>
      <c r="N22" s="54" t="s">
        <v>118</v>
      </c>
      <c r="O22" s="41">
        <v>37.366999999999997</v>
      </c>
      <c r="P22" s="41">
        <v>29.893599999999999</v>
      </c>
      <c r="Q22" s="42">
        <v>0</v>
      </c>
      <c r="R22" s="41">
        <v>0</v>
      </c>
      <c r="S22" s="41">
        <v>0</v>
      </c>
      <c r="T22" s="43">
        <v>0</v>
      </c>
      <c r="U22" s="43">
        <v>0</v>
      </c>
      <c r="V22" s="39">
        <v>0</v>
      </c>
      <c r="W22" s="39">
        <v>0</v>
      </c>
      <c r="X22" s="39">
        <v>0</v>
      </c>
      <c r="Y22" s="44" t="s">
        <v>119</v>
      </c>
      <c r="Z22" s="55" t="s">
        <v>50</v>
      </c>
      <c r="AA22" s="46">
        <v>0.8</v>
      </c>
      <c r="AB22" s="47">
        <v>0</v>
      </c>
      <c r="AC22" s="47">
        <v>0.10000000000000014</v>
      </c>
      <c r="AD22" s="47">
        <v>0.9</v>
      </c>
      <c r="AE22" s="47">
        <v>0</v>
      </c>
      <c r="AF22" s="44"/>
      <c r="AG22" s="48">
        <v>3</v>
      </c>
    </row>
    <row r="23" spans="2:33" s="25" customFormat="1" ht="28.8" x14ac:dyDescent="0.3">
      <c r="B23" s="36" t="s">
        <v>122</v>
      </c>
      <c r="C23" s="37" t="s">
        <v>123</v>
      </c>
      <c r="D23" s="36" t="s">
        <v>117</v>
      </c>
      <c r="E23" s="38" t="s">
        <v>54</v>
      </c>
      <c r="F23" s="36" t="s">
        <v>55</v>
      </c>
      <c r="G23" s="38" t="s">
        <v>43</v>
      </c>
      <c r="H23" s="38" t="s">
        <v>44</v>
      </c>
      <c r="I23" s="38">
        <v>0</v>
      </c>
      <c r="J23" s="38">
        <v>0</v>
      </c>
      <c r="K23" s="38">
        <v>0</v>
      </c>
      <c r="L23" s="38">
        <v>0</v>
      </c>
      <c r="M23" s="39" t="s">
        <v>48</v>
      </c>
      <c r="N23" s="40" t="s">
        <v>118</v>
      </c>
      <c r="O23" s="41">
        <v>10.118</v>
      </c>
      <c r="P23" s="41">
        <v>8.0944000000000003</v>
      </c>
      <c r="Q23" s="42">
        <v>0</v>
      </c>
      <c r="R23" s="41">
        <v>0</v>
      </c>
      <c r="S23" s="41">
        <v>0</v>
      </c>
      <c r="T23" s="43">
        <v>0</v>
      </c>
      <c r="U23" s="43">
        <v>0</v>
      </c>
      <c r="V23" s="39">
        <v>0</v>
      </c>
      <c r="W23" s="39">
        <v>0</v>
      </c>
      <c r="X23" s="39">
        <v>0</v>
      </c>
      <c r="Y23" s="44" t="s">
        <v>119</v>
      </c>
      <c r="Z23" s="45" t="s">
        <v>50</v>
      </c>
      <c r="AA23" s="46">
        <v>0.8</v>
      </c>
      <c r="AB23" s="47">
        <v>0</v>
      </c>
      <c r="AC23" s="47">
        <v>0.20000000000000015</v>
      </c>
      <c r="AD23" s="47">
        <v>0.30000000000000016</v>
      </c>
      <c r="AE23" s="47">
        <v>0.50000000000000011</v>
      </c>
      <c r="AF23" s="44"/>
      <c r="AG23" s="48">
        <v>3</v>
      </c>
    </row>
    <row r="24" spans="2:33" s="25" customFormat="1" ht="28.8" x14ac:dyDescent="0.3">
      <c r="B24" s="36" t="s">
        <v>124</v>
      </c>
      <c r="C24" s="37" t="s">
        <v>125</v>
      </c>
      <c r="D24" s="36" t="s">
        <v>117</v>
      </c>
      <c r="E24" s="38" t="s">
        <v>54</v>
      </c>
      <c r="F24" s="36" t="s">
        <v>55</v>
      </c>
      <c r="G24" s="38" t="s">
        <v>43</v>
      </c>
      <c r="H24" s="38" t="s">
        <v>44</v>
      </c>
      <c r="I24" s="38">
        <v>0</v>
      </c>
      <c r="J24" s="38">
        <v>0</v>
      </c>
      <c r="K24" s="38">
        <v>0</v>
      </c>
      <c r="L24" s="38">
        <v>0</v>
      </c>
      <c r="M24" s="39" t="s">
        <v>48</v>
      </c>
      <c r="N24" s="40" t="s">
        <v>49</v>
      </c>
      <c r="O24" s="41">
        <v>32.999000000000002</v>
      </c>
      <c r="P24" s="41">
        <v>32.999000000000002</v>
      </c>
      <c r="Q24" s="42">
        <v>0</v>
      </c>
      <c r="R24" s="41">
        <v>0</v>
      </c>
      <c r="S24" s="41">
        <v>0</v>
      </c>
      <c r="T24" s="43">
        <v>0</v>
      </c>
      <c r="U24" s="43">
        <v>0</v>
      </c>
      <c r="V24" s="39">
        <v>0</v>
      </c>
      <c r="W24" s="39">
        <v>0</v>
      </c>
      <c r="X24" s="39">
        <v>0</v>
      </c>
      <c r="Y24" s="44" t="s">
        <v>119</v>
      </c>
      <c r="Z24" s="45" t="s">
        <v>71</v>
      </c>
      <c r="AA24" s="46">
        <v>0.8</v>
      </c>
      <c r="AB24" s="47">
        <v>1</v>
      </c>
      <c r="AC24" s="47">
        <v>0</v>
      </c>
      <c r="AD24" s="47">
        <v>0</v>
      </c>
      <c r="AE24" s="47">
        <v>0</v>
      </c>
      <c r="AF24" s="44"/>
      <c r="AG24" s="48">
        <v>2</v>
      </c>
    </row>
    <row r="25" spans="2:33" s="25" customFormat="1" ht="28.8" x14ac:dyDescent="0.3">
      <c r="B25" s="36" t="s">
        <v>126</v>
      </c>
      <c r="C25" s="37" t="s">
        <v>127</v>
      </c>
      <c r="D25" s="36" t="s">
        <v>117</v>
      </c>
      <c r="E25" s="38" t="s">
        <v>54</v>
      </c>
      <c r="F25" s="36" t="s">
        <v>55</v>
      </c>
      <c r="G25" s="38" t="s">
        <v>43</v>
      </c>
      <c r="H25" s="38" t="s">
        <v>44</v>
      </c>
      <c r="I25" s="38">
        <v>0</v>
      </c>
      <c r="J25" s="38">
        <v>0</v>
      </c>
      <c r="K25" s="38">
        <v>0</v>
      </c>
      <c r="L25" s="38">
        <v>0</v>
      </c>
      <c r="M25" s="39" t="s">
        <v>48</v>
      </c>
      <c r="N25" s="40" t="s">
        <v>49</v>
      </c>
      <c r="O25" s="41">
        <v>50.984999999999999</v>
      </c>
      <c r="P25" s="41">
        <v>50.984999999999999</v>
      </c>
      <c r="Q25" s="42">
        <v>0</v>
      </c>
      <c r="R25" s="41">
        <v>0</v>
      </c>
      <c r="S25" s="41">
        <v>0</v>
      </c>
      <c r="T25" s="43">
        <v>0</v>
      </c>
      <c r="U25" s="43">
        <v>0</v>
      </c>
      <c r="V25" s="39">
        <v>0</v>
      </c>
      <c r="W25" s="39">
        <v>0</v>
      </c>
      <c r="X25" s="39">
        <v>0</v>
      </c>
      <c r="Y25" s="44" t="s">
        <v>119</v>
      </c>
      <c r="Z25" s="45" t="s">
        <v>71</v>
      </c>
      <c r="AA25" s="46">
        <v>0.8</v>
      </c>
      <c r="AB25" s="47">
        <v>1</v>
      </c>
      <c r="AC25" s="47">
        <v>0</v>
      </c>
      <c r="AD25" s="47">
        <v>0</v>
      </c>
      <c r="AE25" s="47">
        <v>0</v>
      </c>
      <c r="AF25" s="44"/>
      <c r="AG25" s="48">
        <v>2</v>
      </c>
    </row>
    <row r="26" spans="2:33" s="25" customFormat="1" ht="28.8" x14ac:dyDescent="0.3">
      <c r="B26" s="36" t="s">
        <v>128</v>
      </c>
      <c r="C26" s="37" t="s">
        <v>129</v>
      </c>
      <c r="D26" s="36" t="s">
        <v>130</v>
      </c>
      <c r="E26" s="38" t="s">
        <v>42</v>
      </c>
      <c r="F26" s="36" t="s">
        <v>80</v>
      </c>
      <c r="G26" s="38" t="s">
        <v>43</v>
      </c>
      <c r="H26" s="38" t="s">
        <v>61</v>
      </c>
      <c r="I26" s="38" t="s">
        <v>46</v>
      </c>
      <c r="J26" s="38" t="s">
        <v>47</v>
      </c>
      <c r="K26" s="38" t="s">
        <v>46</v>
      </c>
      <c r="L26" s="38" t="s">
        <v>47</v>
      </c>
      <c r="M26" s="39" t="s">
        <v>48</v>
      </c>
      <c r="N26" s="54" t="s">
        <v>49</v>
      </c>
      <c r="O26" s="41">
        <v>60</v>
      </c>
      <c r="P26" s="41">
        <v>60</v>
      </c>
      <c r="Q26" s="42">
        <v>0</v>
      </c>
      <c r="R26" s="41">
        <v>0</v>
      </c>
      <c r="S26" s="41">
        <v>0</v>
      </c>
      <c r="T26" s="43">
        <v>0</v>
      </c>
      <c r="U26" s="43">
        <v>0</v>
      </c>
      <c r="V26" s="39" t="s">
        <v>131</v>
      </c>
      <c r="W26" s="39" t="s">
        <v>131</v>
      </c>
      <c r="X26" s="39">
        <v>0</v>
      </c>
      <c r="Y26" s="44"/>
      <c r="Z26" s="55" t="s">
        <v>50</v>
      </c>
      <c r="AA26" s="46">
        <v>0.8</v>
      </c>
      <c r="AB26" s="47">
        <v>1</v>
      </c>
      <c r="AC26" s="47">
        <v>0</v>
      </c>
      <c r="AD26" s="47">
        <v>0</v>
      </c>
      <c r="AE26" s="47">
        <v>0</v>
      </c>
      <c r="AF26" s="44"/>
      <c r="AG26" s="48">
        <v>3</v>
      </c>
    </row>
    <row r="27" spans="2:33" s="25" customFormat="1" ht="28.8" x14ac:dyDescent="0.3">
      <c r="B27" s="36" t="s">
        <v>132</v>
      </c>
      <c r="C27" s="37" t="s">
        <v>133</v>
      </c>
      <c r="D27" s="36" t="s">
        <v>134</v>
      </c>
      <c r="E27" s="38" t="s">
        <v>42</v>
      </c>
      <c r="F27" s="36" t="s">
        <v>33</v>
      </c>
      <c r="G27" s="38" t="s">
        <v>43</v>
      </c>
      <c r="H27" s="38" t="s">
        <v>44</v>
      </c>
      <c r="I27" s="38" t="s">
        <v>46</v>
      </c>
      <c r="J27" s="38" t="s">
        <v>47</v>
      </c>
      <c r="K27" s="38" t="s">
        <v>46</v>
      </c>
      <c r="L27" s="38" t="s">
        <v>47</v>
      </c>
      <c r="M27" s="39" t="s">
        <v>48</v>
      </c>
      <c r="N27" s="54" t="s">
        <v>49</v>
      </c>
      <c r="O27" s="41">
        <v>16.666666666666668</v>
      </c>
      <c r="P27" s="41">
        <v>16.666666666666668</v>
      </c>
      <c r="Q27" s="42">
        <v>0</v>
      </c>
      <c r="R27" s="41">
        <v>0</v>
      </c>
      <c r="S27" s="41">
        <v>0</v>
      </c>
      <c r="T27" s="43">
        <v>0</v>
      </c>
      <c r="U27" s="43">
        <v>0</v>
      </c>
      <c r="V27" s="39">
        <v>0</v>
      </c>
      <c r="W27" s="39">
        <v>0</v>
      </c>
      <c r="X27" s="39">
        <v>0</v>
      </c>
      <c r="Y27" s="44"/>
      <c r="Z27" s="55" t="s">
        <v>50</v>
      </c>
      <c r="AA27" s="46">
        <v>1</v>
      </c>
      <c r="AB27" s="47">
        <v>1</v>
      </c>
      <c r="AC27" s="47">
        <v>0</v>
      </c>
      <c r="AD27" s="47">
        <v>0</v>
      </c>
      <c r="AE27" s="47">
        <v>0</v>
      </c>
      <c r="AF27" s="44"/>
      <c r="AG27" s="48">
        <v>3</v>
      </c>
    </row>
    <row r="28" spans="2:33" s="25" customFormat="1" ht="28.8" x14ac:dyDescent="0.3">
      <c r="B28" s="36" t="s">
        <v>135</v>
      </c>
      <c r="C28" s="37" t="s">
        <v>136</v>
      </c>
      <c r="D28" s="36" t="s">
        <v>134</v>
      </c>
      <c r="E28" s="38" t="s">
        <v>42</v>
      </c>
      <c r="F28" s="36" t="s">
        <v>33</v>
      </c>
      <c r="G28" s="38" t="s">
        <v>43</v>
      </c>
      <c r="H28" s="38" t="s">
        <v>44</v>
      </c>
      <c r="I28" s="38" t="s">
        <v>46</v>
      </c>
      <c r="J28" s="38" t="s">
        <v>47</v>
      </c>
      <c r="K28" s="38" t="s">
        <v>46</v>
      </c>
      <c r="L28" s="38" t="s">
        <v>47</v>
      </c>
      <c r="M28" s="39" t="s">
        <v>48</v>
      </c>
      <c r="N28" s="54" t="s">
        <v>49</v>
      </c>
      <c r="O28" s="41">
        <v>3.5555555555555554</v>
      </c>
      <c r="P28" s="41">
        <v>3.5555555555555554</v>
      </c>
      <c r="Q28" s="42">
        <v>0</v>
      </c>
      <c r="R28" s="41">
        <v>0</v>
      </c>
      <c r="S28" s="41">
        <v>0</v>
      </c>
      <c r="T28" s="43">
        <v>0</v>
      </c>
      <c r="U28" s="43">
        <v>0</v>
      </c>
      <c r="V28" s="39">
        <v>0</v>
      </c>
      <c r="W28" s="39">
        <v>0</v>
      </c>
      <c r="X28" s="39">
        <v>0</v>
      </c>
      <c r="Y28" s="44"/>
      <c r="Z28" s="55" t="s">
        <v>50</v>
      </c>
      <c r="AA28" s="46">
        <v>0.8</v>
      </c>
      <c r="AB28" s="47">
        <v>1</v>
      </c>
      <c r="AC28" s="47">
        <v>0</v>
      </c>
      <c r="AD28" s="47">
        <v>0</v>
      </c>
      <c r="AE28" s="47">
        <v>0</v>
      </c>
      <c r="AF28" s="44"/>
      <c r="AG28" s="48">
        <v>3</v>
      </c>
    </row>
    <row r="29" spans="2:33" s="25" customFormat="1" ht="28.8" x14ac:dyDescent="0.3">
      <c r="B29" s="36" t="s">
        <v>137</v>
      </c>
      <c r="C29" s="37" t="s">
        <v>138</v>
      </c>
      <c r="D29" s="36" t="s">
        <v>139</v>
      </c>
      <c r="E29" s="38" t="s">
        <v>54</v>
      </c>
      <c r="F29" s="36" t="s">
        <v>55</v>
      </c>
      <c r="G29" s="38" t="s">
        <v>43</v>
      </c>
      <c r="H29" s="38" t="s">
        <v>44</v>
      </c>
      <c r="I29" s="38">
        <v>0</v>
      </c>
      <c r="J29" s="38">
        <v>0</v>
      </c>
      <c r="K29" s="38">
        <v>0</v>
      </c>
      <c r="L29" s="38">
        <v>0</v>
      </c>
      <c r="M29" s="39" t="s">
        <v>48</v>
      </c>
      <c r="N29" s="54" t="s">
        <v>75</v>
      </c>
      <c r="O29" s="41">
        <v>4.4563499999999996</v>
      </c>
      <c r="P29" s="41">
        <v>0.89127000000000001</v>
      </c>
      <c r="Q29" s="42">
        <v>0</v>
      </c>
      <c r="R29" s="41">
        <v>0</v>
      </c>
      <c r="S29" s="41">
        <v>0</v>
      </c>
      <c r="T29" s="43">
        <v>0</v>
      </c>
      <c r="U29" s="43">
        <v>0</v>
      </c>
      <c r="V29" s="39">
        <v>0</v>
      </c>
      <c r="W29" s="39">
        <v>0</v>
      </c>
      <c r="X29" s="39">
        <v>0</v>
      </c>
      <c r="Y29" s="44" t="s">
        <v>76</v>
      </c>
      <c r="Z29" s="55" t="s">
        <v>71</v>
      </c>
      <c r="AA29" s="46">
        <v>0.60000000000000009</v>
      </c>
      <c r="AB29" s="47">
        <v>0</v>
      </c>
      <c r="AC29" s="47">
        <v>0</v>
      </c>
      <c r="AD29" s="47">
        <v>0</v>
      </c>
      <c r="AE29" s="47">
        <v>0</v>
      </c>
      <c r="AF29" s="44"/>
      <c r="AG29" s="48">
        <v>2</v>
      </c>
    </row>
    <row r="30" spans="2:33" s="25" customFormat="1" ht="28.8" x14ac:dyDescent="0.3">
      <c r="B30" s="36" t="s">
        <v>140</v>
      </c>
      <c r="C30" s="37" t="s">
        <v>141</v>
      </c>
      <c r="D30" s="36" t="s">
        <v>142</v>
      </c>
      <c r="E30" s="38" t="s">
        <v>54</v>
      </c>
      <c r="F30" s="36" t="s">
        <v>55</v>
      </c>
      <c r="G30" s="38" t="s">
        <v>43</v>
      </c>
      <c r="H30" s="38" t="s">
        <v>44</v>
      </c>
      <c r="I30" s="38">
        <v>0</v>
      </c>
      <c r="J30" s="38">
        <v>0</v>
      </c>
      <c r="K30" s="38">
        <v>0</v>
      </c>
      <c r="L30" s="38">
        <v>0</v>
      </c>
      <c r="M30" s="39" t="s">
        <v>48</v>
      </c>
      <c r="N30" s="54" t="s">
        <v>49</v>
      </c>
      <c r="O30" s="41">
        <v>36.479999999999997</v>
      </c>
      <c r="P30" s="41">
        <v>36.479999999999997</v>
      </c>
      <c r="Q30" s="42">
        <v>0</v>
      </c>
      <c r="R30" s="41">
        <v>0</v>
      </c>
      <c r="S30" s="41">
        <v>0</v>
      </c>
      <c r="T30" s="43">
        <v>0</v>
      </c>
      <c r="U30" s="43">
        <v>0</v>
      </c>
      <c r="V30" s="39">
        <v>0</v>
      </c>
      <c r="W30" s="39">
        <v>0</v>
      </c>
      <c r="X30" s="39">
        <v>0</v>
      </c>
      <c r="Y30" s="44" t="s">
        <v>119</v>
      </c>
      <c r="Z30" s="55" t="s">
        <v>71</v>
      </c>
      <c r="AA30" s="46">
        <v>0.8</v>
      </c>
      <c r="AB30" s="47">
        <v>0</v>
      </c>
      <c r="AC30" s="47">
        <v>0</v>
      </c>
      <c r="AD30" s="47">
        <v>1</v>
      </c>
      <c r="AE30" s="47">
        <v>0</v>
      </c>
      <c r="AF30" s="44"/>
      <c r="AG30" s="48">
        <v>2</v>
      </c>
    </row>
    <row r="31" spans="2:33" s="25" customFormat="1" ht="28.8" x14ac:dyDescent="0.3">
      <c r="B31" s="36" t="s">
        <v>143</v>
      </c>
      <c r="C31" s="37" t="s">
        <v>144</v>
      </c>
      <c r="D31" s="36" t="s">
        <v>142</v>
      </c>
      <c r="E31" s="38" t="s">
        <v>54</v>
      </c>
      <c r="F31" s="36" t="s">
        <v>55</v>
      </c>
      <c r="G31" s="38" t="s">
        <v>43</v>
      </c>
      <c r="H31" s="38" t="s">
        <v>44</v>
      </c>
      <c r="I31" s="38">
        <v>0</v>
      </c>
      <c r="J31" s="38">
        <v>0</v>
      </c>
      <c r="K31" s="38">
        <v>0</v>
      </c>
      <c r="L31" s="38">
        <v>0</v>
      </c>
      <c r="M31" s="39" t="s">
        <v>48</v>
      </c>
      <c r="N31" s="40" t="s">
        <v>49</v>
      </c>
      <c r="O31" s="41">
        <v>75.059999999999988</v>
      </c>
      <c r="P31" s="41">
        <v>75.059999999999988</v>
      </c>
      <c r="Q31" s="42">
        <v>0</v>
      </c>
      <c r="R31" s="41">
        <v>0</v>
      </c>
      <c r="S31" s="41">
        <v>0</v>
      </c>
      <c r="T31" s="43">
        <v>0</v>
      </c>
      <c r="U31" s="43">
        <v>0</v>
      </c>
      <c r="V31" s="39">
        <v>0</v>
      </c>
      <c r="W31" s="39">
        <v>0</v>
      </c>
      <c r="X31" s="39">
        <v>0</v>
      </c>
      <c r="Y31" s="44" t="s">
        <v>119</v>
      </c>
      <c r="Z31" s="45" t="s">
        <v>71</v>
      </c>
      <c r="AA31" s="46">
        <v>0.8</v>
      </c>
      <c r="AB31" s="47">
        <v>0</v>
      </c>
      <c r="AC31" s="47">
        <v>0</v>
      </c>
      <c r="AD31" s="47">
        <v>1</v>
      </c>
      <c r="AE31" s="47">
        <v>0</v>
      </c>
      <c r="AF31" s="44"/>
      <c r="AG31" s="48">
        <v>2</v>
      </c>
    </row>
    <row r="32" spans="2:33" s="25" customFormat="1" ht="28.8" x14ac:dyDescent="0.3">
      <c r="B32" s="36" t="s">
        <v>145</v>
      </c>
      <c r="C32" s="37" t="s">
        <v>146</v>
      </c>
      <c r="D32" s="36" t="s">
        <v>142</v>
      </c>
      <c r="E32" s="38" t="s">
        <v>54</v>
      </c>
      <c r="F32" s="36" t="s">
        <v>55</v>
      </c>
      <c r="G32" s="38" t="s">
        <v>43</v>
      </c>
      <c r="H32" s="38" t="s">
        <v>44</v>
      </c>
      <c r="I32" s="38">
        <v>0</v>
      </c>
      <c r="J32" s="38">
        <v>0</v>
      </c>
      <c r="K32" s="38">
        <v>0</v>
      </c>
      <c r="L32" s="38">
        <v>0</v>
      </c>
      <c r="M32" s="39" t="s">
        <v>48</v>
      </c>
      <c r="N32" s="54" t="s">
        <v>49</v>
      </c>
      <c r="O32" s="41">
        <v>50.4</v>
      </c>
      <c r="P32" s="41">
        <v>50.4</v>
      </c>
      <c r="Q32" s="42">
        <v>0</v>
      </c>
      <c r="R32" s="41">
        <v>0</v>
      </c>
      <c r="S32" s="41">
        <v>0</v>
      </c>
      <c r="T32" s="43">
        <v>0</v>
      </c>
      <c r="U32" s="43">
        <v>0</v>
      </c>
      <c r="V32" s="39">
        <v>0</v>
      </c>
      <c r="W32" s="39">
        <v>0</v>
      </c>
      <c r="X32" s="39">
        <v>0</v>
      </c>
      <c r="Y32" s="44" t="s">
        <v>119</v>
      </c>
      <c r="Z32" s="55" t="s">
        <v>71</v>
      </c>
      <c r="AA32" s="46">
        <v>0.8</v>
      </c>
      <c r="AB32" s="47">
        <v>0</v>
      </c>
      <c r="AC32" s="47">
        <v>0</v>
      </c>
      <c r="AD32" s="47">
        <v>1</v>
      </c>
      <c r="AE32" s="47">
        <v>0</v>
      </c>
      <c r="AF32" s="44"/>
      <c r="AG32" s="48">
        <v>2</v>
      </c>
    </row>
    <row r="33" spans="2:33" s="25" customFormat="1" ht="115.2" x14ac:dyDescent="0.3">
      <c r="B33" s="36" t="s">
        <v>147</v>
      </c>
      <c r="C33" s="37" t="s">
        <v>148</v>
      </c>
      <c r="D33" s="36" t="s">
        <v>142</v>
      </c>
      <c r="E33" s="38" t="s">
        <v>42</v>
      </c>
      <c r="F33" s="36" t="s">
        <v>36</v>
      </c>
      <c r="G33" s="38" t="s">
        <v>43</v>
      </c>
      <c r="H33" s="38" t="s">
        <v>44</v>
      </c>
      <c r="I33" s="38">
        <v>0</v>
      </c>
      <c r="J33" s="38">
        <v>0</v>
      </c>
      <c r="K33" s="38">
        <v>0</v>
      </c>
      <c r="L33" s="38">
        <v>0</v>
      </c>
      <c r="M33" s="39" t="s">
        <v>48</v>
      </c>
      <c r="N33" s="54" t="s">
        <v>56</v>
      </c>
      <c r="O33" s="41">
        <v>125</v>
      </c>
      <c r="P33" s="41">
        <v>93.75</v>
      </c>
      <c r="Q33" s="42">
        <v>0</v>
      </c>
      <c r="R33" s="41">
        <v>0</v>
      </c>
      <c r="S33" s="41">
        <v>0</v>
      </c>
      <c r="T33" s="43">
        <v>0</v>
      </c>
      <c r="U33" s="43">
        <v>0</v>
      </c>
      <c r="V33" s="39">
        <v>0</v>
      </c>
      <c r="W33" s="39">
        <v>0</v>
      </c>
      <c r="X33" s="39">
        <v>0</v>
      </c>
      <c r="Y33" s="44" t="s">
        <v>94</v>
      </c>
      <c r="Z33" s="55" t="s">
        <v>50</v>
      </c>
      <c r="AA33" s="46">
        <v>0.9</v>
      </c>
      <c r="AB33" s="47">
        <v>0</v>
      </c>
      <c r="AC33" s="47">
        <v>0</v>
      </c>
      <c r="AD33" s="47">
        <v>0</v>
      </c>
      <c r="AE33" s="47">
        <v>1</v>
      </c>
      <c r="AF33" s="44" t="s">
        <v>95</v>
      </c>
      <c r="AG33" s="38">
        <v>3</v>
      </c>
    </row>
    <row r="34" spans="2:33" s="25" customFormat="1" ht="43.2" x14ac:dyDescent="0.3">
      <c r="B34" s="36" t="s">
        <v>149</v>
      </c>
      <c r="C34" s="37" t="s">
        <v>150</v>
      </c>
      <c r="D34" s="36" t="s">
        <v>142</v>
      </c>
      <c r="E34" s="38" t="s">
        <v>42</v>
      </c>
      <c r="F34" s="36" t="s">
        <v>33</v>
      </c>
      <c r="G34" s="38" t="s">
        <v>43</v>
      </c>
      <c r="H34" s="38" t="s">
        <v>44</v>
      </c>
      <c r="I34" s="38" t="s">
        <v>46</v>
      </c>
      <c r="J34" s="38" t="s">
        <v>47</v>
      </c>
      <c r="K34" s="38" t="s">
        <v>46</v>
      </c>
      <c r="L34" s="38" t="s">
        <v>47</v>
      </c>
      <c r="M34" s="39" t="s">
        <v>48</v>
      </c>
      <c r="N34" s="54" t="s">
        <v>56</v>
      </c>
      <c r="O34" s="41">
        <v>4.333333333333333</v>
      </c>
      <c r="P34" s="41">
        <v>2.8166666666666664</v>
      </c>
      <c r="Q34" s="42">
        <v>0</v>
      </c>
      <c r="R34" s="41">
        <v>0</v>
      </c>
      <c r="S34" s="41">
        <v>0</v>
      </c>
      <c r="T34" s="43">
        <v>0</v>
      </c>
      <c r="U34" s="43">
        <v>0</v>
      </c>
      <c r="V34" s="39">
        <v>0</v>
      </c>
      <c r="W34" s="39">
        <v>0</v>
      </c>
      <c r="X34" s="39">
        <v>0</v>
      </c>
      <c r="Y34" s="44"/>
      <c r="Z34" s="55" t="s">
        <v>50</v>
      </c>
      <c r="AA34" s="46">
        <v>1</v>
      </c>
      <c r="AB34" s="47">
        <v>1</v>
      </c>
      <c r="AC34" s="47">
        <v>0</v>
      </c>
      <c r="AD34" s="47">
        <v>0</v>
      </c>
      <c r="AE34" s="47">
        <v>0</v>
      </c>
      <c r="AF34" s="44"/>
      <c r="AG34" s="48">
        <v>3</v>
      </c>
    </row>
    <row r="35" spans="2:33" s="25" customFormat="1" ht="28.8" x14ac:dyDescent="0.3">
      <c r="B35" s="36" t="s">
        <v>151</v>
      </c>
      <c r="C35" s="37" t="s">
        <v>152</v>
      </c>
      <c r="D35" s="36" t="s">
        <v>142</v>
      </c>
      <c r="E35" s="38" t="s">
        <v>54</v>
      </c>
      <c r="F35" s="36" t="s">
        <v>55</v>
      </c>
      <c r="G35" s="38" t="s">
        <v>43</v>
      </c>
      <c r="H35" s="38" t="s">
        <v>44</v>
      </c>
      <c r="I35" s="38">
        <v>0</v>
      </c>
      <c r="J35" s="38">
        <v>0</v>
      </c>
      <c r="K35" s="38">
        <v>0</v>
      </c>
      <c r="L35" s="38">
        <v>0</v>
      </c>
      <c r="M35" s="39" t="s">
        <v>48</v>
      </c>
      <c r="N35" s="40" t="s">
        <v>75</v>
      </c>
      <c r="O35" s="41">
        <v>4.3479000000000001</v>
      </c>
      <c r="P35" s="41">
        <v>0.86958000000000002</v>
      </c>
      <c r="Q35" s="42">
        <v>0</v>
      </c>
      <c r="R35" s="41">
        <v>0</v>
      </c>
      <c r="S35" s="41">
        <v>0</v>
      </c>
      <c r="T35" s="43">
        <v>0</v>
      </c>
      <c r="U35" s="43">
        <v>0</v>
      </c>
      <c r="V35" s="39">
        <v>0</v>
      </c>
      <c r="W35" s="39">
        <v>0</v>
      </c>
      <c r="X35" s="39">
        <v>0</v>
      </c>
      <c r="Y35" s="44" t="s">
        <v>76</v>
      </c>
      <c r="Z35" s="45" t="s">
        <v>71</v>
      </c>
      <c r="AA35" s="46">
        <v>0.60000000000000009</v>
      </c>
      <c r="AB35" s="47">
        <v>0</v>
      </c>
      <c r="AC35" s="47">
        <v>0</v>
      </c>
      <c r="AD35" s="47">
        <v>0</v>
      </c>
      <c r="AE35" s="47">
        <v>0</v>
      </c>
      <c r="AF35" s="44"/>
      <c r="AG35" s="48">
        <v>2</v>
      </c>
    </row>
    <row r="36" spans="2:33" s="25" customFormat="1" ht="28.8" x14ac:dyDescent="0.3">
      <c r="B36" s="36" t="s">
        <v>153</v>
      </c>
      <c r="C36" s="37" t="s">
        <v>154</v>
      </c>
      <c r="D36" s="36" t="s">
        <v>142</v>
      </c>
      <c r="E36" s="38" t="s">
        <v>54</v>
      </c>
      <c r="F36" s="36" t="s">
        <v>55</v>
      </c>
      <c r="G36" s="38" t="s">
        <v>43</v>
      </c>
      <c r="H36" s="38" t="s">
        <v>44</v>
      </c>
      <c r="I36" s="38">
        <v>0</v>
      </c>
      <c r="J36" s="38">
        <v>0</v>
      </c>
      <c r="K36" s="38">
        <v>0</v>
      </c>
      <c r="L36" s="38">
        <v>0</v>
      </c>
      <c r="M36" s="39" t="s">
        <v>48</v>
      </c>
      <c r="N36" s="40" t="s">
        <v>49</v>
      </c>
      <c r="O36" s="41">
        <v>123.7</v>
      </c>
      <c r="P36" s="41">
        <v>123.7</v>
      </c>
      <c r="Q36" s="42">
        <v>0</v>
      </c>
      <c r="R36" s="41">
        <v>0</v>
      </c>
      <c r="S36" s="41">
        <v>0</v>
      </c>
      <c r="T36" s="43">
        <v>0</v>
      </c>
      <c r="U36" s="43">
        <v>0</v>
      </c>
      <c r="V36" s="39">
        <v>0</v>
      </c>
      <c r="W36" s="39">
        <v>0</v>
      </c>
      <c r="X36" s="39">
        <v>0</v>
      </c>
      <c r="Y36" s="44" t="s">
        <v>155</v>
      </c>
      <c r="Z36" s="45" t="s">
        <v>71</v>
      </c>
      <c r="AA36" s="46">
        <v>0.9</v>
      </c>
      <c r="AB36" s="47">
        <v>0</v>
      </c>
      <c r="AC36" s="47">
        <v>0</v>
      </c>
      <c r="AD36" s="47">
        <v>1</v>
      </c>
      <c r="AE36" s="47">
        <v>0</v>
      </c>
      <c r="AF36" s="44"/>
      <c r="AG36" s="48">
        <v>2</v>
      </c>
    </row>
    <row r="37" spans="2:33" s="25" customFormat="1" ht="43.2" x14ac:dyDescent="0.3">
      <c r="B37" s="36" t="s">
        <v>156</v>
      </c>
      <c r="C37" s="37" t="s">
        <v>157</v>
      </c>
      <c r="D37" s="36" t="s">
        <v>142</v>
      </c>
      <c r="E37" s="38" t="s">
        <v>42</v>
      </c>
      <c r="F37" s="36" t="s">
        <v>33</v>
      </c>
      <c r="G37" s="38" t="s">
        <v>43</v>
      </c>
      <c r="H37" s="38" t="s">
        <v>44</v>
      </c>
      <c r="I37" s="38" t="s">
        <v>46</v>
      </c>
      <c r="J37" s="38" t="s">
        <v>47</v>
      </c>
      <c r="K37" s="38" t="s">
        <v>46</v>
      </c>
      <c r="L37" s="38" t="s">
        <v>47</v>
      </c>
      <c r="M37" s="39" t="s">
        <v>48</v>
      </c>
      <c r="N37" s="40" t="s">
        <v>49</v>
      </c>
      <c r="O37" s="41">
        <v>8.3333333333333339</v>
      </c>
      <c r="P37" s="41">
        <v>8.3333333333333339</v>
      </c>
      <c r="Q37" s="42">
        <v>0</v>
      </c>
      <c r="R37" s="41">
        <v>0</v>
      </c>
      <c r="S37" s="41">
        <v>0</v>
      </c>
      <c r="T37" s="43">
        <v>0</v>
      </c>
      <c r="U37" s="43">
        <v>0</v>
      </c>
      <c r="V37" s="39">
        <v>0</v>
      </c>
      <c r="W37" s="39">
        <v>0</v>
      </c>
      <c r="X37" s="39">
        <v>0</v>
      </c>
      <c r="Y37" s="44"/>
      <c r="Z37" s="45" t="s">
        <v>71</v>
      </c>
      <c r="AA37" s="46">
        <v>0.9</v>
      </c>
      <c r="AB37" s="47">
        <v>1</v>
      </c>
      <c r="AC37" s="47">
        <v>0</v>
      </c>
      <c r="AD37" s="47">
        <v>0</v>
      </c>
      <c r="AE37" s="47">
        <v>0</v>
      </c>
      <c r="AF37" s="44"/>
      <c r="AG37" s="48">
        <v>2</v>
      </c>
    </row>
    <row r="38" spans="2:33" s="25" customFormat="1" ht="28.8" x14ac:dyDescent="0.3">
      <c r="B38" s="36" t="s">
        <v>158</v>
      </c>
      <c r="C38" s="37" t="s">
        <v>159</v>
      </c>
      <c r="D38" s="36" t="s">
        <v>142</v>
      </c>
      <c r="E38" s="38" t="s">
        <v>87</v>
      </c>
      <c r="F38" s="36" t="s">
        <v>36</v>
      </c>
      <c r="G38" s="38" t="s">
        <v>88</v>
      </c>
      <c r="H38" s="38" t="s">
        <v>61</v>
      </c>
      <c r="I38" s="38">
        <v>0</v>
      </c>
      <c r="J38" s="38">
        <v>0</v>
      </c>
      <c r="K38" s="38">
        <v>0</v>
      </c>
      <c r="L38" s="38">
        <v>0</v>
      </c>
      <c r="M38" s="39" t="s">
        <v>48</v>
      </c>
      <c r="N38" s="54" t="s">
        <v>160</v>
      </c>
      <c r="O38" s="41">
        <v>7.3</v>
      </c>
      <c r="P38" s="41">
        <v>3.65</v>
      </c>
      <c r="Q38" s="42">
        <v>0</v>
      </c>
      <c r="R38" s="41">
        <v>0</v>
      </c>
      <c r="S38" s="41">
        <v>0</v>
      </c>
      <c r="T38" s="43">
        <v>0</v>
      </c>
      <c r="U38" s="43">
        <v>0</v>
      </c>
      <c r="V38" s="39">
        <v>0</v>
      </c>
      <c r="W38" s="39">
        <v>0</v>
      </c>
      <c r="X38" s="39">
        <v>0</v>
      </c>
      <c r="Y38" s="44" t="s">
        <v>161</v>
      </c>
      <c r="Z38" s="55" t="s">
        <v>50</v>
      </c>
      <c r="AA38" s="46">
        <v>0.9</v>
      </c>
      <c r="AB38" s="47">
        <v>0</v>
      </c>
      <c r="AC38" s="47">
        <v>0</v>
      </c>
      <c r="AD38" s="47">
        <v>0</v>
      </c>
      <c r="AE38" s="47">
        <v>1</v>
      </c>
      <c r="AF38" s="44" t="s">
        <v>162</v>
      </c>
      <c r="AG38" s="38">
        <v>3</v>
      </c>
    </row>
    <row r="39" spans="2:33" s="25" customFormat="1" ht="28.8" x14ac:dyDescent="0.3">
      <c r="B39" s="36" t="s">
        <v>163</v>
      </c>
      <c r="C39" s="37" t="s">
        <v>164</v>
      </c>
      <c r="D39" s="36" t="s">
        <v>142</v>
      </c>
      <c r="E39" s="38" t="s">
        <v>54</v>
      </c>
      <c r="F39" s="36" t="s">
        <v>55</v>
      </c>
      <c r="G39" s="38" t="s">
        <v>43</v>
      </c>
      <c r="H39" s="38" t="s">
        <v>44</v>
      </c>
      <c r="I39" s="38">
        <v>0</v>
      </c>
      <c r="J39" s="38">
        <v>0</v>
      </c>
      <c r="K39" s="38">
        <v>0</v>
      </c>
      <c r="L39" s="38">
        <v>0</v>
      </c>
      <c r="M39" s="39" t="s">
        <v>48</v>
      </c>
      <c r="N39" s="54" t="s">
        <v>56</v>
      </c>
      <c r="O39" s="41">
        <v>10.75</v>
      </c>
      <c r="P39" s="41">
        <v>7.5249999999999995</v>
      </c>
      <c r="Q39" s="42">
        <v>0</v>
      </c>
      <c r="R39" s="41">
        <v>0</v>
      </c>
      <c r="S39" s="41">
        <v>0</v>
      </c>
      <c r="T39" s="43">
        <v>0</v>
      </c>
      <c r="U39" s="43">
        <v>0</v>
      </c>
      <c r="V39" s="39">
        <v>0</v>
      </c>
      <c r="W39" s="39">
        <v>0</v>
      </c>
      <c r="X39" s="39">
        <v>0</v>
      </c>
      <c r="Y39" s="44" t="s">
        <v>57</v>
      </c>
      <c r="Z39" s="55" t="s">
        <v>50</v>
      </c>
      <c r="AA39" s="46">
        <v>0.8</v>
      </c>
      <c r="AB39" s="47">
        <v>0</v>
      </c>
      <c r="AC39" s="47">
        <v>0</v>
      </c>
      <c r="AD39" s="47">
        <v>1</v>
      </c>
      <c r="AE39" s="47">
        <v>0</v>
      </c>
      <c r="AF39" s="44"/>
      <c r="AG39" s="48">
        <v>3</v>
      </c>
    </row>
    <row r="40" spans="2:33" s="25" customFormat="1" ht="28.8" x14ac:dyDescent="0.3">
      <c r="B40" s="36" t="s">
        <v>165</v>
      </c>
      <c r="C40" s="37" t="s">
        <v>166</v>
      </c>
      <c r="D40" s="36" t="s">
        <v>142</v>
      </c>
      <c r="E40" s="38" t="s">
        <v>54</v>
      </c>
      <c r="F40" s="36" t="s">
        <v>55</v>
      </c>
      <c r="G40" s="38" t="s">
        <v>43</v>
      </c>
      <c r="H40" s="38" t="s">
        <v>44</v>
      </c>
      <c r="I40" s="38">
        <v>0</v>
      </c>
      <c r="J40" s="38">
        <v>0</v>
      </c>
      <c r="K40" s="38">
        <v>0</v>
      </c>
      <c r="L40" s="38">
        <v>0</v>
      </c>
      <c r="M40" s="39" t="s">
        <v>48</v>
      </c>
      <c r="N40" s="40" t="s">
        <v>56</v>
      </c>
      <c r="O40" s="41">
        <v>41.75</v>
      </c>
      <c r="P40" s="41">
        <v>29.224999999999998</v>
      </c>
      <c r="Q40" s="42">
        <v>0</v>
      </c>
      <c r="R40" s="41">
        <v>0</v>
      </c>
      <c r="S40" s="41">
        <v>0</v>
      </c>
      <c r="T40" s="43">
        <v>0</v>
      </c>
      <c r="U40" s="43">
        <v>0</v>
      </c>
      <c r="V40" s="39">
        <v>0</v>
      </c>
      <c r="W40" s="39">
        <v>0</v>
      </c>
      <c r="X40" s="39">
        <v>0</v>
      </c>
      <c r="Y40" s="44" t="s">
        <v>57</v>
      </c>
      <c r="Z40" s="45" t="s">
        <v>71</v>
      </c>
      <c r="AA40" s="46">
        <v>0.8</v>
      </c>
      <c r="AB40" s="47">
        <v>0</v>
      </c>
      <c r="AC40" s="47">
        <v>0</v>
      </c>
      <c r="AD40" s="47">
        <v>1</v>
      </c>
      <c r="AE40" s="47">
        <v>0</v>
      </c>
      <c r="AF40" s="44"/>
      <c r="AG40" s="48">
        <v>2</v>
      </c>
    </row>
    <row r="41" spans="2:33" s="25" customFormat="1" ht="28.8" x14ac:dyDescent="0.3">
      <c r="B41" s="36" t="s">
        <v>167</v>
      </c>
      <c r="C41" s="37" t="s">
        <v>168</v>
      </c>
      <c r="D41" s="36" t="s">
        <v>142</v>
      </c>
      <c r="E41" s="38" t="s">
        <v>54</v>
      </c>
      <c r="F41" s="36" t="s">
        <v>55</v>
      </c>
      <c r="G41" s="38" t="s">
        <v>43</v>
      </c>
      <c r="H41" s="38" t="s">
        <v>44</v>
      </c>
      <c r="I41" s="38">
        <v>0</v>
      </c>
      <c r="J41" s="38">
        <v>0</v>
      </c>
      <c r="K41" s="38">
        <v>0</v>
      </c>
      <c r="L41" s="38">
        <v>0</v>
      </c>
      <c r="M41" s="39" t="s">
        <v>48</v>
      </c>
      <c r="N41" s="40" t="s">
        <v>75</v>
      </c>
      <c r="O41" s="41">
        <v>3.0645500000000001</v>
      </c>
      <c r="P41" s="41">
        <v>0.61291000000000007</v>
      </c>
      <c r="Q41" s="42">
        <v>0</v>
      </c>
      <c r="R41" s="41">
        <v>0</v>
      </c>
      <c r="S41" s="41">
        <v>0</v>
      </c>
      <c r="T41" s="43">
        <v>0</v>
      </c>
      <c r="U41" s="43">
        <v>0</v>
      </c>
      <c r="V41" s="39">
        <v>0</v>
      </c>
      <c r="W41" s="39">
        <v>0</v>
      </c>
      <c r="X41" s="39">
        <v>0</v>
      </c>
      <c r="Y41" s="44" t="s">
        <v>76</v>
      </c>
      <c r="Z41" s="45" t="s">
        <v>71</v>
      </c>
      <c r="AA41" s="46">
        <v>0.60000000000000009</v>
      </c>
      <c r="AB41" s="47">
        <v>0</v>
      </c>
      <c r="AC41" s="47">
        <v>0</v>
      </c>
      <c r="AD41" s="47">
        <v>0</v>
      </c>
      <c r="AE41" s="47">
        <v>0</v>
      </c>
      <c r="AF41" s="44"/>
      <c r="AG41" s="48">
        <v>2</v>
      </c>
    </row>
    <row r="42" spans="2:33" s="25" customFormat="1" ht="43.2" x14ac:dyDescent="0.3">
      <c r="B42" s="36" t="s">
        <v>169</v>
      </c>
      <c r="C42" s="37" t="s">
        <v>170</v>
      </c>
      <c r="D42" s="36" t="s">
        <v>142</v>
      </c>
      <c r="E42" s="38" t="s">
        <v>42</v>
      </c>
      <c r="F42" s="36" t="s">
        <v>33</v>
      </c>
      <c r="G42" s="38" t="s">
        <v>43</v>
      </c>
      <c r="H42" s="38" t="s">
        <v>44</v>
      </c>
      <c r="I42" s="38" t="s">
        <v>46</v>
      </c>
      <c r="J42" s="38" t="s">
        <v>47</v>
      </c>
      <c r="K42" s="38" t="s">
        <v>46</v>
      </c>
      <c r="L42" s="38" t="s">
        <v>47</v>
      </c>
      <c r="M42" s="39" t="s">
        <v>48</v>
      </c>
      <c r="N42" s="40" t="s">
        <v>49</v>
      </c>
      <c r="O42" s="41">
        <v>0.22777777777777777</v>
      </c>
      <c r="P42" s="41">
        <v>0.22777777777777777</v>
      </c>
      <c r="Q42" s="42">
        <v>0</v>
      </c>
      <c r="R42" s="41">
        <v>0</v>
      </c>
      <c r="S42" s="41">
        <v>0</v>
      </c>
      <c r="T42" s="43">
        <v>0</v>
      </c>
      <c r="U42" s="43">
        <v>0</v>
      </c>
      <c r="V42" s="39">
        <v>0</v>
      </c>
      <c r="W42" s="39">
        <v>0</v>
      </c>
      <c r="X42" s="39">
        <v>0</v>
      </c>
      <c r="Y42" s="44"/>
      <c r="Z42" s="45" t="s">
        <v>71</v>
      </c>
      <c r="AA42" s="46">
        <v>0.70000000000000007</v>
      </c>
      <c r="AB42" s="47">
        <v>1</v>
      </c>
      <c r="AC42" s="47">
        <v>0</v>
      </c>
      <c r="AD42" s="47">
        <v>0</v>
      </c>
      <c r="AE42" s="47">
        <v>0</v>
      </c>
      <c r="AF42" s="44"/>
      <c r="AG42" s="38">
        <v>2</v>
      </c>
    </row>
    <row r="43" spans="2:33" ht="43.2" x14ac:dyDescent="0.3">
      <c r="B43" s="36" t="s">
        <v>171</v>
      </c>
      <c r="C43" s="37" t="s">
        <v>172</v>
      </c>
      <c r="D43" s="36" t="s">
        <v>173</v>
      </c>
      <c r="E43" s="38" t="s">
        <v>42</v>
      </c>
      <c r="F43" s="36" t="s">
        <v>33</v>
      </c>
      <c r="G43" s="38" t="s">
        <v>43</v>
      </c>
      <c r="H43" s="38" t="s">
        <v>44</v>
      </c>
      <c r="I43" s="38" t="s">
        <v>46</v>
      </c>
      <c r="J43" s="38" t="s">
        <v>47</v>
      </c>
      <c r="K43" s="38" t="s">
        <v>46</v>
      </c>
      <c r="L43" s="38" t="s">
        <v>47</v>
      </c>
      <c r="M43" s="39" t="s">
        <v>48</v>
      </c>
      <c r="N43" s="40" t="s">
        <v>49</v>
      </c>
      <c r="O43" s="41">
        <v>3.2222222222222223</v>
      </c>
      <c r="P43" s="41">
        <v>3.2222222222222223</v>
      </c>
      <c r="Q43" s="49">
        <v>0</v>
      </c>
      <c r="R43" s="50">
        <v>0</v>
      </c>
      <c r="S43" s="50">
        <v>0</v>
      </c>
      <c r="T43" s="51">
        <v>0</v>
      </c>
      <c r="U43" s="51">
        <v>0</v>
      </c>
      <c r="V43" s="52">
        <v>0</v>
      </c>
      <c r="W43" s="52">
        <v>0</v>
      </c>
      <c r="X43" s="52">
        <v>0</v>
      </c>
      <c r="Y43" s="44"/>
      <c r="Z43" s="45" t="s">
        <v>50</v>
      </c>
      <c r="AA43" s="46">
        <v>1</v>
      </c>
      <c r="AB43" s="47">
        <v>1</v>
      </c>
      <c r="AC43" s="47">
        <v>0</v>
      </c>
      <c r="AD43" s="47">
        <v>0</v>
      </c>
      <c r="AE43" s="47">
        <v>0</v>
      </c>
      <c r="AF43" s="53"/>
      <c r="AG43" s="48">
        <v>3</v>
      </c>
    </row>
    <row r="44" spans="2:33" s="25" customFormat="1" ht="28.8" x14ac:dyDescent="0.3">
      <c r="B44" s="38" t="s">
        <v>174</v>
      </c>
      <c r="C44" s="37" t="s">
        <v>175</v>
      </c>
      <c r="D44" s="36" t="s">
        <v>173</v>
      </c>
      <c r="E44" s="38" t="s">
        <v>42</v>
      </c>
      <c r="F44" s="38" t="s">
        <v>33</v>
      </c>
      <c r="G44" s="38" t="s">
        <v>43</v>
      </c>
      <c r="H44" s="38" t="s">
        <v>44</v>
      </c>
      <c r="I44" s="38" t="s">
        <v>46</v>
      </c>
      <c r="J44" s="38" t="s">
        <v>47</v>
      </c>
      <c r="K44" s="38" t="s">
        <v>46</v>
      </c>
      <c r="L44" s="38" t="s">
        <v>47</v>
      </c>
      <c r="M44" s="39" t="s">
        <v>48</v>
      </c>
      <c r="N44" s="54" t="s">
        <v>49</v>
      </c>
      <c r="O44" s="41">
        <v>20</v>
      </c>
      <c r="P44" s="41">
        <v>20</v>
      </c>
      <c r="Q44" s="42">
        <v>0</v>
      </c>
      <c r="R44" s="41">
        <v>0</v>
      </c>
      <c r="S44" s="41">
        <v>0</v>
      </c>
      <c r="T44" s="43">
        <v>0</v>
      </c>
      <c r="U44" s="43">
        <v>0</v>
      </c>
      <c r="V44" s="39">
        <v>0</v>
      </c>
      <c r="W44" s="39">
        <v>0</v>
      </c>
      <c r="X44" s="39">
        <v>0</v>
      </c>
      <c r="Y44" s="44"/>
      <c r="Z44" s="55" t="s">
        <v>50</v>
      </c>
      <c r="AA44" s="46">
        <v>0.9</v>
      </c>
      <c r="AB44" s="47">
        <v>1</v>
      </c>
      <c r="AC44" s="47">
        <v>0</v>
      </c>
      <c r="AD44" s="47">
        <v>0</v>
      </c>
      <c r="AE44" s="47">
        <v>0</v>
      </c>
      <c r="AF44" s="44"/>
      <c r="AG44" s="48">
        <v>3</v>
      </c>
    </row>
    <row r="45" spans="2:33" s="25" customFormat="1" ht="28.8" x14ac:dyDescent="0.3">
      <c r="B45" s="38" t="s">
        <v>176</v>
      </c>
      <c r="C45" s="37" t="s">
        <v>177</v>
      </c>
      <c r="D45" s="36" t="s">
        <v>178</v>
      </c>
      <c r="E45" s="38" t="s">
        <v>42</v>
      </c>
      <c r="F45" s="38" t="s">
        <v>33</v>
      </c>
      <c r="G45" s="38" t="s">
        <v>43</v>
      </c>
      <c r="H45" s="38" t="s">
        <v>44</v>
      </c>
      <c r="I45" s="38" t="s">
        <v>46</v>
      </c>
      <c r="J45" s="38" t="s">
        <v>47</v>
      </c>
      <c r="K45" s="38" t="s">
        <v>46</v>
      </c>
      <c r="L45" s="38" t="s">
        <v>47</v>
      </c>
      <c r="M45" s="39" t="s">
        <v>48</v>
      </c>
      <c r="N45" s="54" t="s">
        <v>49</v>
      </c>
      <c r="O45" s="41">
        <v>9.7222222222222214</v>
      </c>
      <c r="P45" s="41">
        <v>9.7222222222222214</v>
      </c>
      <c r="Q45" s="42">
        <v>0</v>
      </c>
      <c r="R45" s="41">
        <v>0</v>
      </c>
      <c r="S45" s="41">
        <v>0</v>
      </c>
      <c r="T45" s="43">
        <v>0</v>
      </c>
      <c r="U45" s="43">
        <v>0</v>
      </c>
      <c r="V45" s="39">
        <v>0</v>
      </c>
      <c r="W45" s="39">
        <v>0</v>
      </c>
      <c r="X45" s="39">
        <v>0</v>
      </c>
      <c r="Y45" s="44"/>
      <c r="Z45" s="55" t="s">
        <v>71</v>
      </c>
      <c r="AA45" s="46">
        <v>0.70000000000000007</v>
      </c>
      <c r="AB45" s="47">
        <v>1</v>
      </c>
      <c r="AC45" s="47">
        <v>0</v>
      </c>
      <c r="AD45" s="47">
        <v>0</v>
      </c>
      <c r="AE45" s="47">
        <v>0</v>
      </c>
      <c r="AF45" s="44"/>
      <c r="AG45" s="48">
        <v>2</v>
      </c>
    </row>
    <row r="46" spans="2:33" s="25" customFormat="1" ht="28.8" x14ac:dyDescent="0.3">
      <c r="B46" s="38" t="s">
        <v>179</v>
      </c>
      <c r="C46" s="37" t="s">
        <v>180</v>
      </c>
      <c r="D46" s="36" t="s">
        <v>181</v>
      </c>
      <c r="E46" s="38" t="s">
        <v>54</v>
      </c>
      <c r="F46" s="38" t="s">
        <v>55</v>
      </c>
      <c r="G46" s="38" t="s">
        <v>43</v>
      </c>
      <c r="H46" s="38" t="s">
        <v>44</v>
      </c>
      <c r="I46" s="38">
        <v>0</v>
      </c>
      <c r="J46" s="38">
        <v>0</v>
      </c>
      <c r="K46" s="38">
        <v>0</v>
      </c>
      <c r="L46" s="38">
        <v>0</v>
      </c>
      <c r="M46" s="39" t="s">
        <v>48</v>
      </c>
      <c r="N46" s="54" t="s">
        <v>118</v>
      </c>
      <c r="O46" s="41">
        <v>1.333</v>
      </c>
      <c r="P46" s="41">
        <v>1.0664</v>
      </c>
      <c r="Q46" s="42">
        <v>0</v>
      </c>
      <c r="R46" s="41">
        <v>0</v>
      </c>
      <c r="S46" s="41">
        <v>0</v>
      </c>
      <c r="T46" s="43">
        <v>0</v>
      </c>
      <c r="U46" s="43">
        <v>0</v>
      </c>
      <c r="V46" s="39">
        <v>0</v>
      </c>
      <c r="W46" s="39">
        <v>0</v>
      </c>
      <c r="X46" s="39">
        <v>0</v>
      </c>
      <c r="Y46" s="44" t="s">
        <v>119</v>
      </c>
      <c r="Z46" s="55" t="s">
        <v>50</v>
      </c>
      <c r="AA46" s="46">
        <v>0.8</v>
      </c>
      <c r="AB46" s="47">
        <v>0</v>
      </c>
      <c r="AC46" s="47">
        <v>0</v>
      </c>
      <c r="AD46" s="47">
        <v>0</v>
      </c>
      <c r="AE46" s="47">
        <v>1</v>
      </c>
      <c r="AF46" s="44"/>
      <c r="AG46" s="48">
        <v>3</v>
      </c>
    </row>
    <row r="47" spans="2:33" s="25" customFormat="1" ht="28.8" x14ac:dyDescent="0.3">
      <c r="B47" s="38" t="s">
        <v>182</v>
      </c>
      <c r="C47" s="37" t="s">
        <v>183</v>
      </c>
      <c r="D47" s="36" t="s">
        <v>181</v>
      </c>
      <c r="E47" s="38" t="s">
        <v>54</v>
      </c>
      <c r="F47" s="38" t="s">
        <v>55</v>
      </c>
      <c r="G47" s="38" t="s">
        <v>43</v>
      </c>
      <c r="H47" s="38" t="s">
        <v>44</v>
      </c>
      <c r="I47" s="38">
        <v>0</v>
      </c>
      <c r="J47" s="38">
        <v>0</v>
      </c>
      <c r="K47" s="38">
        <v>0</v>
      </c>
      <c r="L47" s="38">
        <v>0</v>
      </c>
      <c r="M47" s="39" t="s">
        <v>48</v>
      </c>
      <c r="N47" s="54" t="s">
        <v>118</v>
      </c>
      <c r="O47" s="41">
        <v>12.92</v>
      </c>
      <c r="P47" s="41">
        <v>10.336</v>
      </c>
      <c r="Q47" s="42">
        <v>0</v>
      </c>
      <c r="R47" s="41">
        <v>0</v>
      </c>
      <c r="S47" s="41">
        <v>0</v>
      </c>
      <c r="T47" s="43">
        <v>0</v>
      </c>
      <c r="U47" s="43">
        <v>0</v>
      </c>
      <c r="V47" s="39">
        <v>0</v>
      </c>
      <c r="W47" s="39">
        <v>0</v>
      </c>
      <c r="X47" s="39">
        <v>0</v>
      </c>
      <c r="Y47" s="44" t="s">
        <v>119</v>
      </c>
      <c r="Z47" s="55" t="s">
        <v>50</v>
      </c>
      <c r="AA47" s="46">
        <v>0.8</v>
      </c>
      <c r="AB47" s="47">
        <v>0</v>
      </c>
      <c r="AC47" s="47">
        <v>0</v>
      </c>
      <c r="AD47" s="47">
        <v>0</v>
      </c>
      <c r="AE47" s="47">
        <v>1</v>
      </c>
      <c r="AF47" s="44"/>
      <c r="AG47" s="48">
        <v>3</v>
      </c>
    </row>
    <row r="48" spans="2:33" s="25" customFormat="1" ht="28.8" x14ac:dyDescent="0.3">
      <c r="B48" s="38" t="s">
        <v>184</v>
      </c>
      <c r="C48" s="37" t="s">
        <v>185</v>
      </c>
      <c r="D48" s="36" t="s">
        <v>181</v>
      </c>
      <c r="E48" s="38" t="s">
        <v>54</v>
      </c>
      <c r="F48" s="38" t="s">
        <v>55</v>
      </c>
      <c r="G48" s="38" t="s">
        <v>43</v>
      </c>
      <c r="H48" s="38" t="s">
        <v>44</v>
      </c>
      <c r="I48" s="38">
        <v>0</v>
      </c>
      <c r="J48" s="38">
        <v>0</v>
      </c>
      <c r="K48" s="38">
        <v>0</v>
      </c>
      <c r="L48" s="38">
        <v>0</v>
      </c>
      <c r="M48" s="39" t="s">
        <v>48</v>
      </c>
      <c r="N48" s="54" t="s">
        <v>118</v>
      </c>
      <c r="O48" s="41">
        <v>0.84399999999999997</v>
      </c>
      <c r="P48" s="41">
        <v>0.67520000000000002</v>
      </c>
      <c r="Q48" s="42">
        <v>0</v>
      </c>
      <c r="R48" s="41">
        <v>0</v>
      </c>
      <c r="S48" s="41">
        <v>0</v>
      </c>
      <c r="T48" s="43">
        <v>0</v>
      </c>
      <c r="U48" s="43">
        <v>0</v>
      </c>
      <c r="V48" s="39">
        <v>0</v>
      </c>
      <c r="W48" s="39">
        <v>0</v>
      </c>
      <c r="X48" s="39">
        <v>0</v>
      </c>
      <c r="Y48" s="44" t="s">
        <v>119</v>
      </c>
      <c r="Z48" s="55" t="s">
        <v>50</v>
      </c>
      <c r="AA48" s="46">
        <v>0.8</v>
      </c>
      <c r="AB48" s="47">
        <v>0</v>
      </c>
      <c r="AC48" s="47">
        <v>0</v>
      </c>
      <c r="AD48" s="47">
        <v>0</v>
      </c>
      <c r="AE48" s="47">
        <v>1</v>
      </c>
      <c r="AF48" s="44"/>
      <c r="AG48" s="48">
        <v>3</v>
      </c>
    </row>
    <row r="49" spans="2:33" s="25" customFormat="1" ht="28.8" x14ac:dyDescent="0.3">
      <c r="B49" s="38" t="s">
        <v>186</v>
      </c>
      <c r="C49" s="37" t="s">
        <v>187</v>
      </c>
      <c r="D49" s="36" t="s">
        <v>181</v>
      </c>
      <c r="E49" s="38" t="s">
        <v>54</v>
      </c>
      <c r="F49" s="38" t="s">
        <v>55</v>
      </c>
      <c r="G49" s="38" t="s">
        <v>43</v>
      </c>
      <c r="H49" s="38" t="s">
        <v>44</v>
      </c>
      <c r="I49" s="38">
        <v>0</v>
      </c>
      <c r="J49" s="38">
        <v>0</v>
      </c>
      <c r="K49" s="38">
        <v>0</v>
      </c>
      <c r="L49" s="38">
        <v>0</v>
      </c>
      <c r="M49" s="39" t="s">
        <v>48</v>
      </c>
      <c r="N49" s="54" t="s">
        <v>49</v>
      </c>
      <c r="O49" s="41">
        <v>3.3</v>
      </c>
      <c r="P49" s="41">
        <v>3.3</v>
      </c>
      <c r="Q49" s="42">
        <v>0</v>
      </c>
      <c r="R49" s="41">
        <v>0</v>
      </c>
      <c r="S49" s="41">
        <v>0</v>
      </c>
      <c r="T49" s="43">
        <v>0</v>
      </c>
      <c r="U49" s="43">
        <v>0</v>
      </c>
      <c r="V49" s="39">
        <v>0</v>
      </c>
      <c r="W49" s="39">
        <v>0</v>
      </c>
      <c r="X49" s="39">
        <v>0</v>
      </c>
      <c r="Y49" s="44" t="s">
        <v>119</v>
      </c>
      <c r="Z49" s="55" t="s">
        <v>50</v>
      </c>
      <c r="AA49" s="46">
        <v>0.8</v>
      </c>
      <c r="AB49" s="47">
        <v>0</v>
      </c>
      <c r="AC49" s="47">
        <v>0</v>
      </c>
      <c r="AD49" s="47">
        <v>1</v>
      </c>
      <c r="AE49" s="47">
        <v>0</v>
      </c>
      <c r="AF49" s="44"/>
      <c r="AG49" s="48">
        <v>3</v>
      </c>
    </row>
    <row r="50" spans="2:33" s="25" customFormat="1" ht="28.8" x14ac:dyDescent="0.3">
      <c r="B50" s="38" t="s">
        <v>188</v>
      </c>
      <c r="C50" s="37" t="s">
        <v>189</v>
      </c>
      <c r="D50" s="36" t="s">
        <v>181</v>
      </c>
      <c r="E50" s="38" t="s">
        <v>54</v>
      </c>
      <c r="F50" s="38" t="s">
        <v>55</v>
      </c>
      <c r="G50" s="38" t="s">
        <v>43</v>
      </c>
      <c r="H50" s="38" t="s">
        <v>190</v>
      </c>
      <c r="I50" s="38">
        <v>0</v>
      </c>
      <c r="J50" s="38">
        <v>0</v>
      </c>
      <c r="K50" s="38">
        <v>0</v>
      </c>
      <c r="L50" s="38">
        <v>0</v>
      </c>
      <c r="M50" s="39" t="s">
        <v>48</v>
      </c>
      <c r="N50" s="54" t="s">
        <v>49</v>
      </c>
      <c r="O50" s="41">
        <v>18.100000000000001</v>
      </c>
      <c r="P50" s="41">
        <v>18.100000000000001</v>
      </c>
      <c r="Q50" s="42">
        <v>0</v>
      </c>
      <c r="R50" s="41">
        <v>0</v>
      </c>
      <c r="S50" s="41">
        <v>0</v>
      </c>
      <c r="T50" s="43">
        <v>0</v>
      </c>
      <c r="U50" s="43">
        <v>0</v>
      </c>
      <c r="V50" s="39">
        <v>0</v>
      </c>
      <c r="W50" s="39">
        <v>0</v>
      </c>
      <c r="X50" s="39">
        <v>0</v>
      </c>
      <c r="Y50" s="44" t="s">
        <v>119</v>
      </c>
      <c r="Z50" s="55" t="s">
        <v>50</v>
      </c>
      <c r="AA50" s="46">
        <v>0.8</v>
      </c>
      <c r="AB50" s="47">
        <v>0</v>
      </c>
      <c r="AC50" s="47">
        <v>0</v>
      </c>
      <c r="AD50" s="47">
        <v>1</v>
      </c>
      <c r="AE50" s="47">
        <v>0</v>
      </c>
      <c r="AF50" s="44"/>
      <c r="AG50" s="48">
        <v>3</v>
      </c>
    </row>
    <row r="51" spans="2:33" s="25" customFormat="1" ht="28.8" x14ac:dyDescent="0.3">
      <c r="B51" s="38" t="s">
        <v>191</v>
      </c>
      <c r="C51" s="37" t="s">
        <v>192</v>
      </c>
      <c r="D51" s="36" t="s">
        <v>181</v>
      </c>
      <c r="E51" s="38" t="s">
        <v>54</v>
      </c>
      <c r="F51" s="38" t="s">
        <v>55</v>
      </c>
      <c r="G51" s="38" t="s">
        <v>43</v>
      </c>
      <c r="H51" s="38" t="s">
        <v>44</v>
      </c>
      <c r="I51" s="38">
        <v>0</v>
      </c>
      <c r="J51" s="38">
        <v>0</v>
      </c>
      <c r="K51" s="38">
        <v>0</v>
      </c>
      <c r="L51" s="38">
        <v>0</v>
      </c>
      <c r="M51" s="39" t="s">
        <v>48</v>
      </c>
      <c r="N51" s="54" t="s">
        <v>49</v>
      </c>
      <c r="O51" s="41">
        <v>13.2</v>
      </c>
      <c r="P51" s="41">
        <v>13.2</v>
      </c>
      <c r="Q51" s="42">
        <v>0</v>
      </c>
      <c r="R51" s="41">
        <v>0</v>
      </c>
      <c r="S51" s="41">
        <v>0</v>
      </c>
      <c r="T51" s="43">
        <v>0</v>
      </c>
      <c r="U51" s="43">
        <v>0</v>
      </c>
      <c r="V51" s="39">
        <v>0</v>
      </c>
      <c r="W51" s="39">
        <v>0</v>
      </c>
      <c r="X51" s="39">
        <v>0</v>
      </c>
      <c r="Y51" s="44" t="s">
        <v>119</v>
      </c>
      <c r="Z51" s="55" t="s">
        <v>50</v>
      </c>
      <c r="AA51" s="46">
        <v>0.8</v>
      </c>
      <c r="AB51" s="47">
        <v>0</v>
      </c>
      <c r="AC51" s="47">
        <v>0</v>
      </c>
      <c r="AD51" s="47">
        <v>1</v>
      </c>
      <c r="AE51" s="47">
        <v>0</v>
      </c>
      <c r="AF51" s="44"/>
      <c r="AG51" s="48">
        <v>3</v>
      </c>
    </row>
    <row r="52" spans="2:33" s="25" customFormat="1" ht="28.8" x14ac:dyDescent="0.3">
      <c r="B52" s="38" t="s">
        <v>193</v>
      </c>
      <c r="C52" s="37" t="s">
        <v>194</v>
      </c>
      <c r="D52" s="36" t="s">
        <v>181</v>
      </c>
      <c r="E52" s="38" t="s">
        <v>54</v>
      </c>
      <c r="F52" s="38" t="s">
        <v>55</v>
      </c>
      <c r="G52" s="38" t="s">
        <v>43</v>
      </c>
      <c r="H52" s="38" t="s">
        <v>44</v>
      </c>
      <c r="I52" s="38">
        <v>0</v>
      </c>
      <c r="J52" s="38">
        <v>0</v>
      </c>
      <c r="K52" s="38">
        <v>0</v>
      </c>
      <c r="L52" s="38">
        <v>0</v>
      </c>
      <c r="M52" s="39" t="s">
        <v>48</v>
      </c>
      <c r="N52" s="54" t="s">
        <v>49</v>
      </c>
      <c r="O52" s="41">
        <v>4.5</v>
      </c>
      <c r="P52" s="41">
        <v>4.5</v>
      </c>
      <c r="Q52" s="42">
        <v>0</v>
      </c>
      <c r="R52" s="41">
        <v>0</v>
      </c>
      <c r="S52" s="41">
        <v>0</v>
      </c>
      <c r="T52" s="43">
        <v>0</v>
      </c>
      <c r="U52" s="43">
        <v>0</v>
      </c>
      <c r="V52" s="39">
        <v>0</v>
      </c>
      <c r="W52" s="39">
        <v>0</v>
      </c>
      <c r="X52" s="39">
        <v>0</v>
      </c>
      <c r="Y52" s="44" t="s">
        <v>119</v>
      </c>
      <c r="Z52" s="55" t="s">
        <v>50</v>
      </c>
      <c r="AA52" s="46">
        <v>0.8</v>
      </c>
      <c r="AB52" s="47">
        <v>0</v>
      </c>
      <c r="AC52" s="47">
        <v>0</v>
      </c>
      <c r="AD52" s="47">
        <v>1</v>
      </c>
      <c r="AE52" s="47">
        <v>0</v>
      </c>
      <c r="AF52" s="44"/>
      <c r="AG52" s="48">
        <v>3</v>
      </c>
    </row>
    <row r="53" spans="2:33" s="25" customFormat="1" ht="28.8" x14ac:dyDescent="0.3">
      <c r="B53" s="38" t="s">
        <v>195</v>
      </c>
      <c r="C53" s="37" t="s">
        <v>196</v>
      </c>
      <c r="D53" s="36" t="s">
        <v>181</v>
      </c>
      <c r="E53" s="38" t="s">
        <v>54</v>
      </c>
      <c r="F53" s="38" t="s">
        <v>55</v>
      </c>
      <c r="G53" s="38" t="s">
        <v>43</v>
      </c>
      <c r="H53" s="38" t="s">
        <v>190</v>
      </c>
      <c r="I53" s="38">
        <v>0</v>
      </c>
      <c r="J53" s="38">
        <v>0</v>
      </c>
      <c r="K53" s="38">
        <v>0</v>
      </c>
      <c r="L53" s="38">
        <v>0</v>
      </c>
      <c r="M53" s="39" t="s">
        <v>48</v>
      </c>
      <c r="N53" s="54" t="s">
        <v>49</v>
      </c>
      <c r="O53" s="41">
        <v>14.8</v>
      </c>
      <c r="P53" s="41">
        <v>14.8</v>
      </c>
      <c r="Q53" s="42">
        <v>0</v>
      </c>
      <c r="R53" s="41">
        <v>0</v>
      </c>
      <c r="S53" s="41">
        <v>0</v>
      </c>
      <c r="T53" s="43">
        <v>0</v>
      </c>
      <c r="U53" s="43">
        <v>0</v>
      </c>
      <c r="V53" s="39">
        <v>0</v>
      </c>
      <c r="W53" s="39">
        <v>0</v>
      </c>
      <c r="X53" s="39">
        <v>0</v>
      </c>
      <c r="Y53" s="44" t="s">
        <v>119</v>
      </c>
      <c r="Z53" s="55" t="s">
        <v>50</v>
      </c>
      <c r="AA53" s="46">
        <v>0.8</v>
      </c>
      <c r="AB53" s="47">
        <v>0</v>
      </c>
      <c r="AC53" s="47">
        <v>0</v>
      </c>
      <c r="AD53" s="47">
        <v>1</v>
      </c>
      <c r="AE53" s="47">
        <v>0</v>
      </c>
      <c r="AF53" s="44"/>
      <c r="AG53" s="48">
        <v>3</v>
      </c>
    </row>
    <row r="54" spans="2:33" s="25" customFormat="1" ht="28.8" x14ac:dyDescent="0.3">
      <c r="B54" s="38" t="s">
        <v>197</v>
      </c>
      <c r="C54" s="37" t="s">
        <v>198</v>
      </c>
      <c r="D54" s="36" t="s">
        <v>181</v>
      </c>
      <c r="E54" s="38" t="s">
        <v>54</v>
      </c>
      <c r="F54" s="38" t="s">
        <v>55</v>
      </c>
      <c r="G54" s="38" t="s">
        <v>43</v>
      </c>
      <c r="H54" s="38" t="s">
        <v>44</v>
      </c>
      <c r="I54" s="38">
        <v>0</v>
      </c>
      <c r="J54" s="38">
        <v>0</v>
      </c>
      <c r="K54" s="38">
        <v>0</v>
      </c>
      <c r="L54" s="38">
        <v>0</v>
      </c>
      <c r="M54" s="39" t="s">
        <v>48</v>
      </c>
      <c r="N54" s="54" t="s">
        <v>49</v>
      </c>
      <c r="O54" s="41">
        <v>3.3</v>
      </c>
      <c r="P54" s="41">
        <v>3.3</v>
      </c>
      <c r="Q54" s="42">
        <v>0</v>
      </c>
      <c r="R54" s="41">
        <v>0</v>
      </c>
      <c r="S54" s="41">
        <v>0</v>
      </c>
      <c r="T54" s="43">
        <v>0</v>
      </c>
      <c r="U54" s="43">
        <v>0</v>
      </c>
      <c r="V54" s="39">
        <v>0</v>
      </c>
      <c r="W54" s="39">
        <v>0</v>
      </c>
      <c r="X54" s="39">
        <v>0</v>
      </c>
      <c r="Y54" s="44" t="s">
        <v>119</v>
      </c>
      <c r="Z54" s="55" t="s">
        <v>50</v>
      </c>
      <c r="AA54" s="46">
        <v>0.8</v>
      </c>
      <c r="AB54" s="47">
        <v>0</v>
      </c>
      <c r="AC54" s="47">
        <v>0</v>
      </c>
      <c r="AD54" s="47">
        <v>1</v>
      </c>
      <c r="AE54" s="47">
        <v>0</v>
      </c>
      <c r="AF54" s="44"/>
      <c r="AG54" s="48">
        <v>3</v>
      </c>
    </row>
    <row r="55" spans="2:33" s="25" customFormat="1" ht="28.8" x14ac:dyDescent="0.3">
      <c r="B55" s="38" t="s">
        <v>199</v>
      </c>
      <c r="C55" s="37" t="s">
        <v>200</v>
      </c>
      <c r="D55" s="36" t="s">
        <v>181</v>
      </c>
      <c r="E55" s="38" t="s">
        <v>54</v>
      </c>
      <c r="F55" s="38" t="s">
        <v>55</v>
      </c>
      <c r="G55" s="38" t="s">
        <v>43</v>
      </c>
      <c r="H55" s="38" t="s">
        <v>44</v>
      </c>
      <c r="I55" s="38">
        <v>0</v>
      </c>
      <c r="J55" s="38">
        <v>0</v>
      </c>
      <c r="K55" s="38">
        <v>0</v>
      </c>
      <c r="L55" s="38">
        <v>0</v>
      </c>
      <c r="M55" s="39" t="s">
        <v>48</v>
      </c>
      <c r="N55" s="54" t="s">
        <v>49</v>
      </c>
      <c r="O55" s="41">
        <v>0.7</v>
      </c>
      <c r="P55" s="41">
        <v>0.7</v>
      </c>
      <c r="Q55" s="42">
        <v>0</v>
      </c>
      <c r="R55" s="41">
        <v>0</v>
      </c>
      <c r="S55" s="41">
        <v>0</v>
      </c>
      <c r="T55" s="43">
        <v>0</v>
      </c>
      <c r="U55" s="43">
        <v>0</v>
      </c>
      <c r="V55" s="39">
        <v>0</v>
      </c>
      <c r="W55" s="39">
        <v>0</v>
      </c>
      <c r="X55" s="39">
        <v>0</v>
      </c>
      <c r="Y55" s="44" t="s">
        <v>119</v>
      </c>
      <c r="Z55" s="55" t="s">
        <v>50</v>
      </c>
      <c r="AA55" s="46">
        <v>0.8</v>
      </c>
      <c r="AB55" s="47">
        <v>0</v>
      </c>
      <c r="AC55" s="47">
        <v>0</v>
      </c>
      <c r="AD55" s="47">
        <v>1</v>
      </c>
      <c r="AE55" s="47">
        <v>0</v>
      </c>
      <c r="AF55" s="44"/>
      <c r="AG55" s="48">
        <v>3</v>
      </c>
    </row>
    <row r="56" spans="2:33" s="25" customFormat="1" ht="28.8" x14ac:dyDescent="0.3">
      <c r="B56" s="38" t="s">
        <v>201</v>
      </c>
      <c r="C56" s="37" t="s">
        <v>202</v>
      </c>
      <c r="D56" s="36" t="s">
        <v>203</v>
      </c>
      <c r="E56" s="38" t="s">
        <v>54</v>
      </c>
      <c r="F56" s="38" t="s">
        <v>55</v>
      </c>
      <c r="G56" s="38" t="s">
        <v>43</v>
      </c>
      <c r="H56" s="38" t="s">
        <v>44</v>
      </c>
      <c r="I56" s="38">
        <v>0</v>
      </c>
      <c r="J56" s="38">
        <v>0</v>
      </c>
      <c r="K56" s="38">
        <v>0</v>
      </c>
      <c r="L56" s="38">
        <v>0</v>
      </c>
      <c r="M56" s="39" t="s">
        <v>48</v>
      </c>
      <c r="N56" s="54" t="s">
        <v>75</v>
      </c>
      <c r="O56" s="41">
        <v>8.2720500000000001</v>
      </c>
      <c r="P56" s="41">
        <v>1.6544100000000002</v>
      </c>
      <c r="Q56" s="42">
        <v>0</v>
      </c>
      <c r="R56" s="41">
        <v>0</v>
      </c>
      <c r="S56" s="41">
        <v>0</v>
      </c>
      <c r="T56" s="43">
        <v>0</v>
      </c>
      <c r="U56" s="43">
        <v>0</v>
      </c>
      <c r="V56" s="39">
        <v>0</v>
      </c>
      <c r="W56" s="39">
        <v>0</v>
      </c>
      <c r="X56" s="39">
        <v>0</v>
      </c>
      <c r="Y56" s="44" t="s">
        <v>76</v>
      </c>
      <c r="Z56" s="55" t="s">
        <v>71</v>
      </c>
      <c r="AA56" s="46">
        <v>0.60000000000000009</v>
      </c>
      <c r="AB56" s="47">
        <v>0</v>
      </c>
      <c r="AC56" s="47">
        <v>0</v>
      </c>
      <c r="AD56" s="47">
        <v>0</v>
      </c>
      <c r="AE56" s="47">
        <v>0</v>
      </c>
      <c r="AF56" s="44"/>
      <c r="AG56" s="38">
        <v>2</v>
      </c>
    </row>
    <row r="57" spans="2:33" s="25" customFormat="1" ht="115.2" x14ac:dyDescent="0.3">
      <c r="B57" s="38" t="s">
        <v>204</v>
      </c>
      <c r="C57" s="37" t="s">
        <v>205</v>
      </c>
      <c r="D57" s="36" t="s">
        <v>203</v>
      </c>
      <c r="E57" s="38" t="s">
        <v>42</v>
      </c>
      <c r="F57" s="38" t="s">
        <v>36</v>
      </c>
      <c r="G57" s="38" t="s">
        <v>43</v>
      </c>
      <c r="H57" s="38" t="s">
        <v>44</v>
      </c>
      <c r="I57" s="38">
        <v>0</v>
      </c>
      <c r="J57" s="38">
        <v>0</v>
      </c>
      <c r="K57" s="38">
        <v>0</v>
      </c>
      <c r="L57" s="38">
        <v>0</v>
      </c>
      <c r="M57" s="39" t="s">
        <v>48</v>
      </c>
      <c r="N57" s="54" t="s">
        <v>118</v>
      </c>
      <c r="O57" s="41">
        <v>11</v>
      </c>
      <c r="P57" s="41">
        <v>9.1666666666666661</v>
      </c>
      <c r="Q57" s="42">
        <v>0</v>
      </c>
      <c r="R57" s="41">
        <v>0</v>
      </c>
      <c r="S57" s="41">
        <v>0</v>
      </c>
      <c r="T57" s="43">
        <v>0</v>
      </c>
      <c r="U57" s="43">
        <v>0</v>
      </c>
      <c r="V57" s="39">
        <v>0</v>
      </c>
      <c r="W57" s="39">
        <v>0</v>
      </c>
      <c r="X57" s="39">
        <v>0</v>
      </c>
      <c r="Y57" s="44" t="s">
        <v>94</v>
      </c>
      <c r="Z57" s="55" t="s">
        <v>50</v>
      </c>
      <c r="AA57" s="46">
        <v>0.9</v>
      </c>
      <c r="AB57" s="47">
        <v>0</v>
      </c>
      <c r="AC57" s="47">
        <v>0</v>
      </c>
      <c r="AD57" s="47">
        <v>0</v>
      </c>
      <c r="AE57" s="47">
        <v>1</v>
      </c>
      <c r="AF57" s="44" t="s">
        <v>95</v>
      </c>
      <c r="AG57" s="38">
        <v>3</v>
      </c>
    </row>
    <row r="58" spans="2:33" s="25" customFormat="1" ht="28.8" x14ac:dyDescent="0.3">
      <c r="B58" s="38" t="s">
        <v>206</v>
      </c>
      <c r="C58" s="37" t="s">
        <v>207</v>
      </c>
      <c r="D58" s="36" t="s">
        <v>203</v>
      </c>
      <c r="E58" s="38" t="s">
        <v>54</v>
      </c>
      <c r="F58" s="38" t="s">
        <v>55</v>
      </c>
      <c r="G58" s="38" t="s">
        <v>43</v>
      </c>
      <c r="H58" s="38" t="s">
        <v>44</v>
      </c>
      <c r="I58" s="38">
        <v>0</v>
      </c>
      <c r="J58" s="38">
        <v>0</v>
      </c>
      <c r="K58" s="38">
        <v>0</v>
      </c>
      <c r="L58" s="38">
        <v>0</v>
      </c>
      <c r="M58" s="39" t="s">
        <v>48</v>
      </c>
      <c r="N58" s="54" t="s">
        <v>75</v>
      </c>
      <c r="O58" s="41">
        <v>7.4886175000000001</v>
      </c>
      <c r="P58" s="41">
        <v>1.4977235000000002</v>
      </c>
      <c r="Q58" s="42">
        <v>0</v>
      </c>
      <c r="R58" s="41">
        <v>0</v>
      </c>
      <c r="S58" s="41">
        <v>0</v>
      </c>
      <c r="T58" s="43">
        <v>0</v>
      </c>
      <c r="U58" s="43">
        <v>0</v>
      </c>
      <c r="V58" s="39">
        <v>0</v>
      </c>
      <c r="W58" s="39">
        <v>0</v>
      </c>
      <c r="X58" s="39">
        <v>0</v>
      </c>
      <c r="Y58" s="44" t="s">
        <v>76</v>
      </c>
      <c r="Z58" s="55" t="s">
        <v>71</v>
      </c>
      <c r="AA58" s="46">
        <v>0.60000000000000009</v>
      </c>
      <c r="AB58" s="47">
        <v>0</v>
      </c>
      <c r="AC58" s="47">
        <v>0</v>
      </c>
      <c r="AD58" s="47">
        <v>0</v>
      </c>
      <c r="AE58" s="47">
        <v>0</v>
      </c>
      <c r="AF58" s="44"/>
      <c r="AG58" s="38">
        <v>2</v>
      </c>
    </row>
    <row r="59" spans="2:33" s="25" customFormat="1" ht="115.2" x14ac:dyDescent="0.3">
      <c r="B59" s="38" t="s">
        <v>208</v>
      </c>
      <c r="C59" s="37" t="s">
        <v>209</v>
      </c>
      <c r="D59" s="36" t="s">
        <v>210</v>
      </c>
      <c r="E59" s="38" t="s">
        <v>42</v>
      </c>
      <c r="F59" s="38" t="s">
        <v>36</v>
      </c>
      <c r="G59" s="38" t="s">
        <v>43</v>
      </c>
      <c r="H59" s="38" t="s">
        <v>44</v>
      </c>
      <c r="I59" s="38">
        <v>0</v>
      </c>
      <c r="J59" s="38">
        <v>0</v>
      </c>
      <c r="K59" s="38">
        <v>0</v>
      </c>
      <c r="L59" s="38">
        <v>0</v>
      </c>
      <c r="M59" s="39" t="s">
        <v>48</v>
      </c>
      <c r="N59" s="54" t="s">
        <v>118</v>
      </c>
      <c r="O59" s="41">
        <v>5</v>
      </c>
      <c r="P59" s="41">
        <v>4.166666666666667</v>
      </c>
      <c r="Q59" s="42">
        <v>0</v>
      </c>
      <c r="R59" s="41">
        <v>0</v>
      </c>
      <c r="S59" s="41">
        <v>0</v>
      </c>
      <c r="T59" s="43">
        <v>0</v>
      </c>
      <c r="U59" s="43">
        <v>0</v>
      </c>
      <c r="V59" s="39">
        <v>0</v>
      </c>
      <c r="W59" s="39">
        <v>0</v>
      </c>
      <c r="X59" s="39">
        <v>0</v>
      </c>
      <c r="Y59" s="44" t="s">
        <v>94</v>
      </c>
      <c r="Z59" s="55" t="s">
        <v>71</v>
      </c>
      <c r="AA59" s="46">
        <v>0.60000000000000009</v>
      </c>
      <c r="AB59" s="47">
        <v>0</v>
      </c>
      <c r="AC59" s="47">
        <v>0</v>
      </c>
      <c r="AD59" s="47">
        <v>0</v>
      </c>
      <c r="AE59" s="47">
        <v>1</v>
      </c>
      <c r="AF59" s="44" t="s">
        <v>95</v>
      </c>
      <c r="AG59" s="38">
        <v>2</v>
      </c>
    </row>
    <row r="60" spans="2:33" s="25" customFormat="1" ht="43.2" x14ac:dyDescent="0.3">
      <c r="B60" s="38" t="s">
        <v>211</v>
      </c>
      <c r="C60" s="37" t="s">
        <v>212</v>
      </c>
      <c r="D60" s="36" t="s">
        <v>210</v>
      </c>
      <c r="E60" s="38" t="s">
        <v>87</v>
      </c>
      <c r="F60" s="38" t="s">
        <v>36</v>
      </c>
      <c r="G60" s="38" t="s">
        <v>88</v>
      </c>
      <c r="H60" s="38" t="s">
        <v>44</v>
      </c>
      <c r="I60" s="38">
        <v>0</v>
      </c>
      <c r="J60" s="38">
        <v>0</v>
      </c>
      <c r="K60" s="38">
        <v>0</v>
      </c>
      <c r="L60" s="38">
        <v>0</v>
      </c>
      <c r="M60" s="39" t="s">
        <v>48</v>
      </c>
      <c r="N60" s="54" t="s">
        <v>56</v>
      </c>
      <c r="O60" s="41">
        <v>10</v>
      </c>
      <c r="P60" s="41">
        <v>7.5</v>
      </c>
      <c r="Q60" s="42">
        <v>0</v>
      </c>
      <c r="R60" s="41">
        <v>0</v>
      </c>
      <c r="S60" s="41">
        <v>0</v>
      </c>
      <c r="T60" s="43">
        <v>0</v>
      </c>
      <c r="U60" s="43">
        <v>0</v>
      </c>
      <c r="V60" s="39">
        <v>0</v>
      </c>
      <c r="W60" s="39">
        <v>0</v>
      </c>
      <c r="X60" s="39">
        <v>0</v>
      </c>
      <c r="Y60" s="44" t="s">
        <v>213</v>
      </c>
      <c r="Z60" s="55" t="s">
        <v>50</v>
      </c>
      <c r="AA60" s="46">
        <v>0.8</v>
      </c>
      <c r="AB60" s="47">
        <v>0</v>
      </c>
      <c r="AC60" s="47">
        <v>0</v>
      </c>
      <c r="AD60" s="47">
        <v>0</v>
      </c>
      <c r="AE60" s="47">
        <v>1</v>
      </c>
      <c r="AF60" s="44" t="s">
        <v>214</v>
      </c>
      <c r="AG60" s="38">
        <v>3</v>
      </c>
    </row>
    <row r="61" spans="2:33" s="25" customFormat="1" ht="43.2" x14ac:dyDescent="0.3">
      <c r="B61" s="38" t="s">
        <v>215</v>
      </c>
      <c r="C61" s="37" t="s">
        <v>216</v>
      </c>
      <c r="D61" s="36" t="s">
        <v>210</v>
      </c>
      <c r="E61" s="38" t="s">
        <v>42</v>
      </c>
      <c r="F61" s="38" t="s">
        <v>33</v>
      </c>
      <c r="G61" s="38" t="s">
        <v>43</v>
      </c>
      <c r="H61" s="38" t="s">
        <v>44</v>
      </c>
      <c r="I61" s="38" t="s">
        <v>46</v>
      </c>
      <c r="J61" s="38" t="s">
        <v>47</v>
      </c>
      <c r="K61" s="38" t="s">
        <v>46</v>
      </c>
      <c r="L61" s="38" t="s">
        <v>47</v>
      </c>
      <c r="M61" s="39" t="s">
        <v>48</v>
      </c>
      <c r="N61" s="54" t="s">
        <v>49</v>
      </c>
      <c r="O61" s="41">
        <v>4.4444444444444446</v>
      </c>
      <c r="P61" s="41">
        <v>4.4444444444444446</v>
      </c>
      <c r="Q61" s="42">
        <v>0</v>
      </c>
      <c r="R61" s="41">
        <v>0</v>
      </c>
      <c r="S61" s="41">
        <v>0</v>
      </c>
      <c r="T61" s="43">
        <v>0</v>
      </c>
      <c r="U61" s="43">
        <v>0</v>
      </c>
      <c r="V61" s="39">
        <v>0</v>
      </c>
      <c r="W61" s="39">
        <v>0</v>
      </c>
      <c r="X61" s="39">
        <v>0</v>
      </c>
      <c r="Y61" s="44"/>
      <c r="Z61" s="55" t="s">
        <v>50</v>
      </c>
      <c r="AA61" s="46">
        <v>0.9</v>
      </c>
      <c r="AB61" s="47">
        <v>1</v>
      </c>
      <c r="AC61" s="47">
        <v>0</v>
      </c>
      <c r="AD61" s="47">
        <v>0</v>
      </c>
      <c r="AE61" s="47">
        <v>0</v>
      </c>
      <c r="AF61" s="44"/>
      <c r="AG61" s="38">
        <v>3</v>
      </c>
    </row>
    <row r="62" spans="2:33" s="25" customFormat="1" ht="28.8" x14ac:dyDescent="0.3">
      <c r="B62" s="38" t="s">
        <v>217</v>
      </c>
      <c r="C62" s="37" t="s">
        <v>218</v>
      </c>
      <c r="D62" s="36" t="s">
        <v>219</v>
      </c>
      <c r="E62" s="38" t="s">
        <v>54</v>
      </c>
      <c r="F62" s="38" t="s">
        <v>55</v>
      </c>
      <c r="G62" s="38" t="s">
        <v>43</v>
      </c>
      <c r="H62" s="38" t="s">
        <v>44</v>
      </c>
      <c r="I62" s="38">
        <v>0</v>
      </c>
      <c r="J62" s="38">
        <v>0</v>
      </c>
      <c r="K62" s="38">
        <v>0</v>
      </c>
      <c r="L62" s="38">
        <v>0</v>
      </c>
      <c r="M62" s="39" t="s">
        <v>48</v>
      </c>
      <c r="N62" s="54" t="s">
        <v>49</v>
      </c>
      <c r="O62" s="41">
        <v>17.5</v>
      </c>
      <c r="P62" s="41">
        <v>17.5</v>
      </c>
      <c r="Q62" s="42">
        <v>0</v>
      </c>
      <c r="R62" s="41">
        <v>0</v>
      </c>
      <c r="S62" s="41">
        <v>0</v>
      </c>
      <c r="T62" s="43">
        <v>0</v>
      </c>
      <c r="U62" s="43">
        <v>0</v>
      </c>
      <c r="V62" s="39">
        <v>0</v>
      </c>
      <c r="W62" s="39">
        <v>0</v>
      </c>
      <c r="X62" s="39">
        <v>0</v>
      </c>
      <c r="Y62" s="44" t="s">
        <v>119</v>
      </c>
      <c r="Z62" s="55" t="s">
        <v>50</v>
      </c>
      <c r="AA62" s="46">
        <v>0.8</v>
      </c>
      <c r="AB62" s="47">
        <v>0</v>
      </c>
      <c r="AC62" s="47">
        <v>0</v>
      </c>
      <c r="AD62" s="47">
        <v>1</v>
      </c>
      <c r="AE62" s="47">
        <v>0</v>
      </c>
      <c r="AF62" s="44"/>
      <c r="AG62" s="48">
        <v>3</v>
      </c>
    </row>
    <row r="63" spans="2:33" s="25" customFormat="1" ht="28.8" x14ac:dyDescent="0.3">
      <c r="B63" s="38" t="s">
        <v>220</v>
      </c>
      <c r="C63" s="37" t="s">
        <v>221</v>
      </c>
      <c r="D63" s="36" t="s">
        <v>219</v>
      </c>
      <c r="E63" s="38" t="s">
        <v>54</v>
      </c>
      <c r="F63" s="38" t="s">
        <v>55</v>
      </c>
      <c r="G63" s="38" t="s">
        <v>43</v>
      </c>
      <c r="H63" s="38" t="s">
        <v>44</v>
      </c>
      <c r="I63" s="38">
        <v>0</v>
      </c>
      <c r="J63" s="38">
        <v>0</v>
      </c>
      <c r="K63" s="38">
        <v>0</v>
      </c>
      <c r="L63" s="38">
        <v>0</v>
      </c>
      <c r="M63" s="39" t="s">
        <v>48</v>
      </c>
      <c r="N63" s="54" t="s">
        <v>49</v>
      </c>
      <c r="O63" s="41">
        <v>29.5</v>
      </c>
      <c r="P63" s="41">
        <v>29.5</v>
      </c>
      <c r="Q63" s="42">
        <v>0</v>
      </c>
      <c r="R63" s="41">
        <v>0</v>
      </c>
      <c r="S63" s="41">
        <v>0</v>
      </c>
      <c r="T63" s="43">
        <v>0</v>
      </c>
      <c r="U63" s="43">
        <v>0</v>
      </c>
      <c r="V63" s="39">
        <v>0</v>
      </c>
      <c r="W63" s="39">
        <v>0</v>
      </c>
      <c r="X63" s="39">
        <v>0</v>
      </c>
      <c r="Y63" s="44" t="s">
        <v>119</v>
      </c>
      <c r="Z63" s="55" t="s">
        <v>50</v>
      </c>
      <c r="AA63" s="46">
        <v>0.8</v>
      </c>
      <c r="AB63" s="47">
        <v>0</v>
      </c>
      <c r="AC63" s="47">
        <v>0</v>
      </c>
      <c r="AD63" s="47">
        <v>1</v>
      </c>
      <c r="AE63" s="47">
        <v>0</v>
      </c>
      <c r="AF63" s="44"/>
      <c r="AG63" s="38">
        <v>3</v>
      </c>
    </row>
    <row r="64" spans="2:33" s="25" customFormat="1" ht="28.8" x14ac:dyDescent="0.3">
      <c r="B64" s="38" t="s">
        <v>222</v>
      </c>
      <c r="C64" s="37" t="s">
        <v>223</v>
      </c>
      <c r="D64" s="36" t="s">
        <v>219</v>
      </c>
      <c r="E64" s="38" t="s">
        <v>54</v>
      </c>
      <c r="F64" s="38" t="s">
        <v>55</v>
      </c>
      <c r="G64" s="38" t="s">
        <v>43</v>
      </c>
      <c r="H64" s="38" t="s">
        <v>44</v>
      </c>
      <c r="I64" s="38">
        <v>0</v>
      </c>
      <c r="J64" s="38">
        <v>0</v>
      </c>
      <c r="K64" s="38">
        <v>0</v>
      </c>
      <c r="L64" s="38">
        <v>0</v>
      </c>
      <c r="M64" s="39" t="s">
        <v>48</v>
      </c>
      <c r="N64" s="54" t="s">
        <v>49</v>
      </c>
      <c r="O64" s="41">
        <v>94.9</v>
      </c>
      <c r="P64" s="41">
        <v>94.9</v>
      </c>
      <c r="Q64" s="42">
        <v>0</v>
      </c>
      <c r="R64" s="41">
        <v>0</v>
      </c>
      <c r="S64" s="41">
        <v>0</v>
      </c>
      <c r="T64" s="43">
        <v>0</v>
      </c>
      <c r="U64" s="43">
        <v>0</v>
      </c>
      <c r="V64" s="39">
        <v>0</v>
      </c>
      <c r="W64" s="39">
        <v>0</v>
      </c>
      <c r="X64" s="39">
        <v>0</v>
      </c>
      <c r="Y64" s="44" t="s">
        <v>119</v>
      </c>
      <c r="Z64" s="55" t="s">
        <v>50</v>
      </c>
      <c r="AA64" s="46">
        <v>0.8</v>
      </c>
      <c r="AB64" s="47">
        <v>0</v>
      </c>
      <c r="AC64" s="47">
        <v>0</v>
      </c>
      <c r="AD64" s="47">
        <v>1</v>
      </c>
      <c r="AE64" s="47">
        <v>0</v>
      </c>
      <c r="AF64" s="44"/>
      <c r="AG64" s="38">
        <v>3</v>
      </c>
    </row>
    <row r="65" spans="2:33" s="25" customFormat="1" ht="28.8" x14ac:dyDescent="0.3">
      <c r="B65" s="38" t="s">
        <v>224</v>
      </c>
      <c r="C65" s="37" t="s">
        <v>225</v>
      </c>
      <c r="D65" s="36" t="s">
        <v>219</v>
      </c>
      <c r="E65" s="38" t="s">
        <v>54</v>
      </c>
      <c r="F65" s="38" t="s">
        <v>55</v>
      </c>
      <c r="G65" s="38" t="s">
        <v>43</v>
      </c>
      <c r="H65" s="38" t="s">
        <v>190</v>
      </c>
      <c r="I65" s="38">
        <v>0</v>
      </c>
      <c r="J65" s="38">
        <v>0</v>
      </c>
      <c r="K65" s="38">
        <v>0</v>
      </c>
      <c r="L65" s="38">
        <v>0</v>
      </c>
      <c r="M65" s="39" t="s">
        <v>48</v>
      </c>
      <c r="N65" s="54" t="s">
        <v>49</v>
      </c>
      <c r="O65" s="41">
        <v>12.7</v>
      </c>
      <c r="P65" s="41">
        <v>12.7</v>
      </c>
      <c r="Q65" s="42">
        <v>0</v>
      </c>
      <c r="R65" s="41">
        <v>0</v>
      </c>
      <c r="S65" s="41">
        <v>0</v>
      </c>
      <c r="T65" s="43">
        <v>0</v>
      </c>
      <c r="U65" s="43">
        <v>0</v>
      </c>
      <c r="V65" s="39">
        <v>0</v>
      </c>
      <c r="W65" s="39">
        <v>0</v>
      </c>
      <c r="X65" s="39">
        <v>0</v>
      </c>
      <c r="Y65" s="44" t="s">
        <v>119</v>
      </c>
      <c r="Z65" s="55" t="s">
        <v>50</v>
      </c>
      <c r="AA65" s="46">
        <v>0.8</v>
      </c>
      <c r="AB65" s="47">
        <v>0</v>
      </c>
      <c r="AC65" s="47">
        <v>0</v>
      </c>
      <c r="AD65" s="47">
        <v>1</v>
      </c>
      <c r="AE65" s="47">
        <v>0</v>
      </c>
      <c r="AF65" s="44"/>
      <c r="AG65" s="38">
        <v>3</v>
      </c>
    </row>
    <row r="66" spans="2:33" s="25" customFormat="1" ht="28.8" x14ac:dyDescent="0.3">
      <c r="B66" s="38" t="s">
        <v>226</v>
      </c>
      <c r="C66" s="37" t="s">
        <v>227</v>
      </c>
      <c r="D66" s="36" t="s">
        <v>219</v>
      </c>
      <c r="E66" s="38" t="s">
        <v>54</v>
      </c>
      <c r="F66" s="38" t="s">
        <v>55</v>
      </c>
      <c r="G66" s="38" t="s">
        <v>43</v>
      </c>
      <c r="H66" s="38" t="s">
        <v>190</v>
      </c>
      <c r="I66" s="38">
        <v>0</v>
      </c>
      <c r="J66" s="38">
        <v>0</v>
      </c>
      <c r="K66" s="38">
        <v>0</v>
      </c>
      <c r="L66" s="38">
        <v>0</v>
      </c>
      <c r="M66" s="39" t="s">
        <v>48</v>
      </c>
      <c r="N66" s="54" t="s">
        <v>49</v>
      </c>
      <c r="O66" s="41">
        <v>11.4</v>
      </c>
      <c r="P66" s="41">
        <v>11.4</v>
      </c>
      <c r="Q66" s="42">
        <v>0</v>
      </c>
      <c r="R66" s="41">
        <v>0</v>
      </c>
      <c r="S66" s="41">
        <v>0</v>
      </c>
      <c r="T66" s="43">
        <v>0</v>
      </c>
      <c r="U66" s="43">
        <v>0</v>
      </c>
      <c r="V66" s="39">
        <v>0</v>
      </c>
      <c r="W66" s="39">
        <v>0</v>
      </c>
      <c r="X66" s="39">
        <v>0</v>
      </c>
      <c r="Y66" s="44" t="s">
        <v>119</v>
      </c>
      <c r="Z66" s="55" t="s">
        <v>50</v>
      </c>
      <c r="AA66" s="46">
        <v>0.8</v>
      </c>
      <c r="AB66" s="47">
        <v>0</v>
      </c>
      <c r="AC66" s="47">
        <v>0</v>
      </c>
      <c r="AD66" s="47">
        <v>1</v>
      </c>
      <c r="AE66" s="47">
        <v>0</v>
      </c>
      <c r="AF66" s="44"/>
      <c r="AG66" s="48">
        <v>3</v>
      </c>
    </row>
    <row r="67" spans="2:33" s="25" customFormat="1" ht="28.8" x14ac:dyDescent="0.3">
      <c r="B67" s="38" t="s">
        <v>228</v>
      </c>
      <c r="C67" s="37" t="s">
        <v>229</v>
      </c>
      <c r="D67" s="36" t="s">
        <v>219</v>
      </c>
      <c r="E67" s="38" t="s">
        <v>54</v>
      </c>
      <c r="F67" s="38" t="s">
        <v>55</v>
      </c>
      <c r="G67" s="38" t="s">
        <v>43</v>
      </c>
      <c r="H67" s="38" t="s">
        <v>190</v>
      </c>
      <c r="I67" s="38">
        <v>0</v>
      </c>
      <c r="J67" s="38">
        <v>0</v>
      </c>
      <c r="K67" s="38">
        <v>0</v>
      </c>
      <c r="L67" s="38">
        <v>0</v>
      </c>
      <c r="M67" s="39" t="s">
        <v>48</v>
      </c>
      <c r="N67" s="54" t="s">
        <v>49</v>
      </c>
      <c r="O67" s="41">
        <v>30.8</v>
      </c>
      <c r="P67" s="41">
        <v>30.8</v>
      </c>
      <c r="Q67" s="42">
        <v>0</v>
      </c>
      <c r="R67" s="41">
        <v>0</v>
      </c>
      <c r="S67" s="41">
        <v>0</v>
      </c>
      <c r="T67" s="43">
        <v>0</v>
      </c>
      <c r="U67" s="43">
        <v>0</v>
      </c>
      <c r="V67" s="39">
        <v>0</v>
      </c>
      <c r="W67" s="39">
        <v>0</v>
      </c>
      <c r="X67" s="39">
        <v>0</v>
      </c>
      <c r="Y67" s="44" t="s">
        <v>119</v>
      </c>
      <c r="Z67" s="55" t="s">
        <v>50</v>
      </c>
      <c r="AA67" s="46">
        <v>0.8</v>
      </c>
      <c r="AB67" s="47">
        <v>0</v>
      </c>
      <c r="AC67" s="47">
        <v>0</v>
      </c>
      <c r="AD67" s="47">
        <v>1</v>
      </c>
      <c r="AE67" s="47">
        <v>0</v>
      </c>
      <c r="AF67" s="44"/>
      <c r="AG67" s="48">
        <v>3</v>
      </c>
    </row>
    <row r="68" spans="2:33" s="25" customFormat="1" ht="28.8" x14ac:dyDescent="0.3">
      <c r="B68" s="38" t="s">
        <v>230</v>
      </c>
      <c r="C68" s="37" t="s">
        <v>231</v>
      </c>
      <c r="D68" s="36" t="s">
        <v>219</v>
      </c>
      <c r="E68" s="38" t="s">
        <v>54</v>
      </c>
      <c r="F68" s="38" t="s">
        <v>55</v>
      </c>
      <c r="G68" s="38" t="s">
        <v>43</v>
      </c>
      <c r="H68" s="38" t="s">
        <v>190</v>
      </c>
      <c r="I68" s="38">
        <v>0</v>
      </c>
      <c r="J68" s="38">
        <v>0</v>
      </c>
      <c r="K68" s="38">
        <v>0</v>
      </c>
      <c r="L68" s="38">
        <v>0</v>
      </c>
      <c r="M68" s="39" t="s">
        <v>48</v>
      </c>
      <c r="N68" s="54" t="s">
        <v>49</v>
      </c>
      <c r="O68" s="41">
        <v>27.2</v>
      </c>
      <c r="P68" s="41">
        <v>27.2</v>
      </c>
      <c r="Q68" s="42">
        <v>0</v>
      </c>
      <c r="R68" s="41">
        <v>0</v>
      </c>
      <c r="S68" s="41">
        <v>0</v>
      </c>
      <c r="T68" s="43">
        <v>0</v>
      </c>
      <c r="U68" s="43">
        <v>0</v>
      </c>
      <c r="V68" s="39">
        <v>0</v>
      </c>
      <c r="W68" s="39">
        <v>0</v>
      </c>
      <c r="X68" s="39">
        <v>0</v>
      </c>
      <c r="Y68" s="44" t="s">
        <v>119</v>
      </c>
      <c r="Z68" s="55" t="s">
        <v>50</v>
      </c>
      <c r="AA68" s="46">
        <v>0.8</v>
      </c>
      <c r="AB68" s="47">
        <v>0</v>
      </c>
      <c r="AC68" s="47">
        <v>0</v>
      </c>
      <c r="AD68" s="47">
        <v>1</v>
      </c>
      <c r="AE68" s="47">
        <v>0</v>
      </c>
      <c r="AF68" s="44"/>
      <c r="AG68" s="38">
        <v>3</v>
      </c>
    </row>
    <row r="69" spans="2:33" s="25" customFormat="1" ht="28.8" x14ac:dyDescent="0.3">
      <c r="B69" s="38" t="s">
        <v>232</v>
      </c>
      <c r="C69" s="37" t="s">
        <v>233</v>
      </c>
      <c r="D69" s="36" t="s">
        <v>219</v>
      </c>
      <c r="E69" s="38" t="s">
        <v>54</v>
      </c>
      <c r="F69" s="38" t="s">
        <v>55</v>
      </c>
      <c r="G69" s="38" t="s">
        <v>43</v>
      </c>
      <c r="H69" s="38" t="s">
        <v>44</v>
      </c>
      <c r="I69" s="38">
        <v>0</v>
      </c>
      <c r="J69" s="38">
        <v>0</v>
      </c>
      <c r="K69" s="38">
        <v>0</v>
      </c>
      <c r="L69" s="38">
        <v>0</v>
      </c>
      <c r="M69" s="39" t="s">
        <v>48</v>
      </c>
      <c r="N69" s="54" t="s">
        <v>49</v>
      </c>
      <c r="O69" s="41">
        <v>103.1</v>
      </c>
      <c r="P69" s="41">
        <v>103.1</v>
      </c>
      <c r="Q69" s="42">
        <v>0</v>
      </c>
      <c r="R69" s="41">
        <v>0</v>
      </c>
      <c r="S69" s="41">
        <v>0</v>
      </c>
      <c r="T69" s="43">
        <v>0</v>
      </c>
      <c r="U69" s="43">
        <v>0</v>
      </c>
      <c r="V69" s="39">
        <v>0</v>
      </c>
      <c r="W69" s="39">
        <v>0</v>
      </c>
      <c r="X69" s="39">
        <v>0</v>
      </c>
      <c r="Y69" s="44" t="s">
        <v>119</v>
      </c>
      <c r="Z69" s="55" t="s">
        <v>50</v>
      </c>
      <c r="AA69" s="46">
        <v>0.8</v>
      </c>
      <c r="AB69" s="47">
        <v>0</v>
      </c>
      <c r="AC69" s="47">
        <v>0</v>
      </c>
      <c r="AD69" s="47">
        <v>1</v>
      </c>
      <c r="AE69" s="47">
        <v>0</v>
      </c>
      <c r="AF69" s="44"/>
      <c r="AG69" s="48">
        <v>3</v>
      </c>
    </row>
    <row r="70" spans="2:33" s="25" customFormat="1" ht="28.8" x14ac:dyDescent="0.3">
      <c r="B70" s="38" t="s">
        <v>234</v>
      </c>
      <c r="C70" s="37" t="s">
        <v>235</v>
      </c>
      <c r="D70" s="36" t="s">
        <v>219</v>
      </c>
      <c r="E70" s="38" t="s">
        <v>42</v>
      </c>
      <c r="F70" s="38" t="s">
        <v>33</v>
      </c>
      <c r="G70" s="38" t="s">
        <v>43</v>
      </c>
      <c r="H70" s="38" t="s">
        <v>61</v>
      </c>
      <c r="I70" s="38" t="s">
        <v>45</v>
      </c>
      <c r="J70" s="38" t="s">
        <v>46</v>
      </c>
      <c r="K70" s="38" t="s">
        <v>46</v>
      </c>
      <c r="L70" s="38" t="s">
        <v>47</v>
      </c>
      <c r="M70" s="39" t="s">
        <v>48</v>
      </c>
      <c r="N70" s="54" t="s">
        <v>56</v>
      </c>
      <c r="O70" s="41">
        <v>9.3333333333333321</v>
      </c>
      <c r="P70" s="41">
        <v>6.0666666666666664</v>
      </c>
      <c r="Q70" s="42">
        <v>0</v>
      </c>
      <c r="R70" s="41">
        <v>0</v>
      </c>
      <c r="S70" s="41">
        <v>0</v>
      </c>
      <c r="T70" s="43">
        <v>0</v>
      </c>
      <c r="U70" s="43">
        <v>0</v>
      </c>
      <c r="V70" s="39">
        <v>0</v>
      </c>
      <c r="W70" s="39">
        <v>0</v>
      </c>
      <c r="X70" s="39">
        <v>0</v>
      </c>
      <c r="Y70" s="44"/>
      <c r="Z70" s="55" t="s">
        <v>50</v>
      </c>
      <c r="AA70" s="46">
        <v>0.9</v>
      </c>
      <c r="AB70" s="47">
        <v>1</v>
      </c>
      <c r="AC70" s="47">
        <v>0</v>
      </c>
      <c r="AD70" s="47">
        <v>0</v>
      </c>
      <c r="AE70" s="47">
        <v>0</v>
      </c>
      <c r="AF70" s="44"/>
      <c r="AG70" s="38">
        <v>3</v>
      </c>
    </row>
    <row r="71" spans="2:33" s="25" customFormat="1" ht="115.2" x14ac:dyDescent="0.3">
      <c r="B71" s="38" t="s">
        <v>236</v>
      </c>
      <c r="C71" s="37" t="s">
        <v>237</v>
      </c>
      <c r="D71" s="36" t="s">
        <v>219</v>
      </c>
      <c r="E71" s="38" t="s">
        <v>42</v>
      </c>
      <c r="F71" s="38" t="s">
        <v>36</v>
      </c>
      <c r="G71" s="38" t="s">
        <v>43</v>
      </c>
      <c r="H71" s="38" t="s">
        <v>44</v>
      </c>
      <c r="I71" s="38">
        <v>0</v>
      </c>
      <c r="J71" s="38">
        <v>0</v>
      </c>
      <c r="K71" s="38">
        <v>0</v>
      </c>
      <c r="L71" s="38">
        <v>0</v>
      </c>
      <c r="M71" s="39" t="s">
        <v>48</v>
      </c>
      <c r="N71" s="54" t="s">
        <v>238</v>
      </c>
      <c r="O71" s="41">
        <v>12</v>
      </c>
      <c r="P71" s="41">
        <v>7</v>
      </c>
      <c r="Q71" s="42">
        <v>0</v>
      </c>
      <c r="R71" s="41">
        <v>0</v>
      </c>
      <c r="S71" s="41">
        <v>0</v>
      </c>
      <c r="T71" s="43">
        <v>0</v>
      </c>
      <c r="U71" s="43">
        <v>0</v>
      </c>
      <c r="V71" s="39">
        <v>0</v>
      </c>
      <c r="W71" s="39">
        <v>0</v>
      </c>
      <c r="X71" s="39">
        <v>0</v>
      </c>
      <c r="Y71" s="44" t="s">
        <v>94</v>
      </c>
      <c r="Z71" s="55" t="s">
        <v>71</v>
      </c>
      <c r="AA71" s="46">
        <v>0.60000000000000009</v>
      </c>
      <c r="AB71" s="47">
        <v>0</v>
      </c>
      <c r="AC71" s="47">
        <v>0</v>
      </c>
      <c r="AD71" s="47">
        <v>0</v>
      </c>
      <c r="AE71" s="47">
        <v>1</v>
      </c>
      <c r="AF71" s="44" t="s">
        <v>95</v>
      </c>
      <c r="AG71" s="38">
        <v>2</v>
      </c>
    </row>
    <row r="72" spans="2:33" s="25" customFormat="1" ht="28.8" x14ac:dyDescent="0.3">
      <c r="B72" s="38" t="s">
        <v>239</v>
      </c>
      <c r="C72" s="37" t="s">
        <v>240</v>
      </c>
      <c r="D72" s="36" t="s">
        <v>241</v>
      </c>
      <c r="E72" s="38" t="s">
        <v>54</v>
      </c>
      <c r="F72" s="38" t="s">
        <v>55</v>
      </c>
      <c r="G72" s="38" t="s">
        <v>88</v>
      </c>
      <c r="H72" s="38" t="s">
        <v>44</v>
      </c>
      <c r="I72" s="38">
        <v>0</v>
      </c>
      <c r="J72" s="38">
        <v>0</v>
      </c>
      <c r="K72" s="38">
        <v>0</v>
      </c>
      <c r="L72" s="38">
        <v>0</v>
      </c>
      <c r="M72" s="39" t="s">
        <v>48</v>
      </c>
      <c r="N72" s="54" t="s">
        <v>49</v>
      </c>
      <c r="O72" s="41">
        <v>24.65</v>
      </c>
      <c r="P72" s="41">
        <v>24.65</v>
      </c>
      <c r="Q72" s="42">
        <v>0</v>
      </c>
      <c r="R72" s="41">
        <v>0</v>
      </c>
      <c r="S72" s="41">
        <v>0</v>
      </c>
      <c r="T72" s="43">
        <v>0</v>
      </c>
      <c r="U72" s="43">
        <v>0</v>
      </c>
      <c r="V72" s="39">
        <v>0</v>
      </c>
      <c r="W72" s="39">
        <v>0</v>
      </c>
      <c r="X72" s="39">
        <v>0</v>
      </c>
      <c r="Y72" s="44" t="s">
        <v>242</v>
      </c>
      <c r="Z72" s="55" t="s">
        <v>71</v>
      </c>
      <c r="AA72" s="46">
        <v>0.9</v>
      </c>
      <c r="AB72" s="47">
        <v>0</v>
      </c>
      <c r="AC72" s="47">
        <v>0</v>
      </c>
      <c r="AD72" s="47">
        <v>0</v>
      </c>
      <c r="AE72" s="47">
        <v>1</v>
      </c>
      <c r="AF72" s="44"/>
      <c r="AG72" s="48">
        <v>2</v>
      </c>
    </row>
    <row r="73" spans="2:33" s="25" customFormat="1" ht="28.8" x14ac:dyDescent="0.3">
      <c r="B73" s="38" t="s">
        <v>243</v>
      </c>
      <c r="C73" s="37" t="s">
        <v>244</v>
      </c>
      <c r="D73" s="36" t="s">
        <v>241</v>
      </c>
      <c r="E73" s="38" t="s">
        <v>42</v>
      </c>
      <c r="F73" s="38" t="s">
        <v>33</v>
      </c>
      <c r="G73" s="38" t="s">
        <v>43</v>
      </c>
      <c r="H73" s="38" t="s">
        <v>44</v>
      </c>
      <c r="I73" s="38" t="s">
        <v>46</v>
      </c>
      <c r="J73" s="38" t="s">
        <v>47</v>
      </c>
      <c r="K73" s="38" t="s">
        <v>46</v>
      </c>
      <c r="L73" s="38" t="s">
        <v>47</v>
      </c>
      <c r="M73" s="39" t="s">
        <v>48</v>
      </c>
      <c r="N73" s="54" t="s">
        <v>49</v>
      </c>
      <c r="O73" s="41">
        <v>4.4444444444444446</v>
      </c>
      <c r="P73" s="41">
        <v>4.4444444444444446</v>
      </c>
      <c r="Q73" s="42">
        <v>0</v>
      </c>
      <c r="R73" s="41">
        <v>0</v>
      </c>
      <c r="S73" s="41">
        <v>0</v>
      </c>
      <c r="T73" s="43">
        <v>0</v>
      </c>
      <c r="U73" s="43">
        <v>0</v>
      </c>
      <c r="V73" s="39">
        <v>0</v>
      </c>
      <c r="W73" s="39">
        <v>0</v>
      </c>
      <c r="X73" s="39">
        <v>0</v>
      </c>
      <c r="Y73" s="44"/>
      <c r="Z73" s="55" t="s">
        <v>50</v>
      </c>
      <c r="AA73" s="46">
        <v>0.9</v>
      </c>
      <c r="AB73" s="47">
        <v>1</v>
      </c>
      <c r="AC73" s="47">
        <v>0</v>
      </c>
      <c r="AD73" s="47">
        <v>0</v>
      </c>
      <c r="AE73" s="47">
        <v>0</v>
      </c>
      <c r="AF73" s="44"/>
      <c r="AG73" s="38">
        <v>3</v>
      </c>
    </row>
    <row r="74" spans="2:33" s="25" customFormat="1" ht="43.2" x14ac:dyDescent="0.3">
      <c r="B74" s="38" t="s">
        <v>245</v>
      </c>
      <c r="C74" s="37" t="s">
        <v>246</v>
      </c>
      <c r="D74" s="36" t="s">
        <v>241</v>
      </c>
      <c r="E74" s="38" t="s">
        <v>42</v>
      </c>
      <c r="F74" s="38" t="s">
        <v>35</v>
      </c>
      <c r="G74" s="38" t="s">
        <v>43</v>
      </c>
      <c r="H74" s="38" t="s">
        <v>44</v>
      </c>
      <c r="I74" s="38">
        <v>0</v>
      </c>
      <c r="J74" s="38">
        <v>0</v>
      </c>
      <c r="K74" s="38">
        <v>0</v>
      </c>
      <c r="L74" s="38">
        <v>0</v>
      </c>
      <c r="M74" s="39" t="s">
        <v>48</v>
      </c>
      <c r="N74" s="54" t="s">
        <v>49</v>
      </c>
      <c r="O74" s="41">
        <v>42.156440008000033</v>
      </c>
      <c r="P74" s="41">
        <v>42.156440008000033</v>
      </c>
      <c r="Q74" s="42">
        <v>0</v>
      </c>
      <c r="R74" s="41">
        <v>0</v>
      </c>
      <c r="S74" s="41">
        <v>0</v>
      </c>
      <c r="T74" s="43">
        <v>0</v>
      </c>
      <c r="U74" s="43">
        <v>0</v>
      </c>
      <c r="V74" s="39">
        <v>0</v>
      </c>
      <c r="W74" s="39">
        <v>0</v>
      </c>
      <c r="X74" s="39">
        <v>0</v>
      </c>
      <c r="Y74" s="44" t="s">
        <v>247</v>
      </c>
      <c r="Z74" s="55" t="s">
        <v>50</v>
      </c>
      <c r="AA74" s="46">
        <v>0.9</v>
      </c>
      <c r="AB74" s="47">
        <v>0</v>
      </c>
      <c r="AC74" s="47">
        <v>0</v>
      </c>
      <c r="AD74" s="47">
        <v>1</v>
      </c>
      <c r="AE74" s="47">
        <v>0</v>
      </c>
      <c r="AF74" s="44" t="s">
        <v>248</v>
      </c>
      <c r="AG74" s="38">
        <v>3</v>
      </c>
    </row>
    <row r="75" spans="2:33" s="25" customFormat="1" ht="28.8" x14ac:dyDescent="0.3">
      <c r="B75" s="38" t="s">
        <v>249</v>
      </c>
      <c r="C75" s="37" t="s">
        <v>250</v>
      </c>
      <c r="D75" s="36" t="s">
        <v>251</v>
      </c>
      <c r="E75" s="38" t="s">
        <v>54</v>
      </c>
      <c r="F75" s="38" t="s">
        <v>55</v>
      </c>
      <c r="G75" s="38" t="s">
        <v>43</v>
      </c>
      <c r="H75" s="38" t="s">
        <v>44</v>
      </c>
      <c r="I75" s="38">
        <v>0</v>
      </c>
      <c r="J75" s="38">
        <v>0</v>
      </c>
      <c r="K75" s="38">
        <v>0</v>
      </c>
      <c r="L75" s="38">
        <v>0</v>
      </c>
      <c r="M75" s="39" t="s">
        <v>48</v>
      </c>
      <c r="N75" s="54" t="s">
        <v>49</v>
      </c>
      <c r="O75" s="41">
        <v>5.45</v>
      </c>
      <c r="P75" s="41">
        <v>5.45</v>
      </c>
      <c r="Q75" s="42">
        <v>0</v>
      </c>
      <c r="R75" s="41">
        <v>0</v>
      </c>
      <c r="S75" s="41">
        <v>0</v>
      </c>
      <c r="T75" s="43">
        <v>0</v>
      </c>
      <c r="U75" s="43">
        <v>0</v>
      </c>
      <c r="V75" s="39">
        <v>0</v>
      </c>
      <c r="W75" s="39">
        <v>0</v>
      </c>
      <c r="X75" s="39">
        <v>0</v>
      </c>
      <c r="Y75" s="44" t="s">
        <v>57</v>
      </c>
      <c r="Z75" s="55" t="s">
        <v>71</v>
      </c>
      <c r="AA75" s="46">
        <v>0.8</v>
      </c>
      <c r="AB75" s="47">
        <v>0</v>
      </c>
      <c r="AC75" s="47">
        <v>0</v>
      </c>
      <c r="AD75" s="47">
        <v>1</v>
      </c>
      <c r="AE75" s="47">
        <v>0</v>
      </c>
      <c r="AF75" s="44"/>
      <c r="AG75" s="48">
        <v>2</v>
      </c>
    </row>
    <row r="76" spans="2:33" s="25" customFormat="1" ht="28.8" x14ac:dyDescent="0.3">
      <c r="B76" s="38" t="s">
        <v>252</v>
      </c>
      <c r="C76" s="37" t="s">
        <v>253</v>
      </c>
      <c r="D76" s="36" t="s">
        <v>254</v>
      </c>
      <c r="E76" s="38" t="s">
        <v>42</v>
      </c>
      <c r="F76" s="38" t="s">
        <v>33</v>
      </c>
      <c r="G76" s="38" t="s">
        <v>43</v>
      </c>
      <c r="H76" s="38" t="s">
        <v>44</v>
      </c>
      <c r="I76" s="38" t="s">
        <v>46</v>
      </c>
      <c r="J76" s="38" t="s">
        <v>47</v>
      </c>
      <c r="K76" s="38" t="s">
        <v>46</v>
      </c>
      <c r="L76" s="38" t="s">
        <v>47</v>
      </c>
      <c r="M76" s="39" t="s">
        <v>48</v>
      </c>
      <c r="N76" s="54" t="s">
        <v>49</v>
      </c>
      <c r="O76" s="41">
        <v>1.1111111111111112</v>
      </c>
      <c r="P76" s="41">
        <v>1.1111111111111112</v>
      </c>
      <c r="Q76" s="42">
        <v>0</v>
      </c>
      <c r="R76" s="41">
        <v>0</v>
      </c>
      <c r="S76" s="41">
        <v>0</v>
      </c>
      <c r="T76" s="43">
        <v>0</v>
      </c>
      <c r="U76" s="43">
        <v>0</v>
      </c>
      <c r="V76" s="39">
        <v>0</v>
      </c>
      <c r="W76" s="39">
        <v>0</v>
      </c>
      <c r="X76" s="39">
        <v>0</v>
      </c>
      <c r="Y76" s="44"/>
      <c r="Z76" s="55" t="s">
        <v>50</v>
      </c>
      <c r="AA76" s="46">
        <v>0.8</v>
      </c>
      <c r="AB76" s="47">
        <v>1</v>
      </c>
      <c r="AC76" s="47">
        <v>0</v>
      </c>
      <c r="AD76" s="47">
        <v>0</v>
      </c>
      <c r="AE76" s="47">
        <v>0</v>
      </c>
      <c r="AF76" s="44"/>
      <c r="AG76" s="48">
        <v>3</v>
      </c>
    </row>
    <row r="77" spans="2:33" s="25" customFormat="1" ht="28.8" x14ac:dyDescent="0.3">
      <c r="B77" s="38" t="s">
        <v>255</v>
      </c>
      <c r="C77" s="37" t="s">
        <v>256</v>
      </c>
      <c r="D77" s="36" t="s">
        <v>257</v>
      </c>
      <c r="E77" s="38" t="s">
        <v>54</v>
      </c>
      <c r="F77" s="38" t="s">
        <v>55</v>
      </c>
      <c r="G77" s="38" t="s">
        <v>43</v>
      </c>
      <c r="H77" s="38" t="s">
        <v>44</v>
      </c>
      <c r="I77" s="38">
        <v>0</v>
      </c>
      <c r="J77" s="38">
        <v>0</v>
      </c>
      <c r="K77" s="38">
        <v>0</v>
      </c>
      <c r="L77" s="38">
        <v>0</v>
      </c>
      <c r="M77" s="39" t="s">
        <v>48</v>
      </c>
      <c r="N77" s="54" t="s">
        <v>49</v>
      </c>
      <c r="O77" s="41">
        <v>9.4489999999999998</v>
      </c>
      <c r="P77" s="41">
        <v>9.4489999999999998</v>
      </c>
      <c r="Q77" s="42">
        <v>0</v>
      </c>
      <c r="R77" s="41">
        <v>0</v>
      </c>
      <c r="S77" s="41">
        <v>0</v>
      </c>
      <c r="T77" s="43">
        <v>0</v>
      </c>
      <c r="U77" s="43">
        <v>0</v>
      </c>
      <c r="V77" s="39">
        <v>0</v>
      </c>
      <c r="W77" s="39">
        <v>0</v>
      </c>
      <c r="X77" s="39">
        <v>0</v>
      </c>
      <c r="Y77" s="44" t="s">
        <v>57</v>
      </c>
      <c r="Z77" s="55" t="s">
        <v>50</v>
      </c>
      <c r="AA77" s="46">
        <v>0.8</v>
      </c>
      <c r="AB77" s="47">
        <v>0.70000000000000007</v>
      </c>
      <c r="AC77" s="47">
        <v>0</v>
      </c>
      <c r="AD77" s="47">
        <v>0</v>
      </c>
      <c r="AE77" s="47">
        <v>0.30000000000000016</v>
      </c>
      <c r="AF77" s="44"/>
      <c r="AG77" s="38">
        <v>3</v>
      </c>
    </row>
    <row r="78" spans="2:33" s="25" customFormat="1" ht="28.8" x14ac:dyDescent="0.3">
      <c r="B78" s="38" t="s">
        <v>258</v>
      </c>
      <c r="C78" s="37" t="s">
        <v>259</v>
      </c>
      <c r="D78" s="36" t="s">
        <v>257</v>
      </c>
      <c r="E78" s="38" t="s">
        <v>54</v>
      </c>
      <c r="F78" s="38" t="s">
        <v>55</v>
      </c>
      <c r="G78" s="38" t="s">
        <v>43</v>
      </c>
      <c r="H78" s="38" t="s">
        <v>44</v>
      </c>
      <c r="I78" s="38">
        <v>0</v>
      </c>
      <c r="J78" s="38">
        <v>0</v>
      </c>
      <c r="K78" s="38">
        <v>0</v>
      </c>
      <c r="L78" s="38">
        <v>0</v>
      </c>
      <c r="M78" s="39" t="s">
        <v>48</v>
      </c>
      <c r="N78" s="54" t="s">
        <v>49</v>
      </c>
      <c r="O78" s="41">
        <v>9.7989999999999995</v>
      </c>
      <c r="P78" s="41">
        <v>9.7989999999999995</v>
      </c>
      <c r="Q78" s="42">
        <v>0</v>
      </c>
      <c r="R78" s="41">
        <v>0</v>
      </c>
      <c r="S78" s="41">
        <v>0</v>
      </c>
      <c r="T78" s="43">
        <v>0</v>
      </c>
      <c r="U78" s="43">
        <v>0</v>
      </c>
      <c r="V78" s="39">
        <v>0</v>
      </c>
      <c r="W78" s="39">
        <v>0</v>
      </c>
      <c r="X78" s="39">
        <v>0</v>
      </c>
      <c r="Y78" s="44" t="s">
        <v>57</v>
      </c>
      <c r="Z78" s="55" t="s">
        <v>50</v>
      </c>
      <c r="AA78" s="46">
        <v>0.8</v>
      </c>
      <c r="AB78" s="47">
        <v>0</v>
      </c>
      <c r="AC78" s="47">
        <v>0.40000000000000013</v>
      </c>
      <c r="AD78" s="47">
        <v>0</v>
      </c>
      <c r="AE78" s="47">
        <v>0.60000000000000009</v>
      </c>
      <c r="AF78" s="44"/>
      <c r="AG78" s="48">
        <v>3</v>
      </c>
    </row>
    <row r="79" spans="2:33" s="25" customFormat="1" ht="28.8" x14ac:dyDescent="0.3">
      <c r="B79" s="38" t="s">
        <v>260</v>
      </c>
      <c r="C79" s="37" t="s">
        <v>261</v>
      </c>
      <c r="D79" s="36" t="s">
        <v>262</v>
      </c>
      <c r="E79" s="38" t="s">
        <v>54</v>
      </c>
      <c r="F79" s="38" t="s">
        <v>55</v>
      </c>
      <c r="G79" s="38" t="s">
        <v>43</v>
      </c>
      <c r="H79" s="38" t="s">
        <v>44</v>
      </c>
      <c r="I79" s="38">
        <v>0</v>
      </c>
      <c r="J79" s="38">
        <v>0</v>
      </c>
      <c r="K79" s="38">
        <v>0</v>
      </c>
      <c r="L79" s="38">
        <v>0</v>
      </c>
      <c r="M79" s="39" t="s">
        <v>48</v>
      </c>
      <c r="N79" s="54" t="s">
        <v>118</v>
      </c>
      <c r="O79" s="41">
        <v>43.4</v>
      </c>
      <c r="P79" s="41">
        <v>34.72</v>
      </c>
      <c r="Q79" s="42">
        <v>0</v>
      </c>
      <c r="R79" s="41">
        <v>0</v>
      </c>
      <c r="S79" s="41">
        <v>0</v>
      </c>
      <c r="T79" s="43">
        <v>0</v>
      </c>
      <c r="U79" s="43">
        <v>0</v>
      </c>
      <c r="V79" s="39">
        <v>0</v>
      </c>
      <c r="W79" s="39">
        <v>0</v>
      </c>
      <c r="X79" s="39">
        <v>0</v>
      </c>
      <c r="Y79" s="44" t="s">
        <v>242</v>
      </c>
      <c r="Z79" s="55" t="s">
        <v>71</v>
      </c>
      <c r="AA79" s="46">
        <v>0.60000000000000009</v>
      </c>
      <c r="AB79" s="47">
        <v>0</v>
      </c>
      <c r="AC79" s="47">
        <v>0</v>
      </c>
      <c r="AD79" s="47">
        <v>1</v>
      </c>
      <c r="AE79" s="47">
        <v>0</v>
      </c>
      <c r="AF79" s="44"/>
      <c r="AG79" s="48">
        <v>2</v>
      </c>
    </row>
    <row r="80" spans="2:33" s="25" customFormat="1" ht="28.8" x14ac:dyDescent="0.3">
      <c r="B80" s="38" t="s">
        <v>263</v>
      </c>
      <c r="C80" s="37" t="s">
        <v>264</v>
      </c>
      <c r="D80" s="36" t="s">
        <v>262</v>
      </c>
      <c r="E80" s="38" t="s">
        <v>54</v>
      </c>
      <c r="F80" s="38" t="s">
        <v>55</v>
      </c>
      <c r="G80" s="38" t="s">
        <v>43</v>
      </c>
      <c r="H80" s="38" t="s">
        <v>44</v>
      </c>
      <c r="I80" s="38">
        <v>0</v>
      </c>
      <c r="J80" s="38">
        <v>0</v>
      </c>
      <c r="K80" s="38">
        <v>0</v>
      </c>
      <c r="L80" s="38">
        <v>0</v>
      </c>
      <c r="M80" s="39" t="s">
        <v>48</v>
      </c>
      <c r="N80" s="54" t="s">
        <v>118</v>
      </c>
      <c r="O80" s="41">
        <v>2.1</v>
      </c>
      <c r="P80" s="41">
        <v>1.6800000000000002</v>
      </c>
      <c r="Q80" s="42">
        <v>0</v>
      </c>
      <c r="R80" s="41">
        <v>0</v>
      </c>
      <c r="S80" s="41">
        <v>0</v>
      </c>
      <c r="T80" s="43">
        <v>0</v>
      </c>
      <c r="U80" s="43">
        <v>0</v>
      </c>
      <c r="V80" s="39">
        <v>0</v>
      </c>
      <c r="W80" s="39">
        <v>0</v>
      </c>
      <c r="X80" s="39">
        <v>0</v>
      </c>
      <c r="Y80" s="44" t="s">
        <v>242</v>
      </c>
      <c r="Z80" s="55" t="s">
        <v>71</v>
      </c>
      <c r="AA80" s="46">
        <v>0.60000000000000009</v>
      </c>
      <c r="AB80" s="47">
        <v>0</v>
      </c>
      <c r="AC80" s="47">
        <v>0</v>
      </c>
      <c r="AD80" s="47">
        <v>1</v>
      </c>
      <c r="AE80" s="47">
        <v>0</v>
      </c>
      <c r="AF80" s="44"/>
      <c r="AG80" s="48">
        <v>2</v>
      </c>
    </row>
    <row r="81" spans="2:33" s="25" customFormat="1" ht="28.8" x14ac:dyDescent="0.3">
      <c r="B81" s="38" t="s">
        <v>265</v>
      </c>
      <c r="C81" s="37" t="s">
        <v>266</v>
      </c>
      <c r="D81" s="36" t="s">
        <v>262</v>
      </c>
      <c r="E81" s="38" t="s">
        <v>54</v>
      </c>
      <c r="F81" s="38" t="s">
        <v>55</v>
      </c>
      <c r="G81" s="38" t="s">
        <v>43</v>
      </c>
      <c r="H81" s="38" t="s">
        <v>44</v>
      </c>
      <c r="I81" s="38">
        <v>0</v>
      </c>
      <c r="J81" s="38">
        <v>0</v>
      </c>
      <c r="K81" s="38">
        <v>0</v>
      </c>
      <c r="L81" s="38">
        <v>0</v>
      </c>
      <c r="M81" s="39" t="s">
        <v>48</v>
      </c>
      <c r="N81" s="54" t="s">
        <v>49</v>
      </c>
      <c r="O81" s="41">
        <v>26.3</v>
      </c>
      <c r="P81" s="41">
        <v>26.3</v>
      </c>
      <c r="Q81" s="42">
        <v>0</v>
      </c>
      <c r="R81" s="41">
        <v>0</v>
      </c>
      <c r="S81" s="41">
        <v>0</v>
      </c>
      <c r="T81" s="43">
        <v>0</v>
      </c>
      <c r="U81" s="43">
        <v>0</v>
      </c>
      <c r="V81" s="39">
        <v>0</v>
      </c>
      <c r="W81" s="39">
        <v>0</v>
      </c>
      <c r="X81" s="39">
        <v>0</v>
      </c>
      <c r="Y81" s="44" t="s">
        <v>57</v>
      </c>
      <c r="Z81" s="55" t="s">
        <v>50</v>
      </c>
      <c r="AA81" s="46">
        <v>0.8</v>
      </c>
      <c r="AB81" s="47">
        <v>0</v>
      </c>
      <c r="AC81" s="47">
        <v>0</v>
      </c>
      <c r="AD81" s="47">
        <v>1</v>
      </c>
      <c r="AE81" s="47">
        <v>0</v>
      </c>
      <c r="AF81" s="44"/>
      <c r="AG81" s="48">
        <v>3</v>
      </c>
    </row>
    <row r="82" spans="2:33" s="25" customFormat="1" ht="28.8" x14ac:dyDescent="0.3">
      <c r="B82" s="38" t="s">
        <v>267</v>
      </c>
      <c r="C82" s="37" t="s">
        <v>268</v>
      </c>
      <c r="D82" s="36" t="s">
        <v>262</v>
      </c>
      <c r="E82" s="38" t="s">
        <v>54</v>
      </c>
      <c r="F82" s="38" t="s">
        <v>55</v>
      </c>
      <c r="G82" s="38" t="s">
        <v>43</v>
      </c>
      <c r="H82" s="38" t="s">
        <v>44</v>
      </c>
      <c r="I82" s="38">
        <v>0</v>
      </c>
      <c r="J82" s="38">
        <v>0</v>
      </c>
      <c r="K82" s="38">
        <v>0</v>
      </c>
      <c r="L82" s="38">
        <v>0</v>
      </c>
      <c r="M82" s="39" t="s">
        <v>48</v>
      </c>
      <c r="N82" s="54" t="s">
        <v>49</v>
      </c>
      <c r="O82" s="41">
        <v>0.2</v>
      </c>
      <c r="P82" s="41">
        <v>0.2</v>
      </c>
      <c r="Q82" s="42">
        <v>0</v>
      </c>
      <c r="R82" s="41">
        <v>0</v>
      </c>
      <c r="S82" s="41">
        <v>0</v>
      </c>
      <c r="T82" s="43">
        <v>0</v>
      </c>
      <c r="U82" s="43">
        <v>0</v>
      </c>
      <c r="V82" s="39">
        <v>0</v>
      </c>
      <c r="W82" s="39">
        <v>0</v>
      </c>
      <c r="X82" s="39">
        <v>0</v>
      </c>
      <c r="Y82" s="44" t="s">
        <v>57</v>
      </c>
      <c r="Z82" s="55" t="s">
        <v>50</v>
      </c>
      <c r="AA82" s="46">
        <v>0.8</v>
      </c>
      <c r="AB82" s="47">
        <v>0</v>
      </c>
      <c r="AC82" s="47">
        <v>0</v>
      </c>
      <c r="AD82" s="47">
        <v>1</v>
      </c>
      <c r="AE82" s="47">
        <v>0</v>
      </c>
      <c r="AF82" s="44"/>
      <c r="AG82" s="48">
        <v>3</v>
      </c>
    </row>
    <row r="83" spans="2:33" s="25" customFormat="1" ht="28.8" x14ac:dyDescent="0.3">
      <c r="B83" s="38" t="s">
        <v>269</v>
      </c>
      <c r="C83" s="37" t="s">
        <v>270</v>
      </c>
      <c r="D83" s="36" t="s">
        <v>271</v>
      </c>
      <c r="E83" s="38" t="s">
        <v>54</v>
      </c>
      <c r="F83" s="38" t="s">
        <v>55</v>
      </c>
      <c r="G83" s="38" t="s">
        <v>43</v>
      </c>
      <c r="H83" s="38" t="s">
        <v>44</v>
      </c>
      <c r="I83" s="38">
        <v>0</v>
      </c>
      <c r="J83" s="38">
        <v>0</v>
      </c>
      <c r="K83" s="38">
        <v>0</v>
      </c>
      <c r="L83" s="38">
        <v>0</v>
      </c>
      <c r="M83" s="39" t="s">
        <v>48</v>
      </c>
      <c r="N83" s="54" t="s">
        <v>49</v>
      </c>
      <c r="O83" s="41">
        <v>17.399999999999999</v>
      </c>
      <c r="P83" s="41">
        <v>17.399999999999999</v>
      </c>
      <c r="Q83" s="42">
        <v>0</v>
      </c>
      <c r="R83" s="41">
        <v>0</v>
      </c>
      <c r="S83" s="41">
        <v>0</v>
      </c>
      <c r="T83" s="43">
        <v>0</v>
      </c>
      <c r="U83" s="43">
        <v>0</v>
      </c>
      <c r="V83" s="39">
        <v>0</v>
      </c>
      <c r="W83" s="39">
        <v>0</v>
      </c>
      <c r="X83" s="39">
        <v>0</v>
      </c>
      <c r="Y83" s="44" t="s">
        <v>155</v>
      </c>
      <c r="Z83" s="55" t="s">
        <v>50</v>
      </c>
      <c r="AA83" s="46">
        <v>0.9</v>
      </c>
      <c r="AB83" s="47">
        <v>0</v>
      </c>
      <c r="AC83" s="47">
        <v>0</v>
      </c>
      <c r="AD83" s="47">
        <v>1</v>
      </c>
      <c r="AE83" s="47">
        <v>0</v>
      </c>
      <c r="AF83" s="44"/>
      <c r="AG83" s="48">
        <v>3</v>
      </c>
    </row>
    <row r="84" spans="2:33" s="25" customFormat="1" ht="28.8" x14ac:dyDescent="0.3">
      <c r="B84" s="38" t="s">
        <v>272</v>
      </c>
      <c r="C84" s="37" t="s">
        <v>273</v>
      </c>
      <c r="D84" s="36" t="s">
        <v>271</v>
      </c>
      <c r="E84" s="38" t="s">
        <v>42</v>
      </c>
      <c r="F84" s="38" t="s">
        <v>33</v>
      </c>
      <c r="G84" s="38" t="s">
        <v>43</v>
      </c>
      <c r="H84" s="38" t="s">
        <v>44</v>
      </c>
      <c r="I84" s="38" t="s">
        <v>46</v>
      </c>
      <c r="J84" s="38" t="s">
        <v>47</v>
      </c>
      <c r="K84" s="38" t="s">
        <v>46</v>
      </c>
      <c r="L84" s="38" t="s">
        <v>47</v>
      </c>
      <c r="M84" s="39" t="s">
        <v>48</v>
      </c>
      <c r="N84" s="54" t="s">
        <v>160</v>
      </c>
      <c r="O84" s="41">
        <v>5.3166666666666668E-2</v>
      </c>
      <c r="P84" s="41">
        <v>5.3166666666666668E-2</v>
      </c>
      <c r="Q84" s="42">
        <v>0</v>
      </c>
      <c r="R84" s="41">
        <v>0</v>
      </c>
      <c r="S84" s="41">
        <v>0</v>
      </c>
      <c r="T84" s="43">
        <v>0</v>
      </c>
      <c r="U84" s="43">
        <v>0</v>
      </c>
      <c r="V84" s="39">
        <v>0</v>
      </c>
      <c r="W84" s="39">
        <v>0</v>
      </c>
      <c r="X84" s="39">
        <v>0</v>
      </c>
      <c r="Y84" s="44"/>
      <c r="Z84" s="55" t="s">
        <v>71</v>
      </c>
      <c r="AA84" s="46">
        <v>0.70000000000000007</v>
      </c>
      <c r="AB84" s="47">
        <v>1</v>
      </c>
      <c r="AC84" s="47">
        <v>0</v>
      </c>
      <c r="AD84" s="47">
        <v>0</v>
      </c>
      <c r="AE84" s="47">
        <v>0</v>
      </c>
      <c r="AF84" s="44"/>
      <c r="AG84" s="38">
        <v>2</v>
      </c>
    </row>
    <row r="85" spans="2:33" s="25" customFormat="1" ht="28.8" x14ac:dyDescent="0.3">
      <c r="B85" s="38" t="s">
        <v>274</v>
      </c>
      <c r="C85" s="37" t="s">
        <v>275</v>
      </c>
      <c r="D85" s="36" t="s">
        <v>271</v>
      </c>
      <c r="E85" s="38" t="s">
        <v>54</v>
      </c>
      <c r="F85" s="38" t="s">
        <v>55</v>
      </c>
      <c r="G85" s="38" t="s">
        <v>43</v>
      </c>
      <c r="H85" s="38" t="s">
        <v>44</v>
      </c>
      <c r="I85" s="38">
        <v>0</v>
      </c>
      <c r="J85" s="38">
        <v>0</v>
      </c>
      <c r="K85" s="38">
        <v>0</v>
      </c>
      <c r="L85" s="38">
        <v>0</v>
      </c>
      <c r="M85" s="39" t="s">
        <v>48</v>
      </c>
      <c r="N85" s="54" t="s">
        <v>49</v>
      </c>
      <c r="O85" s="41">
        <v>16.149999999999999</v>
      </c>
      <c r="P85" s="41">
        <v>16.149999999999999</v>
      </c>
      <c r="Q85" s="42">
        <v>0</v>
      </c>
      <c r="R85" s="41">
        <v>0</v>
      </c>
      <c r="S85" s="41">
        <v>0</v>
      </c>
      <c r="T85" s="43">
        <v>0</v>
      </c>
      <c r="U85" s="43">
        <v>0</v>
      </c>
      <c r="V85" s="39">
        <v>0</v>
      </c>
      <c r="W85" s="39">
        <v>0</v>
      </c>
      <c r="X85" s="39">
        <v>0</v>
      </c>
      <c r="Y85" s="44" t="s">
        <v>57</v>
      </c>
      <c r="Z85" s="55" t="s">
        <v>71</v>
      </c>
      <c r="AA85" s="46">
        <v>0.8</v>
      </c>
      <c r="AB85" s="47">
        <v>0</v>
      </c>
      <c r="AC85" s="47">
        <v>0</v>
      </c>
      <c r="AD85" s="47">
        <v>1</v>
      </c>
      <c r="AE85" s="47">
        <v>0</v>
      </c>
      <c r="AF85" s="44"/>
      <c r="AG85" s="38">
        <v>2</v>
      </c>
    </row>
    <row r="86" spans="2:33" s="25" customFormat="1" ht="28.8" x14ac:dyDescent="0.3">
      <c r="B86" s="38" t="s">
        <v>276</v>
      </c>
      <c r="C86" s="37" t="s">
        <v>277</v>
      </c>
      <c r="D86" s="36" t="s">
        <v>271</v>
      </c>
      <c r="E86" s="38" t="s">
        <v>54</v>
      </c>
      <c r="F86" s="38" t="s">
        <v>55</v>
      </c>
      <c r="G86" s="38" t="s">
        <v>43</v>
      </c>
      <c r="H86" s="38" t="s">
        <v>44</v>
      </c>
      <c r="I86" s="38">
        <v>0</v>
      </c>
      <c r="J86" s="38">
        <v>0</v>
      </c>
      <c r="K86" s="38">
        <v>0</v>
      </c>
      <c r="L86" s="38">
        <v>0</v>
      </c>
      <c r="M86" s="39" t="s">
        <v>48</v>
      </c>
      <c r="N86" s="54" t="s">
        <v>75</v>
      </c>
      <c r="O86" s="41">
        <v>1.8119000000000001</v>
      </c>
      <c r="P86" s="41">
        <v>0.36238000000000004</v>
      </c>
      <c r="Q86" s="42">
        <v>0</v>
      </c>
      <c r="R86" s="41">
        <v>0</v>
      </c>
      <c r="S86" s="41">
        <v>0</v>
      </c>
      <c r="T86" s="43">
        <v>0</v>
      </c>
      <c r="U86" s="43">
        <v>0</v>
      </c>
      <c r="V86" s="39">
        <v>0</v>
      </c>
      <c r="W86" s="39">
        <v>0</v>
      </c>
      <c r="X86" s="39">
        <v>0</v>
      </c>
      <c r="Y86" s="44" t="s">
        <v>76</v>
      </c>
      <c r="Z86" s="55" t="s">
        <v>71</v>
      </c>
      <c r="AA86" s="46">
        <v>0.60000000000000009</v>
      </c>
      <c r="AB86" s="47">
        <v>0</v>
      </c>
      <c r="AC86" s="47">
        <v>0</v>
      </c>
      <c r="AD86" s="47">
        <v>0</v>
      </c>
      <c r="AE86" s="47">
        <v>0</v>
      </c>
      <c r="AF86" s="44"/>
      <c r="AG86" s="48">
        <v>2</v>
      </c>
    </row>
    <row r="87" spans="2:33" s="25" customFormat="1" ht="28.8" x14ac:dyDescent="0.3">
      <c r="B87" s="38" t="s">
        <v>278</v>
      </c>
      <c r="C87" s="37" t="s">
        <v>279</v>
      </c>
      <c r="D87" s="36" t="s">
        <v>271</v>
      </c>
      <c r="E87" s="38" t="s">
        <v>54</v>
      </c>
      <c r="F87" s="38" t="s">
        <v>55</v>
      </c>
      <c r="G87" s="38" t="s">
        <v>43</v>
      </c>
      <c r="H87" s="38" t="s">
        <v>44</v>
      </c>
      <c r="I87" s="38">
        <v>0</v>
      </c>
      <c r="J87" s="38">
        <v>0</v>
      </c>
      <c r="K87" s="38">
        <v>0</v>
      </c>
      <c r="L87" s="38">
        <v>0</v>
      </c>
      <c r="M87" s="39" t="s">
        <v>48</v>
      </c>
      <c r="N87" s="54" t="s">
        <v>75</v>
      </c>
      <c r="O87" s="41">
        <v>10</v>
      </c>
      <c r="P87" s="41">
        <v>2</v>
      </c>
      <c r="Q87" s="42">
        <v>0</v>
      </c>
      <c r="R87" s="41">
        <v>0</v>
      </c>
      <c r="S87" s="41">
        <v>0</v>
      </c>
      <c r="T87" s="43">
        <v>0</v>
      </c>
      <c r="U87" s="43">
        <v>0</v>
      </c>
      <c r="V87" s="39">
        <v>0</v>
      </c>
      <c r="W87" s="39">
        <v>0</v>
      </c>
      <c r="X87" s="39">
        <v>0</v>
      </c>
      <c r="Y87" s="44" t="s">
        <v>76</v>
      </c>
      <c r="Z87" s="55" t="s">
        <v>71</v>
      </c>
      <c r="AA87" s="46">
        <v>0.60000000000000009</v>
      </c>
      <c r="AB87" s="47">
        <v>0</v>
      </c>
      <c r="AC87" s="47">
        <v>0</v>
      </c>
      <c r="AD87" s="47">
        <v>0</v>
      </c>
      <c r="AE87" s="47">
        <v>0</v>
      </c>
      <c r="AF87" s="44"/>
      <c r="AG87" s="38">
        <v>2</v>
      </c>
    </row>
    <row r="88" spans="2:33" s="25" customFormat="1" ht="28.8" x14ac:dyDescent="0.3">
      <c r="B88" s="38" t="s">
        <v>280</v>
      </c>
      <c r="C88" s="37" t="s">
        <v>281</v>
      </c>
      <c r="D88" s="36" t="s">
        <v>271</v>
      </c>
      <c r="E88" s="38" t="s">
        <v>54</v>
      </c>
      <c r="F88" s="38" t="s">
        <v>55</v>
      </c>
      <c r="G88" s="38" t="s">
        <v>43</v>
      </c>
      <c r="H88" s="38" t="s">
        <v>44</v>
      </c>
      <c r="I88" s="38">
        <v>0</v>
      </c>
      <c r="J88" s="38">
        <v>0</v>
      </c>
      <c r="K88" s="38">
        <v>0</v>
      </c>
      <c r="L88" s="38">
        <v>0</v>
      </c>
      <c r="M88" s="39" t="s">
        <v>48</v>
      </c>
      <c r="N88" s="54" t="s">
        <v>75</v>
      </c>
      <c r="O88" s="41">
        <v>4.3184500000000003</v>
      </c>
      <c r="P88" s="41">
        <v>0.86369000000000007</v>
      </c>
      <c r="Q88" s="42">
        <v>0</v>
      </c>
      <c r="R88" s="41">
        <v>0</v>
      </c>
      <c r="S88" s="41">
        <v>0</v>
      </c>
      <c r="T88" s="43">
        <v>0</v>
      </c>
      <c r="U88" s="43">
        <v>0</v>
      </c>
      <c r="V88" s="39">
        <v>0</v>
      </c>
      <c r="W88" s="39">
        <v>0</v>
      </c>
      <c r="X88" s="39">
        <v>0</v>
      </c>
      <c r="Y88" s="44" t="s">
        <v>76</v>
      </c>
      <c r="Z88" s="55" t="s">
        <v>71</v>
      </c>
      <c r="AA88" s="46">
        <v>0.60000000000000009</v>
      </c>
      <c r="AB88" s="47">
        <v>0</v>
      </c>
      <c r="AC88" s="47">
        <v>0</v>
      </c>
      <c r="AD88" s="47">
        <v>0</v>
      </c>
      <c r="AE88" s="47">
        <v>0</v>
      </c>
      <c r="AF88" s="44"/>
      <c r="AG88" s="48">
        <v>2</v>
      </c>
    </row>
    <row r="89" spans="2:33" s="25" customFormat="1" ht="28.8" x14ac:dyDescent="0.3">
      <c r="B89" s="38" t="s">
        <v>282</v>
      </c>
      <c r="C89" s="37" t="s">
        <v>283</v>
      </c>
      <c r="D89" s="36" t="s">
        <v>284</v>
      </c>
      <c r="E89" s="38" t="s">
        <v>60</v>
      </c>
      <c r="F89" s="38" t="s">
        <v>36</v>
      </c>
      <c r="G89" s="38" t="s">
        <v>43</v>
      </c>
      <c r="H89" s="38" t="s">
        <v>61</v>
      </c>
      <c r="I89" s="38">
        <v>0</v>
      </c>
      <c r="J89" s="38">
        <v>0</v>
      </c>
      <c r="K89" s="38">
        <v>0</v>
      </c>
      <c r="L89" s="38">
        <v>0</v>
      </c>
      <c r="M89" s="39" t="s">
        <v>48</v>
      </c>
      <c r="N89" s="54" t="s">
        <v>56</v>
      </c>
      <c r="O89" s="41">
        <v>15</v>
      </c>
      <c r="P89" s="41">
        <v>11.25</v>
      </c>
      <c r="Q89" s="42">
        <v>0</v>
      </c>
      <c r="R89" s="41">
        <v>0</v>
      </c>
      <c r="S89" s="41">
        <v>0</v>
      </c>
      <c r="T89" s="43">
        <v>0</v>
      </c>
      <c r="U89" s="43">
        <v>0</v>
      </c>
      <c r="V89" s="39">
        <v>0</v>
      </c>
      <c r="W89" s="39">
        <v>0</v>
      </c>
      <c r="X89" s="39">
        <v>0</v>
      </c>
      <c r="Y89" s="44" t="s">
        <v>285</v>
      </c>
      <c r="Z89" s="55" t="s">
        <v>50</v>
      </c>
      <c r="AA89" s="46">
        <v>1</v>
      </c>
      <c r="AB89" s="47">
        <v>0</v>
      </c>
      <c r="AC89" s="47">
        <v>0</v>
      </c>
      <c r="AD89" s="47">
        <v>0</v>
      </c>
      <c r="AE89" s="47">
        <v>1</v>
      </c>
      <c r="AF89" s="44" t="s">
        <v>286</v>
      </c>
      <c r="AG89" s="38">
        <v>3</v>
      </c>
    </row>
    <row r="90" spans="2:33" s="25" customFormat="1" ht="172.8" x14ac:dyDescent="0.3">
      <c r="B90" s="38" t="s">
        <v>287</v>
      </c>
      <c r="C90" s="37" t="s">
        <v>288</v>
      </c>
      <c r="D90" s="36" t="s">
        <v>284</v>
      </c>
      <c r="E90" s="38" t="s">
        <v>42</v>
      </c>
      <c r="F90" s="38" t="s">
        <v>80</v>
      </c>
      <c r="G90" s="38" t="s">
        <v>43</v>
      </c>
      <c r="H90" s="38" t="s">
        <v>44</v>
      </c>
      <c r="I90" s="38">
        <v>0</v>
      </c>
      <c r="J90" s="38">
        <v>0</v>
      </c>
      <c r="K90" s="38">
        <v>0</v>
      </c>
      <c r="L90" s="38">
        <v>0</v>
      </c>
      <c r="M90" s="39" t="s">
        <v>48</v>
      </c>
      <c r="N90" s="54" t="s">
        <v>118</v>
      </c>
      <c r="O90" s="41">
        <v>1.76</v>
      </c>
      <c r="P90" s="41">
        <v>1.232</v>
      </c>
      <c r="Q90" s="42">
        <v>0</v>
      </c>
      <c r="R90" s="41">
        <v>0</v>
      </c>
      <c r="S90" s="41">
        <v>0</v>
      </c>
      <c r="T90" s="43">
        <v>0</v>
      </c>
      <c r="U90" s="43">
        <v>0</v>
      </c>
      <c r="V90" s="39">
        <v>0</v>
      </c>
      <c r="W90" s="39">
        <v>0</v>
      </c>
      <c r="X90" s="39">
        <v>0</v>
      </c>
      <c r="Y90" s="44" t="s">
        <v>289</v>
      </c>
      <c r="Z90" s="55" t="s">
        <v>71</v>
      </c>
      <c r="AA90" s="46">
        <v>0.70000000000000007</v>
      </c>
      <c r="AB90" s="47">
        <v>0</v>
      </c>
      <c r="AC90" s="47">
        <v>0</v>
      </c>
      <c r="AD90" s="47">
        <v>1</v>
      </c>
      <c r="AE90" s="47">
        <v>0</v>
      </c>
      <c r="AF90" s="44" t="s">
        <v>290</v>
      </c>
      <c r="AG90" s="48">
        <v>2</v>
      </c>
    </row>
    <row r="91" spans="2:33" s="25" customFormat="1" ht="28.8" x14ac:dyDescent="0.3">
      <c r="B91" s="38" t="s">
        <v>291</v>
      </c>
      <c r="C91" s="37" t="s">
        <v>292</v>
      </c>
      <c r="D91" s="36" t="s">
        <v>284</v>
      </c>
      <c r="E91" s="38" t="s">
        <v>54</v>
      </c>
      <c r="F91" s="38" t="s">
        <v>55</v>
      </c>
      <c r="G91" s="38" t="s">
        <v>43</v>
      </c>
      <c r="H91" s="38" t="s">
        <v>44</v>
      </c>
      <c r="I91" s="38">
        <v>0</v>
      </c>
      <c r="J91" s="38">
        <v>0</v>
      </c>
      <c r="K91" s="38">
        <v>0</v>
      </c>
      <c r="L91" s="38">
        <v>0</v>
      </c>
      <c r="M91" s="39" t="s">
        <v>48</v>
      </c>
      <c r="N91" s="54" t="s">
        <v>49</v>
      </c>
      <c r="O91" s="41">
        <v>1.5</v>
      </c>
      <c r="P91" s="41">
        <v>1.5</v>
      </c>
      <c r="Q91" s="42">
        <v>0</v>
      </c>
      <c r="R91" s="41">
        <v>0</v>
      </c>
      <c r="S91" s="41">
        <v>0</v>
      </c>
      <c r="T91" s="43">
        <v>0</v>
      </c>
      <c r="U91" s="43">
        <v>0</v>
      </c>
      <c r="V91" s="39">
        <v>0</v>
      </c>
      <c r="W91" s="39">
        <v>0</v>
      </c>
      <c r="X91" s="39">
        <v>0</v>
      </c>
      <c r="Y91" s="44" t="s">
        <v>293</v>
      </c>
      <c r="Z91" s="55" t="s">
        <v>50</v>
      </c>
      <c r="AA91" s="46">
        <v>0.8</v>
      </c>
      <c r="AB91" s="47">
        <v>0</v>
      </c>
      <c r="AC91" s="47">
        <v>0</v>
      </c>
      <c r="AD91" s="47">
        <v>0.70000000000000007</v>
      </c>
      <c r="AE91" s="47">
        <v>0</v>
      </c>
      <c r="AF91" s="44"/>
      <c r="AG91" s="48">
        <v>3</v>
      </c>
    </row>
    <row r="92" spans="2:33" s="25" customFormat="1" ht="28.8" x14ac:dyDescent="0.3">
      <c r="B92" s="38" t="s">
        <v>294</v>
      </c>
      <c r="C92" s="37" t="s">
        <v>295</v>
      </c>
      <c r="D92" s="36" t="s">
        <v>296</v>
      </c>
      <c r="E92" s="38" t="s">
        <v>42</v>
      </c>
      <c r="F92" s="38" t="s">
        <v>33</v>
      </c>
      <c r="G92" s="38" t="s">
        <v>43</v>
      </c>
      <c r="H92" s="38" t="s">
        <v>44</v>
      </c>
      <c r="I92" s="38" t="s">
        <v>46</v>
      </c>
      <c r="J92" s="38" t="s">
        <v>47</v>
      </c>
      <c r="K92" s="38" t="s">
        <v>46</v>
      </c>
      <c r="L92" s="38" t="s">
        <v>47</v>
      </c>
      <c r="M92" s="39" t="s">
        <v>48</v>
      </c>
      <c r="N92" s="54" t="s">
        <v>82</v>
      </c>
      <c r="O92" s="41">
        <v>1.7735822222222271</v>
      </c>
      <c r="P92" s="41">
        <v>1.2415075555555588</v>
      </c>
      <c r="Q92" s="42">
        <v>0</v>
      </c>
      <c r="R92" s="41">
        <v>0</v>
      </c>
      <c r="S92" s="41">
        <v>0</v>
      </c>
      <c r="T92" s="43">
        <v>0</v>
      </c>
      <c r="U92" s="43">
        <v>0</v>
      </c>
      <c r="V92" s="39">
        <v>0</v>
      </c>
      <c r="W92" s="39">
        <v>0</v>
      </c>
      <c r="X92" s="39">
        <v>0</v>
      </c>
      <c r="Y92" s="44"/>
      <c r="Z92" s="55" t="s">
        <v>50</v>
      </c>
      <c r="AA92" s="46">
        <v>0.8</v>
      </c>
      <c r="AB92" s="47">
        <v>1</v>
      </c>
      <c r="AC92" s="47">
        <v>0</v>
      </c>
      <c r="AD92" s="47">
        <v>0</v>
      </c>
      <c r="AE92" s="47">
        <v>0</v>
      </c>
      <c r="AF92" s="44"/>
      <c r="AG92" s="48">
        <v>3</v>
      </c>
    </row>
    <row r="93" spans="2:33" s="25" customFormat="1" ht="144" x14ac:dyDescent="0.3">
      <c r="B93" s="38" t="s">
        <v>297</v>
      </c>
      <c r="C93" s="37" t="s">
        <v>298</v>
      </c>
      <c r="D93" s="36" t="s">
        <v>296</v>
      </c>
      <c r="E93" s="38" t="s">
        <v>42</v>
      </c>
      <c r="F93" s="38" t="s">
        <v>80</v>
      </c>
      <c r="G93" s="38" t="s">
        <v>43</v>
      </c>
      <c r="H93" s="38" t="s">
        <v>44</v>
      </c>
      <c r="I93" s="38">
        <v>0</v>
      </c>
      <c r="J93" s="38">
        <v>0</v>
      </c>
      <c r="K93" s="38">
        <v>0</v>
      </c>
      <c r="L93" s="38">
        <v>0</v>
      </c>
      <c r="M93" s="39" t="s">
        <v>48</v>
      </c>
      <c r="N93" s="54" t="s">
        <v>56</v>
      </c>
      <c r="O93" s="41">
        <v>2.9350000000000001</v>
      </c>
      <c r="P93" s="41">
        <v>1.7609999999999999</v>
      </c>
      <c r="Q93" s="42">
        <v>0</v>
      </c>
      <c r="R93" s="41">
        <v>0</v>
      </c>
      <c r="S93" s="41">
        <v>0</v>
      </c>
      <c r="T93" s="43">
        <v>0</v>
      </c>
      <c r="U93" s="43">
        <v>0</v>
      </c>
      <c r="V93" s="39">
        <v>0</v>
      </c>
      <c r="W93" s="39">
        <v>0</v>
      </c>
      <c r="X93" s="39">
        <v>0</v>
      </c>
      <c r="Y93" s="44" t="s">
        <v>299</v>
      </c>
      <c r="Z93" s="55" t="s">
        <v>71</v>
      </c>
      <c r="AA93" s="46">
        <v>0.60000000000000009</v>
      </c>
      <c r="AB93" s="47">
        <v>0</v>
      </c>
      <c r="AC93" s="47">
        <v>0</v>
      </c>
      <c r="AD93" s="47">
        <v>1</v>
      </c>
      <c r="AE93" s="47">
        <v>0</v>
      </c>
      <c r="AF93" s="44" t="s">
        <v>300</v>
      </c>
      <c r="AG93" s="48">
        <v>2</v>
      </c>
    </row>
    <row r="94" spans="2:33" s="25" customFormat="1" ht="43.2" x14ac:dyDescent="0.3">
      <c r="B94" s="38" t="s">
        <v>301</v>
      </c>
      <c r="C94" s="37" t="s">
        <v>302</v>
      </c>
      <c r="D94" s="36" t="s">
        <v>296</v>
      </c>
      <c r="E94" s="38" t="s">
        <v>42</v>
      </c>
      <c r="F94" s="38" t="s">
        <v>33</v>
      </c>
      <c r="G94" s="38" t="s">
        <v>43</v>
      </c>
      <c r="H94" s="38" t="s">
        <v>44</v>
      </c>
      <c r="I94" s="38" t="s">
        <v>46</v>
      </c>
      <c r="J94" s="38" t="s">
        <v>47</v>
      </c>
      <c r="K94" s="38" t="s">
        <v>46</v>
      </c>
      <c r="L94" s="38" t="s">
        <v>47</v>
      </c>
      <c r="M94" s="39" t="s">
        <v>48</v>
      </c>
      <c r="N94" s="54" t="s">
        <v>82</v>
      </c>
      <c r="O94" s="41">
        <v>1.1538488888888878</v>
      </c>
      <c r="P94" s="41">
        <v>0.80769422222222143</v>
      </c>
      <c r="Q94" s="42">
        <v>0</v>
      </c>
      <c r="R94" s="41">
        <v>0</v>
      </c>
      <c r="S94" s="41">
        <v>0</v>
      </c>
      <c r="T94" s="43">
        <v>0</v>
      </c>
      <c r="U94" s="43">
        <v>0</v>
      </c>
      <c r="V94" s="39">
        <v>0</v>
      </c>
      <c r="W94" s="39">
        <v>0</v>
      </c>
      <c r="X94" s="39">
        <v>0</v>
      </c>
      <c r="Y94" s="44"/>
      <c r="Z94" s="55" t="s">
        <v>50</v>
      </c>
      <c r="AA94" s="46">
        <v>1</v>
      </c>
      <c r="AB94" s="47">
        <v>1</v>
      </c>
      <c r="AC94" s="47">
        <v>0</v>
      </c>
      <c r="AD94" s="47">
        <v>0</v>
      </c>
      <c r="AE94" s="47">
        <v>0</v>
      </c>
      <c r="AF94" s="44"/>
      <c r="AG94" s="48">
        <v>3</v>
      </c>
    </row>
    <row r="95" spans="2:33" s="25" customFormat="1" ht="28.8" x14ac:dyDescent="0.3">
      <c r="B95" s="38" t="s">
        <v>303</v>
      </c>
      <c r="C95" s="37" t="s">
        <v>304</v>
      </c>
      <c r="D95" s="36" t="s">
        <v>305</v>
      </c>
      <c r="E95" s="38" t="s">
        <v>54</v>
      </c>
      <c r="F95" s="38" t="s">
        <v>55</v>
      </c>
      <c r="G95" s="38" t="s">
        <v>43</v>
      </c>
      <c r="H95" s="38" t="s">
        <v>44</v>
      </c>
      <c r="I95" s="38">
        <v>0</v>
      </c>
      <c r="J95" s="38">
        <v>0</v>
      </c>
      <c r="K95" s="38">
        <v>0</v>
      </c>
      <c r="L95" s="38">
        <v>0</v>
      </c>
      <c r="M95" s="39" t="s">
        <v>48</v>
      </c>
      <c r="N95" s="54" t="s">
        <v>118</v>
      </c>
      <c r="O95" s="41">
        <v>63.62</v>
      </c>
      <c r="P95" s="41">
        <v>44.533999999999999</v>
      </c>
      <c r="Q95" s="42">
        <v>0</v>
      </c>
      <c r="R95" s="41">
        <v>0</v>
      </c>
      <c r="S95" s="41">
        <v>0</v>
      </c>
      <c r="T95" s="43">
        <v>0</v>
      </c>
      <c r="U95" s="43">
        <v>0</v>
      </c>
      <c r="V95" s="39">
        <v>0</v>
      </c>
      <c r="W95" s="39">
        <v>0</v>
      </c>
      <c r="X95" s="39">
        <v>0</v>
      </c>
      <c r="Y95" s="44" t="s">
        <v>306</v>
      </c>
      <c r="Z95" s="55" t="s">
        <v>50</v>
      </c>
      <c r="AA95" s="46">
        <v>0.8</v>
      </c>
      <c r="AB95" s="47">
        <v>0</v>
      </c>
      <c r="AC95" s="47">
        <v>0</v>
      </c>
      <c r="AD95" s="47">
        <v>1</v>
      </c>
      <c r="AE95" s="47">
        <v>0</v>
      </c>
      <c r="AF95" s="44"/>
      <c r="AG95" s="48">
        <v>3</v>
      </c>
    </row>
    <row r="96" spans="2:33" s="25" customFormat="1" ht="28.8" x14ac:dyDescent="0.3">
      <c r="B96" s="38" t="s">
        <v>307</v>
      </c>
      <c r="C96" s="37" t="s">
        <v>308</v>
      </c>
      <c r="D96" s="36" t="s">
        <v>305</v>
      </c>
      <c r="E96" s="38" t="s">
        <v>54</v>
      </c>
      <c r="F96" s="38" t="s">
        <v>55</v>
      </c>
      <c r="G96" s="38" t="s">
        <v>43</v>
      </c>
      <c r="H96" s="38" t="s">
        <v>44</v>
      </c>
      <c r="I96" s="38">
        <v>0</v>
      </c>
      <c r="J96" s="38">
        <v>0</v>
      </c>
      <c r="K96" s="38">
        <v>0</v>
      </c>
      <c r="L96" s="38">
        <v>0</v>
      </c>
      <c r="M96" s="39" t="s">
        <v>48</v>
      </c>
      <c r="N96" s="54" t="s">
        <v>118</v>
      </c>
      <c r="O96" s="41">
        <v>37.908999999999999</v>
      </c>
      <c r="P96" s="41">
        <v>26.536299999999997</v>
      </c>
      <c r="Q96" s="56">
        <v>0</v>
      </c>
      <c r="R96" s="56">
        <v>0</v>
      </c>
      <c r="S96" s="56">
        <v>0</v>
      </c>
      <c r="T96" s="56">
        <v>0</v>
      </c>
      <c r="U96" s="56">
        <v>0</v>
      </c>
      <c r="V96" s="56">
        <v>0</v>
      </c>
      <c r="W96" s="56">
        <v>0</v>
      </c>
      <c r="X96" s="56">
        <v>0</v>
      </c>
      <c r="Y96" s="44" t="s">
        <v>306</v>
      </c>
      <c r="Z96" s="55" t="s">
        <v>50</v>
      </c>
      <c r="AA96" s="46">
        <v>0.8</v>
      </c>
      <c r="AB96" s="47">
        <v>0</v>
      </c>
      <c r="AC96" s="47">
        <v>0</v>
      </c>
      <c r="AD96" s="47">
        <v>1</v>
      </c>
      <c r="AE96" s="47">
        <v>0</v>
      </c>
      <c r="AF96" s="56"/>
      <c r="AG96" s="48">
        <v>3</v>
      </c>
    </row>
    <row r="97" spans="1:33" s="25" customFormat="1" ht="28.8" x14ac:dyDescent="0.3">
      <c r="B97" s="38" t="s">
        <v>309</v>
      </c>
      <c r="C97" s="37" t="s">
        <v>310</v>
      </c>
      <c r="D97" s="36" t="s">
        <v>305</v>
      </c>
      <c r="E97" s="38" t="s">
        <v>54</v>
      </c>
      <c r="F97" s="38" t="s">
        <v>55</v>
      </c>
      <c r="G97" s="38" t="s">
        <v>43</v>
      </c>
      <c r="H97" s="38" t="s">
        <v>44</v>
      </c>
      <c r="I97" s="38">
        <v>0</v>
      </c>
      <c r="J97" s="38">
        <v>0</v>
      </c>
      <c r="K97" s="38">
        <v>0</v>
      </c>
      <c r="L97" s="38">
        <v>0</v>
      </c>
      <c r="M97" s="39" t="s">
        <v>48</v>
      </c>
      <c r="N97" s="54" t="s">
        <v>118</v>
      </c>
      <c r="O97" s="41">
        <v>295.28699999999998</v>
      </c>
      <c r="P97" s="41">
        <v>206.70089999999996</v>
      </c>
      <c r="Q97" s="42">
        <v>0</v>
      </c>
      <c r="R97" s="41">
        <v>0</v>
      </c>
      <c r="S97" s="41">
        <v>0</v>
      </c>
      <c r="T97" s="43">
        <v>0</v>
      </c>
      <c r="U97" s="43">
        <v>0</v>
      </c>
      <c r="V97" s="39">
        <v>0</v>
      </c>
      <c r="W97" s="39">
        <v>0</v>
      </c>
      <c r="X97" s="39">
        <v>0</v>
      </c>
      <c r="Y97" s="44" t="s">
        <v>155</v>
      </c>
      <c r="Z97" s="55" t="s">
        <v>50</v>
      </c>
      <c r="AA97" s="46">
        <v>0.8</v>
      </c>
      <c r="AB97" s="47">
        <v>0</v>
      </c>
      <c r="AC97" s="47">
        <v>0</v>
      </c>
      <c r="AD97" s="47">
        <v>0</v>
      </c>
      <c r="AE97" s="47">
        <v>1</v>
      </c>
      <c r="AF97" s="44"/>
      <c r="AG97" s="38">
        <v>3</v>
      </c>
    </row>
    <row r="98" spans="1:33" s="25" customFormat="1" ht="28.8" x14ac:dyDescent="0.3">
      <c r="B98" s="38" t="s">
        <v>311</v>
      </c>
      <c r="C98" s="37" t="s">
        <v>312</v>
      </c>
      <c r="D98" s="36" t="s">
        <v>305</v>
      </c>
      <c r="E98" s="38" t="s">
        <v>54</v>
      </c>
      <c r="F98" s="38" t="s">
        <v>55</v>
      </c>
      <c r="G98" s="38" t="s">
        <v>43</v>
      </c>
      <c r="H98" s="38" t="s">
        <v>44</v>
      </c>
      <c r="I98" s="38">
        <v>0</v>
      </c>
      <c r="J98" s="38">
        <v>0</v>
      </c>
      <c r="K98" s="38">
        <v>0</v>
      </c>
      <c r="L98" s="38">
        <v>0</v>
      </c>
      <c r="M98" s="39" t="s">
        <v>48</v>
      </c>
      <c r="N98" s="54" t="s">
        <v>238</v>
      </c>
      <c r="O98" s="41">
        <v>8.3290000000000006</v>
      </c>
      <c r="P98" s="41">
        <v>2.4986999999999999</v>
      </c>
      <c r="Q98" s="42">
        <v>0</v>
      </c>
      <c r="R98" s="41">
        <v>0</v>
      </c>
      <c r="S98" s="41">
        <v>0</v>
      </c>
      <c r="T98" s="43">
        <v>0</v>
      </c>
      <c r="U98" s="43">
        <v>0</v>
      </c>
      <c r="V98" s="39">
        <v>0</v>
      </c>
      <c r="W98" s="39">
        <v>0</v>
      </c>
      <c r="X98" s="39">
        <v>0</v>
      </c>
      <c r="Y98" s="44" t="s">
        <v>57</v>
      </c>
      <c r="Z98" s="55" t="s">
        <v>50</v>
      </c>
      <c r="AA98" s="46">
        <v>0.8</v>
      </c>
      <c r="AB98" s="47">
        <v>1</v>
      </c>
      <c r="AC98" s="47">
        <v>0</v>
      </c>
      <c r="AD98" s="47">
        <v>0</v>
      </c>
      <c r="AE98" s="47">
        <v>0</v>
      </c>
      <c r="AF98" s="44"/>
      <c r="AG98" s="48">
        <v>3</v>
      </c>
    </row>
    <row r="99" spans="1:33" s="25" customFormat="1" ht="28.8" x14ac:dyDescent="0.3">
      <c r="B99" s="38" t="s">
        <v>313</v>
      </c>
      <c r="C99" s="37" t="s">
        <v>314</v>
      </c>
      <c r="D99" s="36" t="s">
        <v>305</v>
      </c>
      <c r="E99" s="38" t="s">
        <v>54</v>
      </c>
      <c r="F99" s="38" t="s">
        <v>55</v>
      </c>
      <c r="G99" s="38" t="s">
        <v>43</v>
      </c>
      <c r="H99" s="38" t="s">
        <v>44</v>
      </c>
      <c r="I99" s="38">
        <v>0</v>
      </c>
      <c r="J99" s="38">
        <v>0</v>
      </c>
      <c r="K99" s="38">
        <v>0</v>
      </c>
      <c r="L99" s="38">
        <v>0</v>
      </c>
      <c r="M99" s="39" t="s">
        <v>48</v>
      </c>
      <c r="N99" s="54" t="s">
        <v>56</v>
      </c>
      <c r="O99" s="41">
        <v>30.175999999999998</v>
      </c>
      <c r="P99" s="41">
        <v>18.105599999999999</v>
      </c>
      <c r="Q99" s="42">
        <v>0</v>
      </c>
      <c r="R99" s="41">
        <v>0</v>
      </c>
      <c r="S99" s="41">
        <v>0</v>
      </c>
      <c r="T99" s="43">
        <v>0</v>
      </c>
      <c r="U99" s="43">
        <v>0</v>
      </c>
      <c r="V99" s="39">
        <v>0</v>
      </c>
      <c r="W99" s="39">
        <v>0</v>
      </c>
      <c r="X99" s="39">
        <v>0</v>
      </c>
      <c r="Y99" s="44" t="s">
        <v>306</v>
      </c>
      <c r="Z99" s="55" t="s">
        <v>50</v>
      </c>
      <c r="AA99" s="46">
        <v>0.8</v>
      </c>
      <c r="AB99" s="47">
        <v>0</v>
      </c>
      <c r="AC99" s="47">
        <v>0</v>
      </c>
      <c r="AD99" s="47">
        <v>1</v>
      </c>
      <c r="AE99" s="47">
        <v>0</v>
      </c>
      <c r="AF99" s="44"/>
      <c r="AG99" s="48">
        <v>3</v>
      </c>
    </row>
    <row r="100" spans="1:33" s="25" customFormat="1" ht="28.8" x14ac:dyDescent="0.3">
      <c r="B100" s="38" t="s">
        <v>315</v>
      </c>
      <c r="C100" s="37" t="s">
        <v>316</v>
      </c>
      <c r="D100" s="36" t="s">
        <v>305</v>
      </c>
      <c r="E100" s="38" t="s">
        <v>54</v>
      </c>
      <c r="F100" s="38" t="s">
        <v>55</v>
      </c>
      <c r="G100" s="38" t="s">
        <v>43</v>
      </c>
      <c r="H100" s="38" t="s">
        <v>44</v>
      </c>
      <c r="I100" s="38">
        <v>0</v>
      </c>
      <c r="J100" s="38">
        <v>0</v>
      </c>
      <c r="K100" s="38">
        <v>0</v>
      </c>
      <c r="L100" s="38">
        <v>0</v>
      </c>
      <c r="M100" s="39" t="s">
        <v>48</v>
      </c>
      <c r="N100" s="54" t="s">
        <v>56</v>
      </c>
      <c r="O100" s="41">
        <v>19.347000000000001</v>
      </c>
      <c r="P100" s="41">
        <v>11.6082</v>
      </c>
      <c r="Q100" s="42">
        <v>0</v>
      </c>
      <c r="R100" s="41">
        <v>0</v>
      </c>
      <c r="S100" s="41">
        <v>0</v>
      </c>
      <c r="T100" s="43">
        <v>0</v>
      </c>
      <c r="U100" s="43">
        <v>0</v>
      </c>
      <c r="V100" s="39">
        <v>0</v>
      </c>
      <c r="W100" s="39">
        <v>0</v>
      </c>
      <c r="X100" s="39">
        <v>0</v>
      </c>
      <c r="Y100" s="44" t="s">
        <v>306</v>
      </c>
      <c r="Z100" s="55" t="s">
        <v>71</v>
      </c>
      <c r="AA100" s="46">
        <v>0.8</v>
      </c>
      <c r="AB100" s="47">
        <v>0</v>
      </c>
      <c r="AC100" s="47">
        <v>0</v>
      </c>
      <c r="AD100" s="47">
        <v>1</v>
      </c>
      <c r="AE100" s="47">
        <v>0</v>
      </c>
      <c r="AF100" s="44"/>
      <c r="AG100" s="48">
        <v>2</v>
      </c>
    </row>
    <row r="101" spans="1:33" s="25" customFormat="1" ht="28.8" x14ac:dyDescent="0.3">
      <c r="B101" s="38" t="s">
        <v>317</v>
      </c>
      <c r="C101" s="37" t="s">
        <v>318</v>
      </c>
      <c r="D101" s="36" t="s">
        <v>305</v>
      </c>
      <c r="E101" s="38" t="s">
        <v>54</v>
      </c>
      <c r="F101" s="38" t="s">
        <v>55</v>
      </c>
      <c r="G101" s="38" t="s">
        <v>43</v>
      </c>
      <c r="H101" s="38" t="s">
        <v>190</v>
      </c>
      <c r="I101" s="38">
        <v>0</v>
      </c>
      <c r="J101" s="38">
        <v>0</v>
      </c>
      <c r="K101" s="38">
        <v>0</v>
      </c>
      <c r="L101" s="38">
        <v>0</v>
      </c>
      <c r="M101" s="39" t="s">
        <v>48</v>
      </c>
      <c r="N101" s="54" t="s">
        <v>49</v>
      </c>
      <c r="O101" s="41">
        <v>15.5</v>
      </c>
      <c r="P101" s="41">
        <v>15.5</v>
      </c>
      <c r="Q101" s="42">
        <v>0</v>
      </c>
      <c r="R101" s="41">
        <v>0</v>
      </c>
      <c r="S101" s="41">
        <v>0</v>
      </c>
      <c r="T101" s="43">
        <v>0</v>
      </c>
      <c r="U101" s="43">
        <v>0</v>
      </c>
      <c r="V101" s="39">
        <v>0</v>
      </c>
      <c r="W101" s="39">
        <v>0</v>
      </c>
      <c r="X101" s="39">
        <v>0</v>
      </c>
      <c r="Y101" s="44" t="s">
        <v>155</v>
      </c>
      <c r="Z101" s="55" t="s">
        <v>50</v>
      </c>
      <c r="AA101" s="46">
        <v>0.8</v>
      </c>
      <c r="AB101" s="47">
        <v>1</v>
      </c>
      <c r="AC101" s="47">
        <v>0</v>
      </c>
      <c r="AD101" s="47">
        <v>0</v>
      </c>
      <c r="AE101" s="47">
        <v>0</v>
      </c>
      <c r="AF101" s="44"/>
      <c r="AG101" s="48">
        <v>3</v>
      </c>
    </row>
    <row r="102" spans="1:33" s="25" customFormat="1" ht="28.8" x14ac:dyDescent="0.3">
      <c r="B102" s="38" t="s">
        <v>319</v>
      </c>
      <c r="C102" s="37" t="s">
        <v>320</v>
      </c>
      <c r="D102" s="36" t="s">
        <v>305</v>
      </c>
      <c r="E102" s="38" t="s">
        <v>54</v>
      </c>
      <c r="F102" s="38" t="s">
        <v>55</v>
      </c>
      <c r="G102" s="38" t="s">
        <v>43</v>
      </c>
      <c r="H102" s="38" t="s">
        <v>190</v>
      </c>
      <c r="I102" s="38">
        <v>0</v>
      </c>
      <c r="J102" s="38">
        <v>0</v>
      </c>
      <c r="K102" s="38">
        <v>0</v>
      </c>
      <c r="L102" s="38">
        <v>0</v>
      </c>
      <c r="M102" s="39" t="s">
        <v>48</v>
      </c>
      <c r="N102" s="54" t="s">
        <v>49</v>
      </c>
      <c r="O102" s="41">
        <v>4.5999999999999996</v>
      </c>
      <c r="P102" s="41">
        <v>4.5999999999999996</v>
      </c>
      <c r="Q102" s="42">
        <v>0</v>
      </c>
      <c r="R102" s="41">
        <v>0</v>
      </c>
      <c r="S102" s="41">
        <v>0</v>
      </c>
      <c r="T102" s="43">
        <v>0</v>
      </c>
      <c r="U102" s="43">
        <v>0</v>
      </c>
      <c r="V102" s="39">
        <v>0</v>
      </c>
      <c r="W102" s="39">
        <v>0</v>
      </c>
      <c r="X102" s="39">
        <v>0</v>
      </c>
      <c r="Y102" s="44" t="s">
        <v>155</v>
      </c>
      <c r="Z102" s="55" t="s">
        <v>50</v>
      </c>
      <c r="AA102" s="46">
        <v>0.8</v>
      </c>
      <c r="AB102" s="47">
        <v>1</v>
      </c>
      <c r="AC102" s="47">
        <v>0</v>
      </c>
      <c r="AD102" s="47">
        <v>0</v>
      </c>
      <c r="AE102" s="47">
        <v>0</v>
      </c>
      <c r="AF102" s="44"/>
      <c r="AG102" s="38">
        <v>3</v>
      </c>
    </row>
    <row r="103" spans="1:33" s="25" customFormat="1" ht="28.8" x14ac:dyDescent="0.3">
      <c r="B103" s="38" t="s">
        <v>321</v>
      </c>
      <c r="C103" s="37" t="s">
        <v>322</v>
      </c>
      <c r="D103" s="36" t="s">
        <v>305</v>
      </c>
      <c r="E103" s="38" t="s">
        <v>54</v>
      </c>
      <c r="F103" s="38" t="s">
        <v>55</v>
      </c>
      <c r="G103" s="38" t="s">
        <v>43</v>
      </c>
      <c r="H103" s="38" t="s">
        <v>190</v>
      </c>
      <c r="I103" s="38">
        <v>0</v>
      </c>
      <c r="J103" s="38">
        <v>0</v>
      </c>
      <c r="K103" s="38">
        <v>0</v>
      </c>
      <c r="L103" s="38">
        <v>0</v>
      </c>
      <c r="M103" s="39" t="s">
        <v>48</v>
      </c>
      <c r="N103" s="54" t="s">
        <v>49</v>
      </c>
      <c r="O103" s="41">
        <v>8.048</v>
      </c>
      <c r="P103" s="41">
        <v>8.048</v>
      </c>
      <c r="Q103" s="42">
        <v>0</v>
      </c>
      <c r="R103" s="41">
        <v>0</v>
      </c>
      <c r="S103" s="41">
        <v>0</v>
      </c>
      <c r="T103" s="43">
        <v>0</v>
      </c>
      <c r="U103" s="43">
        <v>0</v>
      </c>
      <c r="V103" s="39">
        <v>0</v>
      </c>
      <c r="W103" s="39">
        <v>0</v>
      </c>
      <c r="X103" s="39">
        <v>0</v>
      </c>
      <c r="Y103" s="44" t="s">
        <v>155</v>
      </c>
      <c r="Z103" s="55" t="s">
        <v>50</v>
      </c>
      <c r="AA103" s="46">
        <v>0.8</v>
      </c>
      <c r="AB103" s="47">
        <v>1</v>
      </c>
      <c r="AC103" s="47">
        <v>0</v>
      </c>
      <c r="AD103" s="47">
        <v>0</v>
      </c>
      <c r="AE103" s="47">
        <v>0</v>
      </c>
      <c r="AF103" s="44"/>
      <c r="AG103" s="48">
        <v>3</v>
      </c>
    </row>
    <row r="104" spans="1:33" s="25" customFormat="1" ht="28.8" x14ac:dyDescent="0.3">
      <c r="B104" s="38" t="s">
        <v>323</v>
      </c>
      <c r="C104" s="37" t="s">
        <v>324</v>
      </c>
      <c r="D104" s="36" t="s">
        <v>305</v>
      </c>
      <c r="E104" s="38" t="s">
        <v>54</v>
      </c>
      <c r="F104" s="38" t="s">
        <v>55</v>
      </c>
      <c r="G104" s="38" t="s">
        <v>43</v>
      </c>
      <c r="H104" s="38" t="s">
        <v>190</v>
      </c>
      <c r="I104" s="38">
        <v>0</v>
      </c>
      <c r="J104" s="38">
        <v>0</v>
      </c>
      <c r="K104" s="38">
        <v>0</v>
      </c>
      <c r="L104" s="38">
        <v>0</v>
      </c>
      <c r="M104" s="39" t="s">
        <v>48</v>
      </c>
      <c r="N104" s="54" t="s">
        <v>49</v>
      </c>
      <c r="O104" s="41">
        <v>14.8</v>
      </c>
      <c r="P104" s="41">
        <v>14.8</v>
      </c>
      <c r="Q104" s="42">
        <v>0</v>
      </c>
      <c r="R104" s="41">
        <v>0</v>
      </c>
      <c r="S104" s="41">
        <v>0</v>
      </c>
      <c r="T104" s="43">
        <v>0</v>
      </c>
      <c r="U104" s="43">
        <v>0</v>
      </c>
      <c r="V104" s="39">
        <v>0</v>
      </c>
      <c r="W104" s="39">
        <v>0</v>
      </c>
      <c r="X104" s="39">
        <v>0</v>
      </c>
      <c r="Y104" s="44" t="s">
        <v>155</v>
      </c>
      <c r="Z104" s="55" t="s">
        <v>50</v>
      </c>
      <c r="AA104" s="46">
        <v>0.8</v>
      </c>
      <c r="AB104" s="47">
        <v>1</v>
      </c>
      <c r="AC104" s="47">
        <v>0</v>
      </c>
      <c r="AD104" s="47">
        <v>0</v>
      </c>
      <c r="AE104" s="47">
        <v>0</v>
      </c>
      <c r="AF104" s="44"/>
      <c r="AG104" s="48">
        <v>3</v>
      </c>
    </row>
    <row r="105" spans="1:33" s="25" customFormat="1" ht="28.8" x14ac:dyDescent="0.3">
      <c r="B105" s="38" t="s">
        <v>325</v>
      </c>
      <c r="C105" s="37" t="s">
        <v>326</v>
      </c>
      <c r="D105" s="36" t="s">
        <v>305</v>
      </c>
      <c r="E105" s="38" t="s">
        <v>54</v>
      </c>
      <c r="F105" s="38" t="s">
        <v>55</v>
      </c>
      <c r="G105" s="38" t="s">
        <v>43</v>
      </c>
      <c r="H105" s="38" t="s">
        <v>190</v>
      </c>
      <c r="I105" s="38">
        <v>0</v>
      </c>
      <c r="J105" s="38">
        <v>0</v>
      </c>
      <c r="K105" s="38">
        <v>0</v>
      </c>
      <c r="L105" s="38">
        <v>0</v>
      </c>
      <c r="M105" s="39" t="s">
        <v>48</v>
      </c>
      <c r="N105" s="54" t="s">
        <v>49</v>
      </c>
      <c r="O105" s="41">
        <v>4.2</v>
      </c>
      <c r="P105" s="41">
        <v>4.2</v>
      </c>
      <c r="Q105" s="42">
        <v>0</v>
      </c>
      <c r="R105" s="41">
        <v>0</v>
      </c>
      <c r="S105" s="41">
        <v>0</v>
      </c>
      <c r="T105" s="43">
        <v>0</v>
      </c>
      <c r="U105" s="43">
        <v>0</v>
      </c>
      <c r="V105" s="39">
        <v>0</v>
      </c>
      <c r="W105" s="39">
        <v>0</v>
      </c>
      <c r="X105" s="39">
        <v>0</v>
      </c>
      <c r="Y105" s="44" t="s">
        <v>155</v>
      </c>
      <c r="Z105" s="55" t="s">
        <v>50</v>
      </c>
      <c r="AA105" s="46">
        <v>0.8</v>
      </c>
      <c r="AB105" s="47">
        <v>1</v>
      </c>
      <c r="AC105" s="47">
        <v>0</v>
      </c>
      <c r="AD105" s="47">
        <v>0</v>
      </c>
      <c r="AE105" s="47">
        <v>0</v>
      </c>
      <c r="AF105" s="44"/>
      <c r="AG105" s="48">
        <v>3</v>
      </c>
    </row>
    <row r="106" spans="1:33" s="25" customFormat="1" ht="28.8" x14ac:dyDescent="0.3">
      <c r="B106" s="38" t="s">
        <v>327</v>
      </c>
      <c r="C106" s="37" t="s">
        <v>328</v>
      </c>
      <c r="D106" s="36" t="s">
        <v>305</v>
      </c>
      <c r="E106" s="38" t="s">
        <v>54</v>
      </c>
      <c r="F106" s="38" t="s">
        <v>55</v>
      </c>
      <c r="G106" s="38" t="s">
        <v>43</v>
      </c>
      <c r="H106" s="38" t="s">
        <v>190</v>
      </c>
      <c r="I106" s="38">
        <v>0</v>
      </c>
      <c r="J106" s="38">
        <v>0</v>
      </c>
      <c r="K106" s="38">
        <v>0</v>
      </c>
      <c r="L106" s="38">
        <v>0</v>
      </c>
      <c r="M106" s="39" t="s">
        <v>48</v>
      </c>
      <c r="N106" s="54" t="s">
        <v>49</v>
      </c>
      <c r="O106" s="41">
        <v>36.799999999999997</v>
      </c>
      <c r="P106" s="41">
        <v>36.799999999999997</v>
      </c>
      <c r="Q106" s="42">
        <v>0</v>
      </c>
      <c r="R106" s="41">
        <v>0</v>
      </c>
      <c r="S106" s="41">
        <v>0</v>
      </c>
      <c r="T106" s="43">
        <v>0</v>
      </c>
      <c r="U106" s="43">
        <v>0</v>
      </c>
      <c r="V106" s="39">
        <v>0</v>
      </c>
      <c r="W106" s="39">
        <v>0</v>
      </c>
      <c r="X106" s="39">
        <v>0</v>
      </c>
      <c r="Y106" s="44" t="s">
        <v>155</v>
      </c>
      <c r="Z106" s="55" t="s">
        <v>50</v>
      </c>
      <c r="AA106" s="46">
        <v>0.8</v>
      </c>
      <c r="AB106" s="47">
        <v>1</v>
      </c>
      <c r="AC106" s="47">
        <v>0</v>
      </c>
      <c r="AD106" s="47">
        <v>0</v>
      </c>
      <c r="AE106" s="47">
        <v>0</v>
      </c>
      <c r="AF106" s="44"/>
      <c r="AG106" s="48">
        <v>3</v>
      </c>
    </row>
    <row r="107" spans="1:33" s="25" customFormat="1" ht="28.8" x14ac:dyDescent="0.3">
      <c r="B107" s="38" t="s">
        <v>329</v>
      </c>
      <c r="C107" s="37" t="s">
        <v>330</v>
      </c>
      <c r="D107" s="36" t="s">
        <v>305</v>
      </c>
      <c r="E107" s="38" t="s">
        <v>42</v>
      </c>
      <c r="F107" s="38" t="s">
        <v>80</v>
      </c>
      <c r="G107" s="38" t="s">
        <v>43</v>
      </c>
      <c r="H107" s="38" t="s">
        <v>44</v>
      </c>
      <c r="I107" s="38" t="s">
        <v>45</v>
      </c>
      <c r="J107" s="38" t="s">
        <v>46</v>
      </c>
      <c r="K107" s="38" t="s">
        <v>45</v>
      </c>
      <c r="L107" s="38" t="s">
        <v>46</v>
      </c>
      <c r="M107" s="39" t="s">
        <v>48</v>
      </c>
      <c r="N107" s="54" t="s">
        <v>331</v>
      </c>
      <c r="O107" s="41">
        <v>525</v>
      </c>
      <c r="P107" s="41">
        <v>315</v>
      </c>
      <c r="Q107" s="42">
        <v>0</v>
      </c>
      <c r="R107" s="41">
        <v>0</v>
      </c>
      <c r="S107" s="41">
        <v>0</v>
      </c>
      <c r="T107" s="43">
        <v>0</v>
      </c>
      <c r="U107" s="43">
        <v>0</v>
      </c>
      <c r="V107" s="39" t="s">
        <v>332</v>
      </c>
      <c r="W107" s="39" t="s">
        <v>333</v>
      </c>
      <c r="X107" s="39">
        <v>0</v>
      </c>
      <c r="Y107" s="44"/>
      <c r="Z107" s="55" t="s">
        <v>71</v>
      </c>
      <c r="AA107" s="46">
        <v>1</v>
      </c>
      <c r="AB107" s="47">
        <v>0</v>
      </c>
      <c r="AC107" s="47">
        <v>0</v>
      </c>
      <c r="AD107" s="47">
        <v>1</v>
      </c>
      <c r="AE107" s="47">
        <v>0</v>
      </c>
      <c r="AF107" s="44"/>
      <c r="AG107" s="38">
        <v>2</v>
      </c>
    </row>
    <row r="108" spans="1:33" s="25" customFormat="1" ht="28.8" x14ac:dyDescent="0.3">
      <c r="B108" s="38" t="s">
        <v>334</v>
      </c>
      <c r="C108" s="37" t="s">
        <v>335</v>
      </c>
      <c r="D108" s="36" t="s">
        <v>336</v>
      </c>
      <c r="E108" s="38" t="s">
        <v>54</v>
      </c>
      <c r="F108" s="38" t="s">
        <v>55</v>
      </c>
      <c r="G108" s="38" t="s">
        <v>43</v>
      </c>
      <c r="H108" s="38" t="s">
        <v>44</v>
      </c>
      <c r="I108" s="38">
        <v>0</v>
      </c>
      <c r="J108" s="38">
        <v>0</v>
      </c>
      <c r="K108" s="38">
        <v>0</v>
      </c>
      <c r="L108" s="38">
        <v>0</v>
      </c>
      <c r="M108" s="39" t="s">
        <v>48</v>
      </c>
      <c r="N108" s="54" t="s">
        <v>75</v>
      </c>
      <c r="O108" s="41">
        <v>5.3896100000000002</v>
      </c>
      <c r="P108" s="41">
        <v>1.077922</v>
      </c>
      <c r="Q108" s="42">
        <v>0</v>
      </c>
      <c r="R108" s="41">
        <v>0</v>
      </c>
      <c r="S108" s="41">
        <v>0</v>
      </c>
      <c r="T108" s="43">
        <v>0</v>
      </c>
      <c r="U108" s="43">
        <v>0</v>
      </c>
      <c r="V108" s="39">
        <v>0</v>
      </c>
      <c r="W108" s="39">
        <v>0</v>
      </c>
      <c r="X108" s="39">
        <v>0</v>
      </c>
      <c r="Y108" s="44" t="s">
        <v>76</v>
      </c>
      <c r="Z108" s="55" t="s">
        <v>71</v>
      </c>
      <c r="AA108" s="46">
        <v>0.60000000000000009</v>
      </c>
      <c r="AB108" s="47">
        <v>0</v>
      </c>
      <c r="AC108" s="47">
        <v>0</v>
      </c>
      <c r="AD108" s="47">
        <v>0</v>
      </c>
      <c r="AE108" s="47">
        <v>0</v>
      </c>
      <c r="AF108" s="44"/>
      <c r="AG108" s="38">
        <v>2</v>
      </c>
    </row>
    <row r="109" spans="1:33" s="25" customFormat="1" ht="28.8" x14ac:dyDescent="0.3">
      <c r="A109"/>
      <c r="B109" s="38" t="s">
        <v>337</v>
      </c>
      <c r="C109" s="37" t="s">
        <v>338</v>
      </c>
      <c r="D109" s="36" t="s">
        <v>336</v>
      </c>
      <c r="E109" s="38" t="s">
        <v>42</v>
      </c>
      <c r="F109" s="38" t="s">
        <v>35</v>
      </c>
      <c r="G109" s="38" t="s">
        <v>43</v>
      </c>
      <c r="H109" s="38" t="s">
        <v>44</v>
      </c>
      <c r="I109" s="38">
        <v>0</v>
      </c>
      <c r="J109" s="38">
        <v>0</v>
      </c>
      <c r="K109" s="38">
        <v>0</v>
      </c>
      <c r="L109" s="38">
        <v>0</v>
      </c>
      <c r="M109" s="39" t="s">
        <v>48</v>
      </c>
      <c r="N109" s="54" t="s">
        <v>56</v>
      </c>
      <c r="O109" s="41">
        <v>9</v>
      </c>
      <c r="P109" s="41">
        <v>6.3</v>
      </c>
      <c r="Q109" s="42">
        <v>0</v>
      </c>
      <c r="R109" s="41">
        <v>0</v>
      </c>
      <c r="S109" s="41">
        <v>0</v>
      </c>
      <c r="T109" s="43">
        <v>0</v>
      </c>
      <c r="U109" s="43">
        <v>0</v>
      </c>
      <c r="V109" s="39">
        <v>0</v>
      </c>
      <c r="W109" s="39">
        <v>0</v>
      </c>
      <c r="X109" s="39">
        <v>0</v>
      </c>
      <c r="Y109" s="44" t="s">
        <v>339</v>
      </c>
      <c r="Z109" s="55" t="s">
        <v>71</v>
      </c>
      <c r="AA109" s="46">
        <v>0.8</v>
      </c>
      <c r="AB109" s="47">
        <v>0</v>
      </c>
      <c r="AC109" s="47">
        <v>0</v>
      </c>
      <c r="AD109" s="47">
        <v>1</v>
      </c>
      <c r="AE109" s="47">
        <v>0</v>
      </c>
      <c r="AF109" s="44" t="s">
        <v>340</v>
      </c>
      <c r="AG109" s="48">
        <v>2</v>
      </c>
    </row>
    <row r="110" spans="1:33" s="25" customFormat="1" ht="28.8" x14ac:dyDescent="0.3">
      <c r="B110" s="38" t="s">
        <v>341</v>
      </c>
      <c r="C110" s="37" t="s">
        <v>342</v>
      </c>
      <c r="D110" s="36" t="s">
        <v>343</v>
      </c>
      <c r="E110" s="38" t="s">
        <v>54</v>
      </c>
      <c r="F110" s="38" t="s">
        <v>55</v>
      </c>
      <c r="G110" s="38" t="s">
        <v>43</v>
      </c>
      <c r="H110" s="38" t="s">
        <v>44</v>
      </c>
      <c r="I110" s="38">
        <v>0</v>
      </c>
      <c r="J110" s="38">
        <v>0</v>
      </c>
      <c r="K110" s="38">
        <v>0</v>
      </c>
      <c r="L110" s="38">
        <v>0</v>
      </c>
      <c r="M110" s="39" t="s">
        <v>48</v>
      </c>
      <c r="N110" s="54" t="s">
        <v>49</v>
      </c>
      <c r="O110" s="41">
        <v>42.816380665410406</v>
      </c>
      <c r="P110" s="41">
        <v>42.816380665410406</v>
      </c>
      <c r="Q110" s="56">
        <v>0</v>
      </c>
      <c r="R110" s="56">
        <v>0</v>
      </c>
      <c r="S110" s="56">
        <v>0</v>
      </c>
      <c r="T110" s="56">
        <v>0</v>
      </c>
      <c r="U110" s="56">
        <v>0</v>
      </c>
      <c r="V110" s="56">
        <v>0</v>
      </c>
      <c r="W110" s="56">
        <v>0</v>
      </c>
      <c r="X110" s="56">
        <v>0</v>
      </c>
      <c r="Y110" s="44" t="s">
        <v>344</v>
      </c>
      <c r="Z110" s="55" t="s">
        <v>50</v>
      </c>
      <c r="AA110" s="46">
        <v>0.8</v>
      </c>
      <c r="AB110" s="47">
        <v>0</v>
      </c>
      <c r="AC110" s="47">
        <v>0</v>
      </c>
      <c r="AD110" s="47">
        <v>1</v>
      </c>
      <c r="AE110" s="47">
        <v>0</v>
      </c>
      <c r="AF110" s="56"/>
      <c r="AG110" s="48">
        <v>3</v>
      </c>
    </row>
    <row r="111" spans="1:33" s="25" customFormat="1" ht="28.8" x14ac:dyDescent="0.3">
      <c r="B111" s="38" t="s">
        <v>345</v>
      </c>
      <c r="C111" s="37" t="s">
        <v>346</v>
      </c>
      <c r="D111" s="36" t="s">
        <v>343</v>
      </c>
      <c r="E111" s="38" t="s">
        <v>87</v>
      </c>
      <c r="F111" s="38" t="s">
        <v>36</v>
      </c>
      <c r="G111" s="38" t="s">
        <v>88</v>
      </c>
      <c r="H111" s="38" t="s">
        <v>61</v>
      </c>
      <c r="I111" s="38">
        <v>0</v>
      </c>
      <c r="J111" s="38">
        <v>0</v>
      </c>
      <c r="K111" s="38">
        <v>0</v>
      </c>
      <c r="L111" s="38">
        <v>0</v>
      </c>
      <c r="M111" s="39" t="s">
        <v>48</v>
      </c>
      <c r="N111" s="54" t="s">
        <v>56</v>
      </c>
      <c r="O111" s="41">
        <v>16</v>
      </c>
      <c r="P111" s="41">
        <v>12</v>
      </c>
      <c r="Q111" s="42">
        <v>0</v>
      </c>
      <c r="R111" s="41">
        <v>0</v>
      </c>
      <c r="S111" s="41">
        <v>0</v>
      </c>
      <c r="T111" s="43">
        <v>0</v>
      </c>
      <c r="U111" s="43">
        <v>0</v>
      </c>
      <c r="V111" s="39">
        <v>0</v>
      </c>
      <c r="W111" s="39">
        <v>0</v>
      </c>
      <c r="X111" s="39">
        <v>0</v>
      </c>
      <c r="Y111" s="44" t="s">
        <v>347</v>
      </c>
      <c r="Z111" s="55" t="s">
        <v>50</v>
      </c>
      <c r="AA111" s="46">
        <v>1</v>
      </c>
      <c r="AB111" s="47">
        <v>0</v>
      </c>
      <c r="AC111" s="47">
        <v>0</v>
      </c>
      <c r="AD111" s="47">
        <v>0</v>
      </c>
      <c r="AE111" s="47">
        <v>1</v>
      </c>
      <c r="AF111" s="44" t="s">
        <v>348</v>
      </c>
      <c r="AG111" s="38">
        <v>3</v>
      </c>
    </row>
    <row r="112" spans="1:33" s="25" customFormat="1" ht="43.2" x14ac:dyDescent="0.3">
      <c r="B112" s="38" t="s">
        <v>349</v>
      </c>
      <c r="C112" s="37" t="s">
        <v>350</v>
      </c>
      <c r="D112" s="36" t="s">
        <v>343</v>
      </c>
      <c r="E112" s="38" t="s">
        <v>42</v>
      </c>
      <c r="F112" s="38" t="s">
        <v>35</v>
      </c>
      <c r="G112" s="38" t="s">
        <v>43</v>
      </c>
      <c r="H112" s="38" t="s">
        <v>44</v>
      </c>
      <c r="I112" s="38">
        <v>0</v>
      </c>
      <c r="J112" s="38">
        <v>0</v>
      </c>
      <c r="K112" s="38">
        <v>0</v>
      </c>
      <c r="L112" s="38">
        <v>0</v>
      </c>
      <c r="M112" s="39" t="s">
        <v>48</v>
      </c>
      <c r="N112" s="54" t="s">
        <v>49</v>
      </c>
      <c r="O112" s="41">
        <v>65.995949999999993</v>
      </c>
      <c r="P112" s="41">
        <v>65.995949999999993</v>
      </c>
      <c r="Q112" s="42">
        <v>0</v>
      </c>
      <c r="R112" s="41">
        <v>0</v>
      </c>
      <c r="S112" s="41">
        <v>0</v>
      </c>
      <c r="T112" s="43">
        <v>0</v>
      </c>
      <c r="U112" s="43">
        <v>0</v>
      </c>
      <c r="V112" s="39">
        <v>0</v>
      </c>
      <c r="W112" s="39">
        <v>0</v>
      </c>
      <c r="X112" s="39">
        <v>0</v>
      </c>
      <c r="Y112" s="44" t="s">
        <v>351</v>
      </c>
      <c r="Z112" s="55" t="s">
        <v>50</v>
      </c>
      <c r="AA112" s="46">
        <v>0.9</v>
      </c>
      <c r="AB112" s="47">
        <v>0</v>
      </c>
      <c r="AC112" s="47">
        <v>0</v>
      </c>
      <c r="AD112" s="47">
        <v>1</v>
      </c>
      <c r="AE112" s="47">
        <v>0</v>
      </c>
      <c r="AF112" s="44" t="s">
        <v>352</v>
      </c>
      <c r="AG112" s="38">
        <v>3</v>
      </c>
    </row>
    <row r="113" spans="2:33" s="25" customFormat="1" ht="28.8" x14ac:dyDescent="0.3">
      <c r="B113" s="38" t="s">
        <v>353</v>
      </c>
      <c r="C113" s="37" t="s">
        <v>354</v>
      </c>
      <c r="D113" s="36" t="s">
        <v>343</v>
      </c>
      <c r="E113" s="38" t="s">
        <v>42</v>
      </c>
      <c r="F113" s="38" t="s">
        <v>33</v>
      </c>
      <c r="G113" s="38" t="s">
        <v>43</v>
      </c>
      <c r="H113" s="38" t="s">
        <v>44</v>
      </c>
      <c r="I113" s="38" t="s">
        <v>46</v>
      </c>
      <c r="J113" s="38" t="s">
        <v>47</v>
      </c>
      <c r="K113" s="38" t="s">
        <v>46</v>
      </c>
      <c r="L113" s="38" t="s">
        <v>47</v>
      </c>
      <c r="M113" s="39" t="s">
        <v>48</v>
      </c>
      <c r="N113" s="54" t="s">
        <v>49</v>
      </c>
      <c r="O113" s="41">
        <v>17.690555555555537</v>
      </c>
      <c r="P113" s="41">
        <v>17.690555555555537</v>
      </c>
      <c r="Q113" s="42">
        <v>0</v>
      </c>
      <c r="R113" s="41">
        <v>0</v>
      </c>
      <c r="S113" s="41">
        <v>0</v>
      </c>
      <c r="T113" s="43">
        <v>0</v>
      </c>
      <c r="U113" s="43">
        <v>0</v>
      </c>
      <c r="V113" s="39">
        <v>0</v>
      </c>
      <c r="W113" s="39">
        <v>0</v>
      </c>
      <c r="X113" s="39">
        <v>0</v>
      </c>
      <c r="Y113" s="44"/>
      <c r="Z113" s="55" t="s">
        <v>50</v>
      </c>
      <c r="AA113" s="46">
        <v>0.9</v>
      </c>
      <c r="AB113" s="47">
        <v>1</v>
      </c>
      <c r="AC113" s="47">
        <v>0</v>
      </c>
      <c r="AD113" s="47">
        <v>0</v>
      </c>
      <c r="AE113" s="47">
        <v>0</v>
      </c>
      <c r="AF113" s="44"/>
      <c r="AG113" s="48">
        <v>3</v>
      </c>
    </row>
    <row r="114" spans="2:33" s="25" customFormat="1" ht="28.8" x14ac:dyDescent="0.3">
      <c r="B114" s="38" t="s">
        <v>355</v>
      </c>
      <c r="C114" s="37" t="s">
        <v>356</v>
      </c>
      <c r="D114" s="36" t="s">
        <v>357</v>
      </c>
      <c r="E114" s="38" t="s">
        <v>54</v>
      </c>
      <c r="F114" s="38" t="s">
        <v>55</v>
      </c>
      <c r="G114" s="38" t="s">
        <v>43</v>
      </c>
      <c r="H114" s="38" t="s">
        <v>44</v>
      </c>
      <c r="I114" s="38">
        <v>0</v>
      </c>
      <c r="J114" s="38">
        <v>0</v>
      </c>
      <c r="K114" s="38">
        <v>0</v>
      </c>
      <c r="L114" s="38">
        <v>0</v>
      </c>
      <c r="M114" s="39" t="s">
        <v>48</v>
      </c>
      <c r="N114" s="54" t="s">
        <v>75</v>
      </c>
      <c r="O114" s="41">
        <v>2.6900000000000004</v>
      </c>
      <c r="P114" s="41">
        <v>0.53800000000000014</v>
      </c>
      <c r="Q114" s="42">
        <v>0</v>
      </c>
      <c r="R114" s="41">
        <v>0</v>
      </c>
      <c r="S114" s="41">
        <v>0</v>
      </c>
      <c r="T114" s="43">
        <v>0</v>
      </c>
      <c r="U114" s="43">
        <v>0</v>
      </c>
      <c r="V114" s="39">
        <v>0</v>
      </c>
      <c r="W114" s="39">
        <v>0</v>
      </c>
      <c r="X114" s="39">
        <v>0</v>
      </c>
      <c r="Y114" s="44" t="s">
        <v>76</v>
      </c>
      <c r="Z114" s="55" t="s">
        <v>71</v>
      </c>
      <c r="AA114" s="46">
        <v>0.60000000000000009</v>
      </c>
      <c r="AB114" s="47">
        <v>0</v>
      </c>
      <c r="AC114" s="47">
        <v>0</v>
      </c>
      <c r="AD114" s="47">
        <v>0</v>
      </c>
      <c r="AE114" s="47">
        <v>0</v>
      </c>
      <c r="AF114" s="44"/>
      <c r="AG114" s="38">
        <v>2</v>
      </c>
    </row>
    <row r="115" spans="2:33" s="25" customFormat="1" ht="57.6" x14ac:dyDescent="0.3">
      <c r="B115" s="38" t="s">
        <v>358</v>
      </c>
      <c r="C115" s="37" t="s">
        <v>359</v>
      </c>
      <c r="D115" s="36" t="s">
        <v>357</v>
      </c>
      <c r="E115" s="38" t="s">
        <v>42</v>
      </c>
      <c r="F115" s="38" t="s">
        <v>35</v>
      </c>
      <c r="G115" s="38" t="s">
        <v>43</v>
      </c>
      <c r="H115" s="38" t="s">
        <v>44</v>
      </c>
      <c r="I115" s="38">
        <v>0</v>
      </c>
      <c r="J115" s="38">
        <v>0</v>
      </c>
      <c r="K115" s="38">
        <v>0</v>
      </c>
      <c r="L115" s="38">
        <v>0</v>
      </c>
      <c r="M115" s="39" t="s">
        <v>48</v>
      </c>
      <c r="N115" s="54" t="s">
        <v>49</v>
      </c>
      <c r="O115" s="41">
        <v>17.954300000000003</v>
      </c>
      <c r="P115" s="41">
        <v>17.954300000000003</v>
      </c>
      <c r="Q115" s="42">
        <v>0</v>
      </c>
      <c r="R115" s="41">
        <v>0</v>
      </c>
      <c r="S115" s="41">
        <v>0</v>
      </c>
      <c r="T115" s="43">
        <v>0</v>
      </c>
      <c r="U115" s="43">
        <v>0</v>
      </c>
      <c r="V115" s="39">
        <v>0</v>
      </c>
      <c r="W115" s="39">
        <v>0</v>
      </c>
      <c r="X115" s="39">
        <v>0</v>
      </c>
      <c r="Y115" s="44" t="s">
        <v>360</v>
      </c>
      <c r="Z115" s="55" t="s">
        <v>50</v>
      </c>
      <c r="AA115" s="46">
        <v>0.9</v>
      </c>
      <c r="AB115" s="47">
        <v>0</v>
      </c>
      <c r="AC115" s="47">
        <v>0</v>
      </c>
      <c r="AD115" s="47">
        <v>1</v>
      </c>
      <c r="AE115" s="47">
        <v>0</v>
      </c>
      <c r="AF115" s="44" t="s">
        <v>361</v>
      </c>
      <c r="AG115" s="48">
        <v>0</v>
      </c>
    </row>
    <row r="116" spans="2:33" s="25" customFormat="1" ht="28.8" x14ac:dyDescent="0.3">
      <c r="B116" s="38" t="s">
        <v>362</v>
      </c>
      <c r="C116" s="37" t="s">
        <v>363</v>
      </c>
      <c r="D116" s="36" t="s">
        <v>364</v>
      </c>
      <c r="E116" s="38" t="s">
        <v>54</v>
      </c>
      <c r="F116" s="38" t="s">
        <v>55</v>
      </c>
      <c r="G116" s="38" t="s">
        <v>43</v>
      </c>
      <c r="H116" s="38" t="s">
        <v>44</v>
      </c>
      <c r="I116" s="38">
        <v>0</v>
      </c>
      <c r="J116" s="38">
        <v>0</v>
      </c>
      <c r="K116" s="38">
        <v>0</v>
      </c>
      <c r="L116" s="38">
        <v>0</v>
      </c>
      <c r="M116" s="39" t="s">
        <v>48</v>
      </c>
      <c r="N116" s="54" t="s">
        <v>49</v>
      </c>
      <c r="O116" s="41">
        <v>94.905000000000001</v>
      </c>
      <c r="P116" s="41">
        <v>94.905000000000001</v>
      </c>
      <c r="Q116" s="42">
        <v>0</v>
      </c>
      <c r="R116" s="41">
        <v>0</v>
      </c>
      <c r="S116" s="41">
        <v>0</v>
      </c>
      <c r="T116" s="43">
        <v>0</v>
      </c>
      <c r="U116" s="43">
        <v>0</v>
      </c>
      <c r="V116" s="39">
        <v>0</v>
      </c>
      <c r="W116" s="39">
        <v>0</v>
      </c>
      <c r="X116" s="39">
        <v>0</v>
      </c>
      <c r="Y116" s="44" t="s">
        <v>57</v>
      </c>
      <c r="Z116" s="55" t="s">
        <v>50</v>
      </c>
      <c r="AA116" s="46">
        <v>0.8</v>
      </c>
      <c r="AB116" s="47">
        <v>0.30000000000000016</v>
      </c>
      <c r="AC116" s="47">
        <v>0.10000000000000014</v>
      </c>
      <c r="AD116" s="47">
        <v>0.50000000000000011</v>
      </c>
      <c r="AE116" s="47">
        <v>0.10000000000000014</v>
      </c>
      <c r="AF116" s="44"/>
      <c r="AG116" s="38">
        <v>3</v>
      </c>
    </row>
    <row r="117" spans="2:33" s="25" customFormat="1" ht="28.8" x14ac:dyDescent="0.3">
      <c r="B117" s="38" t="s">
        <v>365</v>
      </c>
      <c r="C117" s="37" t="s">
        <v>366</v>
      </c>
      <c r="D117" s="36" t="s">
        <v>364</v>
      </c>
      <c r="E117" s="38" t="s">
        <v>54</v>
      </c>
      <c r="F117" s="38" t="s">
        <v>55</v>
      </c>
      <c r="G117" s="38" t="s">
        <v>43</v>
      </c>
      <c r="H117" s="38" t="s">
        <v>44</v>
      </c>
      <c r="I117" s="38">
        <v>0</v>
      </c>
      <c r="J117" s="38">
        <v>0</v>
      </c>
      <c r="K117" s="38">
        <v>0</v>
      </c>
      <c r="L117" s="38">
        <v>0</v>
      </c>
      <c r="M117" s="39" t="s">
        <v>48</v>
      </c>
      <c r="N117" s="54" t="s">
        <v>49</v>
      </c>
      <c r="O117" s="41">
        <v>19.2</v>
      </c>
      <c r="P117" s="41">
        <v>19.2</v>
      </c>
      <c r="Q117" s="42">
        <v>0</v>
      </c>
      <c r="R117" s="41">
        <v>0</v>
      </c>
      <c r="S117" s="41">
        <v>0</v>
      </c>
      <c r="T117" s="43">
        <v>0</v>
      </c>
      <c r="U117" s="43">
        <v>0</v>
      </c>
      <c r="V117" s="39">
        <v>0</v>
      </c>
      <c r="W117" s="39">
        <v>0</v>
      </c>
      <c r="X117" s="39">
        <v>0</v>
      </c>
      <c r="Y117" s="44" t="s">
        <v>242</v>
      </c>
      <c r="Z117" s="55" t="s">
        <v>71</v>
      </c>
      <c r="AA117" s="46">
        <v>0.9</v>
      </c>
      <c r="AB117" s="47">
        <v>1</v>
      </c>
      <c r="AC117" s="47">
        <v>0</v>
      </c>
      <c r="AD117" s="47">
        <v>0</v>
      </c>
      <c r="AE117" s="47">
        <v>0</v>
      </c>
      <c r="AF117" s="44"/>
      <c r="AG117" s="38">
        <v>2</v>
      </c>
    </row>
    <row r="118" spans="2:33" s="25" customFormat="1" ht="28.8" x14ac:dyDescent="0.3">
      <c r="B118" s="38" t="s">
        <v>367</v>
      </c>
      <c r="C118" s="37" t="s">
        <v>368</v>
      </c>
      <c r="D118" s="36" t="s">
        <v>364</v>
      </c>
      <c r="E118" s="38" t="s">
        <v>42</v>
      </c>
      <c r="F118" s="38" t="s">
        <v>33</v>
      </c>
      <c r="G118" s="38" t="s">
        <v>43</v>
      </c>
      <c r="H118" s="38" t="s">
        <v>44</v>
      </c>
      <c r="I118" s="38" t="s">
        <v>45</v>
      </c>
      <c r="J118" s="38" t="s">
        <v>46</v>
      </c>
      <c r="K118" s="38" t="s">
        <v>46</v>
      </c>
      <c r="L118" s="38" t="s">
        <v>47</v>
      </c>
      <c r="M118" s="39" t="s">
        <v>48</v>
      </c>
      <c r="N118" s="54" t="s">
        <v>160</v>
      </c>
      <c r="O118" s="41">
        <v>13.333333333333334</v>
      </c>
      <c r="P118" s="41">
        <v>13.333333333333334</v>
      </c>
      <c r="Q118" s="42">
        <v>0</v>
      </c>
      <c r="R118" s="41">
        <v>0</v>
      </c>
      <c r="S118" s="41">
        <v>0</v>
      </c>
      <c r="T118" s="43">
        <v>0</v>
      </c>
      <c r="U118" s="43">
        <v>0</v>
      </c>
      <c r="V118" s="39">
        <v>0</v>
      </c>
      <c r="W118" s="39">
        <v>0</v>
      </c>
      <c r="X118" s="39">
        <v>0</v>
      </c>
      <c r="Y118" s="44"/>
      <c r="Z118" s="55" t="s">
        <v>369</v>
      </c>
      <c r="AA118" s="46">
        <v>0.9</v>
      </c>
      <c r="AB118" s="47">
        <v>1</v>
      </c>
      <c r="AC118" s="47">
        <v>0</v>
      </c>
      <c r="AD118" s="47">
        <v>0</v>
      </c>
      <c r="AE118" s="47">
        <v>0</v>
      </c>
      <c r="AF118" s="44"/>
      <c r="AG118" s="38">
        <v>1</v>
      </c>
    </row>
    <row r="119" spans="2:33" s="25" customFormat="1" ht="28.8" x14ac:dyDescent="0.3">
      <c r="B119" s="38" t="s">
        <v>370</v>
      </c>
      <c r="C119" s="37" t="s">
        <v>371</v>
      </c>
      <c r="D119" s="36" t="s">
        <v>372</v>
      </c>
      <c r="E119" s="38" t="s">
        <v>54</v>
      </c>
      <c r="F119" s="38" t="s">
        <v>55</v>
      </c>
      <c r="G119" s="38" t="s">
        <v>43</v>
      </c>
      <c r="H119" s="38" t="s">
        <v>44</v>
      </c>
      <c r="I119" s="38">
        <v>0</v>
      </c>
      <c r="J119" s="38">
        <v>0</v>
      </c>
      <c r="K119" s="38">
        <v>0</v>
      </c>
      <c r="L119" s="38">
        <v>0</v>
      </c>
      <c r="M119" s="39" t="s">
        <v>48</v>
      </c>
      <c r="N119" s="54" t="s">
        <v>75</v>
      </c>
      <c r="O119" s="41">
        <v>2.9395500000000001</v>
      </c>
      <c r="P119" s="41">
        <v>0.58791000000000004</v>
      </c>
      <c r="Q119" s="42">
        <v>0</v>
      </c>
      <c r="R119" s="41">
        <v>0</v>
      </c>
      <c r="S119" s="41">
        <v>0</v>
      </c>
      <c r="T119" s="43">
        <v>0</v>
      </c>
      <c r="U119" s="43">
        <v>0</v>
      </c>
      <c r="V119" s="39">
        <v>0</v>
      </c>
      <c r="W119" s="39">
        <v>0</v>
      </c>
      <c r="X119" s="39">
        <v>0</v>
      </c>
      <c r="Y119" s="44" t="s">
        <v>76</v>
      </c>
      <c r="Z119" s="55" t="s">
        <v>71</v>
      </c>
      <c r="AA119" s="46">
        <v>0.60000000000000009</v>
      </c>
      <c r="AB119" s="47">
        <v>0</v>
      </c>
      <c r="AC119" s="47">
        <v>0</v>
      </c>
      <c r="AD119" s="47">
        <v>0</v>
      </c>
      <c r="AE119" s="47">
        <v>0</v>
      </c>
      <c r="AF119" s="44"/>
      <c r="AG119" s="48">
        <v>2</v>
      </c>
    </row>
    <row r="120" spans="2:33" s="25" customFormat="1" ht="28.8" x14ac:dyDescent="0.3">
      <c r="B120" s="38" t="s">
        <v>373</v>
      </c>
      <c r="C120" s="37" t="s">
        <v>374</v>
      </c>
      <c r="D120" s="36" t="s">
        <v>375</v>
      </c>
      <c r="E120" s="38" t="s">
        <v>42</v>
      </c>
      <c r="F120" s="38" t="s">
        <v>80</v>
      </c>
      <c r="G120" s="38" t="s">
        <v>43</v>
      </c>
      <c r="H120" s="38" t="s">
        <v>81</v>
      </c>
      <c r="I120" s="38">
        <v>0</v>
      </c>
      <c r="J120" s="38">
        <v>0</v>
      </c>
      <c r="K120" s="38">
        <v>0</v>
      </c>
      <c r="L120" s="38">
        <v>0</v>
      </c>
      <c r="M120" s="39" t="s">
        <v>48</v>
      </c>
      <c r="N120" s="54" t="s">
        <v>118</v>
      </c>
      <c r="O120" s="41">
        <v>150</v>
      </c>
      <c r="P120" s="41">
        <v>120</v>
      </c>
      <c r="Q120" s="42">
        <v>0</v>
      </c>
      <c r="R120" s="41">
        <v>0</v>
      </c>
      <c r="S120" s="41">
        <v>0</v>
      </c>
      <c r="T120" s="43">
        <v>0</v>
      </c>
      <c r="U120" s="43">
        <v>0</v>
      </c>
      <c r="V120" s="39">
        <v>0</v>
      </c>
      <c r="W120" s="39">
        <v>0</v>
      </c>
      <c r="X120" s="39">
        <v>0</v>
      </c>
      <c r="Y120" s="44"/>
      <c r="Z120" s="55" t="s">
        <v>50</v>
      </c>
      <c r="AA120" s="46">
        <v>0.9</v>
      </c>
      <c r="AB120" s="47">
        <v>0</v>
      </c>
      <c r="AC120" s="47">
        <v>0</v>
      </c>
      <c r="AD120" s="47">
        <v>0.9</v>
      </c>
      <c r="AE120" s="47">
        <v>0</v>
      </c>
      <c r="AF120" s="44"/>
      <c r="AG120" s="48">
        <v>3</v>
      </c>
    </row>
    <row r="121" spans="2:33" s="25" customFormat="1" ht="43.2" x14ac:dyDescent="0.3">
      <c r="B121" s="38" t="s">
        <v>376</v>
      </c>
      <c r="C121" s="37" t="s">
        <v>377</v>
      </c>
      <c r="D121" s="36" t="s">
        <v>378</v>
      </c>
      <c r="E121" s="38" t="s">
        <v>42</v>
      </c>
      <c r="F121" s="38" t="s">
        <v>33</v>
      </c>
      <c r="G121" s="38" t="s">
        <v>43</v>
      </c>
      <c r="H121" s="38" t="s">
        <v>44</v>
      </c>
      <c r="I121" s="38" t="s">
        <v>46</v>
      </c>
      <c r="J121" s="38" t="s">
        <v>47</v>
      </c>
      <c r="K121" s="38" t="s">
        <v>46</v>
      </c>
      <c r="L121" s="38" t="s">
        <v>47</v>
      </c>
      <c r="M121" s="39" t="s">
        <v>48</v>
      </c>
      <c r="N121" s="54" t="s">
        <v>49</v>
      </c>
      <c r="O121" s="41">
        <v>16</v>
      </c>
      <c r="P121" s="41">
        <v>16</v>
      </c>
      <c r="Q121" s="42">
        <v>0</v>
      </c>
      <c r="R121" s="41">
        <v>0</v>
      </c>
      <c r="S121" s="41">
        <v>0</v>
      </c>
      <c r="T121" s="43">
        <v>0</v>
      </c>
      <c r="U121" s="43">
        <v>0</v>
      </c>
      <c r="V121" s="39">
        <v>0</v>
      </c>
      <c r="W121" s="39">
        <v>0</v>
      </c>
      <c r="X121" s="39">
        <v>0</v>
      </c>
      <c r="Y121" s="44"/>
      <c r="Z121" s="55" t="s">
        <v>50</v>
      </c>
      <c r="AA121" s="46">
        <v>0.8</v>
      </c>
      <c r="AB121" s="47">
        <v>1</v>
      </c>
      <c r="AC121" s="47">
        <v>0</v>
      </c>
      <c r="AD121" s="47">
        <v>0</v>
      </c>
      <c r="AE121" s="47">
        <v>0</v>
      </c>
      <c r="AF121" s="44"/>
      <c r="AG121" s="48">
        <v>3</v>
      </c>
    </row>
  </sheetData>
  <autoFilter ref="A4:AG121" xr:uid="{354144DB-34E1-457A-BD24-8C616FE74747}">
    <sortState xmlns:xlrd2="http://schemas.microsoft.com/office/spreadsheetml/2017/richdata2" ref="A5:AG121">
      <sortCondition descending="1" ref="D4:D121"/>
    </sortState>
  </autoFilter>
  <mergeCells count="9">
    <mergeCell ref="AB3:AE3"/>
    <mergeCell ref="V1:X1"/>
    <mergeCell ref="O2:P2"/>
    <mergeCell ref="R2:S2"/>
    <mergeCell ref="T2:U2"/>
    <mergeCell ref="V2:X2"/>
    <mergeCell ref="N3:P3"/>
    <mergeCell ref="Q3:S3"/>
    <mergeCell ref="T3:U3"/>
  </mergeCells>
  <conditionalFormatting sqref="I4:I1048576 K4:K1048576">
    <cfRule type="containsText" dxfId="30" priority="3" operator="containsText" text="NO">
      <formula>NOT(ISERROR(SEARCH("NO",I4)))</formula>
    </cfRule>
    <cfRule type="containsText" dxfId="29" priority="4" operator="containsText" text="YES">
      <formula>NOT(ISERROR(SEARCH("YES",I4)))</formula>
    </cfRule>
  </conditionalFormatting>
  <conditionalFormatting sqref="J4:J1048576 L4:M1048576">
    <cfRule type="containsText" dxfId="28" priority="1" operator="containsText" text="NO">
      <formula>NOT(ISERROR(SEARCH("NO",J4)))</formula>
    </cfRule>
    <cfRule type="containsText" dxfId="27" priority="2" operator="containsText" text="YES">
      <formula>NOT(ISERROR(SEARCH("YES",J4)))</formula>
    </cfRule>
  </conditionalFormatting>
  <conditionalFormatting sqref="V1:V2">
    <cfRule type="containsText" dxfId="26" priority="26" operator="containsText" text="RFQ in Progress">
      <formula>NOT(ISERROR(SEARCH("RFQ in Progress",V1)))</formula>
    </cfRule>
    <cfRule type="containsText" dxfId="25" priority="27" operator="containsText" text="Sourcing in Progress">
      <formula>NOT(ISERROR(SEARCH("Sourcing in Progress",V1)))</formula>
    </cfRule>
    <cfRule type="containsText" dxfId="24" priority="28" operator="containsText" text="Not_Started">
      <formula>NOT(ISERROR(SEARCH("Not_Started",V1)))</formula>
    </cfRule>
    <cfRule type="containsText" dxfId="23" priority="29" operator="containsText" text="RFQ Completed">
      <formula>NOT(ISERROR(SEARCH("RFQ Completed",V1)))</formula>
    </cfRule>
    <cfRule type="containsText" dxfId="22" priority="30" operator="containsText" text="Not Started">
      <formula>NOT(ISERROR(SEARCH("Not Started",V1)))</formula>
    </cfRule>
  </conditionalFormatting>
  <conditionalFormatting sqref="V4 V5:W42 V80:W1048576">
    <cfRule type="containsText" dxfId="21" priority="23" operator="containsText" text="Not_Started">
      <formula>NOT(ISERROR(SEARCH("Not_Started",V4)))</formula>
    </cfRule>
  </conditionalFormatting>
  <conditionalFormatting sqref="V4:V42 V44:V1048576">
    <cfRule type="containsText" dxfId="20" priority="22" operator="containsText" text="Sourcing in Progress">
      <formula>NOT(ISERROR(SEARCH("Sourcing in Progress",V4)))</formula>
    </cfRule>
  </conditionalFormatting>
  <conditionalFormatting sqref="V4:V42 V106:V1048576">
    <cfRule type="containsText" dxfId="19" priority="24" operator="containsText" text="RFQ Completed">
      <formula>NOT(ISERROR(SEARCH("RFQ Completed",V4)))</formula>
    </cfRule>
    <cfRule type="containsText" dxfId="18" priority="25" operator="containsText" text="Not Started">
      <formula>NOT(ISERROR(SEARCH("Not Started",V4)))</formula>
    </cfRule>
  </conditionalFormatting>
  <conditionalFormatting sqref="V44:V105">
    <cfRule type="containsText" dxfId="17" priority="8" operator="containsText" text="RFQ Completed">
      <formula>NOT(ISERROR(SEARCH("RFQ Completed",V44)))</formula>
    </cfRule>
    <cfRule type="containsText" dxfId="16" priority="9" operator="containsText" text="Not Started">
      <formula>NOT(ISERROR(SEARCH("Not Started",V44)))</formula>
    </cfRule>
  </conditionalFormatting>
  <conditionalFormatting sqref="V44:V1048576 V4:V42">
    <cfRule type="containsText" dxfId="15" priority="21" operator="containsText" text="RFQ in Progress">
      <formula>NOT(ISERROR(SEARCH("RFQ in Progress",V4)))</formula>
    </cfRule>
  </conditionalFormatting>
  <conditionalFormatting sqref="V44:W79">
    <cfRule type="containsText" dxfId="14" priority="5" operator="containsText" text="Not_Started">
      <formula>NOT(ISERROR(SEARCH("Not_Started",V44)))</formula>
    </cfRule>
  </conditionalFormatting>
  <conditionalFormatting sqref="W4">
    <cfRule type="containsText" dxfId="13" priority="20" operator="containsText" text="Not_Started">
      <formula>NOT(ISERROR(SEARCH("Not_Started",W4)))</formula>
    </cfRule>
  </conditionalFormatting>
  <conditionalFormatting sqref="W4:W42 W44:W1048576">
    <cfRule type="containsText" dxfId="12" priority="16" operator="containsText" text="Blocked">
      <formula>NOT(ISERROR(SEARCH("Blocked",W4)))</formula>
    </cfRule>
    <cfRule type="containsText" dxfId="11" priority="17" operator="containsText" text="Internal In_Process">
      <formula>NOT(ISERROR(SEARCH("Internal In_Process",W4)))</formula>
    </cfRule>
    <cfRule type="containsText" dxfId="10" priority="18" operator="containsText" text="RM Availab In_Progress">
      <formula>NOT(ISERROR(SEARCH("RM Availab In_Progress",W4)))</formula>
    </cfRule>
    <cfRule type="containsText" dxfId="9" priority="19" operator="containsText" text="Completed / Produced">
      <formula>NOT(ISERROR(SEARCH("Completed / Produced",W4)))</formula>
    </cfRule>
  </conditionalFormatting>
  <conditionalFormatting sqref="W44:W1048576 W4:W42">
    <cfRule type="containsText" dxfId="8" priority="15" operator="containsText" text="Failed">
      <formula>NOT(ISERROR(SEARCH("Failed",W4)))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3D60-4454-4313-BCB4-F712E4C327DE}">
  <sheetPr>
    <pageSetUpPr fitToPage="1"/>
  </sheetPr>
  <dimension ref="A1:AC96"/>
  <sheetViews>
    <sheetView zoomScale="10" zoomScaleNormal="10" workbookViewId="0">
      <selection activeCell="CL61" sqref="CL61"/>
    </sheetView>
  </sheetViews>
  <sheetFormatPr defaultRowHeight="14.4" x14ac:dyDescent="0.3"/>
  <cols>
    <col min="1" max="1" width="15.109375" bestFit="1" customWidth="1"/>
    <col min="2" max="2" width="24.88671875" bestFit="1" customWidth="1"/>
    <col min="3" max="3" width="41.6640625" bestFit="1" customWidth="1"/>
    <col min="4" max="4" width="16.44140625" bestFit="1" customWidth="1"/>
    <col min="5" max="5" width="16.33203125" bestFit="1" customWidth="1"/>
    <col min="6" max="6" width="18.6640625" bestFit="1" customWidth="1"/>
    <col min="7" max="7" width="20.33203125" bestFit="1" customWidth="1"/>
    <col min="8" max="8" width="17.88671875" bestFit="1" customWidth="1"/>
    <col min="9" max="9" width="23.33203125" bestFit="1" customWidth="1"/>
    <col min="10" max="10" width="20.109375" bestFit="1" customWidth="1"/>
    <col min="11" max="11" width="25.109375" bestFit="1" customWidth="1"/>
    <col min="12" max="12" width="33.44140625" bestFit="1" customWidth="1"/>
    <col min="13" max="13" width="14.6640625" bestFit="1" customWidth="1"/>
    <col min="14" max="14" width="18.109375" bestFit="1" customWidth="1"/>
    <col min="15" max="15" width="44.88671875" bestFit="1" customWidth="1"/>
    <col min="16" max="16" width="41.109375" bestFit="1" customWidth="1"/>
    <col min="17" max="17" width="17.109375" customWidth="1"/>
    <col min="18" max="18" width="19.109375" customWidth="1"/>
    <col min="19" max="19" width="21.109375" customWidth="1"/>
    <col min="20" max="20" width="14.5546875" customWidth="1"/>
    <col min="21" max="21" width="16.44140625" customWidth="1"/>
    <col min="22" max="22" width="11.44140625" customWidth="1"/>
    <col min="23" max="23" width="20.88671875" customWidth="1"/>
    <col min="24" max="24" width="14.109375" customWidth="1"/>
    <col min="25" max="25" width="17.88671875" customWidth="1"/>
    <col min="26" max="26" width="18.109375" customWidth="1"/>
    <col min="27" max="27" width="9" bestFit="1" customWidth="1"/>
    <col min="28" max="28" width="10.88671875" bestFit="1" customWidth="1"/>
    <col min="29" max="29" width="124.44140625" customWidth="1"/>
  </cols>
  <sheetData>
    <row r="1" spans="1:29" s="542" customFormat="1" ht="47.4" x14ac:dyDescent="0.9">
      <c r="A1" s="564" t="s">
        <v>379</v>
      </c>
      <c r="B1" s="565"/>
      <c r="C1" s="565"/>
      <c r="D1" s="565"/>
      <c r="E1" s="565"/>
      <c r="F1" s="565"/>
      <c r="G1" s="565"/>
      <c r="H1" s="565"/>
      <c r="I1" s="565"/>
      <c r="J1" s="566"/>
      <c r="K1" s="560"/>
      <c r="L1" s="560"/>
      <c r="M1" s="560"/>
      <c r="N1" s="560"/>
      <c r="O1" s="560"/>
      <c r="P1" s="560"/>
      <c r="Q1" s="560"/>
      <c r="R1" s="560"/>
      <c r="S1" s="560"/>
      <c r="T1" s="560"/>
      <c r="U1" s="560"/>
      <c r="V1" s="560"/>
      <c r="W1" s="560"/>
      <c r="X1" s="560"/>
      <c r="Y1" s="560"/>
      <c r="Z1" s="560"/>
      <c r="AA1" s="561"/>
    </row>
    <row r="2" spans="1:29" ht="126" x14ac:dyDescent="1.75">
      <c r="A2" s="543" t="s">
        <v>380</v>
      </c>
      <c r="B2" s="510" t="s">
        <v>381</v>
      </c>
      <c r="C2" s="510" t="s">
        <v>382</v>
      </c>
      <c r="D2" s="510" t="s">
        <v>383</v>
      </c>
      <c r="E2" s="510" t="s">
        <v>384</v>
      </c>
      <c r="F2" s="510" t="s">
        <v>385</v>
      </c>
      <c r="G2" s="510" t="s">
        <v>386</v>
      </c>
      <c r="H2" s="510" t="s">
        <v>387</v>
      </c>
      <c r="I2" s="510" t="s">
        <v>388</v>
      </c>
      <c r="J2" s="544" t="s">
        <v>30</v>
      </c>
      <c r="AA2" s="562"/>
      <c r="AC2" s="795" t="s">
        <v>389</v>
      </c>
    </row>
    <row r="3" spans="1:29" ht="25.2" customHeight="1" x14ac:dyDescent="0.3">
      <c r="A3" s="761" t="s">
        <v>390</v>
      </c>
      <c r="B3" s="760" t="s">
        <v>391</v>
      </c>
      <c r="C3" s="759">
        <v>2026</v>
      </c>
      <c r="D3" s="758" t="s">
        <v>392</v>
      </c>
      <c r="E3" s="511">
        <f>GETPIVOTDATA("Sum of Process Design Man Week",$C$18,"RPDO hub","PD-India")</f>
        <v>794</v>
      </c>
      <c r="F3" s="511"/>
      <c r="G3" s="512">
        <f>C54</f>
        <v>252.61666666666667</v>
      </c>
      <c r="H3" s="512">
        <f t="shared" ref="H3:H9" si="0">E3-G3</f>
        <v>541.38333333333333</v>
      </c>
      <c r="I3" s="513">
        <f t="shared" ref="I3:I9" si="1">G3/E3</f>
        <v>0.31815701091519732</v>
      </c>
      <c r="J3" s="545"/>
      <c r="AA3" s="562"/>
    </row>
    <row r="4" spans="1:29" ht="25.2" customHeight="1" x14ac:dyDescent="0.3">
      <c r="A4" s="761" t="s">
        <v>390</v>
      </c>
      <c r="B4" s="760" t="s">
        <v>393</v>
      </c>
      <c r="C4" s="759">
        <v>2026</v>
      </c>
      <c r="D4" s="758" t="s">
        <v>392</v>
      </c>
      <c r="E4" s="511">
        <f>GETPIVOTDATA("Sum of Process Design Man Week",$C$18,"RPDO hub","R&amp;D-India")</f>
        <v>38</v>
      </c>
      <c r="F4" s="511"/>
      <c r="G4" s="512">
        <f>D54</f>
        <v>87.866666666666674</v>
      </c>
      <c r="H4" s="512">
        <f t="shared" si="0"/>
        <v>-49.866666666666674</v>
      </c>
      <c r="I4" s="513">
        <f>G4/E4</f>
        <v>2.312280701754386</v>
      </c>
      <c r="J4" s="545"/>
      <c r="AA4" s="562"/>
    </row>
    <row r="5" spans="1:29" ht="25.2" customHeight="1" x14ac:dyDescent="0.3">
      <c r="A5" s="761" t="s">
        <v>390</v>
      </c>
      <c r="B5" s="760" t="s">
        <v>393</v>
      </c>
      <c r="C5" s="759">
        <v>2026</v>
      </c>
      <c r="D5" s="757" t="s">
        <v>394</v>
      </c>
      <c r="E5" s="530">
        <f>GETPIVOTDATA("Sum of Lab Weeks- Process Derived",$C$18,"RPDO hub","R&amp;D-India")+GETPIVOTDATA("Sum of Lab Weeks- Process Derived",$C$18,"RPDO hub","PD-India")</f>
        <v>621.5</v>
      </c>
      <c r="F5" s="530"/>
      <c r="G5" s="531">
        <f>C79</f>
        <v>186.21999999999997</v>
      </c>
      <c r="H5" s="531">
        <f t="shared" si="0"/>
        <v>435.28000000000003</v>
      </c>
      <c r="I5" s="532">
        <f t="shared" si="1"/>
        <v>0.29962992759452933</v>
      </c>
      <c r="J5" s="546"/>
      <c r="AA5" s="562"/>
    </row>
    <row r="6" spans="1:29" ht="25.2" customHeight="1" x14ac:dyDescent="0.3">
      <c r="A6" s="756" t="s">
        <v>395</v>
      </c>
      <c r="B6" s="755" t="s">
        <v>393</v>
      </c>
      <c r="C6" s="754">
        <v>2026</v>
      </c>
      <c r="D6" s="758" t="s">
        <v>392</v>
      </c>
      <c r="E6" s="511">
        <f>GETPIVOTDATA("Sum of Process Design Man Week",$C$18,"RPDO hub","R&amp;D-Greece")</f>
        <v>65</v>
      </c>
      <c r="F6" s="511"/>
      <c r="G6" s="512">
        <f>E54</f>
        <v>124.88</v>
      </c>
      <c r="H6" s="512">
        <f>E6-G6</f>
        <v>-59.879999999999995</v>
      </c>
      <c r="I6" s="513">
        <f>G6/E6</f>
        <v>1.9212307692307691</v>
      </c>
      <c r="J6" s="545"/>
      <c r="AA6" s="562"/>
    </row>
    <row r="7" spans="1:29" ht="25.2" customHeight="1" thickBot="1" x14ac:dyDescent="0.35">
      <c r="A7" s="756" t="s">
        <v>395</v>
      </c>
      <c r="B7" s="753" t="s">
        <v>393</v>
      </c>
      <c r="C7" s="754">
        <v>2026</v>
      </c>
      <c r="D7" s="752" t="s">
        <v>394</v>
      </c>
      <c r="E7" s="533">
        <f>GETPIVOTDATA("Sum of Process Design Man Week",$C$18,"RPDO hub","R&amp;D-Greece")</f>
        <v>65</v>
      </c>
      <c r="F7" s="533"/>
      <c r="G7" s="534">
        <f>D79</f>
        <v>72.959999999999994</v>
      </c>
      <c r="H7" s="534">
        <f>E7-G7</f>
        <v>-7.9599999999999937</v>
      </c>
      <c r="I7" s="535">
        <f>G7/E7</f>
        <v>1.1224615384615384</v>
      </c>
      <c r="J7" s="547"/>
      <c r="AA7" s="562"/>
    </row>
    <row r="8" spans="1:29" ht="25.2" customHeight="1" x14ac:dyDescent="0.3">
      <c r="A8" s="751" t="s">
        <v>396</v>
      </c>
      <c r="B8" s="750" t="s">
        <v>391</v>
      </c>
      <c r="C8" s="749">
        <v>2026</v>
      </c>
      <c r="D8" s="758" t="s">
        <v>392</v>
      </c>
      <c r="E8" s="511">
        <f>GETPIVOTDATA("Sum of Process Design Man Week",$C$18,"Project Category","B","RPDO hub","PD-Romania")+GETPIVOTDATA("Sum of Process Design Man Week",$C$18,"Project Category","C","RPDO hub","PD-Romania")</f>
        <v>455</v>
      </c>
      <c r="F8" s="511"/>
      <c r="G8" s="512">
        <f>F54</f>
        <v>165</v>
      </c>
      <c r="H8" s="512">
        <f t="shared" si="0"/>
        <v>290</v>
      </c>
      <c r="I8" s="513">
        <f t="shared" si="1"/>
        <v>0.36263736263736263</v>
      </c>
      <c r="J8" s="545"/>
      <c r="AA8" s="562"/>
    </row>
    <row r="9" spans="1:29" ht="25.2" customHeight="1" thickBot="1" x14ac:dyDescent="0.35">
      <c r="A9" s="748" t="s">
        <v>396</v>
      </c>
      <c r="B9" s="747" t="s">
        <v>391</v>
      </c>
      <c r="C9" s="746">
        <v>2026</v>
      </c>
      <c r="D9" s="745" t="s">
        <v>394</v>
      </c>
      <c r="E9" s="548">
        <f>GETPIVOTDATA("Sum of Actual Design Man Week",$C$18,"Project Category","B","RPDO hub","PD-Romania")+GETPIVOTDATA("Sum of Actual Design Man Week",$C$18,"Project Category","C","RPDO hub","PD-Romania")</f>
        <v>413</v>
      </c>
      <c r="F9" s="548"/>
      <c r="G9" s="549">
        <f>E79</f>
        <v>216.3</v>
      </c>
      <c r="H9" s="549">
        <f t="shared" si="0"/>
        <v>196.7</v>
      </c>
      <c r="I9" s="550">
        <f t="shared" si="1"/>
        <v>0.5237288135593221</v>
      </c>
      <c r="J9" s="551"/>
      <c r="AA9" s="562"/>
    </row>
    <row r="10" spans="1:29" x14ac:dyDescent="0.3">
      <c r="A10" s="563"/>
      <c r="AA10" s="562"/>
    </row>
    <row r="11" spans="1:29" ht="36.6" x14ac:dyDescent="0.3">
      <c r="A11" s="774"/>
      <c r="B11" s="625"/>
      <c r="C11" s="625"/>
      <c r="D11" s="625"/>
      <c r="E11" s="625"/>
      <c r="F11" s="625"/>
      <c r="G11" s="625"/>
      <c r="H11" s="625"/>
      <c r="I11" s="625"/>
      <c r="J11" s="625"/>
      <c r="K11" s="625"/>
      <c r="L11" s="625"/>
      <c r="M11" s="625"/>
      <c r="N11" s="625"/>
      <c r="O11" s="625"/>
      <c r="P11" s="625"/>
      <c r="Q11" s="509"/>
      <c r="R11" s="509"/>
      <c r="S11" s="509"/>
      <c r="T11" s="509"/>
      <c r="U11" s="509"/>
      <c r="V11" s="509"/>
      <c r="W11" s="509"/>
      <c r="X11" s="509"/>
      <c r="Y11" s="509"/>
      <c r="Z11" s="509"/>
      <c r="AA11" s="775"/>
    </row>
    <row r="12" spans="1:29" ht="15" thickBot="1" x14ac:dyDescent="0.35">
      <c r="A12" s="563"/>
      <c r="AA12" s="562"/>
    </row>
    <row r="13" spans="1:29" ht="28.95" customHeight="1" x14ac:dyDescent="0.3">
      <c r="A13" s="744" t="s">
        <v>397</v>
      </c>
      <c r="B13" s="743"/>
      <c r="C13" s="743"/>
      <c r="D13" s="743"/>
      <c r="E13" s="552"/>
      <c r="F13" s="552"/>
      <c r="G13" s="743"/>
      <c r="H13" s="743"/>
      <c r="I13" s="743"/>
      <c r="J13" s="743"/>
      <c r="K13" s="743"/>
      <c r="L13" s="743"/>
      <c r="M13" s="552"/>
      <c r="N13" s="552"/>
      <c r="O13" s="552"/>
      <c r="P13" s="552"/>
      <c r="Q13" s="553"/>
      <c r="AA13" s="562"/>
    </row>
    <row r="14" spans="1:29" ht="28.95" customHeight="1" thickBot="1" x14ac:dyDescent="0.35">
      <c r="A14" s="742"/>
      <c r="B14" s="762"/>
      <c r="C14" s="554"/>
      <c r="D14" s="554"/>
      <c r="E14" s="762"/>
      <c r="F14" s="762"/>
      <c r="G14" s="762"/>
      <c r="H14" s="762"/>
      <c r="I14" s="762"/>
      <c r="J14" s="762"/>
      <c r="K14" s="554"/>
      <c r="L14" s="554"/>
      <c r="M14" s="554"/>
      <c r="N14" s="554"/>
      <c r="O14" s="554"/>
      <c r="P14" s="554"/>
      <c r="Q14" s="555"/>
      <c r="AA14" s="562"/>
    </row>
    <row r="15" spans="1:29" ht="28.95" customHeight="1" thickBot="1" x14ac:dyDescent="0.35">
      <c r="A15" s="742"/>
      <c r="B15" s="762"/>
      <c r="C15" s="807" t="s">
        <v>398</v>
      </c>
      <c r="D15" s="808" t="s">
        <v>399</v>
      </c>
      <c r="E15" s="762"/>
      <c r="F15" s="762"/>
      <c r="G15" s="762"/>
      <c r="H15" s="762"/>
      <c r="I15" s="762"/>
      <c r="J15" s="762"/>
      <c r="K15" s="554"/>
      <c r="L15" s="554"/>
      <c r="M15" s="554"/>
      <c r="N15" s="554"/>
      <c r="O15" s="554"/>
      <c r="P15" s="554"/>
      <c r="Q15" s="555"/>
      <c r="AA15" s="562"/>
    </row>
    <row r="16" spans="1:29" ht="28.95" customHeight="1" thickBot="1" x14ac:dyDescent="0.35">
      <c r="A16" s="742"/>
      <c r="B16" s="762"/>
      <c r="C16" s="807" t="s">
        <v>400</v>
      </c>
      <c r="D16" s="808" t="s">
        <v>401</v>
      </c>
      <c r="E16" s="762"/>
      <c r="F16" s="762"/>
      <c r="G16" s="762"/>
      <c r="H16" s="762"/>
      <c r="I16" s="762"/>
      <c r="J16" s="762"/>
      <c r="K16" s="554"/>
      <c r="L16" s="554"/>
      <c r="M16" s="554"/>
      <c r="N16" s="554"/>
      <c r="O16" s="554"/>
      <c r="P16" s="554"/>
      <c r="Q16" s="555"/>
      <c r="AA16" s="562"/>
    </row>
    <row r="17" spans="1:27" ht="28.95" customHeight="1" thickBot="1" x14ac:dyDescent="0.35">
      <c r="A17" s="742"/>
      <c r="B17" s="762"/>
      <c r="C17" s="741"/>
      <c r="D17" s="740" t="s">
        <v>402</v>
      </c>
      <c r="E17" s="739" t="s">
        <v>403</v>
      </c>
      <c r="F17" s="538"/>
      <c r="G17" s="539" t="s">
        <v>404</v>
      </c>
      <c r="H17" s="540"/>
      <c r="I17" s="541"/>
      <c r="J17" s="738" t="s">
        <v>405</v>
      </c>
      <c r="K17" s="554"/>
      <c r="L17" s="554"/>
      <c r="M17" s="554"/>
      <c r="N17" s="554"/>
      <c r="O17" s="554"/>
      <c r="P17" s="762"/>
      <c r="Q17" s="737"/>
      <c r="AA17" s="562"/>
    </row>
    <row r="18" spans="1:27" ht="29.4" thickBot="1" x14ac:dyDescent="0.35">
      <c r="A18" s="742"/>
      <c r="B18" s="762"/>
      <c r="C18" s="819" t="s">
        <v>406</v>
      </c>
      <c r="D18" s="830" t="s">
        <v>407</v>
      </c>
      <c r="E18" s="831" t="s">
        <v>408</v>
      </c>
      <c r="F18" s="831" t="s">
        <v>409</v>
      </c>
      <c r="G18" s="831" t="s">
        <v>410</v>
      </c>
      <c r="H18" s="831" t="s">
        <v>411</v>
      </c>
      <c r="I18" s="831" t="s">
        <v>412</v>
      </c>
      <c r="J18" s="832" t="s">
        <v>413</v>
      </c>
      <c r="K18" s="554"/>
      <c r="L18" s="554"/>
      <c r="M18" s="554"/>
      <c r="N18" s="554"/>
      <c r="O18" s="554"/>
      <c r="P18" s="554"/>
      <c r="Q18" s="555"/>
      <c r="AA18" s="562"/>
    </row>
    <row r="19" spans="1:27" ht="29.4" thickBot="1" x14ac:dyDescent="0.35">
      <c r="A19" s="742"/>
      <c r="B19" s="762"/>
      <c r="C19" s="820" t="s">
        <v>414</v>
      </c>
      <c r="D19" s="814">
        <v>5</v>
      </c>
      <c r="E19" s="815">
        <v>65</v>
      </c>
      <c r="F19" s="815"/>
      <c r="G19" s="815">
        <v>4</v>
      </c>
      <c r="H19" s="815">
        <v>4</v>
      </c>
      <c r="I19" s="815">
        <v>18</v>
      </c>
      <c r="J19" s="816"/>
      <c r="K19" s="554"/>
      <c r="L19" s="554"/>
      <c r="M19" s="554"/>
      <c r="N19" s="554"/>
      <c r="O19" s="554"/>
      <c r="P19" s="554"/>
      <c r="Q19" s="555"/>
      <c r="AA19" s="562"/>
    </row>
    <row r="20" spans="1:27" ht="29.4" thickBot="1" x14ac:dyDescent="0.35">
      <c r="A20" s="742"/>
      <c r="B20" s="762"/>
      <c r="C20" s="824" t="s">
        <v>415</v>
      </c>
      <c r="D20" s="817">
        <v>1</v>
      </c>
      <c r="E20" s="806">
        <v>20</v>
      </c>
      <c r="F20" s="806"/>
      <c r="G20" s="806">
        <v>1</v>
      </c>
      <c r="H20" s="806"/>
      <c r="I20" s="806">
        <v>1</v>
      </c>
      <c r="J20" s="809"/>
      <c r="K20" s="554"/>
      <c r="L20" s="554"/>
      <c r="M20" s="554"/>
      <c r="N20" s="554"/>
      <c r="O20" s="554"/>
      <c r="P20" s="554"/>
      <c r="Q20" s="555"/>
      <c r="AA20" s="562"/>
    </row>
    <row r="21" spans="1:27" ht="28.8" x14ac:dyDescent="0.3">
      <c r="A21" s="742"/>
      <c r="B21" s="762"/>
      <c r="C21" s="810" t="s">
        <v>416</v>
      </c>
      <c r="D21" s="817">
        <v>1</v>
      </c>
      <c r="E21" s="806">
        <v>30</v>
      </c>
      <c r="F21" s="806"/>
      <c r="G21" s="806">
        <v>1</v>
      </c>
      <c r="H21" s="806">
        <v>4</v>
      </c>
      <c r="I21" s="806">
        <v>8</v>
      </c>
      <c r="J21" s="809"/>
      <c r="K21" s="554"/>
      <c r="L21" s="554"/>
      <c r="M21" s="554"/>
      <c r="N21" s="554"/>
      <c r="O21" s="554"/>
      <c r="P21" s="554"/>
      <c r="Q21" s="555"/>
      <c r="AA21" s="562"/>
    </row>
    <row r="22" spans="1:27" ht="28.8" x14ac:dyDescent="0.3">
      <c r="A22" s="742"/>
      <c r="B22" s="762"/>
      <c r="C22" s="810" t="s">
        <v>417</v>
      </c>
      <c r="D22" s="817">
        <v>2</v>
      </c>
      <c r="E22" s="806">
        <v>10</v>
      </c>
      <c r="F22" s="806"/>
      <c r="G22" s="806">
        <v>2</v>
      </c>
      <c r="H22" s="806"/>
      <c r="I22" s="806">
        <v>9</v>
      </c>
      <c r="J22" s="809"/>
      <c r="K22" s="554"/>
      <c r="L22" s="554"/>
      <c r="M22" s="554"/>
      <c r="N22" s="554"/>
      <c r="O22" s="554"/>
      <c r="P22" s="554"/>
      <c r="Q22" s="555"/>
      <c r="AA22" s="562"/>
    </row>
    <row r="23" spans="1:27" ht="29.4" thickBot="1" x14ac:dyDescent="0.35">
      <c r="A23" s="742"/>
      <c r="B23" s="762"/>
      <c r="C23" s="810" t="s">
        <v>418</v>
      </c>
      <c r="D23" s="817">
        <v>1</v>
      </c>
      <c r="E23" s="806">
        <v>5</v>
      </c>
      <c r="F23" s="806"/>
      <c r="G23" s="806"/>
      <c r="H23" s="806"/>
      <c r="I23" s="806">
        <v>0</v>
      </c>
      <c r="J23" s="809"/>
      <c r="K23" s="554"/>
      <c r="L23" s="554"/>
      <c r="M23" s="554"/>
      <c r="N23" s="554"/>
      <c r="O23" s="554"/>
      <c r="P23" s="554"/>
      <c r="Q23" s="555"/>
      <c r="AA23" s="562"/>
    </row>
    <row r="24" spans="1:27" ht="29.4" thickBot="1" x14ac:dyDescent="0.35">
      <c r="A24" s="742"/>
      <c r="B24" s="762"/>
      <c r="C24" s="821" t="s">
        <v>419</v>
      </c>
      <c r="D24" s="817">
        <v>2</v>
      </c>
      <c r="E24" s="806">
        <v>38</v>
      </c>
      <c r="F24" s="806">
        <v>167</v>
      </c>
      <c r="G24" s="806">
        <v>2</v>
      </c>
      <c r="H24" s="806">
        <v>88</v>
      </c>
      <c r="I24" s="806">
        <v>99</v>
      </c>
      <c r="J24" s="809">
        <v>1</v>
      </c>
      <c r="K24" s="554"/>
      <c r="L24" s="554"/>
      <c r="M24" s="554"/>
      <c r="N24" s="554"/>
      <c r="O24" s="554"/>
      <c r="P24" s="554"/>
      <c r="Q24" s="555"/>
      <c r="AA24" s="562"/>
    </row>
    <row r="25" spans="1:27" ht="29.4" thickBot="1" x14ac:dyDescent="0.35">
      <c r="A25" s="742"/>
      <c r="B25" s="762"/>
      <c r="C25" s="825" t="s">
        <v>415</v>
      </c>
      <c r="D25" s="817">
        <v>2</v>
      </c>
      <c r="E25" s="806">
        <v>38</v>
      </c>
      <c r="F25" s="806">
        <v>167</v>
      </c>
      <c r="G25" s="806">
        <v>2</v>
      </c>
      <c r="H25" s="806">
        <v>88</v>
      </c>
      <c r="I25" s="806">
        <v>99</v>
      </c>
      <c r="J25" s="809">
        <v>1</v>
      </c>
      <c r="K25" s="554"/>
      <c r="L25" s="554"/>
      <c r="M25" s="554"/>
      <c r="N25" s="554"/>
      <c r="O25" s="554"/>
      <c r="P25" s="554"/>
      <c r="Q25" s="555"/>
      <c r="AA25" s="562"/>
    </row>
    <row r="26" spans="1:27" ht="29.4" thickBot="1" x14ac:dyDescent="0.35">
      <c r="A26" s="742"/>
      <c r="B26" s="762"/>
      <c r="C26" s="821" t="s">
        <v>420</v>
      </c>
      <c r="D26" s="817">
        <v>207</v>
      </c>
      <c r="E26" s="806">
        <v>794</v>
      </c>
      <c r="F26" s="806">
        <v>615.20000000000005</v>
      </c>
      <c r="G26" s="806">
        <v>128</v>
      </c>
      <c r="H26" s="806">
        <v>533.5</v>
      </c>
      <c r="I26" s="806">
        <v>2553</v>
      </c>
      <c r="J26" s="809">
        <v>70</v>
      </c>
      <c r="K26" s="554"/>
      <c r="L26" s="554"/>
      <c r="M26" s="554"/>
      <c r="N26" s="554"/>
      <c r="O26" s="554"/>
      <c r="P26" s="554"/>
      <c r="Q26" s="555"/>
      <c r="AA26" s="562"/>
    </row>
    <row r="27" spans="1:27" ht="29.4" thickBot="1" x14ac:dyDescent="0.35">
      <c r="A27" s="742"/>
      <c r="B27" s="762"/>
      <c r="C27" s="810" t="s">
        <v>415</v>
      </c>
      <c r="D27" s="817">
        <v>1</v>
      </c>
      <c r="E27" s="806">
        <v>19</v>
      </c>
      <c r="F27" s="806">
        <v>19</v>
      </c>
      <c r="G27" s="806">
        <v>1</v>
      </c>
      <c r="H27" s="806">
        <v>6</v>
      </c>
      <c r="I27" s="806">
        <v>6</v>
      </c>
      <c r="J27" s="809">
        <v>1</v>
      </c>
      <c r="K27" s="554"/>
      <c r="L27" s="554"/>
      <c r="M27" s="554"/>
      <c r="N27" s="554"/>
      <c r="O27" s="554"/>
      <c r="P27" s="554"/>
      <c r="Q27" s="555"/>
      <c r="AA27" s="562"/>
    </row>
    <row r="28" spans="1:27" ht="28.8" x14ac:dyDescent="0.3">
      <c r="A28" s="742"/>
      <c r="B28" s="762"/>
      <c r="C28" s="826" t="s">
        <v>417</v>
      </c>
      <c r="D28" s="817">
        <v>146</v>
      </c>
      <c r="E28" s="806">
        <v>587</v>
      </c>
      <c r="F28" s="806">
        <v>451.5</v>
      </c>
      <c r="G28" s="806">
        <v>109</v>
      </c>
      <c r="H28" s="806">
        <v>496.5</v>
      </c>
      <c r="I28" s="806">
        <v>2521</v>
      </c>
      <c r="J28" s="809">
        <v>51</v>
      </c>
      <c r="K28" s="762"/>
      <c r="L28" s="762"/>
      <c r="M28" s="762"/>
      <c r="N28" s="762"/>
      <c r="O28" s="762"/>
      <c r="P28" s="762"/>
      <c r="Q28" s="737"/>
      <c r="AA28" s="562"/>
    </row>
    <row r="29" spans="1:27" ht="29.4" thickBot="1" x14ac:dyDescent="0.35">
      <c r="A29" s="742"/>
      <c r="B29" s="762"/>
      <c r="C29" s="827" t="s">
        <v>418</v>
      </c>
      <c r="D29" s="817">
        <v>60</v>
      </c>
      <c r="E29" s="806">
        <v>188</v>
      </c>
      <c r="F29" s="806">
        <v>144.69999999999999</v>
      </c>
      <c r="G29" s="806">
        <v>18</v>
      </c>
      <c r="H29" s="806">
        <v>31</v>
      </c>
      <c r="I29" s="806">
        <v>26</v>
      </c>
      <c r="J29" s="809">
        <v>18</v>
      </c>
      <c r="K29" s="762"/>
      <c r="L29" s="762"/>
      <c r="M29" s="762"/>
      <c r="N29" s="762"/>
      <c r="O29" s="762"/>
      <c r="P29" s="762"/>
      <c r="Q29" s="737"/>
      <c r="AA29" s="562"/>
    </row>
    <row r="30" spans="1:27" ht="29.4" thickBot="1" x14ac:dyDescent="0.35">
      <c r="A30" s="742"/>
      <c r="B30" s="762"/>
      <c r="C30" s="822" t="s">
        <v>421</v>
      </c>
      <c r="D30" s="817">
        <v>24</v>
      </c>
      <c r="E30" s="806">
        <v>455</v>
      </c>
      <c r="F30" s="806">
        <v>413</v>
      </c>
      <c r="G30" s="806">
        <v>20</v>
      </c>
      <c r="H30" s="806">
        <v>994</v>
      </c>
      <c r="I30" s="806">
        <v>1104</v>
      </c>
      <c r="J30" s="809">
        <v>3</v>
      </c>
      <c r="K30" s="762"/>
      <c r="L30" s="762"/>
      <c r="M30" s="762"/>
      <c r="N30" s="762"/>
      <c r="O30" s="762"/>
      <c r="P30" s="762"/>
      <c r="Q30" s="737"/>
      <c r="AA30" s="562"/>
    </row>
    <row r="31" spans="1:27" ht="28.8" x14ac:dyDescent="0.3">
      <c r="A31" s="742"/>
      <c r="B31" s="762"/>
      <c r="C31" s="828" t="s">
        <v>417</v>
      </c>
      <c r="D31" s="817">
        <v>19</v>
      </c>
      <c r="E31" s="806">
        <v>380</v>
      </c>
      <c r="F31" s="806">
        <v>345</v>
      </c>
      <c r="G31" s="806">
        <v>17</v>
      </c>
      <c r="H31" s="806">
        <v>980</v>
      </c>
      <c r="I31" s="806">
        <v>1054</v>
      </c>
      <c r="J31" s="809">
        <v>3</v>
      </c>
      <c r="K31" s="762"/>
      <c r="L31" s="762"/>
      <c r="M31" s="762"/>
      <c r="N31" s="762"/>
      <c r="O31" s="762"/>
      <c r="P31" s="762"/>
      <c r="Q31" s="737"/>
      <c r="AA31" s="562"/>
    </row>
    <row r="32" spans="1:27" ht="29.4" thickBot="1" x14ac:dyDescent="0.35">
      <c r="A32" s="742"/>
      <c r="B32" s="762"/>
      <c r="C32" s="829" t="s">
        <v>418</v>
      </c>
      <c r="D32" s="817">
        <v>5</v>
      </c>
      <c r="E32" s="806">
        <v>75</v>
      </c>
      <c r="F32" s="806">
        <v>68</v>
      </c>
      <c r="G32" s="806">
        <v>3</v>
      </c>
      <c r="H32" s="806">
        <v>14</v>
      </c>
      <c r="I32" s="806">
        <v>50</v>
      </c>
      <c r="J32" s="809"/>
      <c r="K32" s="762"/>
      <c r="L32" s="762"/>
      <c r="M32" s="762"/>
      <c r="N32" s="762"/>
      <c r="O32" s="762"/>
      <c r="P32" s="762"/>
      <c r="Q32" s="737"/>
      <c r="AA32" s="562"/>
    </row>
    <row r="33" spans="1:27" ht="28.8" x14ac:dyDescent="0.3">
      <c r="A33" s="742"/>
      <c r="B33" s="762"/>
      <c r="C33" s="811" t="s">
        <v>422</v>
      </c>
      <c r="D33" s="817">
        <v>12</v>
      </c>
      <c r="E33" s="806">
        <v>60</v>
      </c>
      <c r="F33" s="806"/>
      <c r="G33" s="806">
        <v>1</v>
      </c>
      <c r="H33" s="806"/>
      <c r="I33" s="806">
        <v>4</v>
      </c>
      <c r="J33" s="809"/>
      <c r="K33" s="762"/>
      <c r="L33" s="762"/>
      <c r="M33" s="762"/>
      <c r="N33" s="762"/>
      <c r="O33" s="762"/>
      <c r="P33" s="762"/>
      <c r="Q33" s="737"/>
      <c r="AA33" s="562"/>
    </row>
    <row r="34" spans="1:27" ht="29.4" thickBot="1" x14ac:dyDescent="0.35">
      <c r="A34" s="788"/>
      <c r="B34" s="789"/>
      <c r="C34" s="810" t="s">
        <v>423</v>
      </c>
      <c r="D34" s="817">
        <v>12</v>
      </c>
      <c r="E34" s="806">
        <v>60</v>
      </c>
      <c r="F34" s="806"/>
      <c r="G34" s="806">
        <v>1</v>
      </c>
      <c r="H34" s="806"/>
      <c r="I34" s="806">
        <v>4</v>
      </c>
      <c r="J34" s="809"/>
      <c r="K34" s="789"/>
      <c r="L34" s="789"/>
      <c r="M34" s="789"/>
      <c r="N34" s="789"/>
      <c r="O34" s="789"/>
      <c r="P34" s="789"/>
      <c r="Q34" s="790"/>
      <c r="AA34" s="562"/>
    </row>
    <row r="35" spans="1:27" x14ac:dyDescent="0.3">
      <c r="A35" s="563"/>
      <c r="C35" s="811" t="s">
        <v>424</v>
      </c>
      <c r="D35" s="817">
        <v>12</v>
      </c>
      <c r="E35" s="806">
        <v>118</v>
      </c>
      <c r="F35" s="806"/>
      <c r="G35" s="806"/>
      <c r="H35" s="806"/>
      <c r="I35" s="806">
        <v>0</v>
      </c>
      <c r="J35" s="809"/>
      <c r="AA35" s="562"/>
    </row>
    <row r="36" spans="1:27" ht="36.6" x14ac:dyDescent="0.3">
      <c r="A36" s="774"/>
      <c r="B36" s="625"/>
      <c r="C36" s="810" t="s">
        <v>425</v>
      </c>
      <c r="D36" s="817">
        <v>3</v>
      </c>
      <c r="E36" s="806">
        <v>70</v>
      </c>
      <c r="F36" s="806"/>
      <c r="G36" s="806"/>
      <c r="H36" s="806"/>
      <c r="I36" s="806">
        <v>0</v>
      </c>
      <c r="J36" s="809"/>
      <c r="K36" s="625"/>
      <c r="L36" s="625"/>
      <c r="M36" s="625"/>
      <c r="N36" s="625"/>
      <c r="O36" s="625"/>
      <c r="P36" s="625"/>
      <c r="Q36" s="509"/>
      <c r="R36" s="509"/>
      <c r="S36" s="509"/>
      <c r="T36" s="509"/>
      <c r="U36" s="509"/>
      <c r="V36" s="509"/>
      <c r="W36" s="509"/>
      <c r="X36" s="509"/>
      <c r="Y36" s="509"/>
      <c r="Z36" s="509"/>
      <c r="AA36" s="775"/>
    </row>
    <row r="37" spans="1:27" ht="15" thickBot="1" x14ac:dyDescent="0.35">
      <c r="A37" s="563"/>
      <c r="C37" s="810" t="s">
        <v>423</v>
      </c>
      <c r="D37" s="817">
        <v>9</v>
      </c>
      <c r="E37" s="806">
        <v>48</v>
      </c>
      <c r="F37" s="806"/>
      <c r="G37" s="806"/>
      <c r="H37" s="806"/>
      <c r="I37" s="806"/>
      <c r="J37" s="809"/>
      <c r="AA37" s="562"/>
    </row>
    <row r="38" spans="1:27" ht="94.2" thickBot="1" x14ac:dyDescent="0.35">
      <c r="A38" s="763" t="s">
        <v>426</v>
      </c>
      <c r="B38" s="736"/>
      <c r="C38" s="823" t="s">
        <v>427</v>
      </c>
      <c r="D38" s="818">
        <v>262</v>
      </c>
      <c r="E38" s="812">
        <v>1530</v>
      </c>
      <c r="F38" s="812">
        <v>1195.2</v>
      </c>
      <c r="G38" s="812">
        <v>155</v>
      </c>
      <c r="H38" s="812">
        <v>1619.5</v>
      </c>
      <c r="I38" s="812">
        <v>3778</v>
      </c>
      <c r="J38" s="813">
        <v>74</v>
      </c>
      <c r="K38" s="736"/>
      <c r="L38" s="736"/>
      <c r="M38" s="736"/>
      <c r="N38" s="736"/>
      <c r="O38" s="736"/>
      <c r="P38" s="736"/>
      <c r="Q38" s="735"/>
      <c r="R38" s="735"/>
      <c r="S38" s="734"/>
      <c r="T38" s="735"/>
      <c r="U38" s="735"/>
      <c r="V38" s="735"/>
      <c r="W38" s="735"/>
      <c r="X38" s="735"/>
      <c r="Y38" s="735"/>
      <c r="Z38" s="735"/>
      <c r="AA38" s="764"/>
    </row>
    <row r="39" spans="1:27" ht="51.6" x14ac:dyDescent="0.65">
      <c r="A39" s="765" t="s">
        <v>428</v>
      </c>
      <c r="B39" s="733" t="s">
        <v>429</v>
      </c>
      <c r="C39" s="732"/>
      <c r="D39" s="732"/>
      <c r="E39" s="732"/>
      <c r="F39" s="731"/>
      <c r="G39" s="730"/>
      <c r="I39" s="567" t="s">
        <v>430</v>
      </c>
      <c r="J39" s="568"/>
      <c r="K39" s="569"/>
      <c r="L39" s="567" t="s">
        <v>431</v>
      </c>
      <c r="M39" s="568"/>
      <c r="N39" s="569"/>
      <c r="O39" s="570" t="s">
        <v>432</v>
      </c>
      <c r="P39" s="571"/>
      <c r="Q39" s="572"/>
      <c r="R39" s="573" t="s">
        <v>433</v>
      </c>
      <c r="S39" s="574"/>
      <c r="T39" s="575"/>
      <c r="U39" s="766"/>
      <c r="V39" s="766"/>
      <c r="W39" s="766"/>
      <c r="X39" s="766"/>
      <c r="Y39" s="766"/>
      <c r="Z39" s="766"/>
      <c r="AA39" s="618"/>
    </row>
    <row r="40" spans="1:27" ht="36" x14ac:dyDescent="0.3">
      <c r="A40" s="765"/>
      <c r="B40" s="729"/>
      <c r="C40" s="728" t="s">
        <v>434</v>
      </c>
      <c r="D40" s="728" t="s">
        <v>435</v>
      </c>
      <c r="E40" s="727" t="s">
        <v>436</v>
      </c>
      <c r="F40" s="726" t="s">
        <v>437</v>
      </c>
      <c r="G40" s="725" t="s">
        <v>438</v>
      </c>
      <c r="I40" s="724" t="s">
        <v>439</v>
      </c>
      <c r="J40" s="723">
        <f>SUM(J42:J50)</f>
        <v>5.75</v>
      </c>
      <c r="K40" s="722"/>
      <c r="L40" s="724" t="s">
        <v>439</v>
      </c>
      <c r="M40" s="723">
        <f>SUM(M42:M49)</f>
        <v>2</v>
      </c>
      <c r="N40" s="722"/>
      <c r="O40" s="721" t="s">
        <v>439</v>
      </c>
      <c r="P40" s="720">
        <f>SUM(P42:P45)</f>
        <v>2.8</v>
      </c>
      <c r="Q40" s="719"/>
      <c r="R40" s="718" t="s">
        <v>439</v>
      </c>
      <c r="S40" s="717">
        <f>SUM(S42:S45)</f>
        <v>3.75</v>
      </c>
      <c r="T40" s="716"/>
      <c r="U40" s="766"/>
      <c r="V40" s="766"/>
      <c r="W40" s="766"/>
      <c r="X40" s="766"/>
      <c r="Y40" s="766"/>
      <c r="Z40" s="766"/>
      <c r="AA40" s="618"/>
    </row>
    <row r="41" spans="1:27" ht="31.2" x14ac:dyDescent="0.3">
      <c r="A41" s="765"/>
      <c r="B41" s="715" t="s">
        <v>440</v>
      </c>
      <c r="C41" s="714">
        <f>J40</f>
        <v>5.75</v>
      </c>
      <c r="D41" s="714">
        <f>M40</f>
        <v>2</v>
      </c>
      <c r="E41" s="713">
        <f>P40</f>
        <v>2.8</v>
      </c>
      <c r="F41" s="712">
        <f>S40</f>
        <v>3.75</v>
      </c>
      <c r="G41" s="711">
        <f>SUM(C41:F41)</f>
        <v>14.3</v>
      </c>
      <c r="I41" s="710" t="s">
        <v>441</v>
      </c>
      <c r="J41" s="710" t="s">
        <v>428</v>
      </c>
      <c r="K41" s="710" t="s">
        <v>30</v>
      </c>
      <c r="L41" s="722" t="s">
        <v>441</v>
      </c>
      <c r="M41" s="710" t="s">
        <v>428</v>
      </c>
      <c r="N41" s="710" t="s">
        <v>30</v>
      </c>
      <c r="O41" s="709" t="s">
        <v>441</v>
      </c>
      <c r="P41" s="719" t="s">
        <v>428</v>
      </c>
      <c r="Q41" s="719" t="s">
        <v>30</v>
      </c>
      <c r="R41" s="708" t="s">
        <v>441</v>
      </c>
      <c r="S41" s="708" t="s">
        <v>428</v>
      </c>
      <c r="T41" s="716" t="s">
        <v>30</v>
      </c>
      <c r="U41" s="766"/>
      <c r="V41" s="766"/>
      <c r="W41" s="766"/>
      <c r="X41" s="766"/>
      <c r="Y41" s="766"/>
      <c r="Z41" s="766"/>
      <c r="AA41" s="618"/>
    </row>
    <row r="42" spans="1:27" ht="28.8" x14ac:dyDescent="0.3">
      <c r="A42" s="765"/>
      <c r="B42" s="707"/>
      <c r="C42" s="767">
        <f>C41/$G$41</f>
        <v>0.40209790209790208</v>
      </c>
      <c r="D42" s="767">
        <f>D41/$G$41</f>
        <v>0.13986013986013984</v>
      </c>
      <c r="E42" s="767">
        <f>E41/$G$41</f>
        <v>0.19580419580419578</v>
      </c>
      <c r="F42" s="767">
        <f>F41/$G$41</f>
        <v>0.26223776223776224</v>
      </c>
      <c r="G42" s="767">
        <f>SUM(C41:F41)/G41</f>
        <v>1</v>
      </c>
      <c r="I42" s="526" t="s">
        <v>442</v>
      </c>
      <c r="J42" s="706">
        <v>1</v>
      </c>
      <c r="K42" s="526"/>
      <c r="L42" s="524" t="s">
        <v>443</v>
      </c>
      <c r="M42" s="705">
        <v>1</v>
      </c>
      <c r="N42" s="704"/>
      <c r="O42" s="493" t="s">
        <v>444</v>
      </c>
      <c r="P42" s="525">
        <v>1</v>
      </c>
      <c r="Q42" s="295" t="s">
        <v>445</v>
      </c>
      <c r="R42" s="494" t="s">
        <v>446</v>
      </c>
      <c r="S42" s="294">
        <v>1</v>
      </c>
      <c r="T42" s="507"/>
      <c r="U42" s="766"/>
      <c r="V42" s="766"/>
      <c r="W42" s="766"/>
      <c r="X42" s="766"/>
      <c r="Y42" s="766"/>
      <c r="Z42" s="766"/>
      <c r="AA42" s="618"/>
    </row>
    <row r="43" spans="1:27" ht="28.8" x14ac:dyDescent="0.3">
      <c r="A43" s="765"/>
      <c r="B43" s="703"/>
      <c r="C43" s="766"/>
      <c r="D43" s="766"/>
      <c r="E43" s="766"/>
      <c r="F43" s="766"/>
      <c r="G43" s="768"/>
      <c r="I43" s="526" t="s">
        <v>447</v>
      </c>
      <c r="J43" s="527">
        <v>0</v>
      </c>
      <c r="K43" s="528" t="s">
        <v>448</v>
      </c>
      <c r="L43" s="524" t="s">
        <v>449</v>
      </c>
      <c r="M43" s="491">
        <v>0.5</v>
      </c>
      <c r="N43" s="702"/>
      <c r="O43" s="493" t="s">
        <v>450</v>
      </c>
      <c r="P43" s="525">
        <v>1</v>
      </c>
      <c r="Q43" s="295" t="s">
        <v>445</v>
      </c>
      <c r="R43" s="494" t="s">
        <v>451</v>
      </c>
      <c r="S43" s="294">
        <v>1</v>
      </c>
      <c r="T43" s="507"/>
      <c r="U43" s="766"/>
      <c r="V43" s="766"/>
      <c r="W43" s="766"/>
      <c r="X43" s="766"/>
      <c r="Y43" s="766"/>
      <c r="Z43" s="766"/>
      <c r="AA43" s="618"/>
    </row>
    <row r="44" spans="1:27" ht="25.8" x14ac:dyDescent="0.3">
      <c r="A44" s="765"/>
      <c r="B44" s="703"/>
      <c r="C44" s="766"/>
      <c r="D44" s="766"/>
      <c r="E44" s="766"/>
      <c r="F44" s="766"/>
      <c r="G44" s="766"/>
      <c r="I44" s="526" t="s">
        <v>452</v>
      </c>
      <c r="J44" s="706">
        <v>1</v>
      </c>
      <c r="K44" s="526"/>
      <c r="L44" s="524" t="s">
        <v>453</v>
      </c>
      <c r="M44" s="705">
        <v>0.5</v>
      </c>
      <c r="N44" s="492" t="s">
        <v>454</v>
      </c>
      <c r="O44" s="493" t="s">
        <v>455</v>
      </c>
      <c r="P44" s="525">
        <v>0.8</v>
      </c>
      <c r="Q44" s="296" t="s">
        <v>456</v>
      </c>
      <c r="R44" s="494" t="s">
        <v>457</v>
      </c>
      <c r="S44" s="294">
        <v>1</v>
      </c>
      <c r="T44" s="508"/>
      <c r="U44" s="766"/>
      <c r="V44" s="766"/>
      <c r="W44" s="766"/>
      <c r="X44" s="766"/>
      <c r="Y44" s="766"/>
      <c r="Z44" s="766"/>
      <c r="AA44" s="618"/>
    </row>
    <row r="45" spans="1:27" ht="25.8" x14ac:dyDescent="0.3">
      <c r="A45" s="765"/>
      <c r="B45" s="703"/>
      <c r="C45" s="766"/>
      <c r="D45" s="766"/>
      <c r="E45" s="766"/>
      <c r="F45" s="766"/>
      <c r="G45" s="766"/>
      <c r="I45" s="526" t="s">
        <v>458</v>
      </c>
      <c r="J45" s="706">
        <v>1</v>
      </c>
      <c r="K45" s="526"/>
      <c r="L45" s="524"/>
      <c r="M45" s="705"/>
      <c r="N45" s="492"/>
      <c r="O45" s="701"/>
      <c r="P45" s="700"/>
      <c r="Q45" s="699"/>
      <c r="R45" s="495" t="s">
        <v>459</v>
      </c>
      <c r="S45" s="698">
        <v>0.75</v>
      </c>
      <c r="T45" s="697"/>
      <c r="U45" s="766"/>
      <c r="V45" s="766"/>
      <c r="W45" s="766"/>
      <c r="X45" s="766"/>
      <c r="Y45" s="766"/>
      <c r="Z45" s="766"/>
      <c r="AA45" s="618"/>
    </row>
    <row r="46" spans="1:27" ht="28.8" x14ac:dyDescent="0.3">
      <c r="A46" s="765"/>
      <c r="B46" s="703"/>
      <c r="C46" s="766"/>
      <c r="D46" s="766"/>
      <c r="E46" s="766"/>
      <c r="F46" s="766"/>
      <c r="G46" s="768"/>
      <c r="I46" s="526" t="s">
        <v>460</v>
      </c>
      <c r="J46" s="706">
        <v>1</v>
      </c>
      <c r="K46" s="526"/>
      <c r="L46" s="525"/>
      <c r="M46" s="696"/>
      <c r="N46" s="695"/>
      <c r="O46" s="694"/>
      <c r="P46" s="693"/>
      <c r="Q46" s="692"/>
      <c r="R46" s="699"/>
      <c r="S46" s="699"/>
      <c r="T46" s="697"/>
      <c r="U46" s="766"/>
      <c r="V46" s="766"/>
      <c r="W46" s="766"/>
      <c r="X46" s="766"/>
      <c r="Y46" s="766"/>
      <c r="Z46" s="766"/>
      <c r="AA46" s="618"/>
    </row>
    <row r="47" spans="1:27" ht="28.8" x14ac:dyDescent="0.3">
      <c r="A47" s="765"/>
      <c r="B47" s="707"/>
      <c r="C47" s="768"/>
      <c r="D47" s="768"/>
      <c r="E47" s="768"/>
      <c r="F47" s="768"/>
      <c r="G47" s="768"/>
      <c r="I47" s="526" t="s">
        <v>461</v>
      </c>
      <c r="J47" s="706">
        <v>0.75</v>
      </c>
      <c r="K47" s="529"/>
      <c r="L47" s="525"/>
      <c r="M47" s="294"/>
      <c r="N47" s="494"/>
      <c r="O47" s="691"/>
      <c r="P47" s="692"/>
      <c r="Q47" s="692"/>
      <c r="R47" s="699"/>
      <c r="S47" s="699"/>
      <c r="T47" s="697"/>
      <c r="U47" s="766"/>
      <c r="V47" s="766"/>
      <c r="W47" s="766"/>
      <c r="X47" s="766"/>
      <c r="Y47" s="766"/>
      <c r="Z47" s="766"/>
      <c r="AA47" s="618"/>
    </row>
    <row r="48" spans="1:27" ht="28.8" x14ac:dyDescent="0.3">
      <c r="A48" s="765"/>
      <c r="B48" s="707"/>
      <c r="C48" s="768"/>
      <c r="D48" s="768"/>
      <c r="E48" s="768"/>
      <c r="F48" s="768"/>
      <c r="G48" s="768"/>
      <c r="I48" s="526" t="s">
        <v>462</v>
      </c>
      <c r="J48" s="706">
        <v>0.5</v>
      </c>
      <c r="K48" s="529"/>
      <c r="L48" s="525"/>
      <c r="M48" s="294"/>
      <c r="N48" s="297"/>
      <c r="O48" s="690"/>
      <c r="P48" s="692"/>
      <c r="Q48" s="692"/>
      <c r="R48" s="699"/>
      <c r="S48" s="699"/>
      <c r="T48" s="697"/>
      <c r="U48" s="766"/>
      <c r="V48" s="766"/>
      <c r="W48" s="766"/>
      <c r="X48" s="766"/>
      <c r="Y48" s="766"/>
      <c r="Z48" s="766"/>
      <c r="AA48" s="618"/>
    </row>
    <row r="49" spans="1:27" ht="28.8" x14ac:dyDescent="0.3">
      <c r="A49" s="765"/>
      <c r="B49" s="707"/>
      <c r="C49" s="768"/>
      <c r="D49" s="768"/>
      <c r="E49" s="768"/>
      <c r="F49" s="768"/>
      <c r="G49" s="768"/>
      <c r="I49" s="526" t="s">
        <v>463</v>
      </c>
      <c r="J49" s="706">
        <v>0.5</v>
      </c>
      <c r="K49" s="529" t="s">
        <v>454</v>
      </c>
      <c r="L49" s="525"/>
      <c r="M49" s="294"/>
      <c r="N49" s="297"/>
      <c r="O49" s="690"/>
      <c r="P49" s="692"/>
      <c r="Q49" s="692"/>
      <c r="R49" s="699"/>
      <c r="S49" s="699"/>
      <c r="T49" s="697"/>
      <c r="U49" s="766"/>
      <c r="V49" s="766"/>
      <c r="W49" s="766"/>
      <c r="X49" s="766"/>
      <c r="Y49" s="766"/>
      <c r="Z49" s="766"/>
      <c r="AA49" s="618"/>
    </row>
    <row r="50" spans="1:27" ht="29.4" thickBot="1" x14ac:dyDescent="0.35">
      <c r="A50" s="765"/>
      <c r="B50" s="689"/>
      <c r="C50" s="688"/>
      <c r="D50" s="688"/>
      <c r="E50" s="688"/>
      <c r="F50" s="688"/>
      <c r="G50" s="688"/>
      <c r="I50" s="687" t="s">
        <v>464</v>
      </c>
      <c r="J50" s="686">
        <v>0</v>
      </c>
      <c r="K50" s="529" t="s">
        <v>454</v>
      </c>
      <c r="L50" s="685"/>
      <c r="M50" s="685"/>
      <c r="N50" s="685"/>
      <c r="O50" s="684"/>
      <c r="P50" s="683"/>
      <c r="Q50" s="683"/>
      <c r="R50" s="682"/>
      <c r="S50" s="682"/>
      <c r="T50" s="681"/>
      <c r="U50" s="766"/>
      <c r="V50" s="766"/>
      <c r="W50" s="766"/>
      <c r="X50" s="766"/>
      <c r="Y50" s="766"/>
      <c r="Z50" s="766"/>
      <c r="AA50" s="618"/>
    </row>
    <row r="51" spans="1:27" ht="37.200000000000003" thickBot="1" x14ac:dyDescent="0.35">
      <c r="A51" s="791"/>
      <c r="B51" s="792"/>
      <c r="C51" s="792"/>
      <c r="D51" s="792"/>
      <c r="E51" s="792"/>
      <c r="F51" s="792"/>
      <c r="G51" s="792"/>
      <c r="H51" s="792"/>
      <c r="I51" s="792"/>
      <c r="J51" s="792"/>
      <c r="K51" s="792"/>
      <c r="L51" s="792"/>
      <c r="M51" s="792"/>
      <c r="N51" s="792"/>
      <c r="O51" s="792"/>
      <c r="P51" s="792"/>
      <c r="Q51" s="793"/>
      <c r="R51" s="793"/>
      <c r="S51" s="793"/>
      <c r="T51" s="793"/>
      <c r="U51" s="793"/>
      <c r="V51" s="793"/>
      <c r="W51" s="793"/>
      <c r="X51" s="793"/>
      <c r="Y51" s="793"/>
      <c r="Z51" s="793"/>
      <c r="AA51" s="794"/>
    </row>
    <row r="52" spans="1:27" ht="129" x14ac:dyDescent="0.65">
      <c r="A52" s="769" t="s">
        <v>465</v>
      </c>
      <c r="B52" s="680" t="s">
        <v>466</v>
      </c>
      <c r="C52" s="770"/>
      <c r="D52" s="770"/>
      <c r="E52" s="770"/>
      <c r="F52" s="770"/>
      <c r="G52" s="679"/>
      <c r="H52" s="678"/>
      <c r="I52" s="677" t="s">
        <v>430</v>
      </c>
      <c r="J52" s="676"/>
      <c r="K52" s="675"/>
      <c r="L52" s="677" t="s">
        <v>431</v>
      </c>
      <c r="M52" s="676"/>
      <c r="N52" s="675"/>
      <c r="O52" s="674" t="s">
        <v>432</v>
      </c>
      <c r="P52" s="673"/>
      <c r="Q52" s="672"/>
      <c r="R52" s="671" t="s">
        <v>433</v>
      </c>
      <c r="S52" s="670"/>
      <c r="T52" s="669"/>
      <c r="U52" s="768"/>
      <c r="V52" s="768"/>
      <c r="W52" s="768"/>
      <c r="X52" s="766"/>
      <c r="Y52" s="766"/>
      <c r="Z52" s="766"/>
      <c r="AA52" s="618"/>
    </row>
    <row r="53" spans="1:27" ht="46.8" x14ac:dyDescent="0.3">
      <c r="A53" s="769"/>
      <c r="B53" s="668"/>
      <c r="C53" s="667" t="s">
        <v>430</v>
      </c>
      <c r="D53" s="667" t="s">
        <v>431</v>
      </c>
      <c r="E53" s="666" t="s">
        <v>432</v>
      </c>
      <c r="F53" s="665" t="s">
        <v>433</v>
      </c>
      <c r="G53" s="664" t="s">
        <v>438</v>
      </c>
      <c r="H53" s="771"/>
      <c r="I53" s="663"/>
      <c r="J53" s="662" t="s">
        <v>467</v>
      </c>
      <c r="K53" s="661" t="s">
        <v>468</v>
      </c>
      <c r="L53" s="663"/>
      <c r="M53" s="662" t="s">
        <v>467</v>
      </c>
      <c r="N53" s="661" t="s">
        <v>468</v>
      </c>
      <c r="O53" s="660"/>
      <c r="P53" s="719" t="s">
        <v>467</v>
      </c>
      <c r="Q53" s="661" t="s">
        <v>468</v>
      </c>
      <c r="R53" s="659"/>
      <c r="S53" s="658" t="s">
        <v>467</v>
      </c>
      <c r="T53" s="661" t="s">
        <v>468</v>
      </c>
      <c r="U53" s="768"/>
      <c r="V53" s="768"/>
      <c r="W53" s="768"/>
      <c r="X53" s="766"/>
      <c r="Y53" s="766"/>
      <c r="Z53" s="766"/>
      <c r="AA53" s="618"/>
    </row>
    <row r="54" spans="1:27" ht="145.94999999999999" customHeight="1" x14ac:dyDescent="0.3">
      <c r="A54" s="769"/>
      <c r="B54" s="657" t="s">
        <v>469</v>
      </c>
      <c r="C54" s="656">
        <f>J54</f>
        <v>252.61666666666667</v>
      </c>
      <c r="D54" s="656">
        <f>M54</f>
        <v>87.866666666666674</v>
      </c>
      <c r="E54" s="655">
        <f>P54</f>
        <v>124.88</v>
      </c>
      <c r="F54" s="654">
        <f>S54</f>
        <v>165</v>
      </c>
      <c r="G54" s="653">
        <f>SUM(C54:F54)</f>
        <v>630.36333333333334</v>
      </c>
      <c r="H54" s="771"/>
      <c r="I54" s="652" t="s">
        <v>470</v>
      </c>
      <c r="J54" s="651">
        <f>J61*$C$41</f>
        <v>252.61666666666667</v>
      </c>
      <c r="K54" s="650">
        <f>K61*C41</f>
        <v>179.74647435897435</v>
      </c>
      <c r="L54" s="652" t="s">
        <v>470</v>
      </c>
      <c r="M54" s="651">
        <f>M61*$D$41</f>
        <v>87.866666666666674</v>
      </c>
      <c r="N54" s="650">
        <f>N61*D41</f>
        <v>62.52051282051282</v>
      </c>
      <c r="O54" s="649" t="s">
        <v>470</v>
      </c>
      <c r="P54" s="648">
        <f>P61*$E$41</f>
        <v>124.88</v>
      </c>
      <c r="Q54" s="650">
        <f>Q61*E41</f>
        <v>83.256923076923073</v>
      </c>
      <c r="R54" s="647" t="s">
        <v>470</v>
      </c>
      <c r="S54" s="646">
        <f>S61*$F$41</f>
        <v>165</v>
      </c>
      <c r="T54" s="650">
        <f>T61*$F$41</f>
        <v>109.90384615384615</v>
      </c>
      <c r="U54" s="768"/>
      <c r="V54" s="768"/>
      <c r="W54" s="768"/>
      <c r="X54" s="766"/>
      <c r="Y54" s="766"/>
      <c r="Z54" s="766"/>
      <c r="AA54" s="618"/>
    </row>
    <row r="55" spans="1:27" ht="74.400000000000006" customHeight="1" x14ac:dyDescent="0.3">
      <c r="A55" s="769"/>
      <c r="B55" s="645" t="s">
        <v>471</v>
      </c>
      <c r="C55" s="644">
        <f>K54</f>
        <v>179.74647435897435</v>
      </c>
      <c r="D55" s="644">
        <f>N54</f>
        <v>62.52051282051282</v>
      </c>
      <c r="E55" s="643">
        <f>Q54</f>
        <v>83.256923076923073</v>
      </c>
      <c r="F55" s="643">
        <f>T54</f>
        <v>109.90384615384615</v>
      </c>
      <c r="G55" s="642">
        <f>SUM(C55:F55)</f>
        <v>435.42775641025634</v>
      </c>
      <c r="H55" s="772"/>
      <c r="I55" s="641" t="s">
        <v>472</v>
      </c>
      <c r="J55" s="640" t="s">
        <v>473</v>
      </c>
      <c r="K55" s="639">
        <f>K56/J56</f>
        <v>0.71153846153846156</v>
      </c>
      <c r="L55" s="641" t="s">
        <v>472</v>
      </c>
      <c r="M55" s="640" t="s">
        <v>473</v>
      </c>
      <c r="N55" s="639">
        <f>K55</f>
        <v>0.71153846153846156</v>
      </c>
      <c r="O55" s="641" t="s">
        <v>472</v>
      </c>
      <c r="P55" s="640" t="s">
        <v>473</v>
      </c>
      <c r="Q55" s="639">
        <f>Q56/P56</f>
        <v>0.67307692307692313</v>
      </c>
      <c r="R55" s="641" t="s">
        <v>472</v>
      </c>
      <c r="S55" s="640" t="s">
        <v>473</v>
      </c>
      <c r="T55" s="639">
        <f>T56/S56</f>
        <v>0.67307692307692313</v>
      </c>
      <c r="U55" s="768"/>
      <c r="V55" s="768"/>
      <c r="W55" s="768"/>
      <c r="X55" s="768"/>
      <c r="Y55" s="768"/>
      <c r="Z55" s="766"/>
      <c r="AA55" s="618"/>
    </row>
    <row r="56" spans="1:27" ht="28.8" x14ac:dyDescent="0.3">
      <c r="A56" s="769"/>
      <c r="B56" s="638"/>
      <c r="C56" s="768"/>
      <c r="D56" s="766"/>
      <c r="E56" s="768"/>
      <c r="F56" s="768"/>
      <c r="G56" s="768"/>
      <c r="H56" s="768"/>
      <c r="I56" s="637" t="s">
        <v>474</v>
      </c>
      <c r="J56" s="586">
        <v>52</v>
      </c>
      <c r="K56" s="636">
        <f>52-15</f>
        <v>37</v>
      </c>
      <c r="L56" s="637" t="s">
        <v>474</v>
      </c>
      <c r="M56" s="586">
        <v>52</v>
      </c>
      <c r="N56" s="636">
        <f>52-15</f>
        <v>37</v>
      </c>
      <c r="O56" s="637" t="s">
        <v>474</v>
      </c>
      <c r="P56" s="586">
        <v>52</v>
      </c>
      <c r="Q56" s="636">
        <f>52-17</f>
        <v>35</v>
      </c>
      <c r="R56" s="637" t="s">
        <v>474</v>
      </c>
      <c r="S56" s="294">
        <v>52</v>
      </c>
      <c r="T56" s="636">
        <f>52-17</f>
        <v>35</v>
      </c>
      <c r="U56" s="768"/>
      <c r="V56" s="768"/>
      <c r="W56" s="768"/>
      <c r="X56" s="768"/>
      <c r="Y56" s="768"/>
      <c r="Z56" s="766"/>
      <c r="AA56" s="618"/>
    </row>
    <row r="57" spans="1:27" ht="28.8" x14ac:dyDescent="0.3">
      <c r="A57" s="769"/>
      <c r="B57" s="638"/>
      <c r="C57" s="768"/>
      <c r="D57" s="766"/>
      <c r="E57" s="768"/>
      <c r="F57" s="768"/>
      <c r="G57" s="768"/>
      <c r="H57" s="768"/>
      <c r="I57" s="637" t="s">
        <v>475</v>
      </c>
      <c r="J57" s="586">
        <f>13/6</f>
        <v>2.1666666666666665</v>
      </c>
      <c r="K57" s="635">
        <f>J57*$K$55</f>
        <v>1.5416666666666665</v>
      </c>
      <c r="L57" s="637" t="s">
        <v>475</v>
      </c>
      <c r="M57" s="586">
        <f>13/6</f>
        <v>2.1666666666666665</v>
      </c>
      <c r="N57" s="635">
        <f>M57*$K$55</f>
        <v>1.5416666666666665</v>
      </c>
      <c r="O57" s="637" t="s">
        <v>475</v>
      </c>
      <c r="P57" s="634">
        <f>12/5</f>
        <v>2.4</v>
      </c>
      <c r="Q57" s="635">
        <f>P57*$K$55</f>
        <v>1.7076923076923076</v>
      </c>
      <c r="R57" s="637" t="s">
        <v>475</v>
      </c>
      <c r="S57" s="294">
        <f>13/5</f>
        <v>2.6</v>
      </c>
      <c r="T57" s="635">
        <f>S57*$K$55</f>
        <v>1.85</v>
      </c>
      <c r="U57" s="768"/>
      <c r="V57" s="768"/>
      <c r="W57" s="768"/>
      <c r="X57" s="768"/>
      <c r="Y57" s="768"/>
      <c r="Z57" s="766"/>
      <c r="AA57" s="618"/>
    </row>
    <row r="58" spans="1:27" ht="28.8" x14ac:dyDescent="0.3">
      <c r="A58" s="769"/>
      <c r="B58" s="638"/>
      <c r="C58" s="768"/>
      <c r="D58" s="766"/>
      <c r="E58" s="768"/>
      <c r="F58" s="768"/>
      <c r="G58" s="768"/>
      <c r="H58" s="768"/>
      <c r="I58" s="637" t="s">
        <v>476</v>
      </c>
      <c r="J58" s="586">
        <f>7/5</f>
        <v>1.4</v>
      </c>
      <c r="K58" s="635">
        <f>J58*$K$55</f>
        <v>0.99615384615384617</v>
      </c>
      <c r="L58" s="637" t="s">
        <v>476</v>
      </c>
      <c r="M58" s="586">
        <f>7/5</f>
        <v>1.4</v>
      </c>
      <c r="N58" s="635">
        <f>M58*$K$55</f>
        <v>0.99615384615384617</v>
      </c>
      <c r="O58" s="637" t="s">
        <v>476</v>
      </c>
      <c r="P58" s="634">
        <v>0</v>
      </c>
      <c r="Q58" s="635">
        <f>P58*$K$55</f>
        <v>0</v>
      </c>
      <c r="R58" s="637" t="s">
        <v>476</v>
      </c>
      <c r="S58" s="294">
        <f>7/5</f>
        <v>1.4</v>
      </c>
      <c r="T58" s="635">
        <f>S58*$K$55</f>
        <v>0.99615384615384617</v>
      </c>
      <c r="U58" s="768"/>
      <c r="V58" s="768"/>
      <c r="W58" s="768"/>
      <c r="X58" s="768"/>
      <c r="Y58" s="768"/>
      <c r="Z58" s="766"/>
      <c r="AA58" s="618"/>
    </row>
    <row r="59" spans="1:27" ht="28.8" x14ac:dyDescent="0.3">
      <c r="A59" s="769"/>
      <c r="B59" s="638"/>
      <c r="C59" s="768"/>
      <c r="D59" s="766"/>
      <c r="E59" s="768"/>
      <c r="F59" s="768"/>
      <c r="G59" s="768"/>
      <c r="H59" s="768"/>
      <c r="I59" s="637" t="s">
        <v>477</v>
      </c>
      <c r="J59" s="586">
        <f>7/6</f>
        <v>1.1666666666666667</v>
      </c>
      <c r="K59" s="635">
        <f>J59*$K$55</f>
        <v>0.83012820512820518</v>
      </c>
      <c r="L59" s="637" t="s">
        <v>477</v>
      </c>
      <c r="M59" s="586">
        <f>7/6</f>
        <v>1.1666666666666667</v>
      </c>
      <c r="N59" s="635">
        <f>M59*$K$55</f>
        <v>0.83012820512820518</v>
      </c>
      <c r="O59" s="637" t="s">
        <v>477</v>
      </c>
      <c r="P59" s="634">
        <v>0</v>
      </c>
      <c r="Q59" s="635">
        <f>P59*$K$55</f>
        <v>0</v>
      </c>
      <c r="R59" s="637" t="s">
        <v>477</v>
      </c>
      <c r="S59" s="294">
        <v>0</v>
      </c>
      <c r="T59" s="635">
        <f>S59*$K$55</f>
        <v>0</v>
      </c>
      <c r="U59" s="768"/>
      <c r="V59" s="768"/>
      <c r="W59" s="768"/>
      <c r="X59" s="768"/>
      <c r="Y59" s="768"/>
      <c r="Z59" s="766"/>
      <c r="AA59" s="618"/>
    </row>
    <row r="60" spans="1:27" ht="28.8" x14ac:dyDescent="0.3">
      <c r="A60" s="769"/>
      <c r="B60" s="633"/>
      <c r="C60" s="766"/>
      <c r="D60" s="766"/>
      <c r="E60" s="766"/>
      <c r="F60" s="766"/>
      <c r="G60" s="766"/>
      <c r="H60" s="768"/>
      <c r="I60" s="637" t="s">
        <v>478</v>
      </c>
      <c r="J60" s="586">
        <f>20/6</f>
        <v>3.3333333333333335</v>
      </c>
      <c r="K60" s="635">
        <f>J60*$K$55</f>
        <v>2.3717948717948718</v>
      </c>
      <c r="L60" s="637" t="s">
        <v>478</v>
      </c>
      <c r="M60" s="586">
        <f>20/6</f>
        <v>3.3333333333333335</v>
      </c>
      <c r="N60" s="635">
        <f>M60*$K$55</f>
        <v>2.3717948717948718</v>
      </c>
      <c r="O60" s="637" t="s">
        <v>478</v>
      </c>
      <c r="P60" s="634">
        <f>25/5</f>
        <v>5</v>
      </c>
      <c r="Q60" s="635">
        <f>P60*$K$55</f>
        <v>3.5576923076923079</v>
      </c>
      <c r="R60" s="637" t="s">
        <v>478</v>
      </c>
      <c r="S60" s="294">
        <f>20/5</f>
        <v>4</v>
      </c>
      <c r="T60" s="635">
        <f>S60*$K$55</f>
        <v>2.8461538461538463</v>
      </c>
      <c r="U60" s="768"/>
      <c r="V60" s="768"/>
      <c r="W60" s="768"/>
      <c r="X60" s="768"/>
      <c r="Y60" s="768"/>
      <c r="Z60" s="766"/>
      <c r="AA60" s="618"/>
    </row>
    <row r="61" spans="1:27" ht="54.6" thickBot="1" x14ac:dyDescent="0.35">
      <c r="A61" s="773"/>
      <c r="B61" s="632"/>
      <c r="C61" s="219"/>
      <c r="D61" s="766"/>
      <c r="E61" s="219"/>
      <c r="F61" s="631"/>
      <c r="G61" s="631"/>
      <c r="H61" s="630"/>
      <c r="I61" s="629" t="s">
        <v>479</v>
      </c>
      <c r="J61" s="628">
        <f>J56-(SUM(J57:J60))</f>
        <v>43.933333333333337</v>
      </c>
      <c r="K61" s="627">
        <f>K56-(SUM(K57:K60))</f>
        <v>31.26025641025641</v>
      </c>
      <c r="L61" s="629" t="s">
        <v>479</v>
      </c>
      <c r="M61" s="628">
        <f>M56-(SUM(M57:M60))</f>
        <v>43.933333333333337</v>
      </c>
      <c r="N61" s="627">
        <f>N56-(SUM(N57:N60))</f>
        <v>31.26025641025641</v>
      </c>
      <c r="O61" s="629" t="s">
        <v>479</v>
      </c>
      <c r="P61" s="628">
        <f>P56-(SUM(P57:P60))</f>
        <v>44.6</v>
      </c>
      <c r="Q61" s="627">
        <f>Q56-(SUM(Q57:Q60))</f>
        <v>29.734615384615385</v>
      </c>
      <c r="R61" s="629" t="s">
        <v>479</v>
      </c>
      <c r="S61" s="626">
        <f>S56-(SUM(S57:S60))</f>
        <v>44</v>
      </c>
      <c r="T61" s="627">
        <f>T56-(SUM(T57:T60))</f>
        <v>29.307692307692307</v>
      </c>
      <c r="U61" s="768"/>
      <c r="V61" s="768"/>
      <c r="W61" s="768"/>
      <c r="X61" s="768"/>
      <c r="Y61" s="768"/>
      <c r="Z61" s="766"/>
      <c r="AA61" s="618"/>
    </row>
    <row r="62" spans="1:27" ht="36.6" x14ac:dyDescent="0.3">
      <c r="A62" s="774"/>
      <c r="B62" s="625"/>
      <c r="C62" s="625"/>
      <c r="D62" s="625"/>
      <c r="E62" s="625"/>
      <c r="F62" s="625"/>
      <c r="G62" s="625"/>
      <c r="H62" s="625"/>
      <c r="I62" s="625"/>
      <c r="J62" s="625"/>
      <c r="K62" s="625"/>
      <c r="L62" s="625"/>
      <c r="M62" s="625"/>
      <c r="N62" s="625"/>
      <c r="O62" s="625"/>
      <c r="P62" s="625"/>
      <c r="Q62" s="509"/>
      <c r="R62" s="509"/>
      <c r="S62" s="509"/>
      <c r="T62" s="509"/>
      <c r="U62" s="509"/>
      <c r="V62" s="509"/>
      <c r="W62" s="509"/>
      <c r="X62" s="509"/>
      <c r="Y62" s="509"/>
      <c r="Z62" s="509"/>
      <c r="AA62" s="775"/>
    </row>
    <row r="63" spans="1:27" ht="93.6" x14ac:dyDescent="0.3">
      <c r="A63" s="776" t="s">
        <v>480</v>
      </c>
      <c r="B63" s="777"/>
      <c r="C63" s="777"/>
      <c r="D63" s="777"/>
      <c r="E63" s="777"/>
      <c r="F63" s="777"/>
      <c r="G63" s="777"/>
      <c r="H63" s="777"/>
      <c r="I63" s="777"/>
      <c r="J63" s="777"/>
      <c r="K63" s="777"/>
      <c r="L63" s="777"/>
      <c r="M63" s="777"/>
      <c r="N63" s="777"/>
      <c r="O63" s="777"/>
      <c r="P63" s="778"/>
      <c r="Q63" s="778"/>
      <c r="R63" s="779"/>
      <c r="S63" s="779"/>
      <c r="T63" s="779"/>
      <c r="U63" s="779"/>
      <c r="V63" s="779"/>
      <c r="W63" s="779"/>
      <c r="X63" s="779"/>
      <c r="Y63" s="779"/>
      <c r="Z63" s="779"/>
      <c r="AA63" s="780"/>
    </row>
    <row r="64" spans="1:27" ht="154.80000000000001" x14ac:dyDescent="0.55000000000000004">
      <c r="A64" s="624" t="s">
        <v>481</v>
      </c>
      <c r="B64" s="623" t="s">
        <v>482</v>
      </c>
      <c r="C64" s="781"/>
      <c r="D64" s="781"/>
      <c r="E64" s="781"/>
      <c r="F64" s="622"/>
      <c r="G64" s="766"/>
      <c r="H64" s="766"/>
      <c r="I64" s="621" t="s">
        <v>390</v>
      </c>
      <c r="J64" s="621"/>
      <c r="K64" s="620" t="s">
        <v>395</v>
      </c>
      <c r="L64" s="620"/>
      <c r="M64" s="619" t="s">
        <v>396</v>
      </c>
      <c r="N64" s="619"/>
      <c r="O64" s="766"/>
      <c r="P64" s="766"/>
      <c r="Q64" s="766"/>
      <c r="R64" s="766"/>
      <c r="S64" s="766"/>
      <c r="T64" s="766"/>
      <c r="U64" s="766"/>
      <c r="V64" s="766"/>
      <c r="W64" s="766"/>
      <c r="X64" s="766"/>
      <c r="Y64" s="766"/>
      <c r="Z64" s="766"/>
      <c r="AA64" s="618"/>
    </row>
    <row r="65" spans="1:27" ht="31.2" x14ac:dyDescent="0.3">
      <c r="A65" s="624"/>
      <c r="B65" s="668"/>
      <c r="C65" s="667" t="s">
        <v>390</v>
      </c>
      <c r="D65" s="666" t="s">
        <v>395</v>
      </c>
      <c r="E65" s="665" t="s">
        <v>396</v>
      </c>
      <c r="F65" s="617" t="s">
        <v>483</v>
      </c>
      <c r="G65" s="766"/>
      <c r="H65" s="766"/>
      <c r="I65" s="616" t="s">
        <v>484</v>
      </c>
      <c r="J65" s="616" t="s">
        <v>485</v>
      </c>
      <c r="K65" s="616" t="s">
        <v>484</v>
      </c>
      <c r="L65" s="616" t="s">
        <v>485</v>
      </c>
      <c r="M65" s="616" t="s">
        <v>484</v>
      </c>
      <c r="N65" s="616" t="s">
        <v>485</v>
      </c>
      <c r="O65" s="766"/>
      <c r="P65" s="766"/>
      <c r="Q65" s="766"/>
      <c r="R65" s="766"/>
      <c r="S65" s="766"/>
      <c r="T65" s="766"/>
      <c r="U65" s="766"/>
      <c r="V65" s="766"/>
      <c r="W65" s="766"/>
      <c r="X65" s="766"/>
      <c r="Y65" s="766"/>
      <c r="Z65" s="766"/>
      <c r="AA65" s="618"/>
    </row>
    <row r="66" spans="1:27" ht="28.8" x14ac:dyDescent="0.3">
      <c r="A66" s="624"/>
      <c r="B66" s="615" t="s">
        <v>486</v>
      </c>
      <c r="C66" s="656">
        <v>3</v>
      </c>
      <c r="D66" s="655">
        <f>K70</f>
        <v>2</v>
      </c>
      <c r="E66" s="654">
        <f>M70</f>
        <v>4</v>
      </c>
      <c r="F66" s="614">
        <f>SUM(C66:E66)</f>
        <v>9</v>
      </c>
      <c r="G66" s="768"/>
      <c r="H66" s="766"/>
      <c r="I66" s="320" t="s">
        <v>487</v>
      </c>
      <c r="J66" s="320">
        <v>1</v>
      </c>
      <c r="K66" s="320" t="s">
        <v>487</v>
      </c>
      <c r="L66" s="320">
        <v>1</v>
      </c>
      <c r="M66" s="320" t="s">
        <v>487</v>
      </c>
      <c r="N66" s="320">
        <v>2</v>
      </c>
      <c r="O66" s="766"/>
      <c r="P66" s="766"/>
      <c r="Q66" s="766"/>
      <c r="R66" s="766"/>
      <c r="S66" s="766"/>
      <c r="T66" s="766"/>
      <c r="U66" s="766"/>
      <c r="V66" s="766"/>
      <c r="W66" s="766"/>
      <c r="X66" s="766"/>
      <c r="Y66" s="766"/>
      <c r="Z66" s="766"/>
      <c r="AA66" s="618"/>
    </row>
    <row r="67" spans="1:27" ht="31.2" x14ac:dyDescent="0.3">
      <c r="A67" s="624"/>
      <c r="B67" s="615" t="s">
        <v>488</v>
      </c>
      <c r="C67" s="656">
        <f>J70</f>
        <v>8</v>
      </c>
      <c r="D67" s="655">
        <f>L70</f>
        <v>3</v>
      </c>
      <c r="E67" s="654">
        <f>N70</f>
        <v>8</v>
      </c>
      <c r="F67" s="614">
        <f>SUM(C67:E67)</f>
        <v>19</v>
      </c>
      <c r="G67" s="768"/>
      <c r="H67" s="766"/>
      <c r="I67" s="320" t="s">
        <v>489</v>
      </c>
      <c r="J67" s="320">
        <v>4</v>
      </c>
      <c r="K67" s="320" t="s">
        <v>489</v>
      </c>
      <c r="L67" s="320">
        <v>2</v>
      </c>
      <c r="M67" s="320" t="s">
        <v>489</v>
      </c>
      <c r="N67" s="320">
        <v>2</v>
      </c>
      <c r="O67" s="766"/>
      <c r="P67" s="766"/>
      <c r="Q67" s="766"/>
      <c r="R67" s="766"/>
      <c r="S67" s="766"/>
      <c r="T67" s="766"/>
      <c r="U67" s="766"/>
      <c r="V67" s="766"/>
      <c r="W67" s="766"/>
      <c r="X67" s="766"/>
      <c r="Y67" s="766"/>
      <c r="Z67" s="766"/>
      <c r="AA67" s="618"/>
    </row>
    <row r="68" spans="1:27" ht="28.8" x14ac:dyDescent="0.3">
      <c r="A68" s="624"/>
      <c r="B68" s="638"/>
      <c r="C68" s="767">
        <f>C67/$F$67</f>
        <v>0.42105263157894735</v>
      </c>
      <c r="D68" s="767">
        <f>D67/$F$67</f>
        <v>0.15789473684210525</v>
      </c>
      <c r="E68" s="767">
        <f>E67/$F$67</f>
        <v>0.42105263157894735</v>
      </c>
      <c r="F68" s="768"/>
      <c r="G68" s="768"/>
      <c r="H68" s="766"/>
      <c r="I68" s="320" t="s">
        <v>490</v>
      </c>
      <c r="J68" s="320">
        <v>2</v>
      </c>
      <c r="K68" s="320"/>
      <c r="L68" s="320"/>
      <c r="M68" s="320" t="s">
        <v>490</v>
      </c>
      <c r="N68" s="320">
        <v>2</v>
      </c>
      <c r="O68" s="766"/>
      <c r="P68" s="766"/>
      <c r="Q68" s="766"/>
      <c r="R68" s="766"/>
      <c r="S68" s="766"/>
      <c r="T68" s="766"/>
      <c r="U68" s="766"/>
      <c r="V68" s="766"/>
      <c r="W68" s="766"/>
      <c r="X68" s="766"/>
      <c r="Y68" s="766"/>
      <c r="Z68" s="766"/>
      <c r="AA68" s="618"/>
    </row>
    <row r="69" spans="1:27" ht="27.6" customHeight="1" x14ac:dyDescent="0.3">
      <c r="A69" s="624"/>
      <c r="B69" s="633"/>
      <c r="C69" s="766"/>
      <c r="D69" s="766"/>
      <c r="E69" s="766"/>
      <c r="F69" s="766"/>
      <c r="G69" s="766"/>
      <c r="H69" s="766"/>
      <c r="I69" s="320" t="s">
        <v>491</v>
      </c>
      <c r="J69" s="613">
        <v>1</v>
      </c>
      <c r="K69" s="320"/>
      <c r="L69" s="320"/>
      <c r="M69" s="320" t="s">
        <v>491</v>
      </c>
      <c r="N69" s="320">
        <v>2</v>
      </c>
      <c r="O69" s="766"/>
      <c r="P69" s="766"/>
      <c r="Q69" s="766"/>
      <c r="R69" s="766"/>
      <c r="S69" s="766"/>
      <c r="T69" s="766"/>
      <c r="U69" s="766"/>
      <c r="V69" s="766"/>
      <c r="W69" s="766"/>
      <c r="X69" s="766"/>
      <c r="Y69" s="766"/>
      <c r="Z69" s="766"/>
      <c r="AA69" s="618"/>
    </row>
    <row r="70" spans="1:27" ht="93.6" x14ac:dyDescent="0.45">
      <c r="A70" s="624"/>
      <c r="B70" s="633"/>
      <c r="C70" s="766"/>
      <c r="D70" s="766"/>
      <c r="E70" s="766"/>
      <c r="F70" s="766"/>
      <c r="G70" s="766"/>
      <c r="H70" s="782" t="s">
        <v>492</v>
      </c>
      <c r="I70" s="612">
        <f>COUNTA(I66:I69)</f>
        <v>4</v>
      </c>
      <c r="J70" s="611">
        <f>SUM(J66:J69)</f>
        <v>8</v>
      </c>
      <c r="K70" s="612">
        <f>COUNTA(K66:K69)</f>
        <v>2</v>
      </c>
      <c r="L70" s="611">
        <f>SUM(L66:L69)</f>
        <v>3</v>
      </c>
      <c r="M70" s="612">
        <f>COUNTA(M66:M69)</f>
        <v>4</v>
      </c>
      <c r="N70" s="611">
        <f>SUM(N66:N69)</f>
        <v>8</v>
      </c>
      <c r="O70" s="766"/>
      <c r="P70" s="766"/>
      <c r="Q70" s="766"/>
      <c r="R70" s="766"/>
      <c r="S70" s="766"/>
      <c r="T70" s="766"/>
      <c r="U70" s="766"/>
      <c r="V70" s="766"/>
      <c r="W70" s="766"/>
      <c r="X70" s="766"/>
      <c r="Y70" s="766"/>
      <c r="Z70" s="766"/>
      <c r="AA70" s="618"/>
    </row>
    <row r="71" spans="1:27" ht="28.8" x14ac:dyDescent="0.3">
      <c r="A71" s="624"/>
      <c r="B71" s="633"/>
      <c r="C71" s="766"/>
      <c r="D71" s="766"/>
      <c r="E71" s="766"/>
      <c r="F71" s="766"/>
      <c r="G71" s="768"/>
      <c r="H71" s="556"/>
      <c r="I71" s="766"/>
      <c r="J71" s="766"/>
      <c r="K71" s="766"/>
      <c r="L71" s="766"/>
      <c r="M71" s="766"/>
      <c r="N71" s="610"/>
      <c r="O71" s="766"/>
      <c r="P71" s="766"/>
      <c r="Q71" s="766"/>
      <c r="R71" s="766"/>
      <c r="S71" s="766"/>
      <c r="T71" s="766"/>
      <c r="U71" s="766"/>
      <c r="V71" s="766"/>
      <c r="W71" s="766"/>
      <c r="X71" s="766"/>
      <c r="Y71" s="766"/>
      <c r="Z71" s="766"/>
      <c r="AA71" s="618"/>
    </row>
    <row r="72" spans="1:27" ht="28.8" x14ac:dyDescent="0.3">
      <c r="A72" s="624"/>
      <c r="B72" s="638"/>
      <c r="C72" s="768"/>
      <c r="D72" s="768"/>
      <c r="E72" s="768"/>
      <c r="F72" s="768"/>
      <c r="G72" s="768"/>
      <c r="H72" s="556"/>
      <c r="I72" s="556"/>
      <c r="J72" s="783"/>
      <c r="K72" s="768"/>
      <c r="L72" s="768"/>
      <c r="M72" s="768"/>
      <c r="N72" s="610"/>
      <c r="O72" s="766"/>
      <c r="P72" s="766"/>
      <c r="Q72" s="768"/>
      <c r="R72" s="768"/>
      <c r="S72" s="768"/>
      <c r="T72" s="768"/>
      <c r="U72" s="768"/>
      <c r="V72" s="768"/>
      <c r="W72" s="768"/>
      <c r="X72" s="766"/>
      <c r="Y72" s="766"/>
      <c r="Z72" s="766"/>
      <c r="AA72" s="618"/>
    </row>
    <row r="73" spans="1:27" ht="28.8" x14ac:dyDescent="0.3">
      <c r="A73" s="624"/>
      <c r="B73" s="638"/>
      <c r="C73" s="768"/>
      <c r="D73" s="768"/>
      <c r="E73" s="768"/>
      <c r="F73" s="768"/>
      <c r="G73" s="768"/>
      <c r="H73" s="556"/>
      <c r="I73" s="556"/>
      <c r="J73" s="557"/>
      <c r="K73" s="768"/>
      <c r="L73" s="768"/>
      <c r="M73" s="768"/>
      <c r="N73" s="610"/>
      <c r="O73" s="766"/>
      <c r="P73" s="766"/>
      <c r="Q73" s="768"/>
      <c r="R73" s="768"/>
      <c r="S73" s="768"/>
      <c r="T73" s="768"/>
      <c r="U73" s="768"/>
      <c r="V73" s="768"/>
      <c r="W73" s="768"/>
      <c r="X73" s="766"/>
      <c r="Y73" s="766"/>
      <c r="Z73" s="766"/>
      <c r="AA73" s="618"/>
    </row>
    <row r="74" spans="1:27" ht="28.8" x14ac:dyDescent="0.3">
      <c r="A74" s="624"/>
      <c r="B74" s="638"/>
      <c r="C74" s="768"/>
      <c r="D74" s="768"/>
      <c r="E74" s="768"/>
      <c r="F74" s="768"/>
      <c r="G74" s="768"/>
      <c r="H74" s="556"/>
      <c r="I74" s="556"/>
      <c r="J74" s="557"/>
      <c r="K74" s="768"/>
      <c r="L74" s="768"/>
      <c r="M74" s="768"/>
      <c r="N74" s="610"/>
      <c r="O74" s="766"/>
      <c r="P74" s="766"/>
      <c r="Q74" s="768"/>
      <c r="R74" s="768"/>
      <c r="S74" s="768"/>
      <c r="T74" s="768"/>
      <c r="U74" s="768"/>
      <c r="V74" s="768"/>
      <c r="W74" s="768"/>
      <c r="X74" s="766"/>
      <c r="Y74" s="766"/>
      <c r="Z74" s="766"/>
      <c r="AA74" s="618"/>
    </row>
    <row r="75" spans="1:27" ht="29.4" thickBot="1" x14ac:dyDescent="0.35">
      <c r="A75" s="624"/>
      <c r="B75" s="609"/>
      <c r="C75" s="608"/>
      <c r="D75" s="608"/>
      <c r="E75" s="608"/>
      <c r="F75" s="608"/>
      <c r="G75" s="608"/>
      <c r="H75" s="298"/>
      <c r="I75" s="298"/>
      <c r="J75" s="299"/>
      <c r="K75" s="608"/>
      <c r="L75" s="608"/>
      <c r="M75" s="608"/>
      <c r="N75" s="607"/>
      <c r="O75" s="766"/>
      <c r="P75" s="766"/>
      <c r="Q75" s="768"/>
      <c r="R75" s="768"/>
      <c r="S75" s="768"/>
      <c r="T75" s="768"/>
      <c r="U75" s="768"/>
      <c r="V75" s="768"/>
      <c r="W75" s="768"/>
      <c r="X75" s="766"/>
      <c r="Y75" s="766"/>
      <c r="Z75" s="766"/>
      <c r="AA75" s="618"/>
    </row>
    <row r="76" spans="1:27" ht="37.200000000000003" thickBot="1" x14ac:dyDescent="0.35">
      <c r="A76" s="791"/>
      <c r="B76" s="792"/>
      <c r="C76" s="792"/>
      <c r="D76" s="792"/>
      <c r="E76" s="792"/>
      <c r="F76" s="792"/>
      <c r="G76" s="792"/>
      <c r="H76" s="792"/>
      <c r="I76" s="792"/>
      <c r="J76" s="792"/>
      <c r="K76" s="792"/>
      <c r="L76" s="792"/>
      <c r="M76" s="792"/>
      <c r="N76" s="792"/>
      <c r="O76" s="792"/>
      <c r="P76" s="792"/>
      <c r="Q76" s="793"/>
      <c r="R76" s="793"/>
      <c r="S76" s="793"/>
      <c r="T76" s="793"/>
      <c r="U76" s="793"/>
      <c r="V76" s="793"/>
      <c r="W76" s="793"/>
      <c r="X76" s="793"/>
      <c r="Y76" s="793"/>
      <c r="Z76" s="793"/>
      <c r="AA76" s="794"/>
    </row>
    <row r="77" spans="1:27" ht="154.80000000000001" x14ac:dyDescent="0.3">
      <c r="A77" s="606" t="s">
        <v>493</v>
      </c>
      <c r="B77" s="605" t="s">
        <v>494</v>
      </c>
      <c r="C77" s="604"/>
      <c r="D77" s="604"/>
      <c r="E77" s="604"/>
      <c r="F77" s="603"/>
      <c r="G77" s="678"/>
      <c r="H77" s="766"/>
      <c r="I77" s="602" t="s">
        <v>495</v>
      </c>
      <c r="J77" s="601"/>
      <c r="K77" s="601"/>
      <c r="L77" s="601"/>
      <c r="M77" s="601"/>
      <c r="N77" s="766"/>
      <c r="O77" s="600" t="s">
        <v>496</v>
      </c>
      <c r="P77" s="599"/>
      <c r="Q77" s="599"/>
      <c r="R77" s="599"/>
      <c r="S77" s="599"/>
      <c r="T77" s="766"/>
      <c r="U77" s="598" t="s">
        <v>497</v>
      </c>
      <c r="V77" s="597"/>
      <c r="W77" s="597"/>
      <c r="X77" s="597"/>
      <c r="Y77" s="597"/>
      <c r="Z77" s="766"/>
      <c r="AA77" s="618"/>
    </row>
    <row r="78" spans="1:27" ht="30.6" customHeight="1" x14ac:dyDescent="0.3">
      <c r="A78" s="606"/>
      <c r="B78" s="668"/>
      <c r="C78" s="667" t="s">
        <v>390</v>
      </c>
      <c r="D78" s="666" t="s">
        <v>395</v>
      </c>
      <c r="E78" s="665" t="s">
        <v>396</v>
      </c>
      <c r="F78" s="617" t="s">
        <v>483</v>
      </c>
      <c r="G78" s="771"/>
      <c r="H78" s="766"/>
      <c r="I78" s="699"/>
      <c r="J78" s="596" t="s">
        <v>498</v>
      </c>
      <c r="K78" s="596" t="s">
        <v>499</v>
      </c>
      <c r="L78" s="596" t="s">
        <v>500</v>
      </c>
      <c r="M78" s="596" t="s">
        <v>501</v>
      </c>
      <c r="N78" s="766"/>
      <c r="O78" s="699"/>
      <c r="P78" s="596" t="s">
        <v>498</v>
      </c>
      <c r="Q78" s="596" t="s">
        <v>499</v>
      </c>
      <c r="R78" s="784"/>
      <c r="S78" s="784"/>
      <c r="T78" s="766"/>
      <c r="U78" s="699"/>
      <c r="V78" s="596" t="s">
        <v>498</v>
      </c>
      <c r="W78" s="596" t="s">
        <v>499</v>
      </c>
      <c r="X78" s="596" t="s">
        <v>500</v>
      </c>
      <c r="Y78" s="596" t="s">
        <v>501</v>
      </c>
      <c r="Z78" s="766"/>
      <c r="AA78" s="618"/>
    </row>
    <row r="79" spans="1:27" ht="31.2" x14ac:dyDescent="0.3">
      <c r="A79" s="606"/>
      <c r="B79" s="615" t="s">
        <v>502</v>
      </c>
      <c r="C79" s="656">
        <f>M93</f>
        <v>186.21999999999997</v>
      </c>
      <c r="D79" s="655">
        <f>S93</f>
        <v>72.959999999999994</v>
      </c>
      <c r="E79" s="654">
        <f>Y93</f>
        <v>216.3</v>
      </c>
      <c r="F79" s="614">
        <f>SUM(C79:E79)</f>
        <v>475.47999999999996</v>
      </c>
      <c r="G79" s="771"/>
      <c r="H79" s="766"/>
      <c r="I79" s="319" t="s">
        <v>503</v>
      </c>
      <c r="J79" s="320">
        <v>52</v>
      </c>
      <c r="K79" s="320">
        <v>52</v>
      </c>
      <c r="L79" s="320">
        <v>52</v>
      </c>
      <c r="M79" s="320">
        <v>52</v>
      </c>
      <c r="N79" s="766"/>
      <c r="O79" s="319" t="s">
        <v>503</v>
      </c>
      <c r="P79" s="320">
        <v>52</v>
      </c>
      <c r="Q79" s="320">
        <v>52</v>
      </c>
      <c r="R79" s="784"/>
      <c r="S79" s="784"/>
      <c r="T79" s="766"/>
      <c r="U79" s="319" t="s">
        <v>503</v>
      </c>
      <c r="V79" s="320">
        <v>52</v>
      </c>
      <c r="W79" s="320">
        <v>52</v>
      </c>
      <c r="X79" s="320">
        <v>52</v>
      </c>
      <c r="Y79" s="320">
        <v>52</v>
      </c>
      <c r="Z79" s="766"/>
      <c r="AA79" s="618"/>
    </row>
    <row r="80" spans="1:27" ht="31.2" x14ac:dyDescent="0.3">
      <c r="A80" s="606"/>
      <c r="C80" s="785">
        <f>C79/F79</f>
        <v>0.39164633633381002</v>
      </c>
      <c r="D80" s="785">
        <f>D79/F79</f>
        <v>0.15344493985025659</v>
      </c>
      <c r="E80" s="785">
        <f>E79/F79</f>
        <v>0.45490872381593345</v>
      </c>
      <c r="G80" s="771"/>
      <c r="H80" s="766"/>
      <c r="I80" s="319" t="s">
        <v>475</v>
      </c>
      <c r="J80" s="320">
        <f>13/5</f>
        <v>2.6</v>
      </c>
      <c r="K80" s="320">
        <f>13/5</f>
        <v>2.6</v>
      </c>
      <c r="L80" s="320">
        <f>13/5</f>
        <v>2.6</v>
      </c>
      <c r="M80" s="320">
        <f>13/5</f>
        <v>2.6</v>
      </c>
      <c r="N80" s="766"/>
      <c r="O80" s="319" t="s">
        <v>475</v>
      </c>
      <c r="P80" s="320">
        <f>13/5</f>
        <v>2.6</v>
      </c>
      <c r="Q80" s="320">
        <f>13/5</f>
        <v>2.6</v>
      </c>
      <c r="R80" s="784"/>
      <c r="S80" s="784"/>
      <c r="T80" s="766"/>
      <c r="U80" s="319" t="s">
        <v>475</v>
      </c>
      <c r="V80" s="320">
        <f>13/5</f>
        <v>2.6</v>
      </c>
      <c r="W80" s="320">
        <f>13/5</f>
        <v>2.6</v>
      </c>
      <c r="X80" s="320">
        <f>13/5</f>
        <v>2.6</v>
      </c>
      <c r="Y80" s="320">
        <f>13/5</f>
        <v>2.6</v>
      </c>
      <c r="Z80" s="766"/>
      <c r="AA80" s="618"/>
    </row>
    <row r="81" spans="1:27" ht="31.2" x14ac:dyDescent="0.3">
      <c r="A81" s="606"/>
      <c r="B81" s="638"/>
      <c r="F81" s="768"/>
      <c r="G81" s="768"/>
      <c r="H81" s="766"/>
      <c r="I81" s="319" t="s">
        <v>504</v>
      </c>
      <c r="J81" s="320">
        <v>2</v>
      </c>
      <c r="K81" s="320">
        <f>12/$J$85</f>
        <v>2</v>
      </c>
      <c r="L81" s="320">
        <f>12/$J$85</f>
        <v>2</v>
      </c>
      <c r="M81" s="320">
        <f>12/$J$85</f>
        <v>2</v>
      </c>
      <c r="N81" s="766"/>
      <c r="O81" s="319" t="s">
        <v>505</v>
      </c>
      <c r="P81" s="320">
        <f>12/$J$85</f>
        <v>2</v>
      </c>
      <c r="Q81" s="320">
        <f>12/$J$85</f>
        <v>2</v>
      </c>
      <c r="R81" s="784"/>
      <c r="S81" s="784"/>
      <c r="T81" s="766"/>
      <c r="U81" s="319" t="s">
        <v>505</v>
      </c>
      <c r="V81" s="320">
        <f>12/$J$85</f>
        <v>2</v>
      </c>
      <c r="W81" s="320">
        <f>12/$J$85</f>
        <v>2</v>
      </c>
      <c r="X81" s="320">
        <f>12/$J$85</f>
        <v>2</v>
      </c>
      <c r="Y81" s="320">
        <f>12/$J$85</f>
        <v>2</v>
      </c>
      <c r="Z81" s="766"/>
      <c r="AA81" s="618"/>
    </row>
    <row r="82" spans="1:27" ht="31.2" x14ac:dyDescent="0.3">
      <c r="A82" s="606"/>
      <c r="B82" s="766"/>
      <c r="F82" s="766"/>
      <c r="G82" s="766"/>
      <c r="H82" s="766"/>
      <c r="I82" s="319" t="s">
        <v>506</v>
      </c>
      <c r="J82" s="320">
        <v>1</v>
      </c>
      <c r="K82" s="320">
        <v>11</v>
      </c>
      <c r="L82" s="320">
        <v>7</v>
      </c>
      <c r="M82" s="320">
        <v>2</v>
      </c>
      <c r="N82" s="766"/>
      <c r="O82" s="319" t="s">
        <v>507</v>
      </c>
      <c r="P82" s="320">
        <v>8</v>
      </c>
      <c r="Q82" s="320">
        <v>8</v>
      </c>
      <c r="R82" s="784"/>
      <c r="S82" s="784"/>
      <c r="T82" s="766"/>
      <c r="U82" s="319" t="s">
        <v>507</v>
      </c>
      <c r="V82" s="320">
        <v>3</v>
      </c>
      <c r="W82" s="320">
        <v>3</v>
      </c>
      <c r="X82" s="320">
        <v>3</v>
      </c>
      <c r="Y82" s="320">
        <v>4</v>
      </c>
      <c r="Z82" s="766"/>
      <c r="AA82" s="618"/>
    </row>
    <row r="83" spans="1:27" ht="31.2" x14ac:dyDescent="0.3">
      <c r="A83" s="606"/>
      <c r="B83" s="595" t="s">
        <v>508</v>
      </c>
      <c r="C83" s="594">
        <f>M94</f>
        <v>132.50269230769229</v>
      </c>
      <c r="D83" s="593">
        <f>S94</f>
        <v>51.913846153846151</v>
      </c>
      <c r="E83" s="593">
        <f>Y94</f>
        <v>153.90576923076924</v>
      </c>
      <c r="F83" s="592">
        <f>SUM(C83:E83)</f>
        <v>338.32230769230767</v>
      </c>
      <c r="G83" s="766"/>
      <c r="H83" s="766"/>
      <c r="I83" s="319" t="s">
        <v>509</v>
      </c>
      <c r="J83" s="320">
        <v>1</v>
      </c>
      <c r="K83" s="320">
        <v>1</v>
      </c>
      <c r="L83" s="320">
        <v>1</v>
      </c>
      <c r="M83" s="320">
        <v>1</v>
      </c>
      <c r="N83" s="766"/>
      <c r="O83" s="319" t="s">
        <v>509</v>
      </c>
      <c r="P83" s="320">
        <v>1</v>
      </c>
      <c r="Q83" s="320">
        <v>1</v>
      </c>
      <c r="R83" s="784"/>
      <c r="S83" s="784"/>
      <c r="T83" s="766"/>
      <c r="U83" s="319" t="s">
        <v>509</v>
      </c>
      <c r="V83" s="320">
        <v>1</v>
      </c>
      <c r="W83" s="320">
        <v>1</v>
      </c>
      <c r="X83" s="320">
        <v>1</v>
      </c>
      <c r="Y83" s="320">
        <v>1</v>
      </c>
      <c r="Z83" s="766"/>
      <c r="AA83" s="618"/>
    </row>
    <row r="84" spans="1:27" ht="31.2" x14ac:dyDescent="0.3">
      <c r="A84" s="606"/>
      <c r="B84" s="633"/>
      <c r="C84" s="766"/>
      <c r="D84" s="766"/>
      <c r="E84" s="766"/>
      <c r="F84" s="766"/>
      <c r="G84" s="768"/>
      <c r="H84" s="556"/>
      <c r="I84" s="321" t="s">
        <v>510</v>
      </c>
      <c r="J84" s="322">
        <f>J79-SUM(J80:J83)</f>
        <v>45.4</v>
      </c>
      <c r="K84" s="322">
        <f>K79-SUM(K80:K83)</f>
        <v>35.4</v>
      </c>
      <c r="L84" s="322">
        <f>L79-SUM(L80:L83)</f>
        <v>39.4</v>
      </c>
      <c r="M84" s="322">
        <f>M79-SUM(M80:M83)</f>
        <v>44.4</v>
      </c>
      <c r="N84" s="766"/>
      <c r="O84" s="321" t="s">
        <v>510</v>
      </c>
      <c r="P84" s="322">
        <f>P79-SUM(P80:P83)</f>
        <v>38.4</v>
      </c>
      <c r="Q84" s="322">
        <f>Q79-SUM(Q80:Q83)</f>
        <v>38.4</v>
      </c>
      <c r="R84" s="784"/>
      <c r="S84" s="784"/>
      <c r="T84" s="766"/>
      <c r="U84" s="321" t="s">
        <v>510</v>
      </c>
      <c r="V84" s="322">
        <f>V79-SUM(V80:V83)</f>
        <v>43.4</v>
      </c>
      <c r="W84" s="322">
        <f>W79-SUM(W80:W83)</f>
        <v>43.4</v>
      </c>
      <c r="X84" s="322">
        <f>X79-SUM(X80:X83)</f>
        <v>43.4</v>
      </c>
      <c r="Y84" s="322">
        <f>Y79-SUM(Y80:Y83)</f>
        <v>42.4</v>
      </c>
      <c r="Z84" s="766"/>
      <c r="AA84" s="618"/>
    </row>
    <row r="85" spans="1:27" ht="28.8" x14ac:dyDescent="0.3">
      <c r="A85" s="606"/>
      <c r="B85" s="638"/>
      <c r="C85" s="768"/>
      <c r="D85" s="768"/>
      <c r="E85" s="768"/>
      <c r="F85" s="768"/>
      <c r="G85" s="768"/>
      <c r="H85" s="556"/>
      <c r="I85" s="786" t="s">
        <v>511</v>
      </c>
      <c r="J85" s="786">
        <v>6</v>
      </c>
      <c r="K85" s="786"/>
      <c r="L85" s="784"/>
      <c r="M85" s="784"/>
      <c r="N85" s="766"/>
      <c r="O85" s="786" t="s">
        <v>511</v>
      </c>
      <c r="P85" s="786">
        <v>5</v>
      </c>
      <c r="Q85" s="786"/>
      <c r="R85" s="784"/>
      <c r="S85" s="784"/>
      <c r="T85" s="766"/>
      <c r="U85" s="786" t="s">
        <v>511</v>
      </c>
      <c r="V85" s="786">
        <v>5</v>
      </c>
      <c r="W85" s="786"/>
      <c r="X85" s="784"/>
      <c r="Y85" s="784"/>
      <c r="Z85" s="766"/>
      <c r="AA85" s="618"/>
    </row>
    <row r="86" spans="1:27" ht="28.8" x14ac:dyDescent="0.3">
      <c r="A86" s="606"/>
      <c r="B86" s="768"/>
      <c r="C86" s="768"/>
      <c r="D86" s="768"/>
      <c r="E86" s="768"/>
      <c r="F86" s="768"/>
      <c r="G86" s="768"/>
      <c r="H86" s="556"/>
      <c r="I86" s="556"/>
      <c r="J86" s="557"/>
      <c r="K86" s="768"/>
      <c r="L86" s="768"/>
      <c r="M86" s="768"/>
      <c r="N86" s="766"/>
      <c r="O86" s="556"/>
      <c r="P86" s="557"/>
      <c r="Q86" s="768"/>
      <c r="R86" s="768"/>
      <c r="S86" s="768"/>
      <c r="T86" s="766"/>
      <c r="U86" s="556"/>
      <c r="V86" s="557"/>
      <c r="W86" s="768"/>
      <c r="X86" s="768"/>
      <c r="Y86" s="768"/>
      <c r="Z86" s="766"/>
      <c r="AA86" s="618"/>
    </row>
    <row r="87" spans="1:27" ht="28.8" x14ac:dyDescent="0.55000000000000004">
      <c r="A87" s="606"/>
      <c r="B87" s="768"/>
      <c r="C87" s="766"/>
      <c r="D87" s="766"/>
      <c r="E87" s="766"/>
      <c r="F87" s="766"/>
      <c r="G87" s="766"/>
      <c r="H87" s="556"/>
      <c r="I87" s="591" t="s">
        <v>512</v>
      </c>
      <c r="J87" s="591"/>
      <c r="K87" s="591"/>
      <c r="L87" s="591"/>
      <c r="M87" s="591"/>
      <c r="N87" s="591"/>
      <c r="O87" s="590" t="s">
        <v>513</v>
      </c>
      <c r="P87" s="590"/>
      <c r="Q87" s="590"/>
      <c r="R87" s="590"/>
      <c r="S87" s="590"/>
      <c r="T87" s="590"/>
      <c r="U87" s="589" t="s">
        <v>514</v>
      </c>
      <c r="V87" s="589"/>
      <c r="W87" s="589"/>
      <c r="X87" s="589"/>
      <c r="Y87" s="589"/>
      <c r="Z87" s="589"/>
      <c r="AA87" s="618"/>
    </row>
    <row r="88" spans="1:27" ht="110.4" customHeight="1" x14ac:dyDescent="0.3">
      <c r="A88" s="606"/>
      <c r="B88" s="768"/>
      <c r="C88" s="766"/>
      <c r="D88" s="766"/>
      <c r="E88" s="766"/>
      <c r="F88" s="766"/>
      <c r="G88" s="766"/>
      <c r="H88" s="556"/>
      <c r="I88" s="616" t="s">
        <v>484</v>
      </c>
      <c r="J88" s="616" t="s">
        <v>485</v>
      </c>
      <c r="K88" s="616" t="s">
        <v>515</v>
      </c>
      <c r="L88" s="616" t="s">
        <v>516</v>
      </c>
      <c r="M88" s="616" t="s">
        <v>517</v>
      </c>
      <c r="N88" s="588" t="s">
        <v>30</v>
      </c>
      <c r="O88" s="616" t="s">
        <v>484</v>
      </c>
      <c r="P88" s="616" t="s">
        <v>485</v>
      </c>
      <c r="Q88" s="616" t="s">
        <v>515</v>
      </c>
      <c r="R88" s="616" t="s">
        <v>516</v>
      </c>
      <c r="S88" s="616" t="s">
        <v>517</v>
      </c>
      <c r="T88" s="588" t="s">
        <v>30</v>
      </c>
      <c r="U88" s="616" t="s">
        <v>484</v>
      </c>
      <c r="V88" s="616" t="s">
        <v>485</v>
      </c>
      <c r="W88" s="616" t="s">
        <v>515</v>
      </c>
      <c r="X88" s="616" t="s">
        <v>516</v>
      </c>
      <c r="Y88" s="616" t="s">
        <v>517</v>
      </c>
      <c r="Z88" s="588" t="s">
        <v>30</v>
      </c>
      <c r="AA88" s="618"/>
    </row>
    <row r="89" spans="1:27" ht="28.8" x14ac:dyDescent="0.3">
      <c r="A89" s="606"/>
      <c r="B89" s="768"/>
      <c r="C89" s="766"/>
      <c r="D89" s="766"/>
      <c r="E89" s="766"/>
      <c r="F89" s="766"/>
      <c r="G89" s="766"/>
      <c r="H89" s="556"/>
      <c r="I89" s="294" t="s">
        <v>487</v>
      </c>
      <c r="J89" s="294">
        <v>1</v>
      </c>
      <c r="K89" s="587">
        <v>0.7</v>
      </c>
      <c r="L89" s="586">
        <f>J84*K89</f>
        <v>31.779999999999998</v>
      </c>
      <c r="M89" s="586">
        <f>L89*J89</f>
        <v>31.779999999999998</v>
      </c>
      <c r="N89" s="295"/>
      <c r="O89" s="294" t="s">
        <v>487</v>
      </c>
      <c r="P89" s="294">
        <v>1</v>
      </c>
      <c r="Q89" s="587">
        <v>0.7</v>
      </c>
      <c r="R89" s="586">
        <f>P84*Q89</f>
        <v>26.88</v>
      </c>
      <c r="S89" s="586">
        <f>R89*P89</f>
        <v>26.88</v>
      </c>
      <c r="T89" s="295"/>
      <c r="U89" s="294" t="s">
        <v>487</v>
      </c>
      <c r="V89" s="294">
        <v>1</v>
      </c>
      <c r="W89" s="587">
        <v>0.7</v>
      </c>
      <c r="X89" s="586">
        <f>V84*W89</f>
        <v>30.379999999999995</v>
      </c>
      <c r="Y89" s="586">
        <f>X89*V89</f>
        <v>30.379999999999995</v>
      </c>
      <c r="Z89" s="295"/>
      <c r="AA89" s="618"/>
    </row>
    <row r="90" spans="1:27" ht="57.6" x14ac:dyDescent="0.3">
      <c r="A90" s="606"/>
      <c r="B90" s="768"/>
      <c r="C90" s="766"/>
      <c r="D90" s="766"/>
      <c r="E90" s="766"/>
      <c r="F90" s="766"/>
      <c r="G90" s="766"/>
      <c r="H90" s="556"/>
      <c r="I90" s="294" t="s">
        <v>489</v>
      </c>
      <c r="J90" s="294">
        <v>4</v>
      </c>
      <c r="K90" s="587">
        <v>0.6</v>
      </c>
      <c r="L90" s="586">
        <f>K84*K90</f>
        <v>21.24</v>
      </c>
      <c r="M90" s="586">
        <f>L90*J90</f>
        <v>84.96</v>
      </c>
      <c r="N90" s="318" t="s">
        <v>518</v>
      </c>
      <c r="O90" s="294" t="s">
        <v>489</v>
      </c>
      <c r="P90" s="294">
        <v>2</v>
      </c>
      <c r="Q90" s="587">
        <v>0.6</v>
      </c>
      <c r="R90" s="586">
        <f>Q84*Q90</f>
        <v>23.04</v>
      </c>
      <c r="S90" s="586">
        <f>R90*P90</f>
        <v>46.08</v>
      </c>
      <c r="T90" s="318"/>
      <c r="U90" s="294" t="s">
        <v>489</v>
      </c>
      <c r="V90" s="294">
        <v>4</v>
      </c>
      <c r="W90" s="587">
        <v>0.6</v>
      </c>
      <c r="X90" s="586">
        <f>W84*W90</f>
        <v>26.04</v>
      </c>
      <c r="Y90" s="586">
        <f>X90*V90</f>
        <v>104.16</v>
      </c>
      <c r="Z90" s="318" t="s">
        <v>518</v>
      </c>
      <c r="AA90" s="618"/>
    </row>
    <row r="91" spans="1:27" ht="57.6" x14ac:dyDescent="0.3">
      <c r="A91" s="606"/>
      <c r="B91" s="768"/>
      <c r="C91" s="766"/>
      <c r="D91" s="766"/>
      <c r="E91" s="766"/>
      <c r="F91" s="766"/>
      <c r="G91" s="766"/>
      <c r="H91" s="556"/>
      <c r="I91" s="294" t="s">
        <v>490</v>
      </c>
      <c r="J91" s="294">
        <v>2</v>
      </c>
      <c r="K91" s="587">
        <v>0.6</v>
      </c>
      <c r="L91" s="586">
        <f>L84*K91</f>
        <v>23.639999999999997</v>
      </c>
      <c r="M91" s="586">
        <f>L91*J91</f>
        <v>47.279999999999994</v>
      </c>
      <c r="N91" s="318" t="s">
        <v>518</v>
      </c>
      <c r="O91" s="294"/>
      <c r="P91" s="294"/>
      <c r="Q91" s="587"/>
      <c r="R91" s="586"/>
      <c r="S91" s="586"/>
      <c r="T91" s="318"/>
      <c r="U91" s="294" t="s">
        <v>490</v>
      </c>
      <c r="V91" s="294">
        <v>2</v>
      </c>
      <c r="W91" s="587">
        <v>0.6</v>
      </c>
      <c r="X91" s="586">
        <f>X84*W91</f>
        <v>26.04</v>
      </c>
      <c r="Y91" s="586">
        <f>X91*V91</f>
        <v>52.08</v>
      </c>
      <c r="Z91" s="318" t="s">
        <v>518</v>
      </c>
      <c r="AA91" s="618"/>
    </row>
    <row r="92" spans="1:27" ht="28.8" x14ac:dyDescent="0.3">
      <c r="A92" s="606"/>
      <c r="B92" s="768"/>
      <c r="C92" s="766"/>
      <c r="D92" s="766"/>
      <c r="E92" s="766"/>
      <c r="F92" s="766"/>
      <c r="G92" s="766"/>
      <c r="H92" s="556"/>
      <c r="I92" s="294" t="s">
        <v>491</v>
      </c>
      <c r="J92" s="294">
        <v>1</v>
      </c>
      <c r="K92" s="587">
        <v>0.5</v>
      </c>
      <c r="L92" s="586">
        <f>M84*K92</f>
        <v>22.2</v>
      </c>
      <c r="M92" s="586">
        <f>L92*J92</f>
        <v>22.2</v>
      </c>
      <c r="N92" s="294"/>
      <c r="O92" s="294"/>
      <c r="P92" s="294"/>
      <c r="Q92" s="587"/>
      <c r="R92" s="586"/>
      <c r="S92" s="586"/>
      <c r="T92" s="294"/>
      <c r="U92" s="294" t="s">
        <v>491</v>
      </c>
      <c r="V92" s="294">
        <v>1</v>
      </c>
      <c r="W92" s="587">
        <v>0.7</v>
      </c>
      <c r="X92" s="586">
        <f>Y84*W92</f>
        <v>29.679999999999996</v>
      </c>
      <c r="Y92" s="586">
        <f>X92*V92</f>
        <v>29.679999999999996</v>
      </c>
      <c r="Z92" s="294"/>
      <c r="AA92" s="618"/>
    </row>
    <row r="93" spans="1:27" ht="40.950000000000003" customHeight="1" x14ac:dyDescent="0.3">
      <c r="A93" s="606"/>
      <c r="B93" s="768"/>
      <c r="C93" s="766"/>
      <c r="D93" s="766"/>
      <c r="E93" s="766"/>
      <c r="F93" s="766"/>
      <c r="G93" s="766"/>
      <c r="H93" s="556"/>
      <c r="I93" s="585">
        <f>COUNTA(I89:I92)</f>
        <v>4</v>
      </c>
      <c r="J93" s="585">
        <f>SUM(J89:J92)</f>
        <v>8</v>
      </c>
      <c r="K93" s="699"/>
      <c r="L93" s="296" t="s">
        <v>483</v>
      </c>
      <c r="M93" s="584">
        <f>SUM(M89:M92)</f>
        <v>186.21999999999997</v>
      </c>
      <c r="N93" s="536" t="s">
        <v>519</v>
      </c>
      <c r="O93" s="585">
        <f>COUNTA(O89:O92)</f>
        <v>2</v>
      </c>
      <c r="P93" s="585">
        <f>SUM(P89:P92)</f>
        <v>3</v>
      </c>
      <c r="Q93" s="699"/>
      <c r="R93" s="296" t="s">
        <v>483</v>
      </c>
      <c r="S93" s="584">
        <f>SUM(S89:S92)</f>
        <v>72.959999999999994</v>
      </c>
      <c r="T93" s="699"/>
      <c r="U93" s="585">
        <f>COUNTA(U89:U92)</f>
        <v>4</v>
      </c>
      <c r="V93" s="585">
        <f>SUM(V89:V92)</f>
        <v>8</v>
      </c>
      <c r="W93" s="699"/>
      <c r="X93" s="296" t="s">
        <v>483</v>
      </c>
      <c r="Y93" s="584">
        <f>SUM(Y89:Y92)</f>
        <v>216.3</v>
      </c>
      <c r="Z93" s="537" t="s">
        <v>520</v>
      </c>
      <c r="AA93" s="618"/>
    </row>
    <row r="94" spans="1:27" ht="28.8" x14ac:dyDescent="0.3">
      <c r="A94" s="606"/>
      <c r="B94" s="768"/>
      <c r="C94" s="766"/>
      <c r="D94" s="766"/>
      <c r="E94" s="766"/>
      <c r="F94" s="766"/>
      <c r="G94" s="766"/>
      <c r="H94" s="556"/>
      <c r="I94" s="699"/>
      <c r="J94" s="699"/>
      <c r="K94" s="699"/>
      <c r="L94" s="583" t="s">
        <v>521</v>
      </c>
      <c r="M94" s="582">
        <f>M93*$K$55</f>
        <v>132.50269230769229</v>
      </c>
      <c r="N94" s="699"/>
      <c r="O94" s="699"/>
      <c r="P94" s="699"/>
      <c r="Q94" s="699"/>
      <c r="R94" s="581" t="s">
        <v>521</v>
      </c>
      <c r="S94" s="580">
        <f>S93*$K$55</f>
        <v>51.913846153846151</v>
      </c>
      <c r="T94" s="699"/>
      <c r="U94" s="699"/>
      <c r="V94" s="699"/>
      <c r="W94" s="699"/>
      <c r="X94" s="581" t="s">
        <v>521</v>
      </c>
      <c r="Y94" s="580">
        <f>Y93*$K$55</f>
        <v>153.90576923076924</v>
      </c>
      <c r="Z94" s="699"/>
      <c r="AA94" s="618"/>
    </row>
    <row r="95" spans="1:27" ht="28.8" x14ac:dyDescent="0.3">
      <c r="A95" s="606"/>
      <c r="B95" s="768"/>
      <c r="C95" s="766"/>
      <c r="D95" s="766"/>
      <c r="E95" s="766"/>
      <c r="F95" s="766"/>
      <c r="G95" s="766"/>
      <c r="H95" s="556"/>
      <c r="I95" s="766"/>
      <c r="J95" s="766"/>
      <c r="K95" s="766"/>
      <c r="L95" s="766"/>
      <c r="M95" s="787">
        <f>M94/M93</f>
        <v>0.71153846153846156</v>
      </c>
      <c r="N95" s="766"/>
      <c r="O95" s="766"/>
      <c r="P95" s="766"/>
      <c r="Q95" s="768"/>
      <c r="R95" s="768"/>
      <c r="S95" s="768"/>
      <c r="T95" s="768"/>
      <c r="U95" s="768"/>
      <c r="V95" s="768"/>
      <c r="W95" s="768"/>
      <c r="X95" s="766"/>
      <c r="Y95" s="766"/>
      <c r="Z95" s="766"/>
      <c r="AA95" s="618"/>
    </row>
    <row r="96" spans="1:27" ht="29.4" thickBot="1" x14ac:dyDescent="0.35">
      <c r="A96" s="579"/>
      <c r="B96" s="578"/>
      <c r="C96" s="578"/>
      <c r="D96" s="578"/>
      <c r="E96" s="578"/>
      <c r="F96" s="578"/>
      <c r="G96" s="578"/>
      <c r="H96" s="558"/>
      <c r="I96" s="558"/>
      <c r="J96" s="559"/>
      <c r="K96" s="578"/>
      <c r="L96" s="578"/>
      <c r="M96" s="578"/>
      <c r="N96" s="577"/>
      <c r="O96" s="577"/>
      <c r="P96" s="577"/>
      <c r="Q96" s="578"/>
      <c r="R96" s="578"/>
      <c r="S96" s="578"/>
      <c r="T96" s="578"/>
      <c r="U96" s="578"/>
      <c r="V96" s="578"/>
      <c r="W96" s="578"/>
      <c r="X96" s="577"/>
      <c r="Y96" s="577"/>
      <c r="Z96" s="577"/>
      <c r="AA96" s="576"/>
    </row>
  </sheetData>
  <conditionalFormatting sqref="H3:H9">
    <cfRule type="cellIs" dxfId="7" priority="1" operator="greaterThan">
      <formula>0</formula>
    </cfRule>
  </conditionalFormatting>
  <pageMargins left="0.7" right="0.7" top="0.75" bottom="0.75" header="0.3" footer="0.3"/>
  <pageSetup paperSize="8" fitToWidth="0" orientation="landscape"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3DDF-4444-4CD6-AACF-A4FDDF00D6D0}">
  <sheetPr>
    <tabColor rgb="FF0070C0"/>
  </sheetPr>
  <dimension ref="A1:AD88"/>
  <sheetViews>
    <sheetView showGridLines="0" tabSelected="1" topLeftCell="A11" zoomScale="55" zoomScaleNormal="55" workbookViewId="0">
      <selection activeCell="Q11" sqref="Q11"/>
    </sheetView>
  </sheetViews>
  <sheetFormatPr defaultColWidth="8.88671875" defaultRowHeight="15" customHeight="1" x14ac:dyDescent="0.3"/>
  <cols>
    <col min="1" max="1" width="35.6640625" style="176" customWidth="1"/>
    <col min="2" max="2" width="23.6640625" style="176" customWidth="1"/>
    <col min="3" max="3" width="21.5546875" style="176" bestFit="1" customWidth="1"/>
    <col min="4" max="4" width="22.88671875" style="176" bestFit="1" customWidth="1"/>
    <col min="5" max="5" width="30" style="176" bestFit="1" customWidth="1"/>
    <col min="6" max="6" width="28.88671875" style="176" bestFit="1" customWidth="1"/>
    <col min="7" max="7" width="25.109375" style="176" bestFit="1" customWidth="1"/>
    <col min="8" max="8" width="22.88671875" style="176" bestFit="1" customWidth="1"/>
    <col min="9" max="9" width="30" style="176" bestFit="1" customWidth="1"/>
    <col min="10" max="10" width="28.88671875" style="176" bestFit="1" customWidth="1"/>
    <col min="11" max="11" width="25.109375" style="176" bestFit="1" customWidth="1"/>
    <col min="12" max="12" width="27.5546875" style="176" bestFit="1" customWidth="1"/>
    <col min="13" max="13" width="35.109375" style="176" bestFit="1" customWidth="1"/>
    <col min="14" max="14" width="33.6640625" style="176" bestFit="1" customWidth="1"/>
    <col min="15" max="15" width="30" style="176" bestFit="1" customWidth="1"/>
    <col min="16" max="16" width="22.88671875" style="176" bestFit="1" customWidth="1"/>
    <col min="17" max="17" width="30" style="176" bestFit="1" customWidth="1"/>
    <col min="18" max="18" width="28.88671875" style="176" bestFit="1" customWidth="1"/>
    <col min="19" max="19" width="25.109375" style="176" bestFit="1" customWidth="1"/>
    <col min="20" max="20" width="22.88671875" style="176" bestFit="1" customWidth="1"/>
    <col min="21" max="21" width="30" style="176" bestFit="1" customWidth="1"/>
    <col min="22" max="22" width="28.88671875" style="176" bestFit="1" customWidth="1"/>
    <col min="23" max="23" width="25.109375" style="176" bestFit="1" customWidth="1"/>
    <col min="24" max="24" width="27.5546875" style="176" bestFit="1" customWidth="1"/>
    <col min="25" max="25" width="35.109375" style="176" bestFit="1" customWidth="1"/>
    <col min="26" max="26" width="33.6640625" style="176" bestFit="1" customWidth="1"/>
    <col min="27" max="27" width="30" style="176" bestFit="1" customWidth="1"/>
    <col min="28" max="28" width="16.44140625" style="176" bestFit="1" customWidth="1"/>
    <col min="29" max="29" width="10.88671875" style="176" bestFit="1" customWidth="1"/>
    <col min="30" max="31" width="2.33203125" style="176" bestFit="1" customWidth="1"/>
    <col min="32" max="32" width="7.109375" style="176" bestFit="1" customWidth="1"/>
    <col min="33" max="33" width="14.44140625" style="176" bestFit="1" customWidth="1"/>
    <col min="34" max="34" width="12.88671875" style="176" bestFit="1" customWidth="1"/>
    <col min="35" max="39" width="2.33203125" style="176" bestFit="1" customWidth="1"/>
    <col min="40" max="42" width="3.33203125" style="176" bestFit="1" customWidth="1"/>
    <col min="43" max="43" width="16.109375" style="176" bestFit="1" customWidth="1"/>
    <col min="44" max="44" width="12.88671875" style="176" bestFit="1" customWidth="1"/>
    <col min="45" max="49" width="2.33203125" style="176" bestFit="1" customWidth="1"/>
    <col min="50" max="50" width="7.109375" style="176" bestFit="1" customWidth="1"/>
    <col min="51" max="51" width="16.44140625" style="176" bestFit="1" customWidth="1"/>
    <col min="52" max="52" width="10.88671875" style="176" bestFit="1" customWidth="1"/>
    <col min="53" max="53" width="7.33203125" style="176" bestFit="1" customWidth="1"/>
    <col min="54" max="54" width="10.6640625" style="176" bestFit="1" customWidth="1"/>
    <col min="55" max="16384" width="8.88671875" style="176"/>
  </cols>
  <sheetData>
    <row r="1" spans="1:27" ht="16.8" thickTop="1" thickBot="1" x14ac:dyDescent="0.35">
      <c r="A1" s="855" t="s">
        <v>828</v>
      </c>
      <c r="B1" s="849" t="s">
        <v>829</v>
      </c>
      <c r="C1" s="175" t="s">
        <v>707</v>
      </c>
      <c r="D1" s="175" t="s">
        <v>682</v>
      </c>
      <c r="E1" s="175" t="s">
        <v>830</v>
      </c>
      <c r="F1" s="175" t="s">
        <v>831</v>
      </c>
      <c r="G1" s="175" t="s">
        <v>708</v>
      </c>
      <c r="H1" s="175" t="s">
        <v>636</v>
      </c>
      <c r="I1" s="175" t="s">
        <v>832</v>
      </c>
      <c r="J1" s="175" t="s">
        <v>665</v>
      </c>
      <c r="K1" s="175" t="s">
        <v>638</v>
      </c>
      <c r="L1" s="175" t="s">
        <v>634</v>
      </c>
      <c r="M1" s="175" t="s">
        <v>624</v>
      </c>
      <c r="N1" s="175" t="s">
        <v>833</v>
      </c>
      <c r="O1" s="175" t="s">
        <v>834</v>
      </c>
      <c r="P1" s="175" t="s">
        <v>661</v>
      </c>
    </row>
    <row r="2" spans="1:27" ht="21.6" thickTop="1" thickBot="1" x14ac:dyDescent="0.35">
      <c r="A2" s="855"/>
      <c r="B2" s="849"/>
      <c r="C2" s="177" t="s">
        <v>531</v>
      </c>
      <c r="D2" s="177" t="s">
        <v>532</v>
      </c>
      <c r="E2" s="178" t="s">
        <v>533</v>
      </c>
      <c r="F2" s="177" t="s">
        <v>534</v>
      </c>
      <c r="G2" s="177" t="s">
        <v>535</v>
      </c>
      <c r="H2" s="177" t="s">
        <v>536</v>
      </c>
      <c r="I2" s="178" t="s">
        <v>537</v>
      </c>
      <c r="J2" s="177" t="s">
        <v>538</v>
      </c>
      <c r="K2" s="179" t="s">
        <v>539</v>
      </c>
      <c r="L2" s="180" t="s">
        <v>540</v>
      </c>
      <c r="M2" s="179" t="s">
        <v>541</v>
      </c>
      <c r="N2" s="180" t="s">
        <v>542</v>
      </c>
      <c r="O2" s="179" t="s">
        <v>543</v>
      </c>
      <c r="P2" s="178" t="s">
        <v>544</v>
      </c>
    </row>
    <row r="3" spans="1:27" ht="31.5" customHeight="1" thickTop="1" thickBot="1" x14ac:dyDescent="0.35">
      <c r="A3" s="855"/>
      <c r="B3" s="181" t="s">
        <v>557</v>
      </c>
      <c r="C3" s="333" t="s">
        <v>835</v>
      </c>
      <c r="D3" s="334"/>
      <c r="E3" s="334"/>
      <c r="F3" s="334"/>
      <c r="G3" s="334"/>
      <c r="H3" s="334"/>
      <c r="I3" s="334"/>
      <c r="J3" s="334"/>
      <c r="K3" s="334"/>
      <c r="L3" s="334"/>
      <c r="M3" s="334"/>
      <c r="N3" s="334"/>
      <c r="O3" s="334"/>
      <c r="P3" s="334"/>
      <c r="Q3" s="514" t="s">
        <v>836</v>
      </c>
      <c r="R3" s="516" t="s">
        <v>837</v>
      </c>
      <c r="S3" s="517" t="s">
        <v>838</v>
      </c>
      <c r="T3" s="518" t="s">
        <v>839</v>
      </c>
    </row>
    <row r="4" spans="1:27" s="185" customFormat="1" ht="20.100000000000001" customHeight="1" thickTop="1" thickBot="1" x14ac:dyDescent="0.35">
      <c r="A4" s="855"/>
      <c r="B4" s="182" t="s">
        <v>416</v>
      </c>
      <c r="C4" s="183">
        <v>1</v>
      </c>
      <c r="D4" s="183">
        <v>8</v>
      </c>
      <c r="E4" s="183">
        <v>4</v>
      </c>
      <c r="F4" s="183">
        <v>1</v>
      </c>
      <c r="G4" s="183">
        <v>6</v>
      </c>
      <c r="H4" s="183">
        <v>6</v>
      </c>
      <c r="I4" s="183">
        <v>2</v>
      </c>
      <c r="J4" s="183">
        <v>6</v>
      </c>
      <c r="K4" s="183">
        <v>2</v>
      </c>
      <c r="L4" s="183">
        <v>1</v>
      </c>
      <c r="M4" s="183">
        <v>2</v>
      </c>
      <c r="N4" s="183">
        <v>3</v>
      </c>
      <c r="O4" s="183">
        <v>1</v>
      </c>
      <c r="P4" s="184">
        <v>1</v>
      </c>
      <c r="Q4" s="496">
        <f>SUM(C4:P4)</f>
        <v>44</v>
      </c>
      <c r="R4" s="515">
        <f>C4+D4+F4+G4+K4+L4+M4+O4</f>
        <v>22</v>
      </c>
      <c r="S4" s="515">
        <f>H4+J4</f>
        <v>12</v>
      </c>
      <c r="T4" s="176"/>
      <c r="U4" s="176"/>
      <c r="V4" s="176"/>
      <c r="W4" s="176"/>
      <c r="X4" s="176"/>
      <c r="Y4" s="176"/>
      <c r="Z4" s="176"/>
      <c r="AA4" s="176"/>
    </row>
    <row r="5" spans="1:27" s="185" customFormat="1" ht="20.100000000000001" customHeight="1" thickTop="1" thickBot="1" x14ac:dyDescent="0.35">
      <c r="A5" s="855"/>
      <c r="B5" s="182" t="s">
        <v>415</v>
      </c>
      <c r="C5" s="183">
        <v>1</v>
      </c>
      <c r="D5" s="183">
        <v>4</v>
      </c>
      <c r="E5" s="183">
        <v>4</v>
      </c>
      <c r="F5" s="183">
        <v>1</v>
      </c>
      <c r="G5" s="183">
        <v>6</v>
      </c>
      <c r="H5" s="183">
        <v>4</v>
      </c>
      <c r="I5" s="183">
        <v>2</v>
      </c>
      <c r="J5" s="183">
        <v>6</v>
      </c>
      <c r="K5" s="183">
        <v>2</v>
      </c>
      <c r="L5" s="183">
        <v>1</v>
      </c>
      <c r="M5" s="183">
        <v>2</v>
      </c>
      <c r="N5" s="183">
        <v>3</v>
      </c>
      <c r="O5" s="183">
        <v>1</v>
      </c>
      <c r="P5" s="184">
        <v>1</v>
      </c>
      <c r="Q5" s="496">
        <f t="shared" ref="Q5:Q7" si="0">SUM(C5:P5)</f>
        <v>38</v>
      </c>
      <c r="R5" s="515">
        <f>C5+D5+F5+G5+K5+L5+M5+O5</f>
        <v>18</v>
      </c>
      <c r="S5" s="515">
        <f>H5+J5</f>
        <v>10</v>
      </c>
      <c r="T5" s="176"/>
      <c r="U5" s="176"/>
      <c r="V5" s="176"/>
      <c r="W5" s="176"/>
      <c r="X5" s="176"/>
      <c r="Y5" s="176"/>
      <c r="Z5" s="176"/>
      <c r="AA5" s="176"/>
    </row>
    <row r="6" spans="1:27" s="185" customFormat="1" ht="20.100000000000001" customHeight="1" thickTop="1" thickBot="1" x14ac:dyDescent="0.35">
      <c r="A6" s="855"/>
      <c r="B6" s="182" t="s">
        <v>417</v>
      </c>
      <c r="C6" s="183">
        <v>1</v>
      </c>
      <c r="D6" s="183">
        <v>0</v>
      </c>
      <c r="E6" s="183">
        <v>0</v>
      </c>
      <c r="F6" s="183">
        <v>1</v>
      </c>
      <c r="G6" s="335">
        <v>4</v>
      </c>
      <c r="H6" s="336"/>
      <c r="I6" s="183">
        <v>0</v>
      </c>
      <c r="J6" s="335">
        <v>6</v>
      </c>
      <c r="K6" s="336"/>
      <c r="L6" s="183">
        <v>1</v>
      </c>
      <c r="M6" s="183">
        <v>2</v>
      </c>
      <c r="N6" s="183">
        <v>1</v>
      </c>
      <c r="O6" s="183">
        <v>1</v>
      </c>
      <c r="P6" s="184">
        <v>1</v>
      </c>
      <c r="Q6" s="496">
        <f t="shared" si="0"/>
        <v>18</v>
      </c>
      <c r="R6" s="515">
        <f>F6+G6+M6+O6</f>
        <v>8</v>
      </c>
      <c r="S6" s="515">
        <f>H6+J6</f>
        <v>6</v>
      </c>
      <c r="T6" s="176"/>
      <c r="U6" s="176"/>
      <c r="V6" s="176"/>
      <c r="W6" s="176"/>
      <c r="X6" s="176"/>
      <c r="Y6" s="176"/>
      <c r="Z6" s="176"/>
      <c r="AA6" s="176"/>
    </row>
    <row r="7" spans="1:27" s="185" customFormat="1" ht="20.100000000000001" customHeight="1" thickTop="1" thickBot="1" x14ac:dyDescent="0.35">
      <c r="A7" s="855"/>
      <c r="B7" s="182" t="s">
        <v>418</v>
      </c>
      <c r="C7" s="183">
        <v>1</v>
      </c>
      <c r="D7" s="183">
        <v>0</v>
      </c>
      <c r="E7" s="183">
        <v>0</v>
      </c>
      <c r="F7" s="183">
        <v>1</v>
      </c>
      <c r="G7" s="335">
        <v>2</v>
      </c>
      <c r="H7" s="336"/>
      <c r="I7" s="183">
        <v>0</v>
      </c>
      <c r="J7" s="335">
        <v>1</v>
      </c>
      <c r="K7" s="336"/>
      <c r="L7" s="183">
        <v>1</v>
      </c>
      <c r="M7" s="183">
        <v>1</v>
      </c>
      <c r="N7" s="183">
        <v>0</v>
      </c>
      <c r="O7" s="183">
        <v>0</v>
      </c>
      <c r="P7" s="184">
        <v>1</v>
      </c>
      <c r="Q7" s="496">
        <f t="shared" si="0"/>
        <v>8</v>
      </c>
      <c r="R7" s="515">
        <f>F7+G7+M7</f>
        <v>4</v>
      </c>
      <c r="S7" s="515">
        <f>H7+J7</f>
        <v>1</v>
      </c>
      <c r="T7" s="176"/>
      <c r="U7" s="176"/>
      <c r="V7" s="176"/>
      <c r="W7" s="176"/>
      <c r="X7" s="176"/>
      <c r="Y7" s="176"/>
      <c r="Z7" s="176"/>
      <c r="AA7" s="176"/>
    </row>
    <row r="8" spans="1:27" s="185" customFormat="1" ht="14.1" customHeight="1" thickTop="1" thickBot="1" x14ac:dyDescent="0.35">
      <c r="A8" s="855"/>
      <c r="B8" s="205"/>
      <c r="C8" s="206"/>
      <c r="D8" s="206"/>
      <c r="E8" s="206"/>
      <c r="F8" s="206"/>
      <c r="G8" s="206"/>
      <c r="H8" s="206"/>
      <c r="I8" s="206"/>
      <c r="J8" s="206"/>
      <c r="K8" s="206"/>
      <c r="L8" s="206"/>
      <c r="M8" s="206"/>
      <c r="N8" s="206"/>
      <c r="O8" s="206"/>
      <c r="P8" s="206"/>
      <c r="Q8" s="496"/>
      <c r="R8" s="176"/>
      <c r="S8" s="176"/>
      <c r="T8" s="176"/>
      <c r="U8" s="176"/>
      <c r="V8" s="176"/>
      <c r="W8" s="176"/>
      <c r="X8" s="176"/>
      <c r="Y8" s="176"/>
      <c r="Z8" s="176"/>
      <c r="AA8" s="176"/>
    </row>
    <row r="9" spans="1:27" s="185" customFormat="1" ht="40.5" customHeight="1" thickTop="1" thickBot="1" x14ac:dyDescent="0.35">
      <c r="A9" s="855"/>
      <c r="B9" s="849" t="s">
        <v>840</v>
      </c>
      <c r="C9" s="175" t="s">
        <v>811</v>
      </c>
      <c r="D9" s="175" t="s">
        <v>809</v>
      </c>
      <c r="E9" s="175" t="s">
        <v>816</v>
      </c>
      <c r="F9" s="175" t="s">
        <v>841</v>
      </c>
      <c r="G9" s="175" t="s">
        <v>842</v>
      </c>
      <c r="H9" s="175" t="s">
        <v>843</v>
      </c>
      <c r="I9" s="175" t="s">
        <v>808</v>
      </c>
      <c r="J9" s="175" t="s">
        <v>807</v>
      </c>
      <c r="K9" s="175" t="s">
        <v>844</v>
      </c>
      <c r="L9" s="175" t="s">
        <v>805</v>
      </c>
      <c r="M9" s="175" t="s">
        <v>845</v>
      </c>
      <c r="N9" s="175" t="s">
        <v>846</v>
      </c>
      <c r="O9" s="175" t="s">
        <v>847</v>
      </c>
      <c r="P9" s="175" t="s">
        <v>804</v>
      </c>
      <c r="Q9" s="496"/>
      <c r="R9" s="176"/>
      <c r="S9" s="176"/>
      <c r="T9" s="176"/>
      <c r="U9" s="176"/>
      <c r="V9" s="176"/>
      <c r="W9" s="176"/>
      <c r="X9" s="176"/>
      <c r="Y9" s="176"/>
      <c r="Z9" s="176"/>
      <c r="AA9" s="176"/>
    </row>
    <row r="10" spans="1:27" s="185" customFormat="1" ht="21.6" thickTop="1" thickBot="1" x14ac:dyDescent="0.35">
      <c r="A10" s="855"/>
      <c r="B10" s="849"/>
      <c r="C10" s="177" t="s">
        <v>848</v>
      </c>
      <c r="D10" s="177" t="s">
        <v>534</v>
      </c>
      <c r="E10" s="178" t="s">
        <v>533</v>
      </c>
      <c r="F10" s="186" t="s">
        <v>535</v>
      </c>
      <c r="G10" s="186" t="s">
        <v>536</v>
      </c>
      <c r="H10" s="178" t="s">
        <v>537</v>
      </c>
      <c r="I10" s="177" t="s">
        <v>849</v>
      </c>
      <c r="J10" s="177" t="s">
        <v>538</v>
      </c>
      <c r="K10" s="186" t="s">
        <v>539</v>
      </c>
      <c r="L10" s="186" t="s">
        <v>540</v>
      </c>
      <c r="M10" s="186" t="s">
        <v>541</v>
      </c>
      <c r="N10" s="186" t="s">
        <v>542</v>
      </c>
      <c r="O10" s="186" t="s">
        <v>543</v>
      </c>
      <c r="P10" s="178" t="s">
        <v>544</v>
      </c>
      <c r="Q10" s="496"/>
      <c r="R10" s="176"/>
      <c r="S10" s="176"/>
      <c r="T10" s="176"/>
      <c r="U10" s="176"/>
      <c r="V10" s="176"/>
      <c r="W10" s="176"/>
      <c r="X10" s="176"/>
      <c r="Y10" s="176"/>
      <c r="Z10" s="176"/>
      <c r="AA10" s="176"/>
    </row>
    <row r="11" spans="1:27" s="185" customFormat="1" ht="30" customHeight="1" thickTop="1" thickBot="1" x14ac:dyDescent="0.35">
      <c r="A11" s="855"/>
      <c r="B11" s="181" t="s">
        <v>557</v>
      </c>
      <c r="C11" s="333" t="s">
        <v>850</v>
      </c>
      <c r="D11" s="334"/>
      <c r="E11" s="334"/>
      <c r="F11" s="334"/>
      <c r="G11" s="334"/>
      <c r="H11" s="334"/>
      <c r="I11" s="334"/>
      <c r="J11" s="334"/>
      <c r="K11" s="334"/>
      <c r="L11" s="334"/>
      <c r="M11" s="334"/>
      <c r="N11" s="334"/>
      <c r="O11" s="334"/>
      <c r="P11" s="334"/>
      <c r="Q11" s="496"/>
      <c r="R11" s="176"/>
      <c r="S11" s="176"/>
      <c r="T11" s="176"/>
      <c r="U11" s="176"/>
      <c r="V11" s="176"/>
      <c r="W11" s="176"/>
      <c r="X11" s="176"/>
      <c r="Y11" s="176"/>
      <c r="Z11" s="176"/>
      <c r="AA11" s="176"/>
    </row>
    <row r="12" spans="1:27" s="185" customFormat="1" ht="20.100000000000001" customHeight="1" thickTop="1" thickBot="1" x14ac:dyDescent="0.35">
      <c r="A12" s="855"/>
      <c r="B12" s="182" t="s">
        <v>425</v>
      </c>
      <c r="C12" s="187">
        <v>1</v>
      </c>
      <c r="D12" s="187">
        <v>1</v>
      </c>
      <c r="E12" s="187">
        <v>1</v>
      </c>
      <c r="F12" s="183">
        <v>2</v>
      </c>
      <c r="G12" s="183">
        <v>2</v>
      </c>
      <c r="H12" s="187">
        <v>2</v>
      </c>
      <c r="I12" s="207">
        <v>4</v>
      </c>
      <c r="J12" s="188">
        <v>6</v>
      </c>
      <c r="K12" s="183">
        <v>0</v>
      </c>
      <c r="L12" s="187">
        <v>1</v>
      </c>
      <c r="M12" s="183">
        <v>0</v>
      </c>
      <c r="N12" s="183">
        <v>0</v>
      </c>
      <c r="O12" s="183">
        <v>0</v>
      </c>
      <c r="P12" s="187">
        <v>1</v>
      </c>
      <c r="Q12" s="496">
        <f t="shared" ref="Q12:Q14" si="1">SUM(C12:P12)</f>
        <v>21</v>
      </c>
      <c r="R12" s="176"/>
      <c r="S12" s="176"/>
      <c r="T12" s="176"/>
      <c r="U12" s="176"/>
      <c r="V12" s="176"/>
      <c r="W12" s="176"/>
      <c r="X12" s="176"/>
      <c r="Y12" s="176"/>
      <c r="Z12" s="176"/>
      <c r="AA12" s="176"/>
    </row>
    <row r="13" spans="1:27" s="185" customFormat="1" ht="20.100000000000001" customHeight="1" thickTop="1" thickBot="1" x14ac:dyDescent="0.35">
      <c r="A13" s="855"/>
      <c r="B13" s="182" t="s">
        <v>423</v>
      </c>
      <c r="C13" s="187">
        <v>1</v>
      </c>
      <c r="D13" s="187">
        <v>1</v>
      </c>
      <c r="E13" s="187">
        <v>1</v>
      </c>
      <c r="F13" s="183">
        <v>0</v>
      </c>
      <c r="G13" s="183">
        <v>0</v>
      </c>
      <c r="H13" s="187">
        <v>2</v>
      </c>
      <c r="I13" s="207">
        <v>2</v>
      </c>
      <c r="J13" s="188">
        <v>6</v>
      </c>
      <c r="K13" s="183">
        <v>0</v>
      </c>
      <c r="L13" s="187">
        <v>1</v>
      </c>
      <c r="M13" s="183">
        <v>0</v>
      </c>
      <c r="N13" s="183">
        <v>0</v>
      </c>
      <c r="O13" s="183">
        <v>0</v>
      </c>
      <c r="P13" s="187">
        <v>0</v>
      </c>
      <c r="Q13" s="496">
        <f t="shared" si="1"/>
        <v>14</v>
      </c>
      <c r="R13" s="176"/>
      <c r="S13" s="176"/>
      <c r="T13" s="176"/>
      <c r="U13" s="176"/>
      <c r="V13" s="176"/>
      <c r="W13" s="176"/>
      <c r="X13" s="176"/>
      <c r="Y13" s="176"/>
      <c r="Z13" s="176"/>
      <c r="AA13" s="176"/>
    </row>
    <row r="14" spans="1:27" s="185" customFormat="1" ht="20.100000000000001" customHeight="1" thickTop="1" thickBot="1" x14ac:dyDescent="0.35">
      <c r="A14" s="855"/>
      <c r="B14" s="182" t="s">
        <v>851</v>
      </c>
      <c r="C14" s="187">
        <v>0</v>
      </c>
      <c r="D14" s="187">
        <v>0</v>
      </c>
      <c r="E14" s="187">
        <v>0</v>
      </c>
      <c r="F14" s="183">
        <v>0</v>
      </c>
      <c r="G14" s="183">
        <v>0</v>
      </c>
      <c r="H14" s="187">
        <v>0</v>
      </c>
      <c r="I14" s="207">
        <v>2</v>
      </c>
      <c r="J14" s="188">
        <v>2</v>
      </c>
      <c r="K14" s="183">
        <v>0</v>
      </c>
      <c r="L14" s="187">
        <v>0</v>
      </c>
      <c r="M14" s="183">
        <v>0</v>
      </c>
      <c r="N14" s="183">
        <v>0</v>
      </c>
      <c r="O14" s="183">
        <v>0</v>
      </c>
      <c r="P14" s="187">
        <v>0</v>
      </c>
      <c r="Q14" s="496">
        <f t="shared" si="1"/>
        <v>4</v>
      </c>
      <c r="R14" s="176"/>
      <c r="S14" s="176"/>
      <c r="T14" s="176"/>
      <c r="U14" s="176"/>
      <c r="V14" s="176"/>
      <c r="W14" s="176"/>
      <c r="X14" s="176"/>
      <c r="Y14" s="176"/>
      <c r="Z14" s="176"/>
      <c r="AA14" s="176"/>
    </row>
    <row r="15" spans="1:27" ht="20.100000000000001" customHeight="1" thickTop="1" x14ac:dyDescent="0.3"/>
    <row r="16" spans="1:27" thickBot="1" x14ac:dyDescent="0.35">
      <c r="B16" s="189" t="s">
        <v>852</v>
      </c>
    </row>
    <row r="17" spans="1:25" ht="75.599999999999994" customHeight="1" thickBot="1" x14ac:dyDescent="0.35">
      <c r="A17" s="852" t="s">
        <v>853</v>
      </c>
      <c r="B17" s="853"/>
      <c r="C17" s="853"/>
      <c r="D17" s="853"/>
      <c r="E17" s="853"/>
      <c r="F17" s="853"/>
      <c r="G17" s="853"/>
      <c r="H17" s="853"/>
      <c r="I17" s="853"/>
      <c r="J17" s="853"/>
      <c r="K17" s="853"/>
      <c r="L17" s="853"/>
      <c r="M17" s="853"/>
      <c r="N17" s="853"/>
      <c r="O17" s="853"/>
      <c r="P17" s="854"/>
      <c r="X17" s="292"/>
      <c r="Y17" s="292"/>
    </row>
    <row r="18" spans="1:25" ht="43.95" customHeight="1" x14ac:dyDescent="0.35">
      <c r="A18" s="850" t="s">
        <v>854</v>
      </c>
      <c r="B18" s="310"/>
      <c r="C18" s="311"/>
      <c r="D18" s="312"/>
      <c r="E18" s="313"/>
      <c r="F18" s="314"/>
      <c r="G18" s="315"/>
      <c r="I18" s="292"/>
      <c r="J18" s="292"/>
      <c r="K18" s="292"/>
      <c r="L18" s="292"/>
      <c r="M18" s="292"/>
      <c r="N18" s="292"/>
      <c r="X18" s="292"/>
      <c r="Y18" s="292"/>
    </row>
    <row r="19" spans="1:25" ht="43.95" customHeight="1" x14ac:dyDescent="0.3">
      <c r="A19" s="850"/>
      <c r="B19" s="317" t="s">
        <v>403</v>
      </c>
      <c r="C19" s="317" t="s">
        <v>404</v>
      </c>
      <c r="D19" s="317" t="s">
        <v>438</v>
      </c>
      <c r="E19" s="317" t="s">
        <v>390</v>
      </c>
      <c r="F19" s="317" t="s">
        <v>395</v>
      </c>
      <c r="G19" s="317" t="s">
        <v>396</v>
      </c>
      <c r="I19" s="292"/>
      <c r="J19" s="292"/>
      <c r="K19" s="292"/>
      <c r="L19" s="292"/>
      <c r="M19" s="292"/>
      <c r="N19" s="292"/>
      <c r="X19" s="292"/>
      <c r="Y19" s="292"/>
    </row>
    <row r="20" spans="1:25" ht="43.95" customHeight="1" x14ac:dyDescent="0.3">
      <c r="A20" s="307"/>
      <c r="B20" s="308"/>
      <c r="C20" s="308"/>
      <c r="D20" s="309"/>
      <c r="E20" s="308"/>
      <c r="F20" s="308"/>
      <c r="G20" s="309"/>
      <c r="H20" s="309"/>
      <c r="I20" s="309"/>
      <c r="J20" s="309"/>
      <c r="K20" s="309"/>
      <c r="L20" s="309"/>
      <c r="M20" s="309"/>
      <c r="N20" s="309"/>
      <c r="O20" s="308"/>
      <c r="P20" s="308"/>
      <c r="X20" s="292"/>
      <c r="Y20" s="292"/>
    </row>
    <row r="21" spans="1:25" ht="43.95" customHeight="1" x14ac:dyDescent="0.3">
      <c r="A21" s="851" t="s">
        <v>855</v>
      </c>
      <c r="B21" s="316" t="s">
        <v>856</v>
      </c>
      <c r="C21" s="316"/>
      <c r="D21" s="316"/>
      <c r="E21" s="316"/>
      <c r="F21" s="292"/>
      <c r="G21" s="292"/>
      <c r="H21" s="337" t="s">
        <v>857</v>
      </c>
      <c r="I21" s="316"/>
      <c r="J21" s="316"/>
      <c r="K21" s="316"/>
      <c r="L21" s="292"/>
      <c r="M21" s="292"/>
      <c r="N21" s="292"/>
      <c r="X21" s="292"/>
      <c r="Y21" s="292"/>
    </row>
    <row r="22" spans="1:25" ht="209.4" customHeight="1" x14ac:dyDescent="0.3">
      <c r="A22" s="851"/>
      <c r="B22" s="324" t="s">
        <v>858</v>
      </c>
      <c r="C22" s="325" t="s">
        <v>859</v>
      </c>
      <c r="D22" s="325" t="s">
        <v>827</v>
      </c>
      <c r="E22" s="325" t="s">
        <v>860</v>
      </c>
      <c r="F22" s="519" t="s">
        <v>861</v>
      </c>
      <c r="G22" s="292"/>
      <c r="H22" s="304" t="s">
        <v>858</v>
      </c>
      <c r="I22" s="306" t="s">
        <v>862</v>
      </c>
      <c r="J22" s="306" t="s">
        <v>827</v>
      </c>
      <c r="K22" s="306" t="s">
        <v>860</v>
      </c>
      <c r="S22" s="292"/>
      <c r="T22" s="292"/>
    </row>
    <row r="23" spans="1:25" ht="43.95" customHeight="1" x14ac:dyDescent="0.3">
      <c r="A23" s="851"/>
      <c r="B23" s="326" t="s">
        <v>416</v>
      </c>
      <c r="C23" s="327">
        <v>19</v>
      </c>
      <c r="D23" s="328">
        <f>C23/$C$25</f>
        <v>4.75</v>
      </c>
      <c r="E23" s="520">
        <f t="shared" ref="E23:E29" si="2">C23/$C$25</f>
        <v>4.75</v>
      </c>
      <c r="F23" s="523">
        <f>R4</f>
        <v>22</v>
      </c>
      <c r="G23" s="292"/>
      <c r="H23" s="305" t="s">
        <v>416</v>
      </c>
      <c r="I23" s="300">
        <v>16</v>
      </c>
      <c r="J23" s="301">
        <f>I23/$I$25</f>
        <v>1.6</v>
      </c>
      <c r="K23" s="302">
        <f>I23/$I$25</f>
        <v>1.6</v>
      </c>
      <c r="S23" s="292"/>
      <c r="T23" s="292"/>
    </row>
    <row r="24" spans="1:25" ht="43.95" customHeight="1" x14ac:dyDescent="0.3">
      <c r="A24" s="851"/>
      <c r="B24" s="326" t="s">
        <v>415</v>
      </c>
      <c r="C24" s="330">
        <v>15</v>
      </c>
      <c r="D24" s="328">
        <f t="shared" ref="D24:D29" si="3">C24/$C$25</f>
        <v>3.75</v>
      </c>
      <c r="E24" s="520">
        <f t="shared" si="2"/>
        <v>3.75</v>
      </c>
      <c r="F24" s="523">
        <f>R5</f>
        <v>18</v>
      </c>
      <c r="G24" s="292"/>
      <c r="H24" s="305" t="s">
        <v>415</v>
      </c>
      <c r="I24" s="303">
        <v>14</v>
      </c>
      <c r="J24" s="301">
        <f t="shared" ref="J24:J29" si="4">I24/$I$25</f>
        <v>1.4</v>
      </c>
      <c r="K24" s="302">
        <f t="shared" ref="K24:K29" si="5">I24/$I$25</f>
        <v>1.4</v>
      </c>
      <c r="S24" s="292"/>
      <c r="T24" s="292"/>
    </row>
    <row r="25" spans="1:25" ht="43.95" customHeight="1" x14ac:dyDescent="0.3">
      <c r="A25" s="851"/>
      <c r="B25" s="326" t="s">
        <v>417</v>
      </c>
      <c r="C25" s="330">
        <v>4</v>
      </c>
      <c r="D25" s="328">
        <f t="shared" si="3"/>
        <v>1</v>
      </c>
      <c r="E25" s="521">
        <f t="shared" si="2"/>
        <v>1</v>
      </c>
      <c r="F25" s="523">
        <f>R6</f>
        <v>8</v>
      </c>
      <c r="G25" s="292"/>
      <c r="H25" s="305" t="s">
        <v>417</v>
      </c>
      <c r="I25" s="303">
        <v>10</v>
      </c>
      <c r="J25" s="301">
        <f t="shared" si="4"/>
        <v>1</v>
      </c>
      <c r="K25" s="331">
        <f t="shared" si="5"/>
        <v>1</v>
      </c>
      <c r="S25" s="292"/>
      <c r="T25" s="292"/>
    </row>
    <row r="26" spans="1:25" ht="43.95" customHeight="1" x14ac:dyDescent="0.3">
      <c r="A26" s="851"/>
      <c r="B26" s="326" t="s">
        <v>418</v>
      </c>
      <c r="C26" s="330">
        <v>3</v>
      </c>
      <c r="D26" s="328">
        <f t="shared" si="3"/>
        <v>0.75</v>
      </c>
      <c r="E26" s="522">
        <f t="shared" si="2"/>
        <v>0.75</v>
      </c>
      <c r="F26" s="523">
        <f>R7</f>
        <v>4</v>
      </c>
      <c r="G26" s="292"/>
      <c r="H26" s="305" t="s">
        <v>418</v>
      </c>
      <c r="I26" s="303">
        <v>2</v>
      </c>
      <c r="J26" s="301">
        <f t="shared" si="4"/>
        <v>0.2</v>
      </c>
      <c r="K26" s="302">
        <f t="shared" si="5"/>
        <v>0.2</v>
      </c>
      <c r="S26" s="292"/>
      <c r="T26" s="292"/>
    </row>
    <row r="27" spans="1:25" ht="43.95" customHeight="1" x14ac:dyDescent="0.3">
      <c r="A27" s="851"/>
      <c r="B27" s="326" t="s">
        <v>425</v>
      </c>
      <c r="C27" s="327">
        <v>4</v>
      </c>
      <c r="D27" s="328">
        <f t="shared" si="3"/>
        <v>1</v>
      </c>
      <c r="E27" s="329">
        <f t="shared" si="2"/>
        <v>1</v>
      </c>
      <c r="F27" s="292"/>
      <c r="G27" s="292"/>
      <c r="H27" s="305" t="s">
        <v>425</v>
      </c>
      <c r="I27" s="323">
        <v>6</v>
      </c>
      <c r="J27" s="301">
        <f t="shared" si="4"/>
        <v>0.6</v>
      </c>
      <c r="K27" s="302">
        <f t="shared" si="5"/>
        <v>0.6</v>
      </c>
      <c r="S27" s="292"/>
      <c r="T27" s="292"/>
    </row>
    <row r="28" spans="1:25" ht="43.95" customHeight="1" x14ac:dyDescent="0.3">
      <c r="A28" s="851"/>
      <c r="B28" s="326" t="s">
        <v>423</v>
      </c>
      <c r="C28" s="327">
        <v>1</v>
      </c>
      <c r="D28" s="328">
        <f t="shared" si="3"/>
        <v>0.25</v>
      </c>
      <c r="E28" s="329">
        <f t="shared" si="2"/>
        <v>0.25</v>
      </c>
      <c r="F28" s="292"/>
      <c r="G28" s="292"/>
      <c r="H28" s="305" t="s">
        <v>423</v>
      </c>
      <c r="I28" s="323">
        <v>6</v>
      </c>
      <c r="J28" s="301">
        <f t="shared" si="4"/>
        <v>0.6</v>
      </c>
      <c r="K28" s="302">
        <f t="shared" si="5"/>
        <v>0.6</v>
      </c>
      <c r="S28" s="292"/>
      <c r="T28" s="292"/>
    </row>
    <row r="29" spans="1:25" ht="43.95" customHeight="1" x14ac:dyDescent="0.3">
      <c r="A29" s="851"/>
      <c r="B29" s="499" t="s">
        <v>851</v>
      </c>
      <c r="C29" s="500">
        <v>0.5</v>
      </c>
      <c r="D29" s="501">
        <f t="shared" si="3"/>
        <v>0.125</v>
      </c>
      <c r="E29" s="502">
        <f t="shared" si="2"/>
        <v>0.125</v>
      </c>
      <c r="F29" s="292"/>
      <c r="G29" s="292"/>
      <c r="H29" s="503" t="s">
        <v>851</v>
      </c>
      <c r="I29" s="504">
        <v>2</v>
      </c>
      <c r="J29" s="505">
        <f t="shared" si="4"/>
        <v>0.2</v>
      </c>
      <c r="K29" s="506">
        <f t="shared" si="5"/>
        <v>0.2</v>
      </c>
      <c r="S29" s="292"/>
      <c r="T29" s="292"/>
    </row>
    <row r="30" spans="1:25" ht="94.2" customHeight="1" x14ac:dyDescent="0.3"/>
    <row r="31" spans="1:25" ht="30.6" customHeight="1" x14ac:dyDescent="0.3"/>
    <row r="32" spans="1:25" ht="66" customHeight="1" x14ac:dyDescent="0.3"/>
    <row r="33" spans="30:30" ht="43.95" customHeight="1" x14ac:dyDescent="0.3"/>
    <row r="34" spans="30:30" ht="20.399999999999999" customHeight="1" x14ac:dyDescent="0.3"/>
    <row r="35" spans="30:30" ht="13.95" customHeight="1" x14ac:dyDescent="0.3"/>
    <row r="36" spans="30:30" ht="13.95" customHeight="1" x14ac:dyDescent="0.3"/>
    <row r="37" spans="30:30" ht="13.95" customHeight="1" x14ac:dyDescent="0.3"/>
    <row r="38" spans="30:30" ht="13.95" customHeight="1" x14ac:dyDescent="0.3"/>
    <row r="39" spans="30:30" ht="13.95" customHeight="1" x14ac:dyDescent="0.3"/>
    <row r="40" spans="30:30" ht="13.95" customHeight="1" x14ac:dyDescent="0.3"/>
    <row r="41" spans="30:30" ht="13.95" customHeight="1" x14ac:dyDescent="0.3"/>
    <row r="42" spans="30:30" ht="129.6" customHeight="1" x14ac:dyDescent="0.3"/>
    <row r="43" spans="30:30" ht="43.95" customHeight="1" x14ac:dyDescent="0.3"/>
    <row r="44" spans="30:30" ht="35.4" customHeight="1" x14ac:dyDescent="0.3"/>
    <row r="45" spans="30:30" ht="61.2" customHeight="1" x14ac:dyDescent="0.3"/>
    <row r="46" spans="30:30" ht="64.2" customHeight="1" x14ac:dyDescent="0.3">
      <c r="AD46" s="176" t="s">
        <v>863</v>
      </c>
    </row>
    <row r="47" spans="30:30" ht="44.4" customHeight="1" x14ac:dyDescent="0.3"/>
    <row r="48" spans="30:30" ht="14.4" x14ac:dyDescent="0.3"/>
    <row r="49" ht="14.4" x14ac:dyDescent="0.3"/>
    <row r="50" ht="14.4" x14ac:dyDescent="0.3"/>
    <row r="51" ht="14.4" x14ac:dyDescent="0.3"/>
    <row r="52" ht="14.4" x14ac:dyDescent="0.3"/>
    <row r="53" ht="14.4" x14ac:dyDescent="0.3"/>
    <row r="54" ht="43.95" customHeight="1" x14ac:dyDescent="0.3"/>
    <row r="55" ht="14.4" x14ac:dyDescent="0.3"/>
    <row r="56" ht="30.6" customHeight="1" x14ac:dyDescent="0.3"/>
    <row r="57" ht="30" customHeight="1" x14ac:dyDescent="0.3"/>
    <row r="58" ht="43.95" customHeight="1" x14ac:dyDescent="0.3"/>
    <row r="59" ht="39" customHeight="1" x14ac:dyDescent="0.3"/>
    <row r="60" ht="24.6" customHeight="1" x14ac:dyDescent="0.3"/>
    <row r="61" ht="34.950000000000003" customHeight="1" x14ac:dyDescent="0.3"/>
    <row r="62" ht="14.4" x14ac:dyDescent="0.3"/>
    <row r="63" ht="13.95" customHeight="1" x14ac:dyDescent="0.3"/>
    <row r="64" ht="13.95" customHeight="1" x14ac:dyDescent="0.3"/>
    <row r="65" ht="13.95" customHeight="1" x14ac:dyDescent="0.3"/>
    <row r="66" ht="13.95" customHeight="1" x14ac:dyDescent="0.3"/>
    <row r="67" ht="119.4" customHeight="1" x14ac:dyDescent="0.3"/>
    <row r="68" ht="43.95" customHeight="1" x14ac:dyDescent="0.3"/>
    <row r="69" ht="30.6" customHeight="1" x14ac:dyDescent="0.3"/>
    <row r="70" ht="30" customHeight="1" x14ac:dyDescent="0.3"/>
    <row r="71" ht="43.95" customHeight="1" x14ac:dyDescent="0.3"/>
    <row r="72" ht="37.950000000000003" customHeight="1" x14ac:dyDescent="0.3"/>
    <row r="73" ht="21.6" customHeight="1" x14ac:dyDescent="0.3"/>
    <row r="74" ht="35.4" customHeight="1" x14ac:dyDescent="0.3"/>
    <row r="75" ht="35.4" customHeight="1" x14ac:dyDescent="0.3"/>
    <row r="76" ht="40.200000000000003" customHeight="1" x14ac:dyDescent="0.3"/>
    <row r="77" ht="13.95" customHeight="1"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3.95" customHeight="1" x14ac:dyDescent="0.3"/>
  </sheetData>
  <mergeCells count="6">
    <mergeCell ref="B9:B10"/>
    <mergeCell ref="B1:B2"/>
    <mergeCell ref="A18:A19"/>
    <mergeCell ref="A21:A29"/>
    <mergeCell ref="A17:P17"/>
    <mergeCell ref="A1:A14"/>
  </mergeCells>
  <conditionalFormatting sqref="C6:G7 J6:J7 L6:P7">
    <cfRule type="colorScale" priority="2">
      <colorScale>
        <cfvo type="min"/>
        <cfvo type="percentile" val="50"/>
        <cfvo type="max"/>
        <color rgb="FF63BE7B"/>
        <color rgb="FFFFEB84"/>
        <color rgb="FFF8696B"/>
      </colorScale>
    </cfRule>
  </conditionalFormatting>
  <conditionalFormatting sqref="I4:I7">
    <cfRule type="colorScale" priority="3">
      <colorScale>
        <cfvo type="min"/>
        <cfvo type="percentile" val="50"/>
        <cfvo type="max"/>
        <color rgb="FF63BE7B"/>
        <color rgb="FFFFEB84"/>
        <color rgb="FFF8696B"/>
      </colorScale>
    </cfRule>
  </conditionalFormatting>
  <conditionalFormatting sqref="J4:P4 C4:H4">
    <cfRule type="colorScale" priority="4">
      <colorScale>
        <cfvo type="min"/>
        <cfvo type="percentile" val="50"/>
        <cfvo type="max"/>
        <color rgb="FF63BE7B"/>
        <color rgb="FFFFEB84"/>
        <color rgb="FFF8696B"/>
      </colorScale>
    </cfRule>
  </conditionalFormatting>
  <conditionalFormatting sqref="J5:P5 C5:H5">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6398-ECCF-4CA3-9618-49CF0A8143A4}">
  <sheetPr>
    <tabColor rgb="FF0070C0"/>
    <pageSetUpPr fitToPage="1"/>
  </sheetPr>
  <dimension ref="A1:X102"/>
  <sheetViews>
    <sheetView showGridLines="0" topLeftCell="P2" zoomScale="85" zoomScaleNormal="85" workbookViewId="0">
      <selection activeCell="X10" sqref="X10"/>
    </sheetView>
  </sheetViews>
  <sheetFormatPr defaultColWidth="9.109375" defaultRowHeight="14.4" x14ac:dyDescent="0.3"/>
  <cols>
    <col min="1" max="2" width="15.44140625" style="66" customWidth="1"/>
    <col min="3" max="3" width="12.88671875" style="66" customWidth="1"/>
    <col min="4" max="8" width="20.88671875" style="66" customWidth="1"/>
    <col min="9" max="9" width="21.88671875" style="66" bestFit="1" customWidth="1"/>
    <col min="10" max="10" width="20.88671875" style="66" customWidth="1"/>
    <col min="11" max="13" width="25.109375" style="66" customWidth="1"/>
    <col min="14" max="14" width="26.44140625" style="66" customWidth="1"/>
    <col min="15" max="17" width="20.88671875" style="66" customWidth="1"/>
    <col min="18" max="18" width="26.44140625" style="66" customWidth="1"/>
    <col min="19" max="19" width="39.5546875" style="66" customWidth="1"/>
    <col min="20" max="20" width="42" style="66" customWidth="1"/>
    <col min="21" max="21" width="41.44140625" style="66" customWidth="1"/>
    <col min="22" max="22" width="9.109375" style="66"/>
    <col min="23" max="24" width="20.88671875" style="66" customWidth="1"/>
    <col min="25" max="16384" width="9.109375" style="66"/>
  </cols>
  <sheetData>
    <row r="1" spans="1:24" ht="31.2" x14ac:dyDescent="0.3">
      <c r="A1" s="170" t="s">
        <v>867</v>
      </c>
      <c r="B1" s="197" t="s">
        <v>868</v>
      </c>
      <c r="C1" s="170" t="s">
        <v>869</v>
      </c>
      <c r="D1" s="170" t="s">
        <v>564</v>
      </c>
      <c r="E1" s="170" t="s">
        <v>557</v>
      </c>
      <c r="F1" s="170" t="s">
        <v>567</v>
      </c>
      <c r="G1" s="197" t="s">
        <v>565</v>
      </c>
      <c r="H1" s="170" t="s">
        <v>11</v>
      </c>
      <c r="I1" s="197" t="s">
        <v>870</v>
      </c>
      <c r="J1" s="198" t="s">
        <v>15</v>
      </c>
      <c r="K1" s="198" t="s">
        <v>871</v>
      </c>
      <c r="L1" s="197" t="s">
        <v>574</v>
      </c>
      <c r="M1" s="197" t="s">
        <v>872</v>
      </c>
      <c r="N1" s="170" t="s">
        <v>555</v>
      </c>
      <c r="O1" s="170" t="s">
        <v>28</v>
      </c>
      <c r="P1" s="170" t="s">
        <v>873</v>
      </c>
      <c r="Q1" s="170" t="s">
        <v>563</v>
      </c>
      <c r="R1" s="170" t="s">
        <v>874</v>
      </c>
      <c r="S1" s="288" t="s">
        <v>566</v>
      </c>
      <c r="T1" s="288" t="s">
        <v>875</v>
      </c>
      <c r="U1" s="288" t="s">
        <v>876</v>
      </c>
      <c r="V1" s="288" t="s">
        <v>531</v>
      </c>
      <c r="W1" s="288" t="s">
        <v>877</v>
      </c>
      <c r="X1" s="288" t="s">
        <v>878</v>
      </c>
    </row>
    <row r="2" spans="1:24" ht="34.200000000000003" customHeight="1" x14ac:dyDescent="0.3">
      <c r="A2" s="147">
        <v>45292</v>
      </c>
      <c r="B2" s="490" t="s">
        <v>879</v>
      </c>
      <c r="C2" s="67" t="s">
        <v>33</v>
      </c>
      <c r="D2" s="67" t="s">
        <v>391</v>
      </c>
      <c r="E2" s="66" t="s">
        <v>416</v>
      </c>
      <c r="F2" s="67" t="s">
        <v>635</v>
      </c>
      <c r="G2" s="67" t="s">
        <v>646</v>
      </c>
      <c r="H2" s="64" t="s">
        <v>880</v>
      </c>
      <c r="I2" s="64" t="s">
        <v>651</v>
      </c>
      <c r="J2" s="172" t="s">
        <v>639</v>
      </c>
      <c r="K2" s="172" t="s">
        <v>524</v>
      </c>
      <c r="L2" s="64" t="s">
        <v>529</v>
      </c>
      <c r="M2" s="66" t="s">
        <v>640</v>
      </c>
      <c r="N2" s="67">
        <v>1</v>
      </c>
      <c r="O2" s="67" t="s">
        <v>529</v>
      </c>
      <c r="P2" s="67" t="s">
        <v>419</v>
      </c>
      <c r="Q2" s="173" t="s">
        <v>615</v>
      </c>
      <c r="R2" s="67" t="s">
        <v>714</v>
      </c>
      <c r="S2" s="67" t="s">
        <v>619</v>
      </c>
      <c r="T2" s="67" t="s">
        <v>529</v>
      </c>
      <c r="U2" s="67" t="s">
        <v>637</v>
      </c>
      <c r="V2" s="67" t="s">
        <v>619</v>
      </c>
      <c r="W2" s="67" t="s">
        <v>672</v>
      </c>
      <c r="X2" s="67" t="s">
        <v>644</v>
      </c>
    </row>
    <row r="3" spans="1:24" x14ac:dyDescent="0.3">
      <c r="A3" s="147">
        <v>45323</v>
      </c>
      <c r="B3" s="490" t="s">
        <v>556</v>
      </c>
      <c r="C3" s="67" t="s">
        <v>34</v>
      </c>
      <c r="D3" s="67" t="s">
        <v>642</v>
      </c>
      <c r="E3" s="67" t="s">
        <v>415</v>
      </c>
      <c r="F3" s="67" t="s">
        <v>528</v>
      </c>
      <c r="G3" s="67" t="s">
        <v>617</v>
      </c>
      <c r="H3" s="64" t="s">
        <v>378</v>
      </c>
      <c r="I3" s="64" t="s">
        <v>712</v>
      </c>
      <c r="J3" s="172" t="s">
        <v>46</v>
      </c>
      <c r="K3" s="172" t="s">
        <v>881</v>
      </c>
      <c r="L3" s="64" t="s">
        <v>707</v>
      </c>
      <c r="M3" s="64" t="s">
        <v>668</v>
      </c>
      <c r="N3" s="67">
        <v>2</v>
      </c>
      <c r="O3" s="169" t="s">
        <v>623</v>
      </c>
      <c r="P3" s="67" t="s">
        <v>414</v>
      </c>
      <c r="Q3" s="173" t="s">
        <v>803</v>
      </c>
      <c r="R3" s="67" t="s">
        <v>715</v>
      </c>
      <c r="S3" s="67" t="s">
        <v>648</v>
      </c>
      <c r="T3" s="67" t="s">
        <v>528</v>
      </c>
      <c r="U3" s="67" t="s">
        <v>882</v>
      </c>
      <c r="V3" s="67" t="s">
        <v>648</v>
      </c>
      <c r="W3" s="67" t="s">
        <v>671</v>
      </c>
      <c r="X3" s="67" t="s">
        <v>666</v>
      </c>
    </row>
    <row r="4" spans="1:24" x14ac:dyDescent="0.3">
      <c r="A4" s="147">
        <v>45352</v>
      </c>
      <c r="B4" s="199"/>
      <c r="C4" s="67" t="s">
        <v>663</v>
      </c>
      <c r="D4" s="67" t="s">
        <v>806</v>
      </c>
      <c r="E4" s="67" t="s">
        <v>417</v>
      </c>
      <c r="F4" s="67" t="s">
        <v>656</v>
      </c>
      <c r="G4" s="67" t="s">
        <v>660</v>
      </c>
      <c r="H4" s="64" t="s">
        <v>375</v>
      </c>
      <c r="I4" s="64" t="s">
        <v>712</v>
      </c>
      <c r="J4" s="172" t="s">
        <v>614</v>
      </c>
      <c r="K4" s="172" t="s">
        <v>883</v>
      </c>
      <c r="L4" s="64" t="s">
        <v>682</v>
      </c>
      <c r="M4" s="64" t="s">
        <v>669</v>
      </c>
      <c r="N4" s="67">
        <v>3</v>
      </c>
      <c r="O4" s="169" t="s">
        <v>656</v>
      </c>
      <c r="P4" s="67" t="s">
        <v>420</v>
      </c>
      <c r="Q4" s="173" t="s">
        <v>884</v>
      </c>
      <c r="R4" s="67" t="s">
        <v>885</v>
      </c>
      <c r="S4" s="67"/>
      <c r="T4" s="67" t="s">
        <v>656</v>
      </c>
      <c r="U4" s="67" t="s">
        <v>886</v>
      </c>
      <c r="V4" s="67" t="s">
        <v>622</v>
      </c>
      <c r="W4" s="67" t="s">
        <v>635</v>
      </c>
      <c r="X4" s="67" t="s">
        <v>659</v>
      </c>
    </row>
    <row r="5" spans="1:24" ht="32.4" customHeight="1" x14ac:dyDescent="0.3">
      <c r="A5" s="147">
        <v>45383</v>
      </c>
      <c r="B5" s="199"/>
      <c r="C5" s="67" t="s">
        <v>35</v>
      </c>
      <c r="D5" s="67" t="s">
        <v>527</v>
      </c>
      <c r="E5" s="67" t="s">
        <v>418</v>
      </c>
      <c r="F5" s="67" t="s">
        <v>530</v>
      </c>
      <c r="G5" s="67" t="s">
        <v>711</v>
      </c>
      <c r="H5" s="64" t="s">
        <v>887</v>
      </c>
      <c r="I5" s="64" t="s">
        <v>653</v>
      </c>
      <c r="J5" s="172" t="s">
        <v>674</v>
      </c>
      <c r="K5" s="172" t="s">
        <v>525</v>
      </c>
      <c r="L5" s="64" t="s">
        <v>830</v>
      </c>
      <c r="M5" s="64" t="s">
        <v>888</v>
      </c>
      <c r="N5" s="67">
        <v>4</v>
      </c>
      <c r="O5" s="167" t="s">
        <v>530</v>
      </c>
      <c r="P5" s="67" t="s">
        <v>421</v>
      </c>
      <c r="Q5" s="174" t="s">
        <v>889</v>
      </c>
      <c r="R5" s="67" t="s">
        <v>655</v>
      </c>
      <c r="S5" s="67"/>
      <c r="T5" s="167" t="s">
        <v>530</v>
      </c>
      <c r="U5" s="67" t="s">
        <v>890</v>
      </c>
      <c r="V5" s="67"/>
      <c r="W5" s="67" t="s">
        <v>667</v>
      </c>
      <c r="X5" s="67" t="s">
        <v>709</v>
      </c>
    </row>
    <row r="6" spans="1:24" ht="30" customHeight="1" x14ac:dyDescent="0.3">
      <c r="A6" s="147">
        <v>45413</v>
      </c>
      <c r="B6" s="199"/>
      <c r="C6" s="67" t="s">
        <v>36</v>
      </c>
      <c r="D6" s="167" t="s">
        <v>616</v>
      </c>
      <c r="E6" s="67" t="s">
        <v>425</v>
      </c>
      <c r="F6" s="67" t="s">
        <v>679</v>
      </c>
      <c r="G6" s="67" t="s">
        <v>650</v>
      </c>
      <c r="H6" s="64" t="s">
        <v>372</v>
      </c>
      <c r="I6" s="64" t="s">
        <v>651</v>
      </c>
      <c r="J6" s="172" t="s">
        <v>758</v>
      </c>
      <c r="K6" s="172" t="s">
        <v>891</v>
      </c>
      <c r="L6" s="64" t="s">
        <v>831</v>
      </c>
      <c r="M6" s="64" t="s">
        <v>670</v>
      </c>
      <c r="N6" s="67">
        <v>5</v>
      </c>
      <c r="O6" s="167" t="s">
        <v>892</v>
      </c>
      <c r="P6" s="67" t="s">
        <v>422</v>
      </c>
      <c r="Q6" s="167" t="s">
        <v>653</v>
      </c>
      <c r="R6" s="167" t="s">
        <v>458</v>
      </c>
      <c r="S6" s="67"/>
      <c r="T6" s="67" t="s">
        <v>893</v>
      </c>
      <c r="U6" s="67" t="s">
        <v>894</v>
      </c>
      <c r="V6" s="67"/>
      <c r="W6" s="67" t="s">
        <v>620</v>
      </c>
      <c r="X6" s="67"/>
    </row>
    <row r="7" spans="1:24" x14ac:dyDescent="0.3">
      <c r="A7" s="147">
        <v>45444</v>
      </c>
      <c r="B7" s="199"/>
      <c r="C7" s="67" t="s">
        <v>422</v>
      </c>
      <c r="D7" s="167" t="s">
        <v>754</v>
      </c>
      <c r="E7" s="67" t="s">
        <v>423</v>
      </c>
      <c r="F7" s="67" t="s">
        <v>710</v>
      </c>
      <c r="G7" s="67" t="s">
        <v>658</v>
      </c>
      <c r="H7" s="64" t="s">
        <v>895</v>
      </c>
      <c r="I7" s="64" t="s">
        <v>271</v>
      </c>
      <c r="J7" s="172" t="s">
        <v>756</v>
      </c>
      <c r="K7" s="172" t="s">
        <v>527</v>
      </c>
      <c r="L7" s="64" t="s">
        <v>708</v>
      </c>
      <c r="M7" s="64" t="s">
        <v>626</v>
      </c>
      <c r="N7" s="67">
        <v>6</v>
      </c>
      <c r="O7" s="167" t="s">
        <v>679</v>
      </c>
      <c r="P7" s="67" t="s">
        <v>424</v>
      </c>
      <c r="Q7" s="167"/>
      <c r="R7" s="167" t="s">
        <v>452</v>
      </c>
      <c r="S7" s="67"/>
      <c r="T7" s="67" t="s">
        <v>640</v>
      </c>
      <c r="U7" s="67"/>
      <c r="V7" s="67"/>
      <c r="W7" s="67" t="s">
        <v>679</v>
      </c>
      <c r="X7" s="67"/>
    </row>
    <row r="8" spans="1:24" ht="30" customHeight="1" x14ac:dyDescent="0.3">
      <c r="A8" s="147">
        <v>45474</v>
      </c>
      <c r="B8" s="199"/>
      <c r="C8" s="67" t="s">
        <v>802</v>
      </c>
      <c r="D8" s="167" t="s">
        <v>755</v>
      </c>
      <c r="E8" s="498" t="s">
        <v>851</v>
      </c>
      <c r="F8" s="67"/>
      <c r="G8" s="67" t="s">
        <v>652</v>
      </c>
      <c r="H8" s="64" t="s">
        <v>364</v>
      </c>
      <c r="I8" s="64" t="s">
        <v>271</v>
      </c>
      <c r="J8" s="172" t="s">
        <v>767</v>
      </c>
      <c r="K8" s="172" t="s">
        <v>896</v>
      </c>
      <c r="L8" s="64" t="s">
        <v>636</v>
      </c>
      <c r="M8" s="64" t="s">
        <v>637</v>
      </c>
      <c r="N8" s="67">
        <v>7</v>
      </c>
      <c r="O8" s="168"/>
      <c r="P8" s="168"/>
      <c r="Q8" s="168"/>
      <c r="R8" s="167" t="s">
        <v>460</v>
      </c>
    </row>
    <row r="9" spans="1:24" ht="30" customHeight="1" x14ac:dyDescent="0.3">
      <c r="A9" s="147">
        <v>45505</v>
      </c>
      <c r="B9" s="199"/>
      <c r="C9" s="67" t="s">
        <v>641</v>
      </c>
      <c r="D9" s="497" t="s">
        <v>678</v>
      </c>
      <c r="E9" s="167"/>
      <c r="G9" s="67" t="s">
        <v>713</v>
      </c>
      <c r="H9" s="64" t="s">
        <v>357</v>
      </c>
      <c r="I9" s="64" t="s">
        <v>618</v>
      </c>
      <c r="J9" s="172" t="s">
        <v>680</v>
      </c>
      <c r="K9" s="172" t="s">
        <v>897</v>
      </c>
      <c r="L9" s="64" t="s">
        <v>832</v>
      </c>
      <c r="M9" s="64" t="s">
        <v>898</v>
      </c>
      <c r="N9" s="67">
        <v>8</v>
      </c>
      <c r="O9" s="168"/>
      <c r="P9" s="168"/>
      <c r="Q9" s="168"/>
      <c r="R9" s="167" t="s">
        <v>443</v>
      </c>
    </row>
    <row r="10" spans="1:24" ht="30" customHeight="1" x14ac:dyDescent="0.3">
      <c r="A10" s="147">
        <v>45536</v>
      </c>
      <c r="B10" s="199"/>
      <c r="C10" s="67" t="s">
        <v>718</v>
      </c>
      <c r="D10" s="167" t="s">
        <v>87</v>
      </c>
      <c r="E10" s="168"/>
      <c r="G10" s="67" t="s">
        <v>673</v>
      </c>
      <c r="H10" s="64" t="s">
        <v>343</v>
      </c>
      <c r="I10" s="64" t="s">
        <v>271</v>
      </c>
      <c r="J10" s="172" t="s">
        <v>556</v>
      </c>
      <c r="K10" s="172" t="s">
        <v>556</v>
      </c>
      <c r="L10" s="64" t="s">
        <v>665</v>
      </c>
      <c r="M10" s="64" t="s">
        <v>628</v>
      </c>
      <c r="N10" s="67">
        <v>9</v>
      </c>
      <c r="O10" s="168"/>
      <c r="P10" s="168"/>
      <c r="Q10" s="168"/>
      <c r="R10" s="167" t="s">
        <v>801</v>
      </c>
    </row>
    <row r="11" spans="1:24" ht="30" customHeight="1" x14ac:dyDescent="0.3">
      <c r="A11" s="147">
        <v>45566</v>
      </c>
      <c r="B11" s="199"/>
      <c r="C11" s="67" t="s">
        <v>817</v>
      </c>
      <c r="D11" s="167" t="s">
        <v>899</v>
      </c>
      <c r="E11" s="168"/>
      <c r="G11" s="67" t="s">
        <v>900</v>
      </c>
      <c r="H11" s="64" t="s">
        <v>336</v>
      </c>
      <c r="I11" s="64" t="s">
        <v>652</v>
      </c>
      <c r="J11" s="172" t="s">
        <v>901</v>
      </c>
      <c r="K11" s="171"/>
      <c r="L11" s="64" t="s">
        <v>638</v>
      </c>
      <c r="M11" s="64" t="s">
        <v>627</v>
      </c>
      <c r="N11" s="67">
        <v>10</v>
      </c>
      <c r="O11" s="168"/>
      <c r="P11" s="168"/>
      <c r="Q11" s="168"/>
      <c r="R11" s="167" t="s">
        <v>757</v>
      </c>
    </row>
    <row r="12" spans="1:24" ht="30" customHeight="1" x14ac:dyDescent="0.3">
      <c r="A12" s="147">
        <v>45597</v>
      </c>
      <c r="B12" s="199"/>
      <c r="D12" s="167" t="s">
        <v>902</v>
      </c>
      <c r="E12" s="168"/>
      <c r="G12" s="67" t="s">
        <v>643</v>
      </c>
      <c r="H12" s="64" t="s">
        <v>903</v>
      </c>
      <c r="I12" s="64" t="s">
        <v>618</v>
      </c>
      <c r="J12" s="171"/>
      <c r="K12" s="171"/>
      <c r="L12" s="64" t="s">
        <v>634</v>
      </c>
      <c r="M12" s="64" t="s">
        <v>629</v>
      </c>
      <c r="N12" s="67">
        <v>11</v>
      </c>
      <c r="O12" s="168"/>
      <c r="P12" s="168"/>
      <c r="Q12" s="168"/>
      <c r="R12" s="167" t="s">
        <v>823</v>
      </c>
    </row>
    <row r="13" spans="1:24" ht="30" customHeight="1" x14ac:dyDescent="0.3">
      <c r="A13" s="147">
        <v>45627</v>
      </c>
      <c r="B13" s="199"/>
      <c r="D13" s="167" t="s">
        <v>904</v>
      </c>
      <c r="E13" s="168"/>
      <c r="H13" s="64" t="s">
        <v>305</v>
      </c>
      <c r="I13" s="64" t="s">
        <v>618</v>
      </c>
      <c r="K13" s="171"/>
      <c r="L13" s="64" t="s">
        <v>624</v>
      </c>
      <c r="M13" s="64" t="s">
        <v>630</v>
      </c>
      <c r="N13" s="67">
        <v>12</v>
      </c>
      <c r="O13" s="168"/>
      <c r="P13" s="168"/>
      <c r="Q13" s="168"/>
      <c r="R13" s="67" t="s">
        <v>769</v>
      </c>
    </row>
    <row r="14" spans="1:24" ht="30" customHeight="1" x14ac:dyDescent="0.3">
      <c r="A14" s="147">
        <v>45658</v>
      </c>
      <c r="B14" s="199"/>
      <c r="E14" s="168"/>
      <c r="H14" s="64" t="s">
        <v>296</v>
      </c>
      <c r="I14" s="64" t="s">
        <v>618</v>
      </c>
      <c r="K14" s="171"/>
      <c r="L14" s="64" t="s">
        <v>833</v>
      </c>
      <c r="M14" s="64" t="s">
        <v>631</v>
      </c>
      <c r="N14" s="67">
        <v>13</v>
      </c>
      <c r="O14" s="168"/>
      <c r="P14" s="168"/>
      <c r="Q14" s="168"/>
      <c r="R14" s="167" t="s">
        <v>790</v>
      </c>
    </row>
    <row r="15" spans="1:24" ht="30" customHeight="1" x14ac:dyDescent="0.3">
      <c r="A15" s="147">
        <v>45689</v>
      </c>
      <c r="B15" s="199"/>
      <c r="E15" s="168"/>
      <c r="H15" s="64" t="s">
        <v>284</v>
      </c>
      <c r="I15" s="64" t="s">
        <v>618</v>
      </c>
      <c r="K15" s="171"/>
      <c r="L15" s="64" t="s">
        <v>834</v>
      </c>
      <c r="M15" s="64" t="s">
        <v>645</v>
      </c>
      <c r="N15" s="67">
        <v>14</v>
      </c>
      <c r="O15" s="168"/>
      <c r="P15" s="168"/>
      <c r="Q15" s="168"/>
      <c r="R15" s="167" t="s">
        <v>770</v>
      </c>
    </row>
    <row r="16" spans="1:24" ht="30" customHeight="1" x14ac:dyDescent="0.3">
      <c r="A16" s="147">
        <v>45717</v>
      </c>
      <c r="B16" s="199"/>
      <c r="E16" s="168"/>
      <c r="H16" s="64" t="s">
        <v>905</v>
      </c>
      <c r="I16" s="64" t="s">
        <v>271</v>
      </c>
      <c r="K16" s="171"/>
      <c r="L16" s="64" t="s">
        <v>661</v>
      </c>
      <c r="M16" s="64" t="s">
        <v>632</v>
      </c>
      <c r="N16" s="67">
        <v>15</v>
      </c>
      <c r="O16" s="168"/>
      <c r="P16" s="168"/>
      <c r="Q16" s="168"/>
      <c r="R16" s="67" t="s">
        <v>763</v>
      </c>
    </row>
    <row r="17" spans="1:18" ht="30" customHeight="1" x14ac:dyDescent="0.3">
      <c r="A17" s="147">
        <v>45748</v>
      </c>
      <c r="B17" s="199"/>
      <c r="E17" s="168"/>
      <c r="H17" s="64" t="s">
        <v>254</v>
      </c>
      <c r="I17" s="64" t="s">
        <v>652</v>
      </c>
      <c r="K17" s="171"/>
      <c r="L17" s="64" t="s">
        <v>529</v>
      </c>
      <c r="M17" s="66" t="s">
        <v>640</v>
      </c>
      <c r="N17" s="67">
        <v>16</v>
      </c>
      <c r="O17" s="168"/>
      <c r="P17" s="168"/>
      <c r="Q17" s="168"/>
      <c r="R17" s="67" t="s">
        <v>442</v>
      </c>
    </row>
    <row r="18" spans="1:18" ht="30" customHeight="1" x14ac:dyDescent="0.3">
      <c r="A18" s="147">
        <v>45778</v>
      </c>
      <c r="B18" s="199"/>
      <c r="H18" s="64" t="s">
        <v>271</v>
      </c>
      <c r="I18" s="64" t="s">
        <v>271</v>
      </c>
      <c r="K18" s="171"/>
      <c r="L18" s="64" t="s">
        <v>811</v>
      </c>
      <c r="M18" s="64" t="s">
        <v>906</v>
      </c>
      <c r="N18" s="67">
        <v>17</v>
      </c>
      <c r="O18" s="168"/>
      <c r="R18" s="67" t="s">
        <v>460</v>
      </c>
    </row>
    <row r="19" spans="1:18" ht="30" customHeight="1" x14ac:dyDescent="0.3">
      <c r="A19" s="147">
        <v>45809</v>
      </c>
      <c r="B19" s="199"/>
      <c r="H19" s="64" t="s">
        <v>262</v>
      </c>
      <c r="I19" s="64" t="s">
        <v>271</v>
      </c>
      <c r="K19" s="171"/>
      <c r="L19" s="64" t="s">
        <v>809</v>
      </c>
      <c r="M19" s="64" t="s">
        <v>670</v>
      </c>
      <c r="N19" s="67">
        <v>18</v>
      </c>
      <c r="R19" s="67" t="s">
        <v>461</v>
      </c>
    </row>
    <row r="20" spans="1:18" ht="30" customHeight="1" x14ac:dyDescent="0.3">
      <c r="A20" s="147">
        <v>45839</v>
      </c>
      <c r="B20" s="199"/>
      <c r="H20" s="64" t="s">
        <v>257</v>
      </c>
      <c r="I20" s="64" t="s">
        <v>271</v>
      </c>
      <c r="K20" s="171"/>
      <c r="L20" s="64" t="s">
        <v>816</v>
      </c>
      <c r="M20" s="64" t="s">
        <v>888</v>
      </c>
      <c r="N20" s="67">
        <v>19</v>
      </c>
      <c r="R20" s="67" t="s">
        <v>683</v>
      </c>
    </row>
    <row r="21" spans="1:18" ht="30" customHeight="1" x14ac:dyDescent="0.3">
      <c r="A21" s="147">
        <v>45870</v>
      </c>
      <c r="B21" s="199"/>
      <c r="H21" s="64" t="s">
        <v>251</v>
      </c>
      <c r="I21" s="64" t="s">
        <v>647</v>
      </c>
      <c r="K21" s="171"/>
      <c r="L21" s="64" t="s">
        <v>841</v>
      </c>
      <c r="M21" s="64" t="s">
        <v>626</v>
      </c>
      <c r="N21" s="67">
        <v>20</v>
      </c>
      <c r="R21" s="67" t="s">
        <v>462</v>
      </c>
    </row>
    <row r="22" spans="1:18" ht="30" customHeight="1" x14ac:dyDescent="0.3">
      <c r="A22" s="147">
        <v>45901</v>
      </c>
      <c r="B22" s="199"/>
      <c r="H22" s="64" t="s">
        <v>241</v>
      </c>
      <c r="I22" s="64" t="s">
        <v>653</v>
      </c>
      <c r="K22" s="171"/>
      <c r="L22" s="64" t="s">
        <v>842</v>
      </c>
      <c r="M22" s="64" t="s">
        <v>637</v>
      </c>
      <c r="N22" s="67">
        <v>21</v>
      </c>
      <c r="R22" s="67" t="s">
        <v>766</v>
      </c>
    </row>
    <row r="23" spans="1:18" ht="30" customHeight="1" x14ac:dyDescent="0.3">
      <c r="A23" s="147">
        <v>45931</v>
      </c>
      <c r="B23" s="199"/>
      <c r="H23" s="64" t="s">
        <v>907</v>
      </c>
      <c r="I23" s="64" t="s">
        <v>271</v>
      </c>
      <c r="K23" s="171"/>
      <c r="L23" s="64" t="s">
        <v>843</v>
      </c>
      <c r="M23" s="64" t="s">
        <v>898</v>
      </c>
      <c r="N23" s="67">
        <v>22</v>
      </c>
      <c r="R23" s="67" t="s">
        <v>459</v>
      </c>
    </row>
    <row r="24" spans="1:18" ht="30" customHeight="1" x14ac:dyDescent="0.3">
      <c r="A24" s="147">
        <v>45962</v>
      </c>
      <c r="B24" s="199"/>
      <c r="H24" s="64" t="s">
        <v>784</v>
      </c>
      <c r="I24" s="64" t="s">
        <v>712</v>
      </c>
      <c r="K24" s="171"/>
      <c r="L24" s="64" t="s">
        <v>808</v>
      </c>
      <c r="M24" s="64" t="s">
        <v>908</v>
      </c>
      <c r="N24" s="67">
        <v>23</v>
      </c>
      <c r="R24" s="67" t="s">
        <v>759</v>
      </c>
    </row>
    <row r="25" spans="1:18" ht="30" customHeight="1" x14ac:dyDescent="0.3">
      <c r="A25" s="147">
        <v>45992</v>
      </c>
      <c r="B25" s="199"/>
      <c r="H25" s="64" t="s">
        <v>219</v>
      </c>
      <c r="I25" s="64" t="s">
        <v>618</v>
      </c>
      <c r="K25" s="171"/>
      <c r="L25" s="64" t="s">
        <v>807</v>
      </c>
      <c r="M25" s="64" t="s">
        <v>628</v>
      </c>
      <c r="N25" s="67">
        <v>24</v>
      </c>
      <c r="R25" s="67"/>
    </row>
    <row r="26" spans="1:18" ht="30" customHeight="1" x14ac:dyDescent="0.3">
      <c r="A26" s="147">
        <v>46023</v>
      </c>
      <c r="H26" s="64" t="s">
        <v>210</v>
      </c>
      <c r="I26" s="64" t="s">
        <v>647</v>
      </c>
      <c r="K26" s="171"/>
      <c r="L26" s="64" t="s">
        <v>844</v>
      </c>
      <c r="M26" s="64" t="s">
        <v>627</v>
      </c>
      <c r="N26" s="67">
        <v>25</v>
      </c>
      <c r="R26" s="67"/>
    </row>
    <row r="27" spans="1:18" ht="30" customHeight="1" x14ac:dyDescent="0.3">
      <c r="A27" s="147">
        <v>46054</v>
      </c>
      <c r="H27" s="64" t="s">
        <v>181</v>
      </c>
      <c r="I27" s="64" t="s">
        <v>271</v>
      </c>
      <c r="K27" s="171"/>
      <c r="L27" s="64" t="s">
        <v>805</v>
      </c>
      <c r="M27" s="64" t="s">
        <v>629</v>
      </c>
      <c r="N27" s="67">
        <v>26</v>
      </c>
      <c r="R27" s="67"/>
    </row>
    <row r="28" spans="1:18" ht="30" customHeight="1" x14ac:dyDescent="0.3">
      <c r="A28" s="147">
        <v>46082</v>
      </c>
      <c r="H28" s="64" t="s">
        <v>203</v>
      </c>
      <c r="I28" s="64" t="s">
        <v>653</v>
      </c>
      <c r="K28" s="171"/>
      <c r="L28" s="64" t="s">
        <v>845</v>
      </c>
      <c r="M28" s="64" t="s">
        <v>630</v>
      </c>
      <c r="N28" s="67">
        <v>27</v>
      </c>
      <c r="R28" s="67"/>
    </row>
    <row r="29" spans="1:18" ht="30" customHeight="1" x14ac:dyDescent="0.3">
      <c r="A29" s="147">
        <v>46113</v>
      </c>
      <c r="H29" s="64" t="s">
        <v>178</v>
      </c>
      <c r="I29" s="64" t="s">
        <v>271</v>
      </c>
      <c r="K29" s="171"/>
      <c r="L29" s="64" t="s">
        <v>846</v>
      </c>
      <c r="M29" s="64" t="s">
        <v>631</v>
      </c>
      <c r="N29" s="67">
        <v>28</v>
      </c>
      <c r="R29" s="67"/>
    </row>
    <row r="30" spans="1:18" ht="30" customHeight="1" x14ac:dyDescent="0.3">
      <c r="A30" s="147">
        <v>46143</v>
      </c>
      <c r="H30" s="64" t="s">
        <v>173</v>
      </c>
      <c r="I30" s="64" t="s">
        <v>712</v>
      </c>
      <c r="K30" s="171"/>
      <c r="L30" s="64" t="s">
        <v>847</v>
      </c>
      <c r="M30" s="64" t="s">
        <v>645</v>
      </c>
      <c r="N30" s="67">
        <v>29</v>
      </c>
      <c r="R30" s="67"/>
    </row>
    <row r="31" spans="1:18" ht="30" customHeight="1" x14ac:dyDescent="0.3">
      <c r="A31" s="147">
        <v>46174</v>
      </c>
      <c r="H31" s="64" t="s">
        <v>142</v>
      </c>
      <c r="I31" s="64" t="s">
        <v>651</v>
      </c>
      <c r="K31" s="171"/>
      <c r="L31" s="64" t="s">
        <v>804</v>
      </c>
      <c r="M31" s="204" t="s">
        <v>632</v>
      </c>
      <c r="N31" s="67">
        <v>30</v>
      </c>
      <c r="R31" s="67"/>
    </row>
    <row r="32" spans="1:18" ht="30" customHeight="1" x14ac:dyDescent="0.3">
      <c r="A32" s="147">
        <v>46204</v>
      </c>
      <c r="H32" s="64" t="s">
        <v>909</v>
      </c>
      <c r="I32" s="64" t="s">
        <v>651</v>
      </c>
      <c r="K32" s="171"/>
      <c r="L32" s="171"/>
      <c r="M32" s="202" t="s">
        <v>910</v>
      </c>
      <c r="N32" s="203">
        <v>31</v>
      </c>
      <c r="R32" s="67"/>
    </row>
    <row r="33" spans="1:18" ht="30" customHeight="1" x14ac:dyDescent="0.3">
      <c r="A33" s="147">
        <v>46235</v>
      </c>
      <c r="H33" s="64" t="s">
        <v>654</v>
      </c>
      <c r="I33" s="64" t="s">
        <v>653</v>
      </c>
      <c r="K33" s="171"/>
      <c r="L33" s="171"/>
      <c r="M33" s="202" t="s">
        <v>911</v>
      </c>
      <c r="N33" s="203">
        <v>32</v>
      </c>
      <c r="R33" s="67"/>
    </row>
    <row r="34" spans="1:18" ht="30" customHeight="1" x14ac:dyDescent="0.3">
      <c r="A34" s="147">
        <v>46266</v>
      </c>
      <c r="H34" s="64" t="s">
        <v>117</v>
      </c>
      <c r="I34" s="64" t="s">
        <v>271</v>
      </c>
      <c r="K34" s="171"/>
      <c r="L34" s="171"/>
      <c r="M34" s="293" t="s">
        <v>912</v>
      </c>
      <c r="N34" s="203">
        <v>33</v>
      </c>
      <c r="R34" s="67"/>
    </row>
    <row r="35" spans="1:18" ht="30" customHeight="1" x14ac:dyDescent="0.3">
      <c r="A35" s="147">
        <v>46296</v>
      </c>
      <c r="H35" s="64" t="s">
        <v>913</v>
      </c>
      <c r="I35" s="64" t="s">
        <v>647</v>
      </c>
      <c r="K35" s="171"/>
      <c r="L35" s="171"/>
      <c r="M35" s="202">
        <v>1</v>
      </c>
      <c r="N35" s="203">
        <v>34</v>
      </c>
      <c r="R35" s="67"/>
    </row>
    <row r="36" spans="1:18" ht="30" customHeight="1" x14ac:dyDescent="0.3">
      <c r="A36" s="147">
        <v>46327</v>
      </c>
      <c r="H36" s="64" t="s">
        <v>139</v>
      </c>
      <c r="I36" s="64" t="s">
        <v>652</v>
      </c>
      <c r="K36" s="171"/>
      <c r="L36" s="171"/>
      <c r="M36" s="171"/>
      <c r="N36" s="67">
        <v>35</v>
      </c>
      <c r="R36" s="67"/>
    </row>
    <row r="37" spans="1:18" ht="30" customHeight="1" x14ac:dyDescent="0.3">
      <c r="A37" s="147">
        <v>46357</v>
      </c>
      <c r="H37" s="64" t="s">
        <v>914</v>
      </c>
      <c r="I37" s="64" t="s">
        <v>647</v>
      </c>
      <c r="K37" s="171"/>
      <c r="L37" s="171"/>
      <c r="M37" s="171"/>
      <c r="N37" s="67">
        <v>36</v>
      </c>
      <c r="R37" s="67"/>
    </row>
    <row r="38" spans="1:18" ht="30" customHeight="1" x14ac:dyDescent="0.3">
      <c r="H38" s="64" t="s">
        <v>915</v>
      </c>
      <c r="I38" s="64" t="s">
        <v>647</v>
      </c>
      <c r="K38" s="171"/>
      <c r="L38" s="171"/>
      <c r="M38" s="171"/>
      <c r="N38" s="67">
        <v>37</v>
      </c>
      <c r="R38" s="67"/>
    </row>
    <row r="39" spans="1:18" ht="30" customHeight="1" x14ac:dyDescent="0.3">
      <c r="H39" s="64" t="s">
        <v>789</v>
      </c>
      <c r="I39" s="64" t="s">
        <v>271</v>
      </c>
      <c r="K39" s="171"/>
      <c r="L39" s="171"/>
      <c r="M39" s="171"/>
      <c r="N39" s="67">
        <v>38</v>
      </c>
      <c r="R39" s="67"/>
    </row>
    <row r="40" spans="1:18" ht="30" customHeight="1" x14ac:dyDescent="0.3">
      <c r="H40" s="64" t="s">
        <v>134</v>
      </c>
      <c r="I40" s="64" t="s">
        <v>653</v>
      </c>
      <c r="K40" s="171"/>
      <c r="L40" s="171"/>
      <c r="M40" s="171"/>
      <c r="N40" s="67">
        <v>39</v>
      </c>
      <c r="R40" s="67"/>
    </row>
    <row r="41" spans="1:18" ht="30" customHeight="1" x14ac:dyDescent="0.3">
      <c r="H41" s="64" t="s">
        <v>114</v>
      </c>
      <c r="I41" s="64" t="s">
        <v>618</v>
      </c>
      <c r="K41" s="171"/>
      <c r="L41" s="171"/>
      <c r="M41" s="171"/>
      <c r="N41" s="67">
        <v>40</v>
      </c>
      <c r="R41" s="67"/>
    </row>
    <row r="42" spans="1:18" ht="30" customHeight="1" x14ac:dyDescent="0.3">
      <c r="H42" s="64" t="s">
        <v>109</v>
      </c>
      <c r="I42" s="64" t="s">
        <v>271</v>
      </c>
      <c r="K42" s="171"/>
      <c r="L42" s="171"/>
      <c r="M42" s="171"/>
      <c r="N42" s="67">
        <v>41</v>
      </c>
      <c r="R42" s="67"/>
    </row>
    <row r="43" spans="1:18" ht="30" customHeight="1" x14ac:dyDescent="0.3">
      <c r="H43" s="64" t="s">
        <v>106</v>
      </c>
      <c r="I43" s="64" t="s">
        <v>106</v>
      </c>
      <c r="K43" s="171"/>
      <c r="L43" s="171"/>
      <c r="M43" s="171"/>
      <c r="N43" s="67">
        <v>42</v>
      </c>
      <c r="R43" s="67"/>
    </row>
    <row r="44" spans="1:18" ht="30" customHeight="1" x14ac:dyDescent="0.3">
      <c r="H44" s="64" t="s">
        <v>103</v>
      </c>
      <c r="I44" s="64" t="s">
        <v>653</v>
      </c>
      <c r="K44" s="171"/>
      <c r="L44" s="171"/>
      <c r="M44" s="171"/>
      <c r="N44" s="67">
        <v>43</v>
      </c>
      <c r="R44" s="67"/>
    </row>
    <row r="45" spans="1:18" ht="30" customHeight="1" x14ac:dyDescent="0.3">
      <c r="H45" s="64" t="s">
        <v>100</v>
      </c>
      <c r="I45" s="64" t="s">
        <v>653</v>
      </c>
      <c r="K45" s="171"/>
      <c r="L45" s="171"/>
      <c r="M45" s="171"/>
      <c r="N45" s="67">
        <v>44</v>
      </c>
      <c r="R45" s="67"/>
    </row>
    <row r="46" spans="1:18" ht="30" customHeight="1" x14ac:dyDescent="0.3">
      <c r="H46" s="64" t="s">
        <v>93</v>
      </c>
      <c r="I46" s="64" t="s">
        <v>651</v>
      </c>
      <c r="K46" s="171"/>
      <c r="L46" s="171"/>
      <c r="M46" s="171"/>
      <c r="N46" s="67">
        <v>45</v>
      </c>
      <c r="R46" s="67"/>
    </row>
    <row r="47" spans="1:18" ht="30" customHeight="1" x14ac:dyDescent="0.3">
      <c r="H47" s="64" t="s">
        <v>79</v>
      </c>
      <c r="I47" s="64" t="s">
        <v>651</v>
      </c>
      <c r="K47" s="171"/>
      <c r="L47" s="171"/>
      <c r="M47" s="171"/>
      <c r="N47" s="67">
        <v>46</v>
      </c>
      <c r="R47" s="67"/>
    </row>
    <row r="48" spans="1:18" ht="30" customHeight="1" x14ac:dyDescent="0.3">
      <c r="H48" s="64" t="s">
        <v>74</v>
      </c>
      <c r="I48" s="64" t="s">
        <v>652</v>
      </c>
      <c r="K48" s="171"/>
      <c r="L48" s="171"/>
      <c r="M48" s="171"/>
      <c r="N48" s="67">
        <v>47</v>
      </c>
      <c r="R48" s="67"/>
    </row>
    <row r="49" spans="8:18" ht="30" customHeight="1" x14ac:dyDescent="0.3">
      <c r="H49" s="64" t="s">
        <v>70</v>
      </c>
      <c r="I49" s="64" t="s">
        <v>271</v>
      </c>
      <c r="K49" s="171"/>
      <c r="L49" s="171"/>
      <c r="M49" s="171"/>
      <c r="N49" s="67">
        <v>48</v>
      </c>
      <c r="R49" s="67"/>
    </row>
    <row r="50" spans="8:18" ht="30" customHeight="1" x14ac:dyDescent="0.3">
      <c r="H50" s="64" t="s">
        <v>41</v>
      </c>
      <c r="I50" s="64" t="s">
        <v>618</v>
      </c>
      <c r="K50" s="171"/>
      <c r="L50" s="171"/>
      <c r="M50" s="171"/>
      <c r="N50" s="67">
        <v>49</v>
      </c>
      <c r="R50" s="67"/>
    </row>
    <row r="51" spans="8:18" ht="30" customHeight="1" x14ac:dyDescent="0.3">
      <c r="H51" s="64" t="s">
        <v>53</v>
      </c>
      <c r="I51" s="64" t="s">
        <v>652</v>
      </c>
      <c r="K51" s="171"/>
      <c r="L51" s="171"/>
      <c r="M51" s="171"/>
      <c r="N51" s="67">
        <v>50</v>
      </c>
      <c r="R51" s="67"/>
    </row>
    <row r="52" spans="8:18" ht="30" customHeight="1" x14ac:dyDescent="0.3">
      <c r="H52" s="64" t="s">
        <v>916</v>
      </c>
      <c r="I52" s="64" t="s">
        <v>618</v>
      </c>
      <c r="K52" s="171"/>
      <c r="L52" s="171"/>
      <c r="M52" s="171"/>
      <c r="N52" s="67">
        <v>51</v>
      </c>
      <c r="R52" s="67"/>
    </row>
    <row r="53" spans="8:18" ht="30" customHeight="1" x14ac:dyDescent="0.3">
      <c r="H53" s="64" t="s">
        <v>130</v>
      </c>
      <c r="I53" s="64" t="s">
        <v>271</v>
      </c>
      <c r="K53" s="171"/>
      <c r="L53" s="171"/>
      <c r="M53" s="171"/>
      <c r="N53" s="67">
        <v>52</v>
      </c>
      <c r="R53" s="67"/>
    </row>
    <row r="54" spans="8:18" ht="30" customHeight="1" x14ac:dyDescent="0.3">
      <c r="H54" s="64" t="s">
        <v>917</v>
      </c>
      <c r="I54" s="64" t="s">
        <v>106</v>
      </c>
      <c r="K54" s="171"/>
      <c r="L54" s="171"/>
      <c r="M54" s="171"/>
      <c r="N54" s="67">
        <v>53</v>
      </c>
      <c r="R54" s="67"/>
    </row>
    <row r="55" spans="8:18" ht="30" customHeight="1" x14ac:dyDescent="0.3">
      <c r="H55" s="64" t="s">
        <v>918</v>
      </c>
      <c r="I55" s="64" t="s">
        <v>647</v>
      </c>
      <c r="K55" s="171"/>
      <c r="L55" s="171"/>
      <c r="M55" s="171"/>
      <c r="N55" s="67">
        <v>54</v>
      </c>
    </row>
    <row r="56" spans="8:18" ht="30" customHeight="1" x14ac:dyDescent="0.3">
      <c r="H56" s="64" t="s">
        <v>919</v>
      </c>
      <c r="I56" s="64" t="s">
        <v>652</v>
      </c>
      <c r="K56" s="171"/>
      <c r="L56" s="171"/>
      <c r="M56" s="171"/>
      <c r="N56" s="67">
        <v>55</v>
      </c>
    </row>
    <row r="57" spans="8:18" ht="30" customHeight="1" x14ac:dyDescent="0.3">
      <c r="H57" s="64" t="s">
        <v>640</v>
      </c>
      <c r="I57" s="64" t="s">
        <v>640</v>
      </c>
      <c r="L57" s="171"/>
    </row>
    <row r="58" spans="8:18" ht="30" customHeight="1" x14ac:dyDescent="0.3">
      <c r="L58" s="171"/>
    </row>
    <row r="59" spans="8:18" ht="30" customHeight="1" x14ac:dyDescent="0.3">
      <c r="H59" s="171"/>
      <c r="I59" s="171"/>
    </row>
    <row r="60" spans="8:18" ht="30" customHeight="1" x14ac:dyDescent="0.3">
      <c r="H60" s="171"/>
      <c r="I60" s="171"/>
    </row>
    <row r="61" spans="8:18" ht="30" customHeight="1" x14ac:dyDescent="0.3">
      <c r="H61" s="171"/>
      <c r="I61" s="171"/>
    </row>
    <row r="62" spans="8:18" ht="30" customHeight="1" x14ac:dyDescent="0.3">
      <c r="H62" s="171"/>
      <c r="I62" s="171"/>
    </row>
    <row r="63" spans="8:18" ht="30" customHeight="1" x14ac:dyDescent="0.3">
      <c r="H63" s="171"/>
      <c r="I63" s="171"/>
    </row>
    <row r="64" spans="8:18" ht="30" customHeight="1" x14ac:dyDescent="0.3">
      <c r="H64" s="171"/>
      <c r="I64" s="171"/>
    </row>
    <row r="65" spans="8:9" ht="30" customHeight="1" x14ac:dyDescent="0.3">
      <c r="H65" s="171"/>
      <c r="I65" s="171"/>
    </row>
    <row r="66" spans="8:9" ht="30" customHeight="1" x14ac:dyDescent="0.3">
      <c r="H66" s="171"/>
      <c r="I66" s="171"/>
    </row>
    <row r="67" spans="8:9" ht="30" customHeight="1" x14ac:dyDescent="0.3">
      <c r="H67" s="171"/>
      <c r="I67" s="171"/>
    </row>
    <row r="68" spans="8:9" ht="30" customHeight="1" x14ac:dyDescent="0.3">
      <c r="H68" s="171"/>
      <c r="I68" s="171"/>
    </row>
    <row r="69" spans="8:9" ht="30" customHeight="1" x14ac:dyDescent="0.3">
      <c r="H69" s="171"/>
      <c r="I69" s="171"/>
    </row>
    <row r="70" spans="8:9" ht="30" customHeight="1" x14ac:dyDescent="0.3">
      <c r="H70" s="171"/>
      <c r="I70" s="171"/>
    </row>
    <row r="71" spans="8:9" x14ac:dyDescent="0.3">
      <c r="H71" s="171"/>
      <c r="I71" s="171"/>
    </row>
    <row r="72" spans="8:9" x14ac:dyDescent="0.3">
      <c r="H72" s="171"/>
      <c r="I72" s="171"/>
    </row>
    <row r="73" spans="8:9" x14ac:dyDescent="0.3">
      <c r="H73" s="171"/>
      <c r="I73" s="171"/>
    </row>
    <row r="74" spans="8:9" x14ac:dyDescent="0.3">
      <c r="H74" s="171"/>
      <c r="I74" s="171"/>
    </row>
    <row r="75" spans="8:9" x14ac:dyDescent="0.3">
      <c r="H75" s="171"/>
      <c r="I75" s="171"/>
    </row>
    <row r="76" spans="8:9" x14ac:dyDescent="0.3">
      <c r="H76" s="171"/>
      <c r="I76" s="171"/>
    </row>
    <row r="77" spans="8:9" x14ac:dyDescent="0.3">
      <c r="H77" s="171"/>
      <c r="I77" s="171"/>
    </row>
    <row r="78" spans="8:9" x14ac:dyDescent="0.3">
      <c r="H78" s="171"/>
      <c r="I78" s="171"/>
    </row>
    <row r="79" spans="8:9" x14ac:dyDescent="0.3">
      <c r="H79" s="171"/>
      <c r="I79" s="171"/>
    </row>
    <row r="80" spans="8:9" x14ac:dyDescent="0.3">
      <c r="H80" s="171"/>
      <c r="I80" s="171"/>
    </row>
    <row r="81" spans="8:24" x14ac:dyDescent="0.3">
      <c r="H81" s="171"/>
      <c r="I81" s="171"/>
    </row>
    <row r="82" spans="8:24" x14ac:dyDescent="0.3">
      <c r="H82" s="171"/>
      <c r="I82" s="171"/>
    </row>
    <row r="83" spans="8:24" x14ac:dyDescent="0.3">
      <c r="H83" s="171"/>
      <c r="I83" s="171"/>
    </row>
    <row r="84" spans="8:24" x14ac:dyDescent="0.3">
      <c r="H84" s="171"/>
      <c r="I84" s="171"/>
    </row>
    <row r="85" spans="8:24" ht="39.9" customHeight="1" x14ac:dyDescent="0.3">
      <c r="H85" s="171"/>
      <c r="I85" s="171"/>
    </row>
    <row r="86" spans="8:24" ht="39.9" customHeight="1" x14ac:dyDescent="0.3">
      <c r="H86" s="171"/>
      <c r="I86" s="171"/>
      <c r="W86" s="68"/>
      <c r="X86" s="68"/>
    </row>
    <row r="87" spans="8:24" ht="39.9" customHeight="1" x14ac:dyDescent="0.3">
      <c r="H87" s="171"/>
      <c r="I87" s="171"/>
      <c r="W87" s="68"/>
      <c r="X87" s="68"/>
    </row>
    <row r="88" spans="8:24" ht="39.9" customHeight="1" x14ac:dyDescent="0.3">
      <c r="H88" s="171"/>
      <c r="I88" s="171"/>
      <c r="W88" s="68"/>
      <c r="X88" s="68"/>
    </row>
    <row r="89" spans="8:24" ht="39.9" customHeight="1" x14ac:dyDescent="0.3">
      <c r="H89" s="171"/>
      <c r="I89" s="171"/>
      <c r="W89" s="68"/>
      <c r="X89" s="68"/>
    </row>
    <row r="90" spans="8:24" ht="39.9" customHeight="1" x14ac:dyDescent="0.3">
      <c r="H90" s="171"/>
      <c r="I90" s="171"/>
      <c r="W90" s="68"/>
      <c r="X90" s="68"/>
    </row>
    <row r="91" spans="8:24" ht="39.9" customHeight="1" x14ac:dyDescent="0.3">
      <c r="H91" s="171"/>
      <c r="I91" s="171"/>
      <c r="W91" s="68"/>
      <c r="X91" s="68"/>
    </row>
    <row r="92" spans="8:24" x14ac:dyDescent="0.3">
      <c r="H92" s="171"/>
      <c r="I92" s="171"/>
    </row>
    <row r="93" spans="8:24" x14ac:dyDescent="0.3">
      <c r="H93" s="171"/>
      <c r="I93" s="171"/>
    </row>
    <row r="94" spans="8:24" x14ac:dyDescent="0.3">
      <c r="H94" s="171"/>
      <c r="I94" s="171"/>
    </row>
    <row r="95" spans="8:24" x14ac:dyDescent="0.3">
      <c r="H95" s="171"/>
      <c r="I95" s="171"/>
    </row>
    <row r="96" spans="8:24" x14ac:dyDescent="0.3">
      <c r="H96" s="171"/>
      <c r="I96" s="171"/>
    </row>
    <row r="97" spans="8:9" x14ac:dyDescent="0.3">
      <c r="H97" s="171"/>
      <c r="I97" s="171"/>
    </row>
    <row r="98" spans="8:9" x14ac:dyDescent="0.3">
      <c r="H98" s="171"/>
      <c r="I98" s="171"/>
    </row>
    <row r="99" spans="8:9" x14ac:dyDescent="0.3">
      <c r="H99" s="171"/>
      <c r="I99" s="171"/>
    </row>
    <row r="100" spans="8:9" x14ac:dyDescent="0.3">
      <c r="H100" s="171"/>
      <c r="I100" s="171"/>
    </row>
    <row r="101" spans="8:9" x14ac:dyDescent="0.3">
      <c r="H101" s="171"/>
      <c r="I101" s="171"/>
    </row>
    <row r="102" spans="8:9" x14ac:dyDescent="0.3">
      <c r="H102" s="171"/>
      <c r="I102" s="171"/>
    </row>
  </sheetData>
  <printOptions horizontalCentered="1"/>
  <pageMargins left="0.39370078740157483" right="0.39370078740157483" top="0.39370078740157483" bottom="0" header="0.31496062992125984" footer="0.31496062992125984"/>
  <pageSetup paperSize="8" scale="46"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35FF-EA32-4EFB-AF50-622574B194E1}">
  <sheetPr>
    <tabColor rgb="FF0070C0"/>
  </sheetPr>
  <dimension ref="A2:O21"/>
  <sheetViews>
    <sheetView workbookViewId="0">
      <selection activeCell="G23" sqref="G23"/>
    </sheetView>
  </sheetViews>
  <sheetFormatPr defaultRowHeight="14.4" x14ac:dyDescent="0.3"/>
  <cols>
    <col min="1" max="1" width="20" bestFit="1" customWidth="1"/>
    <col min="2" max="2" width="15.5546875" bestFit="1" customWidth="1"/>
    <col min="3" max="4" width="3" bestFit="1" customWidth="1"/>
    <col min="5" max="5" width="10.5546875" bestFit="1" customWidth="1"/>
    <col min="6" max="6" width="7.33203125" bestFit="1" customWidth="1"/>
    <col min="7" max="7" width="7" bestFit="1" customWidth="1"/>
    <col min="8" max="9" width="4.33203125" bestFit="1" customWidth="1"/>
    <col min="10" max="10" width="7.33203125" bestFit="1" customWidth="1"/>
    <col min="11" max="11" width="11.33203125" bestFit="1" customWidth="1"/>
  </cols>
  <sheetData>
    <row r="2" spans="1:15" x14ac:dyDescent="0.3">
      <c r="A2" s="208" t="s">
        <v>562</v>
      </c>
      <c r="B2" t="s">
        <v>421</v>
      </c>
    </row>
    <row r="4" spans="1:15" x14ac:dyDescent="0.3">
      <c r="A4" s="208" t="s">
        <v>933</v>
      </c>
      <c r="B4" s="208" t="s">
        <v>826</v>
      </c>
    </row>
    <row r="5" spans="1:15" x14ac:dyDescent="0.3">
      <c r="A5" s="208" t="s">
        <v>406</v>
      </c>
      <c r="B5" t="s">
        <v>415</v>
      </c>
      <c r="C5" t="s">
        <v>417</v>
      </c>
      <c r="D5" t="s">
        <v>418</v>
      </c>
      <c r="E5" t="s">
        <v>427</v>
      </c>
    </row>
    <row r="6" spans="1:15" x14ac:dyDescent="0.3">
      <c r="A6" s="191" t="s">
        <v>672</v>
      </c>
      <c r="C6">
        <v>6</v>
      </c>
      <c r="D6">
        <v>6</v>
      </c>
      <c r="E6">
        <v>12</v>
      </c>
    </row>
    <row r="7" spans="1:15" x14ac:dyDescent="0.3">
      <c r="A7" s="191" t="s">
        <v>635</v>
      </c>
      <c r="C7">
        <v>4</v>
      </c>
      <c r="D7">
        <v>3</v>
      </c>
      <c r="E7">
        <v>7</v>
      </c>
    </row>
    <row r="8" spans="1:15" x14ac:dyDescent="0.3">
      <c r="A8" s="191" t="s">
        <v>671</v>
      </c>
      <c r="B8">
        <v>1</v>
      </c>
      <c r="C8">
        <v>14</v>
      </c>
      <c r="D8">
        <v>2</v>
      </c>
      <c r="E8">
        <v>17</v>
      </c>
    </row>
    <row r="9" spans="1:15" x14ac:dyDescent="0.3">
      <c r="A9" s="191" t="s">
        <v>667</v>
      </c>
      <c r="C9">
        <v>13</v>
      </c>
      <c r="D9">
        <v>6</v>
      </c>
      <c r="E9">
        <v>19</v>
      </c>
    </row>
    <row r="10" spans="1:15" x14ac:dyDescent="0.3">
      <c r="A10" s="191" t="s">
        <v>427</v>
      </c>
      <c r="B10">
        <v>1</v>
      </c>
      <c r="C10">
        <v>37</v>
      </c>
      <c r="D10">
        <v>17</v>
      </c>
      <c r="E10">
        <v>55</v>
      </c>
    </row>
    <row r="16" spans="1:15" x14ac:dyDescent="0.3">
      <c r="K16" t="s">
        <v>406</v>
      </c>
      <c r="L16" t="s">
        <v>415</v>
      </c>
      <c r="M16" t="s">
        <v>417</v>
      </c>
      <c r="N16" t="s">
        <v>418</v>
      </c>
      <c r="O16" t="s">
        <v>427</v>
      </c>
    </row>
    <row r="17" spans="11:15" x14ac:dyDescent="0.3">
      <c r="K17" t="s">
        <v>672</v>
      </c>
      <c r="M17">
        <v>6</v>
      </c>
      <c r="N17">
        <v>7</v>
      </c>
      <c r="O17">
        <v>13</v>
      </c>
    </row>
    <row r="18" spans="11:15" x14ac:dyDescent="0.3">
      <c r="K18" t="s">
        <v>635</v>
      </c>
      <c r="M18">
        <v>5</v>
      </c>
      <c r="N18">
        <v>2</v>
      </c>
      <c r="O18">
        <v>7</v>
      </c>
    </row>
    <row r="19" spans="11:15" x14ac:dyDescent="0.3">
      <c r="K19" t="s">
        <v>671</v>
      </c>
      <c r="L19">
        <v>4</v>
      </c>
      <c r="M19">
        <v>3</v>
      </c>
      <c r="N19">
        <v>2</v>
      </c>
      <c r="O19">
        <v>9</v>
      </c>
    </row>
    <row r="20" spans="11:15" x14ac:dyDescent="0.3">
      <c r="K20" t="s">
        <v>667</v>
      </c>
      <c r="M20">
        <v>9</v>
      </c>
      <c r="N20">
        <v>3</v>
      </c>
      <c r="O20">
        <v>12</v>
      </c>
    </row>
    <row r="21" spans="11:15" x14ac:dyDescent="0.3">
      <c r="K21" t="s">
        <v>427</v>
      </c>
      <c r="L21">
        <v>4</v>
      </c>
      <c r="M21">
        <v>23</v>
      </c>
      <c r="N21">
        <v>14</v>
      </c>
      <c r="O21">
        <v>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7CEC-3E33-40A1-8C18-290BDA6010BE}">
  <sheetPr filterMode="1">
    <tabColor rgb="FF00B0F0"/>
  </sheetPr>
  <dimension ref="A1:XBD200"/>
  <sheetViews>
    <sheetView zoomScale="55" zoomScaleNormal="55" workbookViewId="0">
      <selection activeCell="G23" sqref="G23"/>
    </sheetView>
  </sheetViews>
  <sheetFormatPr defaultRowHeight="14.4" x14ac:dyDescent="0.3"/>
  <cols>
    <col min="1" max="1" width="4.88671875" customWidth="1"/>
    <col min="2" max="2" width="8.6640625" customWidth="1"/>
    <col min="3" max="3" width="10" customWidth="1"/>
    <col min="4" max="4" width="10.6640625" customWidth="1"/>
    <col min="5" max="5" width="12.44140625" customWidth="1"/>
    <col min="6" max="6" width="17.88671875" bestFit="1" customWidth="1"/>
    <col min="7" max="7" width="18.109375" bestFit="1" customWidth="1"/>
    <col min="8" max="8" width="11" bestFit="1" customWidth="1"/>
    <col min="9" max="9" width="9.5546875" bestFit="1" customWidth="1"/>
    <col min="10" max="10" width="10.6640625" bestFit="1" customWidth="1"/>
    <col min="11" max="11" width="11" bestFit="1" customWidth="1"/>
    <col min="12" max="12" width="14.33203125" bestFit="1" customWidth="1"/>
    <col min="13" max="13" width="10.6640625" bestFit="1" customWidth="1"/>
    <col min="14" max="14" width="4.33203125" bestFit="1" customWidth="1"/>
    <col min="15" max="15" width="4.44140625" hidden="1" customWidth="1"/>
    <col min="16" max="16" width="9.6640625" bestFit="1" customWidth="1"/>
    <col min="17" max="17" width="5.33203125" bestFit="1" customWidth="1"/>
    <col min="18" max="18" width="4.5546875" bestFit="1" customWidth="1"/>
    <col min="19" max="19" width="11" bestFit="1" customWidth="1"/>
    <col min="20" max="20" width="9.5546875" bestFit="1" customWidth="1"/>
    <col min="21" max="21" width="14.33203125" bestFit="1" customWidth="1"/>
    <col min="22" max="22" width="10.6640625" bestFit="1" customWidth="1"/>
    <col min="23" max="23" width="9.6640625" bestFit="1" customWidth="1"/>
    <col min="24" max="24" width="10.109375" bestFit="1" customWidth="1"/>
    <col min="25" max="25" width="6.109375" bestFit="1" customWidth="1"/>
    <col min="26" max="26" width="9.6640625" customWidth="1"/>
    <col min="27" max="27" width="9.109375" bestFit="1" customWidth="1"/>
    <col min="28" max="28" width="11.33203125" bestFit="1" customWidth="1"/>
    <col min="29" max="32" width="9.6640625" customWidth="1"/>
  </cols>
  <sheetData>
    <row r="1" spans="1:57" ht="41.4" x14ac:dyDescent="0.3">
      <c r="A1" s="287" t="s">
        <v>522</v>
      </c>
      <c r="B1" s="211" t="s">
        <v>523</v>
      </c>
      <c r="C1" s="212" t="s">
        <v>524</v>
      </c>
      <c r="D1" s="213" t="s">
        <v>525</v>
      </c>
      <c r="E1" s="214" t="s">
        <v>526</v>
      </c>
      <c r="F1" s="215" t="s">
        <v>527</v>
      </c>
      <c r="G1" s="452"/>
      <c r="H1" s="796"/>
      <c r="I1" s="796"/>
      <c r="J1" s="796"/>
      <c r="K1" s="796"/>
      <c r="L1" s="796"/>
      <c r="M1" s="796"/>
      <c r="N1" s="797"/>
      <c r="O1" s="797"/>
      <c r="P1" s="796"/>
      <c r="Q1" s="796"/>
      <c r="R1" s="796"/>
      <c r="S1" s="796"/>
      <c r="T1" s="177" t="s">
        <v>538</v>
      </c>
      <c r="U1" s="179" t="s">
        <v>539</v>
      </c>
      <c r="V1" s="180" t="s">
        <v>540</v>
      </c>
      <c r="W1" s="179" t="s">
        <v>541</v>
      </c>
      <c r="X1" s="180" t="s">
        <v>542</v>
      </c>
      <c r="Y1" s="179" t="s">
        <v>543</v>
      </c>
      <c r="Z1" s="178" t="s">
        <v>544</v>
      </c>
      <c r="AA1" s="798"/>
      <c r="AB1" s="798"/>
      <c r="AC1" s="798"/>
      <c r="AD1" s="798"/>
      <c r="AE1" s="798"/>
      <c r="AF1" s="798"/>
    </row>
    <row r="2" spans="1:57" x14ac:dyDescent="0.3">
      <c r="A2" s="800"/>
      <c r="B2" s="796"/>
      <c r="C2" s="796"/>
      <c r="D2" s="796"/>
      <c r="E2" s="796"/>
      <c r="F2" s="799"/>
      <c r="G2" s="799"/>
      <c r="H2" s="796"/>
      <c r="I2" s="796"/>
      <c r="J2" s="796"/>
      <c r="K2" s="796"/>
      <c r="L2" s="796"/>
      <c r="M2" s="796"/>
      <c r="N2" s="797"/>
      <c r="O2" s="797"/>
      <c r="P2" s="796"/>
      <c r="Q2" s="796"/>
      <c r="R2" s="796"/>
      <c r="S2" s="796"/>
      <c r="T2" s="798"/>
      <c r="U2" s="798"/>
      <c r="V2" s="798"/>
      <c r="W2" s="798"/>
      <c r="X2" s="798"/>
      <c r="Y2" s="798"/>
      <c r="Z2" s="798"/>
      <c r="AA2" s="798"/>
      <c r="AB2" s="798"/>
      <c r="AC2" s="798"/>
      <c r="AD2" s="798"/>
      <c r="AE2" s="798"/>
      <c r="AF2" s="798"/>
    </row>
    <row r="3" spans="1:57" ht="31.2" x14ac:dyDescent="0.3">
      <c r="A3" s="403" t="s">
        <v>934</v>
      </c>
      <c r="B3" s="402"/>
      <c r="C3" s="402"/>
      <c r="D3" s="402"/>
      <c r="E3" s="401"/>
      <c r="F3" s="400"/>
      <c r="G3" s="400"/>
      <c r="H3" s="402"/>
      <c r="I3" s="402"/>
      <c r="J3" s="402"/>
      <c r="K3" s="402"/>
      <c r="L3" s="401"/>
      <c r="M3" s="402"/>
      <c r="N3" s="399"/>
      <c r="O3" s="402"/>
      <c r="P3" s="402"/>
      <c r="Q3" s="402"/>
      <c r="R3" s="402"/>
      <c r="S3" s="402"/>
      <c r="T3" s="200" t="s">
        <v>545</v>
      </c>
      <c r="U3" s="200" t="s">
        <v>545</v>
      </c>
      <c r="V3" s="200" t="s">
        <v>545</v>
      </c>
      <c r="W3" s="200" t="s">
        <v>545</v>
      </c>
      <c r="X3" s="200" t="s">
        <v>545</v>
      </c>
      <c r="Y3" s="201" t="s">
        <v>546</v>
      </c>
      <c r="Z3" s="201" t="s">
        <v>546</v>
      </c>
      <c r="AA3" s="201" t="s">
        <v>546</v>
      </c>
      <c r="AB3" s="201" t="s">
        <v>546</v>
      </c>
      <c r="AC3" s="201" t="s">
        <v>547</v>
      </c>
      <c r="AD3" s="201" t="s">
        <v>547</v>
      </c>
      <c r="AE3" s="201" t="s">
        <v>547</v>
      </c>
      <c r="AF3" s="201" t="s">
        <v>547</v>
      </c>
      <c r="AG3" s="200" t="s">
        <v>548</v>
      </c>
      <c r="AH3" s="200" t="s">
        <v>548</v>
      </c>
      <c r="AI3" s="200" t="s">
        <v>548</v>
      </c>
      <c r="AJ3" s="200" t="s">
        <v>548</v>
      </c>
      <c r="AK3" s="385" t="s">
        <v>549</v>
      </c>
      <c r="AL3" s="201" t="s">
        <v>550</v>
      </c>
      <c r="AM3" s="201" t="s">
        <v>550</v>
      </c>
      <c r="AN3" s="201" t="s">
        <v>550</v>
      </c>
      <c r="AO3" s="200" t="s">
        <v>551</v>
      </c>
      <c r="AP3" s="200" t="s">
        <v>551</v>
      </c>
      <c r="AQ3" s="200" t="s">
        <v>551</v>
      </c>
      <c r="AR3" s="200" t="s">
        <v>551</v>
      </c>
      <c r="AS3" s="200" t="s">
        <v>551</v>
      </c>
      <c r="AT3" s="201" t="s">
        <v>552</v>
      </c>
      <c r="AU3" s="201" t="s">
        <v>552</v>
      </c>
      <c r="AV3" s="201" t="s">
        <v>552</v>
      </c>
      <c r="AW3" s="201" t="s">
        <v>552</v>
      </c>
      <c r="AX3" s="200" t="s">
        <v>553</v>
      </c>
      <c r="AY3" s="200" t="s">
        <v>553</v>
      </c>
      <c r="AZ3" s="200" t="s">
        <v>553</v>
      </c>
      <c r="BA3" s="200" t="s">
        <v>553</v>
      </c>
      <c r="BB3" s="201" t="s">
        <v>554</v>
      </c>
      <c r="BC3" s="201" t="s">
        <v>554</v>
      </c>
      <c r="BD3" s="201" t="s">
        <v>554</v>
      </c>
      <c r="BE3" s="201" t="s">
        <v>554</v>
      </c>
    </row>
    <row r="4" spans="1:57" ht="100.8" x14ac:dyDescent="0.3">
      <c r="A4" s="394" t="s">
        <v>935</v>
      </c>
      <c r="B4" s="397" t="s">
        <v>398</v>
      </c>
      <c r="C4" s="394" t="s">
        <v>557</v>
      </c>
      <c r="D4" s="394" t="s">
        <v>15</v>
      </c>
      <c r="E4" s="397" t="s">
        <v>558</v>
      </c>
      <c r="F4" s="396" t="s">
        <v>560</v>
      </c>
      <c r="G4" s="396" t="s">
        <v>936</v>
      </c>
      <c r="H4" s="394" t="s">
        <v>561</v>
      </c>
      <c r="I4" s="394" t="s">
        <v>562</v>
      </c>
      <c r="J4" s="394" t="s">
        <v>563</v>
      </c>
      <c r="K4" s="394" t="s">
        <v>564</v>
      </c>
      <c r="L4" s="395" t="s">
        <v>570</v>
      </c>
      <c r="M4" s="398" t="s">
        <v>575</v>
      </c>
      <c r="N4" s="395" t="s">
        <v>567</v>
      </c>
      <c r="O4" s="394" t="s">
        <v>568</v>
      </c>
      <c r="P4" s="394" t="s">
        <v>569</v>
      </c>
      <c r="Q4" s="394" t="s">
        <v>571</v>
      </c>
      <c r="R4" s="393" t="s">
        <v>573</v>
      </c>
      <c r="S4" s="393" t="s">
        <v>572</v>
      </c>
      <c r="T4" s="379" t="s">
        <v>576</v>
      </c>
      <c r="U4" s="379" t="s">
        <v>577</v>
      </c>
      <c r="V4" s="379" t="s">
        <v>578</v>
      </c>
      <c r="W4" s="379" t="s">
        <v>579</v>
      </c>
      <c r="X4" s="379" t="s">
        <v>580</v>
      </c>
      <c r="Y4" s="379" t="s">
        <v>581</v>
      </c>
      <c r="Z4" s="406" t="s">
        <v>582</v>
      </c>
      <c r="AA4" s="406" t="s">
        <v>583</v>
      </c>
      <c r="AB4" s="406" t="s">
        <v>584</v>
      </c>
      <c r="AC4" s="406" t="s">
        <v>585</v>
      </c>
      <c r="AD4" s="406" t="s">
        <v>586</v>
      </c>
      <c r="AE4" s="406" t="s">
        <v>587</v>
      </c>
      <c r="AF4" s="406" t="s">
        <v>588</v>
      </c>
      <c r="AG4" s="379" t="s">
        <v>589</v>
      </c>
      <c r="AH4" s="379" t="s">
        <v>590</v>
      </c>
      <c r="AI4" s="379" t="s">
        <v>591</v>
      </c>
      <c r="AJ4" s="379" t="s">
        <v>592</v>
      </c>
      <c r="AK4" s="379" t="s">
        <v>593</v>
      </c>
      <c r="AL4" s="379" t="s">
        <v>594</v>
      </c>
      <c r="AM4" s="380" t="s">
        <v>595</v>
      </c>
      <c r="AN4" s="380" t="s">
        <v>596</v>
      </c>
      <c r="AO4" s="380" t="s">
        <v>597</v>
      </c>
      <c r="AP4" s="380" t="s">
        <v>598</v>
      </c>
      <c r="AQ4" s="380" t="s">
        <v>599</v>
      </c>
      <c r="AR4" s="380" t="s">
        <v>600</v>
      </c>
      <c r="AS4" s="380" t="s">
        <v>601</v>
      </c>
      <c r="AT4" s="380" t="s">
        <v>602</v>
      </c>
      <c r="AU4" s="380" t="s">
        <v>603</v>
      </c>
      <c r="AV4" s="380" t="s">
        <v>604</v>
      </c>
      <c r="AW4" s="380" t="s">
        <v>605</v>
      </c>
      <c r="AX4" s="380" t="s">
        <v>606</v>
      </c>
      <c r="AY4" s="380" t="s">
        <v>607</v>
      </c>
      <c r="AZ4" s="380" t="s">
        <v>608</v>
      </c>
      <c r="BA4" s="380" t="s">
        <v>609</v>
      </c>
      <c r="BB4" s="380" t="s">
        <v>610</v>
      </c>
      <c r="BC4" s="380" t="s">
        <v>611</v>
      </c>
      <c r="BD4" s="380" t="s">
        <v>612</v>
      </c>
      <c r="BE4" s="380" t="s">
        <v>613</v>
      </c>
    </row>
    <row r="5" spans="1:57" ht="69" hidden="1" x14ac:dyDescent="0.3">
      <c r="A5" s="425">
        <v>1</v>
      </c>
      <c r="B5" s="426">
        <v>46023</v>
      </c>
      <c r="C5" s="427" t="s">
        <v>415</v>
      </c>
      <c r="D5" s="428" t="s">
        <v>639</v>
      </c>
      <c r="E5" s="425" t="s">
        <v>677</v>
      </c>
      <c r="F5" s="429" t="s">
        <v>717</v>
      </c>
      <c r="G5" s="427" t="s">
        <v>937</v>
      </c>
      <c r="H5" s="433" t="s">
        <v>33</v>
      </c>
      <c r="I5" s="433" t="s">
        <v>420</v>
      </c>
      <c r="J5" s="433" t="s">
        <v>615</v>
      </c>
      <c r="K5" s="431" t="s">
        <v>642</v>
      </c>
      <c r="L5" s="431" t="s">
        <v>621</v>
      </c>
      <c r="M5" s="432"/>
      <c r="N5" s="432" t="s">
        <v>635</v>
      </c>
      <c r="O5" s="439"/>
      <c r="P5" s="432"/>
      <c r="Q5" s="432"/>
      <c r="R5" s="432"/>
      <c r="S5" s="432"/>
    </row>
    <row r="6" spans="1:57" ht="41.4" hidden="1" x14ac:dyDescent="0.3">
      <c r="A6" s="434">
        <v>2</v>
      </c>
      <c r="B6" s="415">
        <v>46023</v>
      </c>
      <c r="C6" s="416" t="s">
        <v>417</v>
      </c>
      <c r="D6" s="408" t="s">
        <v>680</v>
      </c>
      <c r="E6" s="417" t="s">
        <v>677</v>
      </c>
      <c r="F6" s="410" t="s">
        <v>938</v>
      </c>
      <c r="G6" s="416" t="s">
        <v>937</v>
      </c>
      <c r="H6" s="433" t="s">
        <v>33</v>
      </c>
      <c r="I6" s="433" t="s">
        <v>420</v>
      </c>
      <c r="J6" s="433" t="s">
        <v>615</v>
      </c>
      <c r="K6" s="431" t="s">
        <v>642</v>
      </c>
      <c r="L6" s="433" t="s">
        <v>681</v>
      </c>
      <c r="M6" s="432"/>
      <c r="N6" s="432" t="s">
        <v>635</v>
      </c>
      <c r="O6" s="439"/>
      <c r="P6" s="432"/>
      <c r="Q6" s="432"/>
      <c r="R6" s="432"/>
      <c r="S6" s="432"/>
    </row>
    <row r="7" spans="1:57" ht="69" hidden="1" x14ac:dyDescent="0.3">
      <c r="A7" s="425">
        <v>3</v>
      </c>
      <c r="B7" s="426">
        <v>46023</v>
      </c>
      <c r="C7" s="427" t="s">
        <v>415</v>
      </c>
      <c r="D7" s="428" t="s">
        <v>639</v>
      </c>
      <c r="E7" s="425" t="s">
        <v>677</v>
      </c>
      <c r="F7" s="429" t="s">
        <v>939</v>
      </c>
      <c r="G7" s="427" t="s">
        <v>937</v>
      </c>
      <c r="H7" s="433" t="s">
        <v>33</v>
      </c>
      <c r="I7" s="433" t="s">
        <v>420</v>
      </c>
      <c r="J7" s="433" t="s">
        <v>653</v>
      </c>
      <c r="K7" s="431" t="s">
        <v>642</v>
      </c>
      <c r="L7" s="431" t="s">
        <v>709</v>
      </c>
      <c r="M7" s="432"/>
      <c r="N7" s="432" t="s">
        <v>635</v>
      </c>
      <c r="O7" s="439"/>
      <c r="P7" s="432"/>
      <c r="Q7" s="432"/>
      <c r="R7" s="432"/>
      <c r="S7" s="432"/>
    </row>
    <row r="8" spans="1:57" ht="41.4" hidden="1" x14ac:dyDescent="0.3">
      <c r="A8" s="419">
        <v>4</v>
      </c>
      <c r="B8" s="420">
        <v>46023</v>
      </c>
      <c r="C8" s="421" t="s">
        <v>417</v>
      </c>
      <c r="D8" s="419" t="s">
        <v>46</v>
      </c>
      <c r="E8" s="419" t="s">
        <v>677</v>
      </c>
      <c r="F8" s="414" t="s">
        <v>725</v>
      </c>
      <c r="G8" s="421" t="s">
        <v>937</v>
      </c>
      <c r="H8" s="433" t="s">
        <v>33</v>
      </c>
      <c r="I8" s="433" t="s">
        <v>420</v>
      </c>
      <c r="J8" s="433" t="s">
        <v>615</v>
      </c>
      <c r="K8" s="431" t="s">
        <v>642</v>
      </c>
      <c r="L8" s="433" t="s">
        <v>621</v>
      </c>
      <c r="M8" s="432"/>
      <c r="N8" s="432" t="s">
        <v>635</v>
      </c>
      <c r="O8" s="439"/>
      <c r="P8" s="432"/>
      <c r="Q8" s="432"/>
      <c r="R8" s="432"/>
      <c r="S8" s="432"/>
    </row>
    <row r="9" spans="1:57" ht="41.4" hidden="1" x14ac:dyDescent="0.3">
      <c r="A9" s="434">
        <v>5</v>
      </c>
      <c r="B9" s="415">
        <v>46023</v>
      </c>
      <c r="C9" s="416" t="s">
        <v>417</v>
      </c>
      <c r="D9" s="408" t="s">
        <v>680</v>
      </c>
      <c r="E9" s="409" t="s">
        <v>633</v>
      </c>
      <c r="F9" s="410" t="s">
        <v>940</v>
      </c>
      <c r="G9" s="416" t="s">
        <v>941</v>
      </c>
      <c r="H9" s="433" t="s">
        <v>33</v>
      </c>
      <c r="I9" s="433" t="s">
        <v>420</v>
      </c>
      <c r="J9" s="433" t="s">
        <v>615</v>
      </c>
      <c r="K9" s="431" t="s">
        <v>642</v>
      </c>
      <c r="L9" s="431" t="s">
        <v>621</v>
      </c>
      <c r="M9" s="441" t="s">
        <v>625</v>
      </c>
      <c r="N9" s="442" t="s">
        <v>635</v>
      </c>
      <c r="O9" s="440"/>
      <c r="P9" s="430"/>
      <c r="Q9" s="392"/>
      <c r="R9" s="390"/>
      <c r="S9" s="391"/>
      <c r="T9" s="210"/>
      <c r="U9" s="210"/>
      <c r="V9" s="210"/>
      <c r="W9" s="210"/>
      <c r="X9" s="210"/>
      <c r="Y9" s="210"/>
      <c r="Z9" s="381"/>
      <c r="AA9" s="209"/>
      <c r="AB9" s="209"/>
      <c r="AC9" s="209"/>
      <c r="AD9" s="209"/>
      <c r="AE9" s="209"/>
      <c r="AF9" s="209"/>
    </row>
    <row r="10" spans="1:57" ht="18" hidden="1" customHeight="1" x14ac:dyDescent="0.3">
      <c r="A10" s="434">
        <v>6</v>
      </c>
      <c r="B10" s="415">
        <v>45809</v>
      </c>
      <c r="C10" s="416" t="s">
        <v>417</v>
      </c>
      <c r="D10" s="408" t="s">
        <v>680</v>
      </c>
      <c r="E10" s="443" t="s">
        <v>726</v>
      </c>
      <c r="F10" s="444" t="s">
        <v>727</v>
      </c>
      <c r="G10" s="416" t="s">
        <v>941</v>
      </c>
      <c r="H10" s="433" t="s">
        <v>33</v>
      </c>
      <c r="I10" s="433" t="s">
        <v>420</v>
      </c>
      <c r="J10" s="433" t="s">
        <v>615</v>
      </c>
      <c r="K10" s="431" t="s">
        <v>642</v>
      </c>
      <c r="L10" s="433" t="s">
        <v>709</v>
      </c>
      <c r="M10" s="432"/>
      <c r="N10" s="432" t="s">
        <v>635</v>
      </c>
      <c r="O10" s="439"/>
      <c r="P10" s="432"/>
      <c r="Q10" s="432"/>
      <c r="R10" s="432"/>
      <c r="S10" s="432"/>
    </row>
    <row r="11" spans="1:57" ht="18" hidden="1" customHeight="1" x14ac:dyDescent="0.3">
      <c r="A11" s="434">
        <v>7</v>
      </c>
      <c r="B11" s="415">
        <v>45809</v>
      </c>
      <c r="C11" s="416" t="s">
        <v>417</v>
      </c>
      <c r="D11" s="408" t="s">
        <v>680</v>
      </c>
      <c r="E11" s="443" t="s">
        <v>728</v>
      </c>
      <c r="F11" s="444" t="s">
        <v>729</v>
      </c>
      <c r="G11" s="416" t="s">
        <v>941</v>
      </c>
      <c r="H11" s="433" t="s">
        <v>33</v>
      </c>
      <c r="I11" s="433" t="s">
        <v>420</v>
      </c>
      <c r="J11" s="433" t="s">
        <v>615</v>
      </c>
      <c r="K11" s="431" t="s">
        <v>642</v>
      </c>
      <c r="L11" s="433" t="s">
        <v>709</v>
      </c>
      <c r="M11" s="432"/>
      <c r="N11" s="432" t="s">
        <v>635</v>
      </c>
      <c r="O11" s="439"/>
      <c r="P11" s="432"/>
      <c r="Q11" s="432"/>
      <c r="R11" s="432"/>
      <c r="S11" s="432"/>
    </row>
    <row r="12" spans="1:57" ht="18" hidden="1" customHeight="1" x14ac:dyDescent="0.3">
      <c r="A12" s="434">
        <v>8</v>
      </c>
      <c r="B12" s="415">
        <v>45809</v>
      </c>
      <c r="C12" s="416" t="s">
        <v>417</v>
      </c>
      <c r="D12" s="408" t="s">
        <v>680</v>
      </c>
      <c r="E12" s="443" t="s">
        <v>730</v>
      </c>
      <c r="F12" s="444" t="s">
        <v>731</v>
      </c>
      <c r="G12" s="416" t="s">
        <v>941</v>
      </c>
      <c r="H12" s="433" t="s">
        <v>33</v>
      </c>
      <c r="I12" s="433" t="s">
        <v>420</v>
      </c>
      <c r="J12" s="433" t="s">
        <v>615</v>
      </c>
      <c r="K12" s="431" t="s">
        <v>642</v>
      </c>
      <c r="L12" s="433" t="s">
        <v>709</v>
      </c>
      <c r="M12" s="432"/>
      <c r="N12" s="432" t="s">
        <v>635</v>
      </c>
      <c r="O12" s="439"/>
      <c r="P12" s="432"/>
      <c r="Q12" s="432"/>
      <c r="R12" s="432"/>
      <c r="S12" s="432"/>
    </row>
    <row r="13" spans="1:57" ht="18" hidden="1" customHeight="1" x14ac:dyDescent="0.3">
      <c r="A13" s="434">
        <v>9</v>
      </c>
      <c r="B13" s="415">
        <v>45809</v>
      </c>
      <c r="C13" s="416" t="s">
        <v>417</v>
      </c>
      <c r="D13" s="408" t="s">
        <v>680</v>
      </c>
      <c r="E13" s="443" t="s">
        <v>732</v>
      </c>
      <c r="F13" s="444" t="s">
        <v>733</v>
      </c>
      <c r="G13" s="416" t="s">
        <v>941</v>
      </c>
      <c r="H13" s="433" t="s">
        <v>33</v>
      </c>
      <c r="I13" s="433" t="s">
        <v>420</v>
      </c>
      <c r="J13" s="433" t="s">
        <v>615</v>
      </c>
      <c r="K13" s="431" t="s">
        <v>642</v>
      </c>
      <c r="L13" s="433" t="s">
        <v>709</v>
      </c>
      <c r="M13" s="432"/>
      <c r="N13" s="432" t="s">
        <v>635</v>
      </c>
      <c r="O13" s="439"/>
      <c r="P13" s="432"/>
      <c r="Q13" s="432"/>
      <c r="R13" s="432"/>
      <c r="S13" s="432"/>
    </row>
    <row r="14" spans="1:57" ht="18" hidden="1" customHeight="1" x14ac:dyDescent="0.3">
      <c r="A14" s="434">
        <v>10</v>
      </c>
      <c r="B14" s="415">
        <v>45809</v>
      </c>
      <c r="C14" s="416" t="s">
        <v>417</v>
      </c>
      <c r="D14" s="408" t="s">
        <v>680</v>
      </c>
      <c r="E14" s="443" t="s">
        <v>734</v>
      </c>
      <c r="F14" s="444" t="s">
        <v>735</v>
      </c>
      <c r="G14" s="416" t="s">
        <v>941</v>
      </c>
      <c r="H14" s="433" t="s">
        <v>33</v>
      </c>
      <c r="I14" s="433" t="s">
        <v>420</v>
      </c>
      <c r="J14" s="433" t="s">
        <v>615</v>
      </c>
      <c r="K14" s="431" t="s">
        <v>642</v>
      </c>
      <c r="L14" s="433" t="s">
        <v>709</v>
      </c>
      <c r="M14" s="432"/>
      <c r="N14" s="432" t="s">
        <v>635</v>
      </c>
      <c r="O14" s="439"/>
      <c r="P14" s="432"/>
      <c r="Q14" s="432"/>
      <c r="R14" s="432"/>
      <c r="S14" s="432"/>
    </row>
    <row r="15" spans="1:57" ht="18" hidden="1" customHeight="1" x14ac:dyDescent="0.3">
      <c r="A15" s="434">
        <v>11</v>
      </c>
      <c r="B15" s="415">
        <v>45809</v>
      </c>
      <c r="C15" s="416" t="s">
        <v>417</v>
      </c>
      <c r="D15" s="408" t="s">
        <v>680</v>
      </c>
      <c r="E15" s="443" t="s">
        <v>736</v>
      </c>
      <c r="F15" s="444" t="s">
        <v>737</v>
      </c>
      <c r="G15" s="416" t="s">
        <v>941</v>
      </c>
      <c r="H15" s="433" t="s">
        <v>33</v>
      </c>
      <c r="I15" s="433" t="s">
        <v>420</v>
      </c>
      <c r="J15" s="433" t="s">
        <v>615</v>
      </c>
      <c r="K15" s="431" t="s">
        <v>642</v>
      </c>
      <c r="L15" s="433" t="s">
        <v>709</v>
      </c>
      <c r="M15" s="432"/>
      <c r="N15" s="432" t="s">
        <v>635</v>
      </c>
      <c r="O15" s="439"/>
      <c r="P15" s="432"/>
      <c r="Q15" s="432"/>
      <c r="R15" s="432"/>
      <c r="S15" s="432"/>
    </row>
    <row r="16" spans="1:57" ht="18" hidden="1" customHeight="1" x14ac:dyDescent="0.3">
      <c r="A16" s="434">
        <v>12</v>
      </c>
      <c r="B16" s="415">
        <v>45809</v>
      </c>
      <c r="C16" s="416" t="s">
        <v>417</v>
      </c>
      <c r="D16" s="408" t="s">
        <v>680</v>
      </c>
      <c r="E16" s="443" t="s">
        <v>738</v>
      </c>
      <c r="F16" s="444" t="s">
        <v>739</v>
      </c>
      <c r="G16" s="416" t="s">
        <v>941</v>
      </c>
      <c r="H16" s="433" t="s">
        <v>33</v>
      </c>
      <c r="I16" s="433" t="s">
        <v>420</v>
      </c>
      <c r="J16" s="433" t="s">
        <v>615</v>
      </c>
      <c r="K16" s="431" t="s">
        <v>642</v>
      </c>
      <c r="L16" s="433" t="s">
        <v>709</v>
      </c>
      <c r="M16" s="432"/>
      <c r="N16" s="432" t="s">
        <v>635</v>
      </c>
      <c r="O16" s="439"/>
      <c r="P16" s="432"/>
      <c r="Q16" s="432"/>
      <c r="R16" s="432"/>
      <c r="S16" s="432"/>
    </row>
    <row r="17" spans="1:19" ht="18" hidden="1" customHeight="1" x14ac:dyDescent="0.3">
      <c r="A17" s="434">
        <v>13</v>
      </c>
      <c r="B17" s="415">
        <v>45809</v>
      </c>
      <c r="C17" s="416" t="s">
        <v>417</v>
      </c>
      <c r="D17" s="408" t="s">
        <v>680</v>
      </c>
      <c r="E17" s="443" t="s">
        <v>740</v>
      </c>
      <c r="F17" s="444" t="s">
        <v>741</v>
      </c>
      <c r="G17" s="416" t="s">
        <v>941</v>
      </c>
      <c r="H17" s="433" t="s">
        <v>33</v>
      </c>
      <c r="I17" s="433" t="s">
        <v>420</v>
      </c>
      <c r="J17" s="433" t="s">
        <v>615</v>
      </c>
      <c r="K17" s="431" t="s">
        <v>642</v>
      </c>
      <c r="L17" s="433" t="s">
        <v>709</v>
      </c>
      <c r="M17" s="432"/>
      <c r="N17" s="432" t="s">
        <v>635</v>
      </c>
      <c r="O17" s="439"/>
      <c r="P17" s="432"/>
      <c r="Q17" s="432"/>
      <c r="R17" s="432"/>
      <c r="S17" s="432"/>
    </row>
    <row r="18" spans="1:19" ht="18" hidden="1" customHeight="1" x14ac:dyDescent="0.3">
      <c r="A18" s="434">
        <v>14</v>
      </c>
      <c r="B18" s="415">
        <v>45809</v>
      </c>
      <c r="C18" s="416" t="s">
        <v>417</v>
      </c>
      <c r="D18" s="408" t="s">
        <v>680</v>
      </c>
      <c r="E18" s="443" t="s">
        <v>742</v>
      </c>
      <c r="F18" s="444" t="s">
        <v>743</v>
      </c>
      <c r="G18" s="416" t="s">
        <v>941</v>
      </c>
      <c r="H18" s="433" t="s">
        <v>33</v>
      </c>
      <c r="I18" s="433" t="s">
        <v>420</v>
      </c>
      <c r="J18" s="433" t="s">
        <v>615</v>
      </c>
      <c r="K18" s="431" t="s">
        <v>642</v>
      </c>
      <c r="L18" s="433" t="s">
        <v>709</v>
      </c>
      <c r="M18" s="432"/>
      <c r="N18" s="432" t="s">
        <v>635</v>
      </c>
      <c r="O18" s="439"/>
      <c r="P18" s="432"/>
      <c r="Q18" s="432"/>
      <c r="R18" s="432"/>
      <c r="S18" s="432"/>
    </row>
    <row r="19" spans="1:19" ht="18" hidden="1" customHeight="1" x14ac:dyDescent="0.3">
      <c r="A19" s="434">
        <v>15</v>
      </c>
      <c r="B19" s="415">
        <v>45809</v>
      </c>
      <c r="C19" s="416" t="s">
        <v>417</v>
      </c>
      <c r="D19" s="408" t="s">
        <v>680</v>
      </c>
      <c r="E19" s="443" t="s">
        <v>744</v>
      </c>
      <c r="F19" s="444" t="s">
        <v>745</v>
      </c>
      <c r="G19" s="416" t="s">
        <v>941</v>
      </c>
      <c r="H19" s="433" t="s">
        <v>33</v>
      </c>
      <c r="I19" s="433" t="s">
        <v>420</v>
      </c>
      <c r="J19" s="433" t="s">
        <v>615</v>
      </c>
      <c r="K19" s="431" t="s">
        <v>642</v>
      </c>
      <c r="L19" s="433" t="s">
        <v>709</v>
      </c>
      <c r="M19" s="432"/>
      <c r="N19" s="432" t="s">
        <v>635</v>
      </c>
      <c r="O19" s="439"/>
      <c r="P19" s="432"/>
      <c r="Q19" s="432"/>
      <c r="R19" s="432"/>
      <c r="S19" s="432"/>
    </row>
    <row r="20" spans="1:19" ht="18" hidden="1" customHeight="1" x14ac:dyDescent="0.3">
      <c r="A20" s="434">
        <v>16</v>
      </c>
      <c r="B20" s="415">
        <v>45809</v>
      </c>
      <c r="C20" s="416" t="s">
        <v>417</v>
      </c>
      <c r="D20" s="408" t="s">
        <v>680</v>
      </c>
      <c r="E20" s="443" t="s">
        <v>746</v>
      </c>
      <c r="F20" s="444" t="s">
        <v>747</v>
      </c>
      <c r="G20" s="416" t="s">
        <v>941</v>
      </c>
      <c r="H20" s="433" t="s">
        <v>33</v>
      </c>
      <c r="I20" s="433" t="s">
        <v>420</v>
      </c>
      <c r="J20" s="433" t="s">
        <v>615</v>
      </c>
      <c r="K20" s="431" t="s">
        <v>642</v>
      </c>
      <c r="L20" s="433" t="s">
        <v>709</v>
      </c>
      <c r="M20" s="432"/>
      <c r="N20" s="432" t="s">
        <v>635</v>
      </c>
      <c r="O20" s="439"/>
      <c r="P20" s="432"/>
      <c r="Q20" s="432"/>
      <c r="R20" s="432"/>
      <c r="S20" s="432"/>
    </row>
    <row r="21" spans="1:19" ht="18" hidden="1" customHeight="1" x14ac:dyDescent="0.3">
      <c r="A21" s="434">
        <v>17</v>
      </c>
      <c r="B21" s="415">
        <v>45809</v>
      </c>
      <c r="C21" s="416" t="s">
        <v>417</v>
      </c>
      <c r="D21" s="408" t="s">
        <v>680</v>
      </c>
      <c r="E21" s="443" t="s">
        <v>748</v>
      </c>
      <c r="F21" s="444" t="s">
        <v>749</v>
      </c>
      <c r="G21" s="416" t="s">
        <v>941</v>
      </c>
      <c r="H21" s="433" t="s">
        <v>33</v>
      </c>
      <c r="I21" s="433" t="s">
        <v>420</v>
      </c>
      <c r="J21" s="433" t="s">
        <v>615</v>
      </c>
      <c r="K21" s="431" t="s">
        <v>642</v>
      </c>
      <c r="L21" s="433" t="s">
        <v>709</v>
      </c>
      <c r="M21" s="432"/>
      <c r="N21" s="432" t="s">
        <v>635</v>
      </c>
      <c r="O21" s="439"/>
      <c r="P21" s="432"/>
      <c r="Q21" s="432"/>
      <c r="R21" s="432"/>
      <c r="S21" s="432"/>
    </row>
    <row r="22" spans="1:19" ht="41.4" hidden="1" x14ac:dyDescent="0.3">
      <c r="A22" s="425">
        <v>18</v>
      </c>
      <c r="B22" s="426">
        <v>46023</v>
      </c>
      <c r="C22" s="427" t="s">
        <v>417</v>
      </c>
      <c r="D22" s="428" t="s">
        <v>639</v>
      </c>
      <c r="E22" s="425" t="s">
        <v>677</v>
      </c>
      <c r="F22" s="429" t="s">
        <v>942</v>
      </c>
      <c r="G22" s="427" t="s">
        <v>937</v>
      </c>
      <c r="H22" s="433" t="s">
        <v>33</v>
      </c>
      <c r="I22" s="433" t="s">
        <v>420</v>
      </c>
      <c r="J22" s="433" t="s">
        <v>615</v>
      </c>
      <c r="K22" s="431" t="s">
        <v>642</v>
      </c>
      <c r="L22" s="431" t="s">
        <v>943</v>
      </c>
      <c r="M22" s="432"/>
      <c r="N22" s="432" t="s">
        <v>635</v>
      </c>
      <c r="O22" s="439"/>
      <c r="P22" s="432"/>
      <c r="Q22" s="432"/>
      <c r="R22" s="432"/>
      <c r="S22" s="432"/>
    </row>
    <row r="23" spans="1:19" ht="55.2" hidden="1" x14ac:dyDescent="0.3">
      <c r="A23" s="408">
        <v>19</v>
      </c>
      <c r="B23" s="415">
        <v>46023</v>
      </c>
      <c r="C23" s="416" t="s">
        <v>417</v>
      </c>
      <c r="D23" s="408" t="s">
        <v>680</v>
      </c>
      <c r="E23" s="417" t="s">
        <v>677</v>
      </c>
      <c r="F23" s="410" t="s">
        <v>944</v>
      </c>
      <c r="G23" s="416" t="s">
        <v>937</v>
      </c>
      <c r="H23" s="433" t="s">
        <v>33</v>
      </c>
      <c r="I23" s="433" t="s">
        <v>420</v>
      </c>
      <c r="J23" s="433" t="s">
        <v>615</v>
      </c>
      <c r="K23" s="431" t="s">
        <v>642</v>
      </c>
      <c r="L23" s="411" t="s">
        <v>659</v>
      </c>
      <c r="M23" s="432"/>
      <c r="N23" s="432" t="s">
        <v>635</v>
      </c>
      <c r="O23" s="439"/>
      <c r="P23" s="432"/>
      <c r="Q23" s="432"/>
      <c r="R23" s="432"/>
      <c r="S23" s="432"/>
    </row>
    <row r="24" spans="1:19" ht="55.2" hidden="1" x14ac:dyDescent="0.3">
      <c r="A24" s="408">
        <v>20</v>
      </c>
      <c r="B24" s="415">
        <v>46023</v>
      </c>
      <c r="C24" s="416" t="s">
        <v>417</v>
      </c>
      <c r="D24" s="408" t="s">
        <v>680</v>
      </c>
      <c r="E24" s="417" t="s">
        <v>677</v>
      </c>
      <c r="F24" s="410" t="s">
        <v>945</v>
      </c>
      <c r="G24" s="416" t="s">
        <v>937</v>
      </c>
      <c r="H24" s="433" t="s">
        <v>33</v>
      </c>
      <c r="I24" s="433" t="s">
        <v>420</v>
      </c>
      <c r="J24" s="433" t="s">
        <v>615</v>
      </c>
      <c r="K24" s="431" t="s">
        <v>642</v>
      </c>
      <c r="L24" s="411" t="s">
        <v>659</v>
      </c>
      <c r="M24" s="432"/>
      <c r="N24" s="432" t="s">
        <v>635</v>
      </c>
      <c r="O24" s="439"/>
      <c r="P24" s="432"/>
      <c r="Q24" s="432"/>
      <c r="R24" s="432"/>
      <c r="S24" s="432"/>
    </row>
    <row r="25" spans="1:19" ht="55.2" hidden="1" x14ac:dyDescent="0.3">
      <c r="A25" s="408">
        <v>21</v>
      </c>
      <c r="B25" s="415">
        <v>46023</v>
      </c>
      <c r="C25" s="416" t="s">
        <v>417</v>
      </c>
      <c r="D25" s="408" t="s">
        <v>680</v>
      </c>
      <c r="E25" s="417" t="s">
        <v>677</v>
      </c>
      <c r="F25" s="410" t="s">
        <v>724</v>
      </c>
      <c r="G25" s="416" t="s">
        <v>937</v>
      </c>
      <c r="H25" s="433" t="s">
        <v>33</v>
      </c>
      <c r="I25" s="433" t="s">
        <v>420</v>
      </c>
      <c r="J25" s="433" t="s">
        <v>615</v>
      </c>
      <c r="K25" s="431" t="s">
        <v>642</v>
      </c>
      <c r="L25" s="411" t="s">
        <v>659</v>
      </c>
      <c r="M25" s="432"/>
      <c r="N25" s="432" t="s">
        <v>635</v>
      </c>
      <c r="O25" s="439"/>
      <c r="P25" s="432"/>
      <c r="Q25" s="432"/>
      <c r="R25" s="432"/>
      <c r="S25" s="432"/>
    </row>
    <row r="26" spans="1:19" ht="69" hidden="1" x14ac:dyDescent="0.3">
      <c r="A26" s="408">
        <v>22</v>
      </c>
      <c r="B26" s="415">
        <v>46023</v>
      </c>
      <c r="C26" s="416" t="s">
        <v>417</v>
      </c>
      <c r="D26" s="408" t="s">
        <v>680</v>
      </c>
      <c r="E26" s="417" t="s">
        <v>677</v>
      </c>
      <c r="F26" s="410" t="s">
        <v>946</v>
      </c>
      <c r="G26" s="416" t="s">
        <v>937</v>
      </c>
      <c r="H26" s="433" t="s">
        <v>36</v>
      </c>
      <c r="I26" s="433" t="s">
        <v>420</v>
      </c>
      <c r="J26" s="433" t="s">
        <v>615</v>
      </c>
      <c r="K26" s="431" t="s">
        <v>642</v>
      </c>
      <c r="L26" s="411" t="s">
        <v>659</v>
      </c>
      <c r="M26" s="432"/>
      <c r="N26" s="432" t="s">
        <v>635</v>
      </c>
      <c r="O26" s="439"/>
      <c r="P26" s="432"/>
      <c r="Q26" s="432"/>
      <c r="R26" s="432"/>
      <c r="S26" s="432"/>
    </row>
    <row r="27" spans="1:19" ht="69" hidden="1" x14ac:dyDescent="0.3">
      <c r="A27" s="408">
        <v>23</v>
      </c>
      <c r="B27" s="415">
        <v>46023</v>
      </c>
      <c r="C27" s="416" t="s">
        <v>417</v>
      </c>
      <c r="D27" s="408" t="s">
        <v>680</v>
      </c>
      <c r="E27" s="417" t="s">
        <v>677</v>
      </c>
      <c r="F27" s="410" t="s">
        <v>947</v>
      </c>
      <c r="G27" s="416" t="s">
        <v>937</v>
      </c>
      <c r="H27" s="433" t="s">
        <v>36</v>
      </c>
      <c r="I27" s="433" t="s">
        <v>420</v>
      </c>
      <c r="J27" s="433" t="s">
        <v>615</v>
      </c>
      <c r="K27" s="431" t="s">
        <v>642</v>
      </c>
      <c r="L27" s="411" t="s">
        <v>659</v>
      </c>
      <c r="M27" s="432"/>
      <c r="N27" s="432" t="s">
        <v>635</v>
      </c>
      <c r="O27" s="439"/>
      <c r="P27" s="432"/>
      <c r="Q27" s="432"/>
      <c r="R27" s="432"/>
      <c r="S27" s="432"/>
    </row>
    <row r="28" spans="1:19" ht="41.4" hidden="1" x14ac:dyDescent="0.3">
      <c r="A28" s="408">
        <v>24</v>
      </c>
      <c r="B28" s="415">
        <v>46023</v>
      </c>
      <c r="C28" s="416" t="s">
        <v>417</v>
      </c>
      <c r="D28" s="408" t="s">
        <v>614</v>
      </c>
      <c r="E28" s="417" t="s">
        <v>677</v>
      </c>
      <c r="F28" s="410" t="s">
        <v>948</v>
      </c>
      <c r="G28" s="416" t="s">
        <v>941</v>
      </c>
      <c r="H28" s="433" t="s">
        <v>663</v>
      </c>
      <c r="I28" s="433" t="s">
        <v>420</v>
      </c>
      <c r="J28" s="433" t="s">
        <v>615</v>
      </c>
      <c r="K28" s="431" t="s">
        <v>642</v>
      </c>
      <c r="L28" s="411" t="s">
        <v>621</v>
      </c>
      <c r="M28" s="432"/>
      <c r="N28" s="439" t="s">
        <v>635</v>
      </c>
      <c r="O28" s="432"/>
      <c r="P28" s="432"/>
      <c r="Q28" s="432"/>
      <c r="R28" s="432"/>
    </row>
    <row r="29" spans="1:19" ht="69" hidden="1" x14ac:dyDescent="0.3">
      <c r="A29" s="408">
        <v>25</v>
      </c>
      <c r="B29" s="415">
        <v>46023</v>
      </c>
      <c r="C29" s="416" t="s">
        <v>415</v>
      </c>
      <c r="D29" s="408" t="s">
        <v>680</v>
      </c>
      <c r="E29" s="417" t="s">
        <v>677</v>
      </c>
      <c r="F29" s="410" t="s">
        <v>752</v>
      </c>
      <c r="G29" s="416" t="s">
        <v>937</v>
      </c>
      <c r="H29" s="433" t="s">
        <v>36</v>
      </c>
      <c r="I29" s="433" t="s">
        <v>420</v>
      </c>
      <c r="J29" s="433" t="s">
        <v>615</v>
      </c>
      <c r="K29" s="431" t="s">
        <v>642</v>
      </c>
      <c r="L29" s="411" t="s">
        <v>659</v>
      </c>
      <c r="M29" s="432"/>
      <c r="N29" s="432" t="s">
        <v>635</v>
      </c>
      <c r="O29" s="439"/>
      <c r="P29" s="432"/>
      <c r="Q29" s="432"/>
      <c r="R29" s="432"/>
      <c r="S29" s="432"/>
    </row>
    <row r="30" spans="1:19" ht="55.2" hidden="1" x14ac:dyDescent="0.3">
      <c r="A30" s="425">
        <v>26</v>
      </c>
      <c r="B30" s="426">
        <v>45658</v>
      </c>
      <c r="C30" s="427" t="s">
        <v>417</v>
      </c>
      <c r="D30" s="428" t="s">
        <v>639</v>
      </c>
      <c r="E30" s="425" t="s">
        <v>719</v>
      </c>
      <c r="F30" s="429" t="s">
        <v>949</v>
      </c>
      <c r="G30" s="427" t="s">
        <v>941</v>
      </c>
      <c r="H30" s="433" t="s">
        <v>33</v>
      </c>
      <c r="I30" s="433" t="s">
        <v>420</v>
      </c>
      <c r="J30" s="433" t="s">
        <v>615</v>
      </c>
      <c r="K30" s="431" t="s">
        <v>642</v>
      </c>
      <c r="L30" s="431" t="s">
        <v>659</v>
      </c>
      <c r="M30" s="432"/>
      <c r="N30" s="432" t="s">
        <v>635</v>
      </c>
      <c r="O30" s="439"/>
      <c r="P30" s="432"/>
      <c r="Q30" s="432"/>
      <c r="R30" s="432"/>
      <c r="S30" s="432"/>
    </row>
    <row r="31" spans="1:19" ht="55.2" hidden="1" x14ac:dyDescent="0.3">
      <c r="A31" s="425">
        <v>27</v>
      </c>
      <c r="B31" s="426">
        <v>45658</v>
      </c>
      <c r="C31" s="427" t="s">
        <v>417</v>
      </c>
      <c r="D31" s="428" t="s">
        <v>639</v>
      </c>
      <c r="E31" s="425" t="s">
        <v>720</v>
      </c>
      <c r="F31" s="429" t="s">
        <v>950</v>
      </c>
      <c r="G31" s="427" t="s">
        <v>941</v>
      </c>
      <c r="H31" s="433" t="s">
        <v>33</v>
      </c>
      <c r="I31" s="433" t="s">
        <v>420</v>
      </c>
      <c r="J31" s="433" t="s">
        <v>615</v>
      </c>
      <c r="K31" s="431" t="s">
        <v>642</v>
      </c>
      <c r="L31" s="431" t="s">
        <v>659</v>
      </c>
      <c r="M31" s="432"/>
      <c r="N31" s="432" t="s">
        <v>635</v>
      </c>
      <c r="O31" s="439"/>
      <c r="P31" s="432"/>
      <c r="Q31" s="432"/>
      <c r="R31" s="432"/>
      <c r="S31" s="432"/>
    </row>
    <row r="32" spans="1:19" ht="55.2" hidden="1" x14ac:dyDescent="0.3">
      <c r="A32" s="425">
        <v>28</v>
      </c>
      <c r="B32" s="426">
        <v>45658</v>
      </c>
      <c r="C32" s="427" t="s">
        <v>417</v>
      </c>
      <c r="D32" s="428" t="s">
        <v>639</v>
      </c>
      <c r="E32" s="425" t="s">
        <v>721</v>
      </c>
      <c r="F32" s="429" t="s">
        <v>951</v>
      </c>
      <c r="G32" s="427" t="s">
        <v>941</v>
      </c>
      <c r="H32" s="433" t="s">
        <v>33</v>
      </c>
      <c r="I32" s="433" t="s">
        <v>420</v>
      </c>
      <c r="J32" s="433" t="s">
        <v>615</v>
      </c>
      <c r="K32" s="431" t="s">
        <v>642</v>
      </c>
      <c r="L32" s="431" t="s">
        <v>659</v>
      </c>
      <c r="M32" s="432"/>
      <c r="N32" s="432" t="s">
        <v>635</v>
      </c>
      <c r="O32" s="439"/>
      <c r="P32" s="432"/>
      <c r="Q32" s="432"/>
      <c r="R32" s="432"/>
      <c r="S32" s="432"/>
    </row>
    <row r="33" spans="1:19" ht="55.2" hidden="1" x14ac:dyDescent="0.3">
      <c r="A33" s="425">
        <v>29</v>
      </c>
      <c r="B33" s="426">
        <v>45658</v>
      </c>
      <c r="C33" s="427" t="s">
        <v>417</v>
      </c>
      <c r="D33" s="428" t="s">
        <v>639</v>
      </c>
      <c r="E33" s="425" t="s">
        <v>722</v>
      </c>
      <c r="F33" s="429" t="s">
        <v>952</v>
      </c>
      <c r="G33" s="427" t="s">
        <v>941</v>
      </c>
      <c r="H33" s="433" t="s">
        <v>33</v>
      </c>
      <c r="I33" s="433" t="s">
        <v>420</v>
      </c>
      <c r="J33" s="433" t="s">
        <v>615</v>
      </c>
      <c r="K33" s="431" t="s">
        <v>642</v>
      </c>
      <c r="L33" s="431" t="s">
        <v>659</v>
      </c>
      <c r="M33" s="432"/>
      <c r="N33" s="432" t="s">
        <v>635</v>
      </c>
      <c r="O33" s="439"/>
      <c r="P33" s="432"/>
      <c r="Q33" s="432"/>
      <c r="R33" s="432"/>
      <c r="S33" s="432"/>
    </row>
    <row r="34" spans="1:19" ht="55.2" hidden="1" x14ac:dyDescent="0.3">
      <c r="A34" s="425">
        <v>30</v>
      </c>
      <c r="B34" s="426">
        <v>45658</v>
      </c>
      <c r="C34" s="427" t="s">
        <v>417</v>
      </c>
      <c r="D34" s="428" t="s">
        <v>639</v>
      </c>
      <c r="E34" s="425" t="s">
        <v>723</v>
      </c>
      <c r="F34" s="429" t="s">
        <v>953</v>
      </c>
      <c r="G34" s="427" t="s">
        <v>941</v>
      </c>
      <c r="H34" s="433" t="s">
        <v>33</v>
      </c>
      <c r="I34" s="433" t="s">
        <v>420</v>
      </c>
      <c r="J34" s="433" t="s">
        <v>615</v>
      </c>
      <c r="K34" s="431" t="s">
        <v>642</v>
      </c>
      <c r="L34" s="431" t="s">
        <v>659</v>
      </c>
      <c r="M34" s="432"/>
      <c r="N34" s="432" t="s">
        <v>635</v>
      </c>
      <c r="O34" s="439"/>
      <c r="P34" s="432"/>
      <c r="Q34" s="432"/>
      <c r="R34" s="432"/>
      <c r="S34" s="432"/>
    </row>
    <row r="35" spans="1:19" ht="82.8" hidden="1" x14ac:dyDescent="0.3">
      <c r="A35" s="419">
        <v>31</v>
      </c>
      <c r="B35" s="420">
        <v>46023</v>
      </c>
      <c r="C35" s="421" t="s">
        <v>418</v>
      </c>
      <c r="D35" s="419" t="s">
        <v>46</v>
      </c>
      <c r="E35" s="419" t="s">
        <v>677</v>
      </c>
      <c r="F35" s="414" t="s">
        <v>954</v>
      </c>
      <c r="G35" s="421" t="s">
        <v>937</v>
      </c>
      <c r="H35" s="433" t="s">
        <v>36</v>
      </c>
      <c r="I35" s="433" t="s">
        <v>420</v>
      </c>
      <c r="J35" s="433" t="s">
        <v>615</v>
      </c>
      <c r="K35" s="431" t="s">
        <v>642</v>
      </c>
      <c r="L35" s="411" t="s">
        <v>659</v>
      </c>
      <c r="M35" s="432"/>
      <c r="N35" s="432" t="s">
        <v>635</v>
      </c>
      <c r="O35" s="439"/>
      <c r="P35" s="432"/>
      <c r="Q35" s="432"/>
      <c r="R35" s="432"/>
      <c r="S35" s="432"/>
    </row>
    <row r="36" spans="1:19" ht="96.6" hidden="1" x14ac:dyDescent="0.3">
      <c r="A36" s="418">
        <v>32</v>
      </c>
      <c r="B36" s="420">
        <v>46023</v>
      </c>
      <c r="C36" s="421" t="s">
        <v>418</v>
      </c>
      <c r="D36" s="419" t="s">
        <v>46</v>
      </c>
      <c r="E36" s="419" t="s">
        <v>677</v>
      </c>
      <c r="F36" s="414" t="s">
        <v>955</v>
      </c>
      <c r="G36" s="421" t="s">
        <v>937</v>
      </c>
      <c r="H36" s="433" t="s">
        <v>36</v>
      </c>
      <c r="I36" s="433" t="s">
        <v>420</v>
      </c>
      <c r="J36" s="433" t="s">
        <v>615</v>
      </c>
      <c r="K36" s="431" t="s">
        <v>642</v>
      </c>
      <c r="L36" s="411" t="s">
        <v>659</v>
      </c>
      <c r="M36" s="432"/>
      <c r="N36" s="432" t="s">
        <v>635</v>
      </c>
      <c r="O36" s="439"/>
      <c r="P36" s="432"/>
      <c r="Q36" s="432"/>
      <c r="R36" s="432"/>
      <c r="S36" s="432"/>
    </row>
    <row r="37" spans="1:19" ht="82.8" hidden="1" x14ac:dyDescent="0.3">
      <c r="A37" s="419">
        <v>33</v>
      </c>
      <c r="B37" s="420">
        <v>46023</v>
      </c>
      <c r="C37" s="421" t="s">
        <v>418</v>
      </c>
      <c r="D37" s="419" t="s">
        <v>46</v>
      </c>
      <c r="E37" s="419" t="s">
        <v>677</v>
      </c>
      <c r="F37" s="414" t="s">
        <v>956</v>
      </c>
      <c r="G37" s="421" t="s">
        <v>937</v>
      </c>
      <c r="H37" s="433" t="s">
        <v>36</v>
      </c>
      <c r="I37" s="433" t="s">
        <v>420</v>
      </c>
      <c r="J37" s="433" t="s">
        <v>615</v>
      </c>
      <c r="K37" s="431" t="s">
        <v>642</v>
      </c>
      <c r="L37" s="411" t="s">
        <v>659</v>
      </c>
      <c r="M37" s="432"/>
      <c r="N37" s="432" t="s">
        <v>635</v>
      </c>
      <c r="O37" s="439"/>
      <c r="P37" s="432"/>
      <c r="Q37" s="432"/>
      <c r="R37" s="432"/>
      <c r="S37" s="432"/>
    </row>
    <row r="38" spans="1:19" ht="82.8" hidden="1" x14ac:dyDescent="0.3">
      <c r="A38" s="418">
        <v>34</v>
      </c>
      <c r="B38" s="420">
        <v>46023</v>
      </c>
      <c r="C38" s="421" t="s">
        <v>418</v>
      </c>
      <c r="D38" s="419" t="s">
        <v>46</v>
      </c>
      <c r="E38" s="419" t="s">
        <v>677</v>
      </c>
      <c r="F38" s="414" t="s">
        <v>957</v>
      </c>
      <c r="G38" s="421" t="s">
        <v>937</v>
      </c>
      <c r="H38" s="433" t="s">
        <v>36</v>
      </c>
      <c r="I38" s="433" t="s">
        <v>420</v>
      </c>
      <c r="J38" s="433" t="s">
        <v>615</v>
      </c>
      <c r="K38" s="431" t="s">
        <v>642</v>
      </c>
      <c r="L38" s="411" t="s">
        <v>659</v>
      </c>
      <c r="M38" s="432"/>
      <c r="N38" s="432" t="s">
        <v>635</v>
      </c>
      <c r="O38" s="439"/>
      <c r="P38" s="432"/>
      <c r="Q38" s="432"/>
      <c r="R38" s="432"/>
      <c r="S38" s="432"/>
    </row>
    <row r="39" spans="1:19" ht="96.6" hidden="1" x14ac:dyDescent="0.3">
      <c r="A39" s="419">
        <v>35</v>
      </c>
      <c r="B39" s="420">
        <v>46023</v>
      </c>
      <c r="C39" s="421" t="s">
        <v>418</v>
      </c>
      <c r="D39" s="419" t="s">
        <v>46</v>
      </c>
      <c r="E39" s="419" t="s">
        <v>677</v>
      </c>
      <c r="F39" s="414" t="s">
        <v>958</v>
      </c>
      <c r="G39" s="421" t="s">
        <v>937</v>
      </c>
      <c r="H39" s="433" t="s">
        <v>36</v>
      </c>
      <c r="I39" s="433" t="s">
        <v>420</v>
      </c>
      <c r="J39" s="433" t="s">
        <v>615</v>
      </c>
      <c r="K39" s="431" t="s">
        <v>642</v>
      </c>
      <c r="L39" s="411" t="s">
        <v>659</v>
      </c>
      <c r="M39" s="432"/>
      <c r="N39" s="432" t="s">
        <v>635</v>
      </c>
      <c r="O39" s="439"/>
      <c r="P39" s="432"/>
      <c r="Q39" s="432"/>
      <c r="R39" s="432"/>
      <c r="S39" s="432"/>
    </row>
    <row r="40" spans="1:19" ht="27.6" hidden="1" x14ac:dyDescent="0.3">
      <c r="A40" s="408">
        <v>37</v>
      </c>
      <c r="B40" s="415">
        <v>46023</v>
      </c>
      <c r="C40" s="416" t="s">
        <v>418</v>
      </c>
      <c r="D40" s="408" t="s">
        <v>756</v>
      </c>
      <c r="E40" s="409" t="s">
        <v>677</v>
      </c>
      <c r="F40" s="410" t="s">
        <v>753</v>
      </c>
      <c r="G40" s="416" t="s">
        <v>941</v>
      </c>
      <c r="H40" s="433" t="s">
        <v>36</v>
      </c>
      <c r="I40" s="433" t="s">
        <v>420</v>
      </c>
      <c r="J40" s="433" t="s">
        <v>615</v>
      </c>
      <c r="K40" s="431" t="s">
        <v>642</v>
      </c>
      <c r="L40" s="411" t="s">
        <v>681</v>
      </c>
      <c r="M40" s="432"/>
      <c r="N40" s="432" t="s">
        <v>635</v>
      </c>
      <c r="O40" s="439"/>
      <c r="P40" s="432"/>
      <c r="Q40" s="432"/>
      <c r="R40" s="432"/>
      <c r="S40" s="432"/>
    </row>
    <row r="41" spans="1:19" ht="27.6" hidden="1" x14ac:dyDescent="0.3">
      <c r="A41" s="417">
        <v>38</v>
      </c>
      <c r="B41" s="415">
        <v>46023</v>
      </c>
      <c r="C41" s="416" t="s">
        <v>417</v>
      </c>
      <c r="D41" s="408" t="s">
        <v>614</v>
      </c>
      <c r="E41" s="417" t="s">
        <v>677</v>
      </c>
      <c r="F41" s="410" t="s">
        <v>959</v>
      </c>
      <c r="G41" s="416" t="s">
        <v>941</v>
      </c>
      <c r="H41" s="433" t="s">
        <v>33</v>
      </c>
      <c r="I41" s="433" t="s">
        <v>420</v>
      </c>
      <c r="J41" s="433" t="s">
        <v>615</v>
      </c>
      <c r="K41" s="431" t="s">
        <v>642</v>
      </c>
      <c r="L41" s="411" t="s">
        <v>681</v>
      </c>
      <c r="M41" s="432"/>
      <c r="N41" s="432" t="s">
        <v>635</v>
      </c>
      <c r="O41" s="439"/>
      <c r="P41" s="432"/>
      <c r="Q41" s="432"/>
      <c r="R41" s="432"/>
      <c r="S41" s="432"/>
    </row>
    <row r="42" spans="1:19" ht="55.2" hidden="1" x14ac:dyDescent="0.3">
      <c r="A42" s="425">
        <v>39</v>
      </c>
      <c r="B42" s="426">
        <v>46023</v>
      </c>
      <c r="C42" s="427" t="s">
        <v>415</v>
      </c>
      <c r="D42" s="428" t="s">
        <v>639</v>
      </c>
      <c r="E42" s="425" t="s">
        <v>677</v>
      </c>
      <c r="F42" s="429" t="s">
        <v>716</v>
      </c>
      <c r="G42" s="427" t="s">
        <v>941</v>
      </c>
      <c r="H42" s="433" t="s">
        <v>34</v>
      </c>
      <c r="I42" s="433" t="s">
        <v>420</v>
      </c>
      <c r="J42" s="433" t="s">
        <v>615</v>
      </c>
      <c r="K42" s="431" t="s">
        <v>642</v>
      </c>
      <c r="L42" s="431" t="s">
        <v>943</v>
      </c>
      <c r="M42" s="432"/>
      <c r="N42" s="432" t="s">
        <v>635</v>
      </c>
      <c r="O42" s="439"/>
      <c r="P42" s="432"/>
      <c r="Q42" s="432"/>
      <c r="R42" s="432"/>
      <c r="S42" s="432"/>
    </row>
    <row r="43" spans="1:19" ht="151.80000000000001" hidden="1" x14ac:dyDescent="0.3">
      <c r="A43" s="425">
        <v>40</v>
      </c>
      <c r="B43" s="426">
        <v>46023</v>
      </c>
      <c r="C43" s="427" t="s">
        <v>415</v>
      </c>
      <c r="D43" s="428" t="s">
        <v>614</v>
      </c>
      <c r="E43" s="425" t="s">
        <v>677</v>
      </c>
      <c r="F43" s="429" t="s">
        <v>960</v>
      </c>
      <c r="G43" s="427" t="s">
        <v>937</v>
      </c>
      <c r="H43" s="433" t="s">
        <v>33</v>
      </c>
      <c r="I43" s="433" t="s">
        <v>420</v>
      </c>
      <c r="J43" s="433" t="s">
        <v>615</v>
      </c>
      <c r="K43" s="431" t="s">
        <v>642</v>
      </c>
      <c r="L43" s="407" t="s">
        <v>681</v>
      </c>
      <c r="M43" s="432"/>
      <c r="N43" s="432" t="s">
        <v>635</v>
      </c>
      <c r="O43" s="439"/>
      <c r="P43" s="432"/>
      <c r="Q43" s="432"/>
      <c r="R43" s="432"/>
      <c r="S43" s="432"/>
    </row>
    <row r="44" spans="1:19" ht="41.4" hidden="1" x14ac:dyDescent="0.3">
      <c r="A44" s="417">
        <v>41</v>
      </c>
      <c r="B44" s="415">
        <v>46023</v>
      </c>
      <c r="C44" s="416" t="s">
        <v>417</v>
      </c>
      <c r="D44" s="408" t="s">
        <v>680</v>
      </c>
      <c r="E44" s="417" t="s">
        <v>677</v>
      </c>
      <c r="F44" s="410" t="s">
        <v>961</v>
      </c>
      <c r="G44" s="416" t="s">
        <v>941</v>
      </c>
      <c r="H44" s="433" t="s">
        <v>34</v>
      </c>
      <c r="I44" s="433" t="s">
        <v>420</v>
      </c>
      <c r="J44" s="433" t="s">
        <v>615</v>
      </c>
      <c r="K44" s="431" t="s">
        <v>642</v>
      </c>
      <c r="L44" s="407" t="s">
        <v>681</v>
      </c>
      <c r="M44" s="432"/>
      <c r="N44" s="432" t="s">
        <v>635</v>
      </c>
      <c r="O44" s="439"/>
      <c r="P44" s="432"/>
      <c r="Q44" s="432"/>
      <c r="R44" s="432"/>
      <c r="S44" s="432"/>
    </row>
    <row r="45" spans="1:19" ht="41.4" hidden="1" x14ac:dyDescent="0.3">
      <c r="A45" s="417">
        <v>42</v>
      </c>
      <c r="B45" s="415">
        <v>46023</v>
      </c>
      <c r="C45" s="416" t="s">
        <v>417</v>
      </c>
      <c r="D45" s="408" t="s">
        <v>680</v>
      </c>
      <c r="E45" s="417" t="s">
        <v>677</v>
      </c>
      <c r="F45" s="410" t="s">
        <v>962</v>
      </c>
      <c r="G45" s="416" t="s">
        <v>941</v>
      </c>
      <c r="H45" s="433" t="s">
        <v>34</v>
      </c>
      <c r="I45" s="433" t="s">
        <v>420</v>
      </c>
      <c r="J45" s="433" t="s">
        <v>615</v>
      </c>
      <c r="K45" s="431" t="s">
        <v>642</v>
      </c>
      <c r="L45" s="407" t="s">
        <v>681</v>
      </c>
      <c r="M45" s="432"/>
      <c r="N45" s="432" t="s">
        <v>635</v>
      </c>
      <c r="O45" s="439"/>
      <c r="P45" s="432"/>
      <c r="Q45" s="432"/>
      <c r="R45" s="432"/>
      <c r="S45" s="432"/>
    </row>
    <row r="46" spans="1:19" ht="41.4" hidden="1" x14ac:dyDescent="0.3">
      <c r="A46" s="422">
        <v>43</v>
      </c>
      <c r="B46" s="423">
        <v>45627</v>
      </c>
      <c r="C46" s="424" t="s">
        <v>418</v>
      </c>
      <c r="D46" s="412" t="s">
        <v>614</v>
      </c>
      <c r="E46" s="412" t="s">
        <v>750</v>
      </c>
      <c r="F46" s="413" t="s">
        <v>751</v>
      </c>
      <c r="G46" s="424" t="s">
        <v>941</v>
      </c>
      <c r="H46" s="433" t="s">
        <v>33</v>
      </c>
      <c r="I46" s="433" t="s">
        <v>420</v>
      </c>
      <c r="J46" s="433" t="s">
        <v>615</v>
      </c>
      <c r="K46" s="431" t="s">
        <v>616</v>
      </c>
      <c r="L46" s="411" t="s">
        <v>649</v>
      </c>
      <c r="M46" s="432"/>
      <c r="N46" s="432" t="s">
        <v>635</v>
      </c>
      <c r="O46" s="439"/>
      <c r="P46" s="432"/>
      <c r="Q46" s="432"/>
      <c r="R46" s="432"/>
      <c r="S46" s="432"/>
    </row>
    <row r="47" spans="1:19" ht="41.4" hidden="1" x14ac:dyDescent="0.3">
      <c r="A47" s="422">
        <v>44</v>
      </c>
      <c r="B47" s="423">
        <v>45505</v>
      </c>
      <c r="C47" s="424" t="s">
        <v>418</v>
      </c>
      <c r="D47" s="412" t="s">
        <v>614</v>
      </c>
      <c r="E47" s="412" t="s">
        <v>687</v>
      </c>
      <c r="F47" s="413" t="s">
        <v>688</v>
      </c>
      <c r="G47" s="424" t="s">
        <v>941</v>
      </c>
      <c r="H47" s="433" t="s">
        <v>663</v>
      </c>
      <c r="I47" s="433" t="s">
        <v>420</v>
      </c>
      <c r="J47" s="433" t="s">
        <v>615</v>
      </c>
      <c r="K47" s="431" t="s">
        <v>616</v>
      </c>
      <c r="L47" s="411" t="s">
        <v>621</v>
      </c>
      <c r="M47" s="432"/>
      <c r="N47" s="432" t="s">
        <v>635</v>
      </c>
      <c r="O47" s="439"/>
      <c r="P47" s="432"/>
      <c r="Q47" s="432"/>
      <c r="R47" s="432"/>
      <c r="S47" s="432"/>
    </row>
    <row r="48" spans="1:19" ht="41.4" hidden="1" x14ac:dyDescent="0.3">
      <c r="A48" s="422">
        <v>45</v>
      </c>
      <c r="B48" s="423">
        <v>45689</v>
      </c>
      <c r="C48" s="424" t="s">
        <v>418</v>
      </c>
      <c r="D48" s="412" t="s">
        <v>614</v>
      </c>
      <c r="E48" s="412" t="s">
        <v>689</v>
      </c>
      <c r="F48" s="413" t="s">
        <v>690</v>
      </c>
      <c r="G48" s="424" t="s">
        <v>941</v>
      </c>
      <c r="H48" s="433" t="s">
        <v>663</v>
      </c>
      <c r="I48" s="433" t="s">
        <v>420</v>
      </c>
      <c r="J48" s="433" t="s">
        <v>615</v>
      </c>
      <c r="K48" s="431" t="s">
        <v>616</v>
      </c>
      <c r="L48" s="411" t="s">
        <v>621</v>
      </c>
      <c r="M48" s="432"/>
      <c r="N48" s="432" t="s">
        <v>635</v>
      </c>
      <c r="O48" s="439"/>
      <c r="P48" s="432"/>
      <c r="Q48" s="432"/>
      <c r="R48" s="432"/>
      <c r="S48" s="432"/>
    </row>
    <row r="49" spans="1:19" ht="41.4" hidden="1" x14ac:dyDescent="0.3">
      <c r="A49" s="422">
        <v>46</v>
      </c>
      <c r="B49" s="423">
        <v>45809</v>
      </c>
      <c r="C49" s="424" t="s">
        <v>418</v>
      </c>
      <c r="D49" s="412" t="s">
        <v>614</v>
      </c>
      <c r="E49" s="412" t="s">
        <v>691</v>
      </c>
      <c r="F49" s="413" t="s">
        <v>692</v>
      </c>
      <c r="G49" s="424" t="s">
        <v>941</v>
      </c>
      <c r="H49" s="433" t="s">
        <v>663</v>
      </c>
      <c r="I49" s="433" t="s">
        <v>420</v>
      </c>
      <c r="J49" s="433" t="s">
        <v>615</v>
      </c>
      <c r="K49" s="431" t="s">
        <v>616</v>
      </c>
      <c r="L49" s="411" t="s">
        <v>621</v>
      </c>
      <c r="M49" s="432"/>
      <c r="N49" s="432" t="s">
        <v>635</v>
      </c>
      <c r="O49" s="439"/>
      <c r="P49" s="432"/>
      <c r="Q49" s="432"/>
      <c r="R49" s="432"/>
      <c r="S49" s="432"/>
    </row>
    <row r="50" spans="1:19" ht="41.4" hidden="1" x14ac:dyDescent="0.3">
      <c r="A50" s="422">
        <v>47</v>
      </c>
      <c r="B50" s="423">
        <v>45809</v>
      </c>
      <c r="C50" s="424" t="s">
        <v>418</v>
      </c>
      <c r="D50" s="412" t="s">
        <v>614</v>
      </c>
      <c r="E50" s="412" t="s">
        <v>693</v>
      </c>
      <c r="F50" s="413" t="s">
        <v>694</v>
      </c>
      <c r="G50" s="424" t="s">
        <v>941</v>
      </c>
      <c r="H50" s="433" t="s">
        <v>663</v>
      </c>
      <c r="I50" s="433" t="s">
        <v>420</v>
      </c>
      <c r="J50" s="433" t="s">
        <v>615</v>
      </c>
      <c r="K50" s="431" t="s">
        <v>616</v>
      </c>
      <c r="L50" s="411" t="s">
        <v>621</v>
      </c>
      <c r="M50" s="432"/>
      <c r="N50" s="432" t="s">
        <v>635</v>
      </c>
      <c r="O50" s="439"/>
      <c r="P50" s="432"/>
      <c r="Q50" s="432"/>
      <c r="R50" s="432"/>
      <c r="S50" s="432"/>
    </row>
    <row r="51" spans="1:19" ht="41.4" hidden="1" x14ac:dyDescent="0.3">
      <c r="A51" s="422">
        <v>48</v>
      </c>
      <c r="B51" s="423">
        <v>45510.338622835603</v>
      </c>
      <c r="C51" s="424" t="s">
        <v>418</v>
      </c>
      <c r="D51" s="412" t="s">
        <v>614</v>
      </c>
      <c r="E51" s="412" t="s">
        <v>695</v>
      </c>
      <c r="F51" s="413" t="s">
        <v>696</v>
      </c>
      <c r="G51" s="424" t="s">
        <v>941</v>
      </c>
      <c r="H51" s="433" t="s">
        <v>663</v>
      </c>
      <c r="I51" s="433" t="s">
        <v>420</v>
      </c>
      <c r="J51" s="433" t="s">
        <v>615</v>
      </c>
      <c r="K51" s="431" t="s">
        <v>616</v>
      </c>
      <c r="L51" s="411" t="s">
        <v>621</v>
      </c>
      <c r="M51" s="432"/>
      <c r="N51" s="432" t="s">
        <v>635</v>
      </c>
      <c r="O51" s="439"/>
      <c r="P51" s="432"/>
      <c r="Q51" s="432"/>
      <c r="R51" s="432"/>
      <c r="S51" s="432"/>
    </row>
    <row r="52" spans="1:19" ht="41.4" hidden="1" x14ac:dyDescent="0.3">
      <c r="A52" s="422">
        <v>49</v>
      </c>
      <c r="B52" s="423">
        <v>45834.288228506899</v>
      </c>
      <c r="C52" s="424" t="s">
        <v>418</v>
      </c>
      <c r="D52" s="412" t="s">
        <v>614</v>
      </c>
      <c r="E52" s="412" t="s">
        <v>697</v>
      </c>
      <c r="F52" s="413" t="s">
        <v>698</v>
      </c>
      <c r="G52" s="424" t="s">
        <v>941</v>
      </c>
      <c r="H52" s="433" t="s">
        <v>663</v>
      </c>
      <c r="I52" s="433" t="s">
        <v>420</v>
      </c>
      <c r="J52" s="433" t="s">
        <v>615</v>
      </c>
      <c r="K52" s="431" t="s">
        <v>616</v>
      </c>
      <c r="L52" s="411" t="s">
        <v>621</v>
      </c>
      <c r="M52" s="432"/>
      <c r="N52" s="432" t="s">
        <v>635</v>
      </c>
      <c r="O52" s="439"/>
      <c r="P52" s="432"/>
      <c r="Q52" s="432"/>
      <c r="R52" s="432"/>
      <c r="S52" s="432"/>
    </row>
    <row r="53" spans="1:19" ht="41.4" hidden="1" x14ac:dyDescent="0.3">
      <c r="A53" s="422">
        <v>50</v>
      </c>
      <c r="B53" s="423">
        <v>45834.288753275498</v>
      </c>
      <c r="C53" s="424" t="s">
        <v>418</v>
      </c>
      <c r="D53" s="412" t="s">
        <v>614</v>
      </c>
      <c r="E53" s="412" t="s">
        <v>699</v>
      </c>
      <c r="F53" s="413" t="s">
        <v>700</v>
      </c>
      <c r="G53" s="424" t="s">
        <v>941</v>
      </c>
      <c r="H53" s="433" t="s">
        <v>663</v>
      </c>
      <c r="I53" s="433" t="s">
        <v>420</v>
      </c>
      <c r="J53" s="433" t="s">
        <v>615</v>
      </c>
      <c r="K53" s="431" t="s">
        <v>616</v>
      </c>
      <c r="L53" s="411" t="s">
        <v>621</v>
      </c>
      <c r="M53" s="432"/>
      <c r="N53" s="432" t="s">
        <v>635</v>
      </c>
      <c r="O53" s="439"/>
      <c r="P53" s="432"/>
      <c r="Q53" s="432"/>
      <c r="R53" s="432"/>
      <c r="S53" s="432"/>
    </row>
    <row r="54" spans="1:19" ht="41.4" hidden="1" x14ac:dyDescent="0.3">
      <c r="A54" s="422">
        <v>51</v>
      </c>
      <c r="B54" s="423">
        <v>45834.290244560201</v>
      </c>
      <c r="C54" s="424" t="s">
        <v>418</v>
      </c>
      <c r="D54" s="412" t="s">
        <v>614</v>
      </c>
      <c r="E54" s="412" t="s">
        <v>701</v>
      </c>
      <c r="F54" s="413" t="s">
        <v>702</v>
      </c>
      <c r="G54" s="424" t="s">
        <v>941</v>
      </c>
      <c r="H54" s="433" t="s">
        <v>663</v>
      </c>
      <c r="I54" s="433" t="s">
        <v>420</v>
      </c>
      <c r="J54" s="433" t="s">
        <v>615</v>
      </c>
      <c r="K54" s="431" t="s">
        <v>616</v>
      </c>
      <c r="L54" s="411" t="s">
        <v>621</v>
      </c>
      <c r="M54" s="432"/>
      <c r="N54" s="432" t="s">
        <v>635</v>
      </c>
      <c r="O54" s="439"/>
      <c r="P54" s="432"/>
      <c r="Q54" s="432"/>
      <c r="R54" s="432"/>
      <c r="S54" s="432"/>
    </row>
    <row r="55" spans="1:19" ht="41.4" hidden="1" x14ac:dyDescent="0.3">
      <c r="A55" s="422">
        <v>52</v>
      </c>
      <c r="B55" s="423">
        <v>45834.290768483799</v>
      </c>
      <c r="C55" s="424" t="s">
        <v>418</v>
      </c>
      <c r="D55" s="412" t="s">
        <v>614</v>
      </c>
      <c r="E55" s="412" t="s">
        <v>703</v>
      </c>
      <c r="F55" s="413" t="s">
        <v>704</v>
      </c>
      <c r="G55" s="424" t="s">
        <v>941</v>
      </c>
      <c r="H55" s="433" t="s">
        <v>663</v>
      </c>
      <c r="I55" s="433" t="s">
        <v>420</v>
      </c>
      <c r="J55" s="433" t="s">
        <v>615</v>
      </c>
      <c r="K55" s="431" t="s">
        <v>616</v>
      </c>
      <c r="L55" s="411" t="s">
        <v>621</v>
      </c>
      <c r="M55" s="432"/>
      <c r="N55" s="432" t="s">
        <v>635</v>
      </c>
      <c r="O55" s="439"/>
      <c r="P55" s="432"/>
      <c r="Q55" s="432"/>
      <c r="R55" s="432"/>
      <c r="S55" s="432"/>
    </row>
    <row r="56" spans="1:19" ht="41.4" hidden="1" x14ac:dyDescent="0.3">
      <c r="A56" s="422">
        <v>53</v>
      </c>
      <c r="B56" s="423">
        <v>45834.293643402802</v>
      </c>
      <c r="C56" s="424" t="s">
        <v>418</v>
      </c>
      <c r="D56" s="412" t="s">
        <v>614</v>
      </c>
      <c r="E56" s="412" t="s">
        <v>705</v>
      </c>
      <c r="F56" s="413" t="s">
        <v>706</v>
      </c>
      <c r="G56" s="424" t="s">
        <v>941</v>
      </c>
      <c r="H56" s="433" t="s">
        <v>663</v>
      </c>
      <c r="I56" s="433" t="s">
        <v>420</v>
      </c>
      <c r="J56" s="433" t="s">
        <v>615</v>
      </c>
      <c r="K56" s="431" t="s">
        <v>616</v>
      </c>
      <c r="L56" s="411" t="s">
        <v>621</v>
      </c>
      <c r="M56" s="432"/>
      <c r="N56" s="432" t="s">
        <v>635</v>
      </c>
      <c r="O56" s="439"/>
      <c r="P56" s="432"/>
      <c r="Q56" s="432"/>
      <c r="R56" s="432"/>
      <c r="S56" s="432"/>
    </row>
    <row r="57" spans="1:19" ht="72" hidden="1" x14ac:dyDescent="0.3">
      <c r="A57" s="438">
        <v>54</v>
      </c>
      <c r="B57" s="445">
        <v>45748</v>
      </c>
      <c r="C57" s="435" t="s">
        <v>417</v>
      </c>
      <c r="D57" s="435" t="s">
        <v>674</v>
      </c>
      <c r="E57" s="436" t="s">
        <v>677</v>
      </c>
      <c r="F57" s="437" t="s">
        <v>684</v>
      </c>
      <c r="G57" s="435" t="s">
        <v>941</v>
      </c>
      <c r="H57" s="446" t="s">
        <v>33</v>
      </c>
      <c r="I57" s="446" t="s">
        <v>420</v>
      </c>
      <c r="J57" s="446" t="s">
        <v>615</v>
      </c>
      <c r="K57" s="447" t="s">
        <v>391</v>
      </c>
      <c r="L57" s="448" t="s">
        <v>621</v>
      </c>
      <c r="M57" s="449"/>
      <c r="N57" s="442" t="s">
        <v>635</v>
      </c>
    </row>
    <row r="58" spans="1:19" ht="72" hidden="1" x14ac:dyDescent="0.3">
      <c r="A58" s="438">
        <v>55</v>
      </c>
      <c r="B58" s="445">
        <v>45748</v>
      </c>
      <c r="C58" s="435" t="s">
        <v>417</v>
      </c>
      <c r="D58" s="435" t="s">
        <v>674</v>
      </c>
      <c r="E58" s="436" t="s">
        <v>677</v>
      </c>
      <c r="F58" s="437" t="s">
        <v>685</v>
      </c>
      <c r="G58" s="435" t="s">
        <v>941</v>
      </c>
      <c r="H58" s="446" t="s">
        <v>33</v>
      </c>
      <c r="I58" s="446" t="s">
        <v>420</v>
      </c>
      <c r="J58" s="446" t="s">
        <v>615</v>
      </c>
      <c r="K58" s="447" t="s">
        <v>391</v>
      </c>
      <c r="L58" s="448" t="s">
        <v>621</v>
      </c>
      <c r="M58" s="449"/>
      <c r="N58" s="442" t="s">
        <v>635</v>
      </c>
    </row>
    <row r="59" spans="1:19" ht="72" hidden="1" x14ac:dyDescent="0.3">
      <c r="A59" s="438">
        <v>56</v>
      </c>
      <c r="B59" s="445">
        <v>45748</v>
      </c>
      <c r="C59" s="435" t="s">
        <v>417</v>
      </c>
      <c r="D59" s="435" t="s">
        <v>674</v>
      </c>
      <c r="E59" s="436" t="s">
        <v>677</v>
      </c>
      <c r="F59" s="437" t="s">
        <v>686</v>
      </c>
      <c r="G59" s="435" t="s">
        <v>941</v>
      </c>
      <c r="H59" s="446" t="s">
        <v>33</v>
      </c>
      <c r="I59" s="446" t="s">
        <v>420</v>
      </c>
      <c r="J59" s="446" t="s">
        <v>615</v>
      </c>
      <c r="K59" s="447" t="s">
        <v>391</v>
      </c>
      <c r="L59" s="448" t="s">
        <v>621</v>
      </c>
      <c r="M59" s="449"/>
      <c r="N59" s="442" t="s">
        <v>635</v>
      </c>
    </row>
    <row r="60" spans="1:19" ht="41.4" hidden="1" x14ac:dyDescent="0.3">
      <c r="A60" s="425">
        <v>57</v>
      </c>
      <c r="B60" s="426">
        <v>45809</v>
      </c>
      <c r="C60" s="427" t="s">
        <v>417</v>
      </c>
      <c r="D60" s="428" t="s">
        <v>639</v>
      </c>
      <c r="E60" s="425" t="s">
        <v>963</v>
      </c>
      <c r="F60" s="429" t="s">
        <v>964</v>
      </c>
      <c r="G60" s="427" t="s">
        <v>941</v>
      </c>
      <c r="H60" s="433" t="s">
        <v>641</v>
      </c>
      <c r="I60" s="433" t="s">
        <v>420</v>
      </c>
      <c r="J60" s="433" t="s">
        <v>615</v>
      </c>
      <c r="K60" s="431" t="s">
        <v>642</v>
      </c>
      <c r="L60" s="407" t="s">
        <v>659</v>
      </c>
      <c r="M60" s="432"/>
      <c r="N60" s="432" t="s">
        <v>635</v>
      </c>
      <c r="O60" s="439"/>
      <c r="P60" s="432"/>
      <c r="Q60" s="432"/>
      <c r="R60" s="432"/>
      <c r="S60" s="432"/>
    </row>
    <row r="61" spans="1:19" ht="41.4" hidden="1" x14ac:dyDescent="0.3">
      <c r="A61" s="425">
        <v>58</v>
      </c>
      <c r="B61" s="426">
        <v>45809</v>
      </c>
      <c r="C61" s="427" t="s">
        <v>417</v>
      </c>
      <c r="D61" s="428" t="s">
        <v>639</v>
      </c>
      <c r="E61" s="425" t="s">
        <v>965</v>
      </c>
      <c r="F61" s="429" t="s">
        <v>966</v>
      </c>
      <c r="G61" s="427" t="s">
        <v>941</v>
      </c>
      <c r="H61" s="433" t="s">
        <v>641</v>
      </c>
      <c r="I61" s="433" t="s">
        <v>420</v>
      </c>
      <c r="J61" s="433" t="s">
        <v>615</v>
      </c>
      <c r="K61" s="431" t="s">
        <v>642</v>
      </c>
      <c r="L61" s="407" t="s">
        <v>659</v>
      </c>
      <c r="M61" s="432"/>
      <c r="N61" s="432" t="s">
        <v>635</v>
      </c>
      <c r="O61" s="478"/>
      <c r="P61" s="479"/>
      <c r="Q61" s="479"/>
      <c r="R61" s="479"/>
      <c r="S61" s="479"/>
    </row>
    <row r="62" spans="1:19" ht="28.8" hidden="1" x14ac:dyDescent="0.3">
      <c r="A62" s="425">
        <v>59</v>
      </c>
      <c r="B62" s="426">
        <v>45992</v>
      </c>
      <c r="C62" s="283" t="s">
        <v>417</v>
      </c>
      <c r="D62" s="276" t="s">
        <v>674</v>
      </c>
      <c r="E62" s="284" t="s">
        <v>677</v>
      </c>
      <c r="F62" s="285" t="s">
        <v>967</v>
      </c>
      <c r="G62" s="283" t="s">
        <v>937</v>
      </c>
      <c r="H62" s="276" t="s">
        <v>33</v>
      </c>
      <c r="I62" s="276" t="s">
        <v>420</v>
      </c>
      <c r="J62" s="276" t="s">
        <v>653</v>
      </c>
      <c r="K62" s="277" t="s">
        <v>391</v>
      </c>
      <c r="L62" s="430" t="s">
        <v>621</v>
      </c>
      <c r="N62" s="477" t="s">
        <v>635</v>
      </c>
      <c r="O62" s="192"/>
      <c r="P62" s="192"/>
      <c r="Q62" s="192"/>
      <c r="R62" s="192"/>
      <c r="S62" s="192"/>
    </row>
    <row r="63" spans="1:19" ht="55.2" x14ac:dyDescent="0.3">
      <c r="A63" s="418">
        <v>60</v>
      </c>
      <c r="B63" s="375">
        <v>45505</v>
      </c>
      <c r="C63" s="376" t="s">
        <v>417</v>
      </c>
      <c r="D63" s="376" t="s">
        <v>46</v>
      </c>
      <c r="E63" s="377" t="s">
        <v>762</v>
      </c>
      <c r="F63" s="378" t="s">
        <v>968</v>
      </c>
      <c r="G63" s="377" t="s">
        <v>941</v>
      </c>
      <c r="H63" s="276" t="s">
        <v>35</v>
      </c>
      <c r="I63" s="433" t="s">
        <v>421</v>
      </c>
      <c r="J63" s="433" t="s">
        <v>615</v>
      </c>
      <c r="K63" s="291" t="s">
        <v>642</v>
      </c>
      <c r="L63" s="192"/>
      <c r="N63" s="404" t="s">
        <v>672</v>
      </c>
      <c r="O63" s="192"/>
      <c r="P63" s="192"/>
      <c r="Q63" s="192"/>
      <c r="R63" s="192"/>
      <c r="S63" s="192"/>
    </row>
    <row r="64" spans="1:19" ht="28.8" x14ac:dyDescent="0.3">
      <c r="A64" s="418">
        <v>61</v>
      </c>
      <c r="B64" s="375">
        <v>45870</v>
      </c>
      <c r="C64" s="376" t="s">
        <v>417</v>
      </c>
      <c r="D64" s="376" t="s">
        <v>46</v>
      </c>
      <c r="E64" s="377" t="s">
        <v>765</v>
      </c>
      <c r="F64" s="378" t="s">
        <v>764</v>
      </c>
      <c r="G64" s="377" t="s">
        <v>937</v>
      </c>
      <c r="H64" s="276" t="s">
        <v>35</v>
      </c>
      <c r="I64" s="433" t="s">
        <v>421</v>
      </c>
      <c r="J64" s="433" t="s">
        <v>615</v>
      </c>
      <c r="K64" s="291" t="s">
        <v>642</v>
      </c>
      <c r="L64" s="192"/>
      <c r="N64" s="404" t="s">
        <v>635</v>
      </c>
      <c r="O64" s="192"/>
      <c r="P64" s="192"/>
      <c r="Q64" s="192"/>
      <c r="R64" s="192"/>
      <c r="S64" s="192"/>
    </row>
    <row r="65" spans="1:19" ht="57.6" x14ac:dyDescent="0.3">
      <c r="A65" s="418">
        <v>62</v>
      </c>
      <c r="B65" s="375">
        <v>45962</v>
      </c>
      <c r="C65" s="376" t="s">
        <v>417</v>
      </c>
      <c r="D65" s="376" t="s">
        <v>46</v>
      </c>
      <c r="E65" s="377" t="s">
        <v>768</v>
      </c>
      <c r="F65" s="378" t="s">
        <v>969</v>
      </c>
      <c r="G65" s="377" t="s">
        <v>937</v>
      </c>
      <c r="H65" s="276" t="s">
        <v>35</v>
      </c>
      <c r="I65" s="433" t="s">
        <v>421</v>
      </c>
      <c r="J65" s="433" t="s">
        <v>615</v>
      </c>
      <c r="K65" s="291" t="s">
        <v>642</v>
      </c>
      <c r="L65" s="192"/>
      <c r="N65" s="404" t="s">
        <v>672</v>
      </c>
      <c r="O65" s="192"/>
      <c r="P65" s="192"/>
      <c r="Q65" s="192"/>
      <c r="R65" s="192"/>
      <c r="S65" s="192"/>
    </row>
    <row r="66" spans="1:19" ht="43.2" x14ac:dyDescent="0.3">
      <c r="A66" s="418">
        <v>63</v>
      </c>
      <c r="B66" s="375">
        <v>45931</v>
      </c>
      <c r="C66" s="376" t="s">
        <v>418</v>
      </c>
      <c r="D66" s="376" t="s">
        <v>46</v>
      </c>
      <c r="E66" s="377" t="s">
        <v>821</v>
      </c>
      <c r="F66" s="378" t="s">
        <v>822</v>
      </c>
      <c r="G66" s="377" t="s">
        <v>937</v>
      </c>
      <c r="H66" s="276" t="s">
        <v>35</v>
      </c>
      <c r="I66" s="433" t="s">
        <v>421</v>
      </c>
      <c r="J66" s="433" t="s">
        <v>615</v>
      </c>
      <c r="K66" s="291" t="s">
        <v>642</v>
      </c>
      <c r="L66" s="192"/>
      <c r="N66" s="404" t="s">
        <v>635</v>
      </c>
      <c r="O66" s="192"/>
      <c r="P66" s="192"/>
      <c r="Q66" s="192"/>
      <c r="R66" s="192"/>
      <c r="S66" s="192"/>
    </row>
    <row r="67" spans="1:19" ht="28.8" x14ac:dyDescent="0.3">
      <c r="A67" s="418">
        <v>64</v>
      </c>
      <c r="B67" s="375">
        <v>45870</v>
      </c>
      <c r="C67" s="376" t="s">
        <v>417</v>
      </c>
      <c r="D67" s="376" t="s">
        <v>46</v>
      </c>
      <c r="E67" s="377" t="s">
        <v>970</v>
      </c>
      <c r="F67" s="481" t="s">
        <v>971</v>
      </c>
      <c r="G67" s="377" t="s">
        <v>937</v>
      </c>
      <c r="H67" s="276" t="s">
        <v>35</v>
      </c>
      <c r="I67" s="433" t="s">
        <v>421</v>
      </c>
      <c r="J67" s="433" t="s">
        <v>615</v>
      </c>
      <c r="K67" s="291" t="s">
        <v>642</v>
      </c>
      <c r="L67" s="192"/>
      <c r="N67" s="404" t="s">
        <v>635</v>
      </c>
      <c r="O67" s="192"/>
      <c r="P67" s="192"/>
      <c r="Q67" s="192"/>
      <c r="R67" s="192"/>
      <c r="S67" s="192"/>
    </row>
    <row r="68" spans="1:19" ht="69" x14ac:dyDescent="0.3">
      <c r="A68" s="386">
        <v>65</v>
      </c>
      <c r="B68" s="482">
        <v>45839</v>
      </c>
      <c r="C68" s="386" t="s">
        <v>415</v>
      </c>
      <c r="D68" s="386" t="s">
        <v>639</v>
      </c>
      <c r="E68" s="386" t="s">
        <v>771</v>
      </c>
      <c r="F68" s="387" t="s">
        <v>772</v>
      </c>
      <c r="G68" s="386" t="s">
        <v>941</v>
      </c>
      <c r="H68" s="276" t="s">
        <v>35</v>
      </c>
      <c r="I68" s="433" t="s">
        <v>421</v>
      </c>
      <c r="J68" s="433" t="s">
        <v>615</v>
      </c>
      <c r="K68" s="291" t="s">
        <v>642</v>
      </c>
      <c r="L68" s="192"/>
      <c r="N68" s="404" t="s">
        <v>671</v>
      </c>
      <c r="O68" s="192"/>
      <c r="P68" s="192"/>
      <c r="Q68" s="192"/>
      <c r="R68" s="192"/>
      <c r="S68" s="192"/>
    </row>
    <row r="69" spans="1:19" ht="43.2" x14ac:dyDescent="0.3">
      <c r="A69" s="422">
        <v>66</v>
      </c>
      <c r="B69" s="286">
        <v>45698</v>
      </c>
      <c r="C69" s="279" t="s">
        <v>418</v>
      </c>
      <c r="D69" s="279" t="s">
        <v>614</v>
      </c>
      <c r="E69" s="278" t="s">
        <v>774</v>
      </c>
      <c r="F69" s="280" t="s">
        <v>775</v>
      </c>
      <c r="G69" s="371" t="s">
        <v>941</v>
      </c>
      <c r="H69" s="276" t="s">
        <v>35</v>
      </c>
      <c r="I69" s="433" t="s">
        <v>421</v>
      </c>
      <c r="J69" s="433" t="s">
        <v>615</v>
      </c>
      <c r="K69" s="291" t="s">
        <v>616</v>
      </c>
      <c r="L69" s="192"/>
      <c r="N69" s="404" t="s">
        <v>667</v>
      </c>
      <c r="O69" s="192"/>
      <c r="P69" s="192"/>
      <c r="Q69" s="192"/>
      <c r="R69" s="192"/>
      <c r="S69" s="192"/>
    </row>
    <row r="70" spans="1:19" ht="43.2" x14ac:dyDescent="0.3">
      <c r="A70" s="422">
        <v>67</v>
      </c>
      <c r="B70" s="286">
        <v>45698</v>
      </c>
      <c r="C70" s="279" t="s">
        <v>417</v>
      </c>
      <c r="D70" s="279" t="s">
        <v>614</v>
      </c>
      <c r="E70" s="278" t="s">
        <v>760</v>
      </c>
      <c r="F70" s="280" t="s">
        <v>761</v>
      </c>
      <c r="G70" s="371" t="s">
        <v>941</v>
      </c>
      <c r="H70" s="276" t="s">
        <v>35</v>
      </c>
      <c r="I70" s="433" t="s">
        <v>421</v>
      </c>
      <c r="J70" s="433" t="s">
        <v>615</v>
      </c>
      <c r="K70" s="291" t="s">
        <v>616</v>
      </c>
      <c r="L70" s="192"/>
      <c r="N70" s="404" t="s">
        <v>667</v>
      </c>
      <c r="O70" s="192"/>
      <c r="P70" s="192"/>
      <c r="Q70" s="192"/>
      <c r="R70" s="192"/>
      <c r="S70" s="192"/>
    </row>
    <row r="71" spans="1:19" ht="43.2" x14ac:dyDescent="0.3">
      <c r="A71" s="422">
        <v>68</v>
      </c>
      <c r="B71" s="286">
        <v>45698</v>
      </c>
      <c r="C71" s="279" t="s">
        <v>417</v>
      </c>
      <c r="D71" s="279" t="s">
        <v>614</v>
      </c>
      <c r="E71" s="278" t="s">
        <v>776</v>
      </c>
      <c r="F71" s="280" t="s">
        <v>777</v>
      </c>
      <c r="G71" s="371" t="s">
        <v>941</v>
      </c>
      <c r="H71" s="276" t="s">
        <v>35</v>
      </c>
      <c r="I71" s="433" t="s">
        <v>421</v>
      </c>
      <c r="J71" s="433" t="s">
        <v>615</v>
      </c>
      <c r="K71" s="291" t="s">
        <v>616</v>
      </c>
      <c r="L71" s="192"/>
      <c r="N71" s="404" t="s">
        <v>667</v>
      </c>
      <c r="O71" s="192"/>
      <c r="P71" s="192"/>
      <c r="Q71" s="192"/>
      <c r="R71" s="192"/>
      <c r="S71" s="192"/>
    </row>
    <row r="72" spans="1:19" ht="43.2" x14ac:dyDescent="0.3">
      <c r="A72" s="422">
        <v>69</v>
      </c>
      <c r="B72" s="286">
        <v>45536</v>
      </c>
      <c r="C72" s="279" t="s">
        <v>417</v>
      </c>
      <c r="D72" s="279" t="s">
        <v>614</v>
      </c>
      <c r="E72" s="278" t="s">
        <v>778</v>
      </c>
      <c r="F72" s="280" t="s">
        <v>779</v>
      </c>
      <c r="G72" s="371" t="s">
        <v>941</v>
      </c>
      <c r="H72" s="276" t="s">
        <v>35</v>
      </c>
      <c r="I72" s="433" t="s">
        <v>421</v>
      </c>
      <c r="J72" s="433" t="s">
        <v>615</v>
      </c>
      <c r="K72" s="291" t="s">
        <v>616</v>
      </c>
      <c r="L72" s="192"/>
      <c r="N72" s="404" t="s">
        <v>667</v>
      </c>
      <c r="O72" s="192"/>
      <c r="P72" s="192"/>
      <c r="Q72" s="192"/>
      <c r="R72" s="192"/>
      <c r="S72" s="192"/>
    </row>
    <row r="73" spans="1:19" ht="43.2" x14ac:dyDescent="0.3">
      <c r="A73" s="422">
        <v>70</v>
      </c>
      <c r="B73" s="286">
        <v>45536</v>
      </c>
      <c r="C73" s="279" t="s">
        <v>417</v>
      </c>
      <c r="D73" s="279" t="s">
        <v>614</v>
      </c>
      <c r="E73" s="278" t="s">
        <v>780</v>
      </c>
      <c r="F73" s="280" t="s">
        <v>781</v>
      </c>
      <c r="G73" s="371" t="s">
        <v>941</v>
      </c>
      <c r="H73" s="276" t="s">
        <v>35</v>
      </c>
      <c r="I73" s="433" t="s">
        <v>421</v>
      </c>
      <c r="J73" s="433" t="s">
        <v>615</v>
      </c>
      <c r="K73" s="291" t="s">
        <v>616</v>
      </c>
      <c r="L73" s="192"/>
      <c r="N73" s="404" t="s">
        <v>667</v>
      </c>
      <c r="O73" s="192"/>
      <c r="P73" s="192"/>
      <c r="Q73" s="192"/>
      <c r="R73" s="192"/>
      <c r="S73" s="192"/>
    </row>
    <row r="74" spans="1:19" ht="43.2" x14ac:dyDescent="0.3">
      <c r="A74" s="422">
        <v>71</v>
      </c>
      <c r="B74" s="286">
        <v>45536</v>
      </c>
      <c r="C74" s="279" t="s">
        <v>417</v>
      </c>
      <c r="D74" s="279" t="s">
        <v>614</v>
      </c>
      <c r="E74" s="278" t="s">
        <v>782</v>
      </c>
      <c r="F74" s="280" t="s">
        <v>783</v>
      </c>
      <c r="G74" s="371" t="s">
        <v>941</v>
      </c>
      <c r="H74" s="276" t="s">
        <v>35</v>
      </c>
      <c r="I74" s="433" t="s">
        <v>421</v>
      </c>
      <c r="J74" s="433" t="s">
        <v>615</v>
      </c>
      <c r="K74" s="291" t="s">
        <v>616</v>
      </c>
      <c r="L74" s="192"/>
      <c r="N74" s="404" t="s">
        <v>667</v>
      </c>
      <c r="O74" s="192"/>
      <c r="P74" s="192"/>
      <c r="Q74" s="192"/>
      <c r="R74" s="192"/>
      <c r="S74" s="192"/>
    </row>
    <row r="75" spans="1:19" ht="43.5" customHeight="1" x14ac:dyDescent="0.3">
      <c r="A75" s="418">
        <v>72</v>
      </c>
      <c r="B75" s="375">
        <v>45627</v>
      </c>
      <c r="C75" s="376" t="s">
        <v>418</v>
      </c>
      <c r="D75" s="376" t="s">
        <v>46</v>
      </c>
      <c r="E75" s="377" t="s">
        <v>791</v>
      </c>
      <c r="F75" s="378" t="s">
        <v>792</v>
      </c>
      <c r="G75" s="377" t="s">
        <v>941</v>
      </c>
      <c r="H75" s="276" t="s">
        <v>35</v>
      </c>
      <c r="I75" s="433" t="s">
        <v>421</v>
      </c>
      <c r="J75" s="433" t="s">
        <v>615</v>
      </c>
      <c r="K75" s="291" t="s">
        <v>642</v>
      </c>
      <c r="L75" s="192"/>
      <c r="N75" s="404" t="s">
        <v>667</v>
      </c>
      <c r="O75" s="192"/>
      <c r="P75" s="192"/>
      <c r="Q75" s="192"/>
      <c r="R75" s="192"/>
      <c r="S75" s="192"/>
    </row>
    <row r="76" spans="1:19" ht="86.4" x14ac:dyDescent="0.3">
      <c r="A76" s="418">
        <v>73</v>
      </c>
      <c r="B76" s="375">
        <v>45748</v>
      </c>
      <c r="C76" s="376" t="s">
        <v>418</v>
      </c>
      <c r="D76" s="376" t="s">
        <v>46</v>
      </c>
      <c r="E76" s="377" t="s">
        <v>793</v>
      </c>
      <c r="F76" s="378" t="s">
        <v>794</v>
      </c>
      <c r="G76" s="377" t="s">
        <v>941</v>
      </c>
      <c r="H76" s="276" t="s">
        <v>35</v>
      </c>
      <c r="I76" s="433" t="s">
        <v>421</v>
      </c>
      <c r="J76" s="433" t="s">
        <v>615</v>
      </c>
      <c r="K76" s="291" t="s">
        <v>642</v>
      </c>
      <c r="L76" s="192"/>
      <c r="N76" s="404" t="s">
        <v>667</v>
      </c>
      <c r="O76" s="192"/>
      <c r="P76" s="192"/>
      <c r="Q76" s="192"/>
      <c r="R76" s="192"/>
      <c r="S76" s="192"/>
    </row>
    <row r="77" spans="1:19" ht="43.2" x14ac:dyDescent="0.3">
      <c r="A77" s="422">
        <v>74</v>
      </c>
      <c r="B77" s="286">
        <v>45627</v>
      </c>
      <c r="C77" s="382" t="s">
        <v>417</v>
      </c>
      <c r="D77" s="382" t="s">
        <v>46</v>
      </c>
      <c r="E77" s="383" t="s">
        <v>773</v>
      </c>
      <c r="F77" s="384" t="s">
        <v>795</v>
      </c>
      <c r="G77" s="371" t="s">
        <v>941</v>
      </c>
      <c r="H77" s="276" t="s">
        <v>35</v>
      </c>
      <c r="I77" s="433" t="s">
        <v>421</v>
      </c>
      <c r="J77" s="433" t="s">
        <v>615</v>
      </c>
      <c r="K77" s="291" t="s">
        <v>616</v>
      </c>
      <c r="L77" s="192"/>
      <c r="N77" s="404" t="s">
        <v>667</v>
      </c>
      <c r="O77" s="192"/>
      <c r="P77" s="192"/>
      <c r="Q77" s="192"/>
      <c r="R77" s="192"/>
      <c r="S77" s="192"/>
    </row>
    <row r="78" spans="1:19" ht="43.2" x14ac:dyDescent="0.3">
      <c r="A78" s="422">
        <v>75</v>
      </c>
      <c r="B78" s="286">
        <v>45627</v>
      </c>
      <c r="C78" s="279" t="s">
        <v>417</v>
      </c>
      <c r="D78" s="382" t="s">
        <v>614</v>
      </c>
      <c r="E78" s="278" t="s">
        <v>796</v>
      </c>
      <c r="F78" s="280" t="s">
        <v>797</v>
      </c>
      <c r="G78" s="371" t="s">
        <v>941</v>
      </c>
      <c r="H78" s="276" t="s">
        <v>35</v>
      </c>
      <c r="I78" s="433" t="s">
        <v>421</v>
      </c>
      <c r="J78" s="433" t="s">
        <v>615</v>
      </c>
      <c r="K78" s="291" t="s">
        <v>616</v>
      </c>
      <c r="L78" s="192"/>
      <c r="N78" s="404" t="s">
        <v>667</v>
      </c>
      <c r="O78" s="192"/>
      <c r="P78" s="192"/>
      <c r="Q78" s="192"/>
      <c r="R78" s="192"/>
      <c r="S78" s="192"/>
    </row>
    <row r="79" spans="1:19" ht="57.6" x14ac:dyDescent="0.3">
      <c r="A79" s="422">
        <v>76</v>
      </c>
      <c r="B79" s="286">
        <v>45536</v>
      </c>
      <c r="C79" s="279" t="s">
        <v>417</v>
      </c>
      <c r="D79" s="279" t="s">
        <v>614</v>
      </c>
      <c r="E79" s="278" t="s">
        <v>773</v>
      </c>
      <c r="F79" s="280" t="s">
        <v>799</v>
      </c>
      <c r="G79" s="371" t="s">
        <v>941</v>
      </c>
      <c r="H79" s="276" t="s">
        <v>35</v>
      </c>
      <c r="I79" s="433" t="s">
        <v>421</v>
      </c>
      <c r="J79" s="433" t="s">
        <v>615</v>
      </c>
      <c r="K79" s="291" t="s">
        <v>616</v>
      </c>
      <c r="L79" s="192"/>
      <c r="N79" s="404" t="s">
        <v>672</v>
      </c>
      <c r="O79" s="192"/>
      <c r="P79" s="192"/>
      <c r="Q79" s="192"/>
      <c r="R79" s="192"/>
      <c r="S79" s="192"/>
    </row>
    <row r="80" spans="1:19" ht="43.2" x14ac:dyDescent="0.3">
      <c r="A80" s="422">
        <v>77</v>
      </c>
      <c r="B80" s="373">
        <v>45536</v>
      </c>
      <c r="C80" s="370" t="s">
        <v>417</v>
      </c>
      <c r="D80" s="279" t="s">
        <v>614</v>
      </c>
      <c r="E80" s="371" t="s">
        <v>798</v>
      </c>
      <c r="F80" s="372" t="s">
        <v>812</v>
      </c>
      <c r="G80" s="371" t="s">
        <v>941</v>
      </c>
      <c r="H80" s="276" t="s">
        <v>35</v>
      </c>
      <c r="I80" s="433" t="s">
        <v>421</v>
      </c>
      <c r="J80" s="433" t="s">
        <v>615</v>
      </c>
      <c r="K80" s="291" t="s">
        <v>616</v>
      </c>
      <c r="L80" s="192"/>
      <c r="N80" s="404" t="s">
        <v>667</v>
      </c>
      <c r="O80" s="192"/>
      <c r="P80" s="192"/>
      <c r="Q80" s="192"/>
      <c r="R80" s="192"/>
      <c r="S80" s="192"/>
    </row>
    <row r="81" spans="1:16280" ht="43.2" x14ac:dyDescent="0.3">
      <c r="A81" s="422">
        <v>78</v>
      </c>
      <c r="B81" s="373">
        <v>45536</v>
      </c>
      <c r="C81" s="370" t="s">
        <v>417</v>
      </c>
      <c r="D81" s="279" t="s">
        <v>614</v>
      </c>
      <c r="E81" s="371" t="s">
        <v>813</v>
      </c>
      <c r="F81" s="372" t="s">
        <v>814</v>
      </c>
      <c r="G81" s="371" t="s">
        <v>941</v>
      </c>
      <c r="H81" s="276" t="s">
        <v>35</v>
      </c>
      <c r="I81" s="433" t="s">
        <v>421</v>
      </c>
      <c r="J81" s="433" t="s">
        <v>615</v>
      </c>
      <c r="K81" s="291" t="s">
        <v>616</v>
      </c>
      <c r="L81" s="192"/>
      <c r="N81" s="404" t="s">
        <v>667</v>
      </c>
      <c r="O81" s="192"/>
      <c r="P81" s="192"/>
      <c r="Q81" s="192"/>
      <c r="R81" s="192"/>
      <c r="S81" s="192"/>
    </row>
    <row r="82" spans="1:16280" ht="28.8" x14ac:dyDescent="0.3">
      <c r="A82" s="212">
        <v>79</v>
      </c>
      <c r="B82" s="212"/>
      <c r="C82" s="212" t="s">
        <v>415</v>
      </c>
      <c r="D82" s="212" t="s">
        <v>639</v>
      </c>
      <c r="E82" s="212" t="s">
        <v>677</v>
      </c>
      <c r="F82" s="489" t="s">
        <v>972</v>
      </c>
      <c r="G82" s="212" t="s">
        <v>941</v>
      </c>
      <c r="H82" s="276" t="s">
        <v>35</v>
      </c>
      <c r="I82" s="276" t="s">
        <v>414</v>
      </c>
      <c r="J82" s="276" t="s">
        <v>884</v>
      </c>
      <c r="K82" s="277" t="s">
        <v>642</v>
      </c>
      <c r="L82" s="332"/>
      <c r="M82" s="277"/>
      <c r="N82" s="374" t="s">
        <v>635</v>
      </c>
      <c r="O82" s="281"/>
      <c r="P82" s="277" t="s">
        <v>757</v>
      </c>
      <c r="Q82" s="192"/>
      <c r="R82" s="192"/>
      <c r="S82" s="192"/>
      <c r="T82" s="190"/>
      <c r="U82" s="190"/>
      <c r="V82" s="190"/>
      <c r="W82" s="190"/>
      <c r="X82" s="190"/>
      <c r="Y82" s="190"/>
      <c r="Z82" s="190"/>
      <c r="AA82" s="190"/>
      <c r="AB82" s="190"/>
      <c r="AC82" s="798"/>
      <c r="AD82" s="798"/>
      <c r="AE82" s="798"/>
      <c r="AF82" s="798"/>
      <c r="AG82" s="798"/>
      <c r="AH82" s="798"/>
      <c r="AI82" s="798"/>
      <c r="AJ82" s="798"/>
      <c r="AK82" s="798"/>
      <c r="AL82" s="798"/>
      <c r="AM82" s="798"/>
      <c r="AN82" s="798"/>
      <c r="AO82" s="798"/>
      <c r="AP82" s="798"/>
      <c r="AQ82" s="798"/>
      <c r="AR82" s="798"/>
      <c r="AS82" s="798"/>
      <c r="AT82" s="798"/>
      <c r="AU82" s="798"/>
      <c r="AV82" s="798"/>
      <c r="AW82" s="798"/>
      <c r="AX82" s="798"/>
      <c r="AY82" s="798"/>
      <c r="AZ82" s="798"/>
      <c r="BA82" s="798"/>
      <c r="BB82" s="798"/>
      <c r="BC82" s="798"/>
      <c r="BD82" s="798"/>
      <c r="BE82" s="798"/>
      <c r="BF82" s="798"/>
      <c r="BG82" s="798"/>
      <c r="BH82" s="798"/>
      <c r="BI82" s="798"/>
      <c r="BJ82" s="798"/>
      <c r="BK82" s="798"/>
      <c r="BL82" s="798"/>
      <c r="BM82" s="798"/>
      <c r="BN82" s="798"/>
      <c r="BO82" s="798"/>
      <c r="BP82" s="798"/>
      <c r="BQ82" s="798"/>
      <c r="BR82" s="798"/>
      <c r="BS82" s="798"/>
      <c r="BT82" s="798"/>
      <c r="BU82" s="798"/>
      <c r="BV82" s="798"/>
      <c r="BW82" s="798"/>
      <c r="BX82" s="798"/>
      <c r="BY82" s="798"/>
      <c r="BZ82" s="798"/>
      <c r="CA82" s="798"/>
      <c r="CB82" s="798"/>
      <c r="CC82" s="798"/>
      <c r="CD82" s="798"/>
      <c r="CE82" s="798"/>
      <c r="CF82" s="798"/>
      <c r="CG82" s="798"/>
      <c r="CH82" s="798"/>
      <c r="CI82" s="798"/>
      <c r="CJ82" s="798"/>
      <c r="CK82" s="798"/>
      <c r="CL82" s="798"/>
      <c r="CM82" s="798"/>
      <c r="CN82" s="798"/>
      <c r="CO82" s="798"/>
      <c r="CP82" s="798"/>
      <c r="CQ82" s="798"/>
      <c r="CR82" s="798"/>
      <c r="CS82" s="798"/>
      <c r="CT82" s="798"/>
      <c r="CU82" s="798"/>
      <c r="CV82" s="798"/>
      <c r="CW82" s="798"/>
      <c r="CX82" s="798"/>
      <c r="CY82" s="798"/>
      <c r="CZ82" s="798"/>
      <c r="DA82" s="798"/>
      <c r="DB82" s="798"/>
      <c r="DC82" s="798"/>
      <c r="DD82" s="798"/>
      <c r="DE82" s="798"/>
      <c r="DF82" s="798"/>
      <c r="DG82" s="798"/>
      <c r="DH82" s="798"/>
      <c r="DI82" s="798"/>
      <c r="DJ82" s="798"/>
      <c r="DK82" s="798"/>
      <c r="DL82" s="798"/>
      <c r="DM82" s="798"/>
      <c r="DN82" s="798"/>
      <c r="DO82" s="798"/>
      <c r="DP82" s="798"/>
      <c r="DQ82" s="798"/>
      <c r="DR82" s="798"/>
      <c r="DS82" s="798"/>
      <c r="DT82" s="798"/>
      <c r="DU82" s="798"/>
      <c r="DV82" s="798"/>
      <c r="DW82" s="798"/>
      <c r="DX82" s="798"/>
      <c r="DY82" s="798"/>
      <c r="DZ82" s="798"/>
      <c r="EA82" s="798"/>
      <c r="EB82" s="798"/>
      <c r="EC82" s="798"/>
      <c r="ED82" s="798"/>
      <c r="EE82" s="798"/>
      <c r="EF82" s="798"/>
      <c r="EG82" s="798"/>
      <c r="EH82" s="798"/>
      <c r="EI82" s="798"/>
      <c r="EJ82" s="798"/>
      <c r="EK82" s="798"/>
      <c r="EL82" s="798"/>
      <c r="EM82" s="798"/>
      <c r="EN82" s="798"/>
      <c r="EO82" s="798"/>
      <c r="EP82" s="798"/>
      <c r="EQ82" s="798"/>
      <c r="ER82" s="798"/>
      <c r="ES82" s="798"/>
      <c r="ET82" s="798"/>
      <c r="EU82" s="798"/>
      <c r="EV82" s="798"/>
      <c r="EW82" s="798"/>
      <c r="EX82" s="798"/>
      <c r="EY82" s="798"/>
      <c r="EZ82" s="798"/>
      <c r="FA82" s="798"/>
      <c r="FB82" s="798"/>
      <c r="FC82" s="798"/>
      <c r="FD82" s="798"/>
      <c r="FE82" s="798"/>
      <c r="FF82" s="798"/>
      <c r="FG82" s="798"/>
      <c r="FH82" s="798"/>
      <c r="FI82" s="798"/>
      <c r="FJ82" s="798"/>
      <c r="FK82" s="798"/>
      <c r="FL82" s="798"/>
      <c r="FM82" s="798"/>
      <c r="FN82" s="798"/>
      <c r="FO82" s="798"/>
      <c r="FP82" s="798"/>
      <c r="FQ82" s="798"/>
      <c r="FR82" s="798"/>
      <c r="FS82" s="798"/>
      <c r="FT82" s="798"/>
      <c r="FU82" s="798"/>
      <c r="FV82" s="798"/>
      <c r="FW82" s="798"/>
      <c r="FX82" s="798"/>
      <c r="FY82" s="798"/>
      <c r="FZ82" s="798"/>
      <c r="GA82" s="798"/>
      <c r="GB82" s="798"/>
      <c r="GC82" s="798"/>
      <c r="GD82" s="798"/>
      <c r="GE82" s="798"/>
      <c r="GF82" s="798"/>
      <c r="GG82" s="798"/>
      <c r="GH82" s="798"/>
      <c r="GI82" s="798"/>
      <c r="GJ82" s="798"/>
      <c r="GK82" s="798"/>
      <c r="GL82" s="798"/>
      <c r="GM82" s="798"/>
      <c r="GN82" s="798"/>
      <c r="GO82" s="798"/>
      <c r="GP82" s="798"/>
      <c r="GQ82" s="798"/>
      <c r="GR82" s="798"/>
      <c r="GS82" s="798"/>
      <c r="GT82" s="798"/>
      <c r="GU82" s="798"/>
      <c r="GV82" s="798"/>
      <c r="GW82" s="798"/>
      <c r="GX82" s="798"/>
      <c r="GY82" s="798"/>
      <c r="GZ82" s="798"/>
      <c r="HA82" s="798"/>
      <c r="HB82" s="798"/>
      <c r="HC82" s="798"/>
      <c r="HD82" s="798"/>
      <c r="HE82" s="798"/>
      <c r="HF82" s="798"/>
      <c r="HG82" s="798"/>
      <c r="HH82" s="798"/>
      <c r="HI82" s="798"/>
      <c r="HJ82" s="798"/>
      <c r="HK82" s="798"/>
      <c r="HL82" s="798"/>
      <c r="HM82" s="798"/>
      <c r="HN82" s="798"/>
      <c r="HO82" s="798"/>
      <c r="HP82" s="798"/>
      <c r="HQ82" s="798"/>
      <c r="HR82" s="798"/>
      <c r="HS82" s="798"/>
      <c r="HT82" s="798"/>
      <c r="HU82" s="798"/>
      <c r="HV82" s="798"/>
      <c r="HW82" s="798"/>
      <c r="HX82" s="798"/>
      <c r="HY82" s="798"/>
      <c r="HZ82" s="798"/>
      <c r="IA82" s="798"/>
      <c r="IB82" s="798"/>
      <c r="IC82" s="798"/>
      <c r="ID82" s="798"/>
      <c r="IE82" s="798"/>
      <c r="IF82" s="798"/>
      <c r="IG82" s="798"/>
      <c r="IH82" s="798"/>
      <c r="II82" s="798"/>
      <c r="IJ82" s="798"/>
      <c r="IK82" s="798"/>
      <c r="IL82" s="798"/>
      <c r="IM82" s="798"/>
      <c r="IN82" s="798"/>
      <c r="IO82" s="798"/>
      <c r="IP82" s="798"/>
      <c r="IQ82" s="798"/>
      <c r="IR82" s="798"/>
      <c r="IS82" s="798"/>
      <c r="IT82" s="798"/>
      <c r="IU82" s="798"/>
      <c r="IV82" s="798"/>
      <c r="IW82" s="798"/>
      <c r="IX82" s="798"/>
      <c r="IY82" s="798"/>
      <c r="IZ82" s="798"/>
      <c r="JA82" s="798"/>
      <c r="JB82" s="798"/>
      <c r="JC82" s="798"/>
      <c r="JD82" s="798"/>
      <c r="JE82" s="798"/>
      <c r="JF82" s="798"/>
      <c r="JG82" s="798"/>
      <c r="JH82" s="798"/>
      <c r="JI82" s="798"/>
      <c r="JJ82" s="798"/>
      <c r="JK82" s="798"/>
      <c r="JL82" s="798"/>
      <c r="JM82" s="798"/>
      <c r="JN82" s="798"/>
      <c r="JO82" s="798"/>
      <c r="JP82" s="798"/>
      <c r="JQ82" s="798"/>
      <c r="JR82" s="798"/>
      <c r="JS82" s="798"/>
      <c r="JT82" s="798"/>
      <c r="JU82" s="798"/>
      <c r="JV82" s="798"/>
      <c r="JW82" s="798"/>
      <c r="JX82" s="798"/>
      <c r="JY82" s="798"/>
      <c r="JZ82" s="798"/>
      <c r="KA82" s="798"/>
      <c r="KB82" s="798"/>
      <c r="KC82" s="798"/>
      <c r="KD82" s="798"/>
      <c r="KE82" s="798"/>
      <c r="KF82" s="798"/>
      <c r="KG82" s="798"/>
      <c r="KH82" s="798"/>
      <c r="KI82" s="798"/>
      <c r="KJ82" s="798"/>
      <c r="KK82" s="798"/>
      <c r="KL82" s="798"/>
      <c r="KM82" s="798"/>
      <c r="KN82" s="798"/>
      <c r="KO82" s="798"/>
      <c r="KP82" s="798"/>
      <c r="KQ82" s="798"/>
      <c r="KR82" s="798"/>
      <c r="KS82" s="798"/>
      <c r="KT82" s="798"/>
      <c r="KU82" s="798"/>
      <c r="KV82" s="798"/>
      <c r="KW82" s="798"/>
      <c r="KX82" s="798"/>
      <c r="KY82" s="798"/>
      <c r="KZ82" s="798"/>
      <c r="LA82" s="798"/>
      <c r="LB82" s="798"/>
      <c r="LC82" s="798"/>
      <c r="LD82" s="798"/>
      <c r="LE82" s="798"/>
      <c r="LF82" s="798"/>
      <c r="LG82" s="798"/>
      <c r="LH82" s="798"/>
      <c r="LI82" s="798"/>
      <c r="LJ82" s="798"/>
      <c r="LK82" s="798"/>
      <c r="LL82" s="798"/>
      <c r="LM82" s="798"/>
      <c r="LN82" s="798"/>
      <c r="LO82" s="798"/>
      <c r="LP82" s="798"/>
      <c r="LQ82" s="798"/>
      <c r="LR82" s="798"/>
      <c r="LS82" s="798"/>
      <c r="LT82" s="798"/>
      <c r="LU82" s="798"/>
      <c r="LV82" s="798"/>
      <c r="LW82" s="798"/>
      <c r="LX82" s="798"/>
      <c r="LY82" s="798"/>
      <c r="LZ82" s="798"/>
      <c r="MA82" s="798"/>
      <c r="MB82" s="798"/>
      <c r="MC82" s="798"/>
      <c r="MD82" s="798"/>
      <c r="ME82" s="798"/>
      <c r="MF82" s="798"/>
      <c r="MG82" s="798"/>
      <c r="MH82" s="798"/>
      <c r="MI82" s="798"/>
      <c r="MJ82" s="798"/>
      <c r="MK82" s="798"/>
      <c r="ML82" s="798"/>
      <c r="MM82" s="798"/>
      <c r="MN82" s="798"/>
      <c r="MO82" s="798"/>
      <c r="MP82" s="798"/>
      <c r="MQ82" s="798"/>
      <c r="MR82" s="798"/>
      <c r="MS82" s="798"/>
      <c r="MT82" s="798"/>
      <c r="MU82" s="798"/>
      <c r="MV82" s="798"/>
      <c r="MW82" s="798"/>
      <c r="MX82" s="798"/>
      <c r="MY82" s="798"/>
      <c r="MZ82" s="798"/>
      <c r="NA82" s="798"/>
      <c r="NB82" s="798"/>
      <c r="NC82" s="798"/>
      <c r="ND82" s="798"/>
      <c r="NE82" s="798"/>
      <c r="NF82" s="798"/>
      <c r="NG82" s="798"/>
      <c r="NH82" s="798"/>
      <c r="NI82" s="798"/>
      <c r="NJ82" s="798"/>
      <c r="NK82" s="798"/>
      <c r="NL82" s="798"/>
      <c r="NM82" s="798"/>
      <c r="NN82" s="798"/>
      <c r="NO82" s="798"/>
      <c r="NP82" s="798"/>
      <c r="NQ82" s="798"/>
      <c r="NR82" s="798"/>
      <c r="NS82" s="798"/>
      <c r="NT82" s="798"/>
      <c r="NU82" s="798"/>
      <c r="NV82" s="798"/>
      <c r="NW82" s="798"/>
      <c r="NX82" s="798"/>
      <c r="NY82" s="798"/>
      <c r="NZ82" s="798"/>
      <c r="OA82" s="798"/>
      <c r="OB82" s="798"/>
      <c r="OC82" s="798"/>
      <c r="OD82" s="798"/>
      <c r="OE82" s="798"/>
      <c r="OF82" s="798"/>
      <c r="OG82" s="798"/>
      <c r="OH82" s="798"/>
      <c r="OI82" s="798"/>
      <c r="OJ82" s="798"/>
      <c r="OK82" s="798"/>
      <c r="OL82" s="798"/>
      <c r="OM82" s="798"/>
      <c r="ON82" s="798"/>
      <c r="OO82" s="798"/>
      <c r="OP82" s="798"/>
      <c r="OQ82" s="798"/>
      <c r="OR82" s="798"/>
      <c r="OS82" s="798"/>
      <c r="OT82" s="798"/>
      <c r="OU82" s="798"/>
      <c r="OV82" s="798"/>
      <c r="OW82" s="798"/>
      <c r="OX82" s="798"/>
      <c r="OY82" s="798"/>
      <c r="OZ82" s="798"/>
      <c r="PA82" s="798"/>
      <c r="PB82" s="798"/>
      <c r="PC82" s="798"/>
      <c r="PD82" s="798"/>
      <c r="PE82" s="798"/>
      <c r="PF82" s="798"/>
      <c r="PG82" s="798"/>
      <c r="PH82" s="798"/>
      <c r="PI82" s="798"/>
      <c r="PJ82" s="798"/>
      <c r="PK82" s="798"/>
      <c r="PL82" s="798"/>
      <c r="PM82" s="798"/>
      <c r="PN82" s="798"/>
      <c r="PO82" s="798"/>
      <c r="PP82" s="798"/>
      <c r="PQ82" s="798"/>
      <c r="PR82" s="798"/>
      <c r="PS82" s="798"/>
      <c r="PT82" s="798"/>
      <c r="PU82" s="798"/>
      <c r="PV82" s="798"/>
      <c r="PW82" s="798"/>
      <c r="PX82" s="798"/>
      <c r="PY82" s="798"/>
      <c r="PZ82" s="798"/>
      <c r="QA82" s="798"/>
      <c r="QB82" s="798"/>
      <c r="QC82" s="798"/>
      <c r="QD82" s="798"/>
      <c r="QE82" s="798"/>
      <c r="QF82" s="798"/>
      <c r="QG82" s="798"/>
      <c r="QH82" s="798"/>
      <c r="QI82" s="798"/>
      <c r="QJ82" s="798"/>
      <c r="QK82" s="798"/>
      <c r="QL82" s="798"/>
      <c r="QM82" s="798"/>
      <c r="QN82" s="798"/>
      <c r="QO82" s="798"/>
      <c r="QP82" s="798"/>
      <c r="QQ82" s="798"/>
      <c r="QR82" s="798"/>
      <c r="QS82" s="798"/>
      <c r="QT82" s="798"/>
      <c r="QU82" s="798"/>
      <c r="QV82" s="798"/>
      <c r="QW82" s="798"/>
      <c r="QX82" s="798"/>
      <c r="QY82" s="798"/>
      <c r="QZ82" s="798"/>
      <c r="RA82" s="798"/>
      <c r="RB82" s="798"/>
      <c r="RC82" s="798"/>
      <c r="RD82" s="798"/>
      <c r="RE82" s="798"/>
      <c r="RF82" s="798"/>
      <c r="RG82" s="798"/>
      <c r="RH82" s="798"/>
      <c r="RI82" s="798"/>
      <c r="RJ82" s="798"/>
      <c r="RK82" s="798"/>
      <c r="RL82" s="798"/>
      <c r="RM82" s="798"/>
      <c r="RN82" s="798"/>
      <c r="RO82" s="798"/>
      <c r="RP82" s="798"/>
      <c r="RQ82" s="798"/>
      <c r="RR82" s="798"/>
      <c r="RS82" s="798"/>
      <c r="RT82" s="798"/>
      <c r="RU82" s="798"/>
      <c r="RV82" s="798"/>
      <c r="RW82" s="798"/>
      <c r="RX82" s="798"/>
      <c r="RY82" s="798"/>
      <c r="RZ82" s="798"/>
      <c r="SA82" s="798"/>
      <c r="SB82" s="798"/>
      <c r="SC82" s="798"/>
      <c r="SD82" s="798"/>
      <c r="SE82" s="798"/>
      <c r="SF82" s="798"/>
      <c r="SG82" s="798"/>
      <c r="SH82" s="798"/>
      <c r="SI82" s="798"/>
      <c r="SJ82" s="798"/>
      <c r="SK82" s="798"/>
      <c r="SL82" s="798"/>
      <c r="SM82" s="798"/>
      <c r="SN82" s="798"/>
      <c r="SO82" s="798"/>
      <c r="SP82" s="798"/>
      <c r="SQ82" s="798"/>
      <c r="SR82" s="798"/>
      <c r="SS82" s="798"/>
      <c r="ST82" s="798"/>
      <c r="SU82" s="798"/>
      <c r="SV82" s="798"/>
      <c r="SW82" s="798"/>
      <c r="SX82" s="798"/>
      <c r="SY82" s="798"/>
      <c r="SZ82" s="798"/>
      <c r="TA82" s="798"/>
      <c r="TB82" s="798"/>
      <c r="TC82" s="798"/>
      <c r="TD82" s="798"/>
      <c r="TE82" s="798"/>
      <c r="TF82" s="798"/>
      <c r="TG82" s="798"/>
      <c r="TH82" s="798"/>
      <c r="TI82" s="798"/>
      <c r="TJ82" s="798"/>
      <c r="TK82" s="798"/>
      <c r="TL82" s="798"/>
      <c r="TM82" s="798"/>
      <c r="TN82" s="798"/>
      <c r="TO82" s="798"/>
      <c r="TP82" s="798"/>
      <c r="TQ82" s="798"/>
      <c r="TR82" s="798"/>
      <c r="TS82" s="798"/>
      <c r="TT82" s="798"/>
      <c r="TU82" s="798"/>
      <c r="TV82" s="798"/>
      <c r="TW82" s="798"/>
      <c r="TX82" s="798"/>
      <c r="TY82" s="798"/>
      <c r="TZ82" s="798"/>
      <c r="UA82" s="798"/>
      <c r="UB82" s="798"/>
      <c r="UC82" s="798"/>
      <c r="UD82" s="798"/>
      <c r="UE82" s="798"/>
      <c r="UF82" s="798"/>
      <c r="UG82" s="798"/>
      <c r="UH82" s="798"/>
      <c r="UI82" s="798"/>
      <c r="UJ82" s="798"/>
      <c r="UK82" s="798"/>
      <c r="UL82" s="798"/>
      <c r="UM82" s="798"/>
      <c r="UN82" s="798"/>
      <c r="UO82" s="798"/>
      <c r="UP82" s="798"/>
      <c r="UQ82" s="798"/>
      <c r="UR82" s="798"/>
      <c r="US82" s="798"/>
      <c r="UT82" s="798"/>
      <c r="UU82" s="798"/>
      <c r="UV82" s="798"/>
      <c r="UW82" s="798"/>
      <c r="UX82" s="798"/>
      <c r="UY82" s="798"/>
      <c r="UZ82" s="798"/>
      <c r="VA82" s="798"/>
      <c r="VB82" s="798"/>
      <c r="VC82" s="798"/>
      <c r="VD82" s="798"/>
      <c r="VE82" s="798"/>
      <c r="VF82" s="798"/>
      <c r="VG82" s="798"/>
      <c r="VH82" s="798"/>
      <c r="VI82" s="798"/>
      <c r="VJ82" s="798"/>
      <c r="VK82" s="798"/>
      <c r="VL82" s="798"/>
      <c r="VM82" s="798"/>
      <c r="VN82" s="798"/>
      <c r="VO82" s="798"/>
      <c r="VP82" s="798"/>
      <c r="VQ82" s="798"/>
      <c r="VR82" s="798"/>
      <c r="VS82" s="798"/>
      <c r="VT82" s="798"/>
      <c r="VU82" s="798"/>
      <c r="VV82" s="798"/>
      <c r="VW82" s="798"/>
      <c r="VX82" s="798"/>
      <c r="VY82" s="798"/>
      <c r="VZ82" s="798"/>
      <c r="WA82" s="798"/>
      <c r="WB82" s="798"/>
      <c r="WC82" s="798"/>
      <c r="WD82" s="798"/>
      <c r="WE82" s="798"/>
      <c r="WF82" s="798"/>
      <c r="WG82" s="798"/>
      <c r="WH82" s="798"/>
      <c r="WI82" s="798"/>
      <c r="WJ82" s="798"/>
      <c r="WK82" s="798"/>
      <c r="WL82" s="798"/>
      <c r="WM82" s="798"/>
      <c r="WN82" s="798"/>
      <c r="WO82" s="798"/>
      <c r="WP82" s="798"/>
      <c r="WQ82" s="798"/>
      <c r="WR82" s="798"/>
      <c r="WS82" s="798"/>
      <c r="WT82" s="798"/>
      <c r="WU82" s="798"/>
      <c r="WV82" s="798"/>
      <c r="WW82" s="798"/>
      <c r="WX82" s="798"/>
      <c r="WY82" s="798"/>
      <c r="WZ82" s="798"/>
      <c r="XA82" s="798"/>
      <c r="XB82" s="798"/>
      <c r="XC82" s="798"/>
      <c r="XD82" s="798"/>
      <c r="XE82" s="798"/>
      <c r="XF82" s="798"/>
      <c r="XG82" s="798"/>
      <c r="XH82" s="798"/>
      <c r="XI82" s="798"/>
      <c r="XJ82" s="798"/>
      <c r="XK82" s="798"/>
      <c r="XL82" s="798"/>
      <c r="XM82" s="798"/>
      <c r="XN82" s="798"/>
      <c r="XO82" s="798"/>
      <c r="XP82" s="798"/>
      <c r="XQ82" s="798"/>
      <c r="XR82" s="798"/>
      <c r="XS82" s="798"/>
      <c r="XT82" s="798"/>
      <c r="XU82" s="798"/>
      <c r="XV82" s="798"/>
      <c r="XW82" s="798"/>
      <c r="XX82" s="798"/>
      <c r="XY82" s="798"/>
      <c r="XZ82" s="798"/>
      <c r="YA82" s="798"/>
      <c r="YB82" s="798"/>
      <c r="YC82" s="798"/>
      <c r="YD82" s="798"/>
      <c r="YE82" s="798"/>
      <c r="YF82" s="798"/>
      <c r="YG82" s="798"/>
      <c r="YH82" s="798"/>
      <c r="YI82" s="798"/>
      <c r="YJ82" s="798"/>
      <c r="YK82" s="798"/>
      <c r="YL82" s="798"/>
      <c r="YM82" s="798"/>
      <c r="YN82" s="798"/>
      <c r="YO82" s="798"/>
      <c r="YP82" s="798"/>
      <c r="YQ82" s="798"/>
      <c r="YR82" s="798"/>
      <c r="YS82" s="798"/>
      <c r="YT82" s="798"/>
      <c r="YU82" s="798"/>
      <c r="YV82" s="798"/>
      <c r="YW82" s="798"/>
      <c r="YX82" s="798"/>
      <c r="YY82" s="798"/>
      <c r="YZ82" s="798"/>
      <c r="ZA82" s="798"/>
      <c r="ZB82" s="798"/>
      <c r="ZC82" s="798"/>
      <c r="ZD82" s="798"/>
      <c r="ZE82" s="798"/>
      <c r="ZF82" s="798"/>
      <c r="ZG82" s="798"/>
      <c r="ZH82" s="798"/>
      <c r="ZI82" s="798"/>
      <c r="ZJ82" s="798"/>
      <c r="ZK82" s="798"/>
      <c r="ZL82" s="798"/>
      <c r="ZM82" s="798"/>
      <c r="ZN82" s="798"/>
      <c r="ZO82" s="798"/>
      <c r="ZP82" s="798"/>
      <c r="ZQ82" s="798"/>
      <c r="ZR82" s="798"/>
      <c r="ZS82" s="798"/>
      <c r="ZT82" s="798"/>
      <c r="ZU82" s="798"/>
      <c r="ZV82" s="798"/>
      <c r="ZW82" s="798"/>
      <c r="ZX82" s="798"/>
      <c r="ZY82" s="798"/>
      <c r="ZZ82" s="798"/>
      <c r="AAA82" s="798"/>
      <c r="AAB82" s="798"/>
      <c r="AAC82" s="798"/>
      <c r="AAD82" s="798"/>
      <c r="AAE82" s="798"/>
      <c r="AAF82" s="798"/>
      <c r="AAG82" s="798"/>
      <c r="AAH82" s="798"/>
      <c r="AAI82" s="798"/>
      <c r="AAJ82" s="798"/>
      <c r="AAK82" s="798"/>
      <c r="AAL82" s="798"/>
      <c r="AAM82" s="798"/>
      <c r="AAN82" s="798"/>
      <c r="AAO82" s="798"/>
      <c r="AAP82" s="798"/>
      <c r="AAQ82" s="798"/>
      <c r="AAR82" s="798"/>
      <c r="AAS82" s="798"/>
      <c r="AAT82" s="798"/>
      <c r="AAU82" s="798"/>
      <c r="AAV82" s="798"/>
      <c r="AAW82" s="798"/>
      <c r="AAX82" s="798"/>
      <c r="AAY82" s="798"/>
      <c r="AAZ82" s="798"/>
      <c r="ABA82" s="798"/>
      <c r="ABB82" s="798"/>
      <c r="ABC82" s="798"/>
      <c r="ABD82" s="798"/>
      <c r="ABE82" s="798"/>
      <c r="ABF82" s="798"/>
      <c r="ABG82" s="798"/>
      <c r="ABH82" s="798"/>
      <c r="ABI82" s="798"/>
      <c r="ABJ82" s="798"/>
      <c r="ABK82" s="798"/>
      <c r="ABL82" s="798"/>
      <c r="ABM82" s="798"/>
      <c r="ABN82" s="798"/>
      <c r="ABO82" s="798"/>
      <c r="ABP82" s="798"/>
      <c r="ABQ82" s="798"/>
      <c r="ABR82" s="798"/>
      <c r="ABS82" s="798"/>
      <c r="ABT82" s="798"/>
      <c r="ABU82" s="798"/>
      <c r="ABV82" s="798"/>
      <c r="ABW82" s="798"/>
      <c r="ABX82" s="798"/>
      <c r="ABY82" s="798"/>
      <c r="ABZ82" s="798"/>
      <c r="ACA82" s="798"/>
      <c r="ACB82" s="798"/>
      <c r="ACC82" s="798"/>
      <c r="ACD82" s="798"/>
      <c r="ACE82" s="798"/>
      <c r="ACF82" s="798"/>
      <c r="ACG82" s="798"/>
      <c r="ACH82" s="798"/>
      <c r="ACI82" s="798"/>
      <c r="ACJ82" s="798"/>
      <c r="ACK82" s="798"/>
      <c r="ACL82" s="798"/>
      <c r="ACM82" s="798"/>
      <c r="ACN82" s="798"/>
      <c r="ACO82" s="798"/>
      <c r="ACP82" s="798"/>
      <c r="ACQ82" s="798"/>
      <c r="ACR82" s="798"/>
      <c r="ACS82" s="798"/>
      <c r="ACT82" s="798"/>
      <c r="ACU82" s="798"/>
      <c r="ACV82" s="798"/>
      <c r="ACW82" s="798"/>
      <c r="ACX82" s="798"/>
      <c r="ACY82" s="798"/>
      <c r="ACZ82" s="798"/>
      <c r="ADA82" s="798"/>
      <c r="ADB82" s="798"/>
      <c r="ADC82" s="798"/>
      <c r="ADD82" s="798"/>
      <c r="ADE82" s="798"/>
      <c r="ADF82" s="798"/>
      <c r="ADG82" s="798"/>
      <c r="ADH82" s="798"/>
      <c r="ADI82" s="798"/>
      <c r="ADJ82" s="798"/>
      <c r="ADK82" s="798"/>
      <c r="ADL82" s="798"/>
      <c r="ADM82" s="798"/>
      <c r="ADN82" s="798"/>
      <c r="ADO82" s="798"/>
      <c r="ADP82" s="798"/>
      <c r="ADQ82" s="798"/>
      <c r="ADR82" s="798"/>
      <c r="ADS82" s="798"/>
      <c r="ADT82" s="798"/>
      <c r="ADU82" s="798"/>
      <c r="ADV82" s="798"/>
      <c r="ADW82" s="798"/>
      <c r="ADX82" s="798"/>
      <c r="ADY82" s="798"/>
      <c r="ADZ82" s="798"/>
      <c r="AEA82" s="798"/>
      <c r="AEB82" s="798"/>
      <c r="AEC82" s="798"/>
      <c r="AED82" s="798"/>
      <c r="AEE82" s="798"/>
      <c r="AEF82" s="798"/>
      <c r="AEG82" s="798"/>
      <c r="AEH82" s="798"/>
      <c r="AEI82" s="798"/>
      <c r="AEJ82" s="798"/>
      <c r="AEK82" s="798"/>
      <c r="AEL82" s="798"/>
      <c r="AEM82" s="798"/>
      <c r="AEN82" s="798"/>
      <c r="AEO82" s="798"/>
      <c r="AEP82" s="798"/>
      <c r="AEQ82" s="798"/>
      <c r="AER82" s="798"/>
      <c r="AES82" s="798"/>
      <c r="AET82" s="798"/>
      <c r="AEU82" s="798"/>
      <c r="AEV82" s="798"/>
      <c r="AEW82" s="798"/>
      <c r="AEX82" s="798"/>
      <c r="AEY82" s="798"/>
      <c r="AEZ82" s="798"/>
      <c r="AFA82" s="798"/>
      <c r="AFB82" s="798"/>
      <c r="AFC82" s="798"/>
      <c r="AFD82" s="798"/>
      <c r="AFE82" s="798"/>
      <c r="AFF82" s="798"/>
      <c r="AFG82" s="798"/>
      <c r="AFH82" s="798"/>
      <c r="AFI82" s="798"/>
      <c r="AFJ82" s="798"/>
      <c r="AFK82" s="798"/>
      <c r="AFL82" s="798"/>
      <c r="AFM82" s="798"/>
      <c r="AFN82" s="798"/>
      <c r="AFO82" s="798"/>
      <c r="AFP82" s="798"/>
      <c r="AFQ82" s="798"/>
      <c r="AFR82" s="798"/>
      <c r="AFS82" s="798"/>
      <c r="AFT82" s="798"/>
      <c r="AFU82" s="798"/>
      <c r="AFV82" s="798"/>
      <c r="AFW82" s="798"/>
      <c r="AFX82" s="798"/>
      <c r="AFY82" s="798"/>
      <c r="AFZ82" s="798"/>
      <c r="AGA82" s="798"/>
      <c r="AGB82" s="798"/>
      <c r="AGC82" s="798"/>
      <c r="AGD82" s="798"/>
      <c r="AGE82" s="798"/>
      <c r="AGF82" s="798"/>
      <c r="AGG82" s="798"/>
      <c r="AGH82" s="798"/>
      <c r="AGI82" s="798"/>
      <c r="AGJ82" s="798"/>
      <c r="AGK82" s="798"/>
      <c r="AGL82" s="798"/>
      <c r="AGM82" s="798"/>
      <c r="AGN82" s="798"/>
      <c r="AGO82" s="798"/>
      <c r="AGP82" s="798"/>
      <c r="AGQ82" s="798"/>
      <c r="AGR82" s="798"/>
      <c r="AGS82" s="798"/>
      <c r="AGT82" s="798"/>
      <c r="AGU82" s="798"/>
      <c r="AGV82" s="798"/>
      <c r="AGW82" s="798"/>
      <c r="AGX82" s="798"/>
      <c r="AGY82" s="798"/>
      <c r="AGZ82" s="798"/>
      <c r="AHA82" s="798"/>
      <c r="AHB82" s="798"/>
      <c r="AHC82" s="798"/>
      <c r="AHD82" s="798"/>
      <c r="AHE82" s="798"/>
      <c r="AHF82" s="798"/>
      <c r="AHG82" s="798"/>
      <c r="AHH82" s="798"/>
      <c r="AHI82" s="798"/>
      <c r="AHJ82" s="798"/>
      <c r="AHK82" s="798"/>
      <c r="AHL82" s="798"/>
      <c r="AHM82" s="798"/>
      <c r="AHN82" s="798"/>
      <c r="AHO82" s="798"/>
      <c r="AHP82" s="798"/>
      <c r="AHQ82" s="798"/>
      <c r="AHR82" s="798"/>
      <c r="AHS82" s="798"/>
      <c r="AHT82" s="798"/>
      <c r="AHU82" s="798"/>
      <c r="AHV82" s="798"/>
      <c r="AHW82" s="798"/>
      <c r="AHX82" s="798"/>
      <c r="AHY82" s="798"/>
      <c r="AHZ82" s="798"/>
      <c r="AIA82" s="798"/>
      <c r="AIB82" s="798"/>
      <c r="AIC82" s="798"/>
      <c r="AID82" s="798"/>
      <c r="AIE82" s="798"/>
      <c r="AIF82" s="798"/>
      <c r="AIG82" s="798"/>
      <c r="AIH82" s="798"/>
      <c r="AII82" s="798"/>
      <c r="AIJ82" s="798"/>
      <c r="AIK82" s="798"/>
      <c r="AIL82" s="798"/>
      <c r="AIM82" s="798"/>
      <c r="AIN82" s="798"/>
      <c r="AIO82" s="798"/>
      <c r="AIP82" s="798"/>
      <c r="AIQ82" s="798"/>
      <c r="AIR82" s="798"/>
      <c r="AIS82" s="798"/>
      <c r="AIT82" s="798"/>
      <c r="AIU82" s="798"/>
      <c r="AIV82" s="798"/>
      <c r="AIW82" s="798"/>
      <c r="AIX82" s="798"/>
      <c r="AIY82" s="798"/>
      <c r="AIZ82" s="798"/>
      <c r="AJA82" s="798"/>
      <c r="AJB82" s="798"/>
      <c r="AJC82" s="798"/>
      <c r="AJD82" s="798"/>
      <c r="AJE82" s="798"/>
      <c r="AJF82" s="798"/>
      <c r="AJG82" s="798"/>
      <c r="AJH82" s="798"/>
      <c r="AJI82" s="798"/>
      <c r="AJJ82" s="798"/>
      <c r="AJK82" s="798"/>
      <c r="AJL82" s="798"/>
      <c r="AJM82" s="798"/>
      <c r="AJN82" s="798"/>
      <c r="AJO82" s="798"/>
      <c r="AJP82" s="798"/>
      <c r="AJQ82" s="798"/>
      <c r="AJR82" s="798"/>
      <c r="AJS82" s="798"/>
      <c r="AJT82" s="798"/>
      <c r="AJU82" s="798"/>
      <c r="AJV82" s="798"/>
      <c r="AJW82" s="798"/>
      <c r="AJX82" s="798"/>
      <c r="AJY82" s="798"/>
      <c r="AJZ82" s="798"/>
      <c r="AKA82" s="798"/>
      <c r="AKB82" s="798"/>
      <c r="AKC82" s="798"/>
      <c r="AKD82" s="798"/>
      <c r="AKE82" s="798"/>
      <c r="AKF82" s="798"/>
      <c r="AKG82" s="798"/>
      <c r="AKH82" s="798"/>
      <c r="AKI82" s="798"/>
      <c r="AKJ82" s="798"/>
      <c r="AKK82" s="798"/>
      <c r="AKL82" s="798"/>
      <c r="AKM82" s="798"/>
      <c r="AKN82" s="798"/>
      <c r="AKO82" s="798"/>
      <c r="AKP82" s="798"/>
      <c r="AKQ82" s="798"/>
      <c r="AKR82" s="798"/>
      <c r="AKS82" s="798"/>
      <c r="AKT82" s="798"/>
      <c r="AKU82" s="798"/>
      <c r="AKV82" s="798"/>
      <c r="AKW82" s="798"/>
      <c r="AKX82" s="798"/>
      <c r="AKY82" s="798"/>
      <c r="AKZ82" s="798"/>
      <c r="ALA82" s="798"/>
      <c r="ALB82" s="798"/>
      <c r="ALC82" s="798"/>
      <c r="ALD82" s="798"/>
      <c r="ALE82" s="798"/>
      <c r="ALF82" s="798"/>
      <c r="ALG82" s="798"/>
      <c r="ALH82" s="798"/>
      <c r="ALI82" s="798"/>
      <c r="ALJ82" s="798"/>
      <c r="ALK82" s="798"/>
      <c r="ALL82" s="798"/>
      <c r="ALM82" s="798"/>
      <c r="ALN82" s="798"/>
      <c r="ALO82" s="798"/>
      <c r="ALP82" s="798"/>
      <c r="ALQ82" s="798"/>
      <c r="ALR82" s="798"/>
      <c r="ALS82" s="798"/>
      <c r="ALT82" s="798"/>
      <c r="ALU82" s="798"/>
      <c r="ALV82" s="798"/>
      <c r="ALW82" s="798"/>
      <c r="ALX82" s="798"/>
      <c r="ALY82" s="798"/>
      <c r="ALZ82" s="798"/>
      <c r="AMA82" s="798"/>
      <c r="AMB82" s="798"/>
      <c r="AMC82" s="798"/>
      <c r="AMD82" s="798"/>
      <c r="AME82" s="798"/>
      <c r="AMF82" s="798"/>
      <c r="AMG82" s="798"/>
      <c r="AMH82" s="798"/>
      <c r="AMI82" s="798"/>
      <c r="AMJ82" s="798"/>
      <c r="AMK82" s="798"/>
      <c r="AML82" s="798"/>
      <c r="AMM82" s="798"/>
      <c r="AMN82" s="798"/>
      <c r="AMO82" s="798"/>
      <c r="AMP82" s="798"/>
      <c r="AMQ82" s="798"/>
      <c r="AMR82" s="798"/>
      <c r="AMS82" s="798"/>
      <c r="AMT82" s="798"/>
      <c r="AMU82" s="798"/>
      <c r="AMV82" s="798"/>
      <c r="AMW82" s="798"/>
      <c r="AMX82" s="798"/>
      <c r="AMY82" s="798"/>
      <c r="AMZ82" s="798"/>
      <c r="ANA82" s="798"/>
      <c r="ANB82" s="798"/>
      <c r="ANC82" s="798"/>
      <c r="AND82" s="798"/>
      <c r="ANE82" s="798"/>
      <c r="ANF82" s="798"/>
      <c r="ANG82" s="798"/>
      <c r="ANH82" s="798"/>
      <c r="ANI82" s="798"/>
      <c r="ANJ82" s="798"/>
      <c r="ANK82" s="798"/>
      <c r="ANL82" s="798"/>
      <c r="ANM82" s="798"/>
      <c r="ANN82" s="798"/>
      <c r="ANO82" s="798"/>
      <c r="ANP82" s="798"/>
      <c r="ANQ82" s="798"/>
      <c r="ANR82" s="798"/>
      <c r="ANS82" s="798"/>
      <c r="ANT82" s="798"/>
      <c r="ANU82" s="798"/>
      <c r="ANV82" s="798"/>
      <c r="ANW82" s="798"/>
      <c r="ANX82" s="798"/>
      <c r="ANY82" s="798"/>
      <c r="ANZ82" s="798"/>
      <c r="AOA82" s="798"/>
      <c r="AOB82" s="798"/>
      <c r="AOC82" s="798"/>
      <c r="AOD82" s="798"/>
      <c r="AOE82" s="798"/>
      <c r="AOF82" s="798"/>
      <c r="AOG82" s="798"/>
      <c r="AOH82" s="798"/>
      <c r="AOI82" s="798"/>
      <c r="AOJ82" s="798"/>
      <c r="AOK82" s="798"/>
      <c r="AOL82" s="798"/>
      <c r="AOM82" s="798"/>
      <c r="AON82" s="798"/>
      <c r="AOO82" s="798"/>
      <c r="AOP82" s="798"/>
      <c r="AOQ82" s="798"/>
      <c r="AOR82" s="798"/>
      <c r="AOS82" s="798"/>
      <c r="AOT82" s="798"/>
      <c r="AOU82" s="798"/>
      <c r="AOV82" s="798"/>
      <c r="AOW82" s="798"/>
      <c r="AOX82" s="798"/>
      <c r="AOY82" s="798"/>
      <c r="AOZ82" s="798"/>
      <c r="APA82" s="798"/>
      <c r="APB82" s="798"/>
      <c r="APC82" s="798"/>
      <c r="APD82" s="798"/>
      <c r="APE82" s="798"/>
      <c r="APF82" s="798"/>
      <c r="APG82" s="798"/>
      <c r="APH82" s="798"/>
      <c r="API82" s="798"/>
      <c r="APJ82" s="798"/>
      <c r="APK82" s="798"/>
      <c r="APL82" s="798"/>
      <c r="APM82" s="798"/>
      <c r="APN82" s="798"/>
      <c r="APO82" s="798"/>
      <c r="APP82" s="798"/>
      <c r="APQ82" s="798"/>
      <c r="APR82" s="798"/>
      <c r="APS82" s="798"/>
      <c r="APT82" s="798"/>
      <c r="APU82" s="798"/>
      <c r="APV82" s="798"/>
      <c r="APW82" s="798"/>
      <c r="APX82" s="798"/>
      <c r="APY82" s="798"/>
      <c r="APZ82" s="798"/>
      <c r="AQA82" s="798"/>
      <c r="AQB82" s="798"/>
      <c r="AQC82" s="798"/>
      <c r="AQD82" s="798"/>
      <c r="AQE82" s="798"/>
      <c r="AQF82" s="798"/>
      <c r="AQG82" s="798"/>
      <c r="AQH82" s="798"/>
      <c r="AQI82" s="798"/>
      <c r="AQJ82" s="798"/>
      <c r="AQK82" s="798"/>
      <c r="AQL82" s="798"/>
      <c r="AQM82" s="798"/>
      <c r="AQN82" s="798"/>
      <c r="AQO82" s="798"/>
      <c r="AQP82" s="798"/>
      <c r="AQQ82" s="798"/>
      <c r="AQR82" s="798"/>
      <c r="AQS82" s="798"/>
      <c r="AQT82" s="798"/>
      <c r="AQU82" s="798"/>
      <c r="AQV82" s="798"/>
      <c r="AQW82" s="798"/>
      <c r="AQX82" s="798"/>
      <c r="AQY82" s="798"/>
      <c r="AQZ82" s="798"/>
      <c r="ARA82" s="798"/>
      <c r="ARB82" s="798"/>
      <c r="ARC82" s="798"/>
      <c r="ARD82" s="798"/>
      <c r="ARE82" s="798"/>
      <c r="ARF82" s="798"/>
      <c r="ARG82" s="798"/>
      <c r="ARH82" s="798"/>
      <c r="ARI82" s="798"/>
      <c r="ARJ82" s="798"/>
      <c r="ARK82" s="798"/>
      <c r="ARL82" s="798"/>
      <c r="ARM82" s="798"/>
      <c r="ARN82" s="798"/>
      <c r="ARO82" s="798"/>
      <c r="ARP82" s="798"/>
      <c r="ARQ82" s="798"/>
      <c r="ARR82" s="798"/>
      <c r="ARS82" s="798"/>
      <c r="ART82" s="798"/>
      <c r="ARU82" s="798"/>
      <c r="ARV82" s="798"/>
      <c r="ARW82" s="798"/>
      <c r="ARX82" s="798"/>
      <c r="ARY82" s="798"/>
      <c r="ARZ82" s="798"/>
      <c r="ASA82" s="798"/>
      <c r="ASB82" s="798"/>
      <c r="ASC82" s="798"/>
      <c r="ASD82" s="798"/>
      <c r="ASE82" s="798"/>
      <c r="ASF82" s="798"/>
      <c r="ASG82" s="798"/>
      <c r="ASH82" s="798"/>
      <c r="ASI82" s="798"/>
      <c r="ASJ82" s="798"/>
      <c r="ASK82" s="798"/>
      <c r="ASL82" s="798"/>
      <c r="ASM82" s="798"/>
      <c r="ASN82" s="798"/>
      <c r="ASO82" s="798"/>
      <c r="ASP82" s="798"/>
      <c r="ASQ82" s="798"/>
      <c r="ASR82" s="798"/>
      <c r="ASS82" s="798"/>
      <c r="AST82" s="798"/>
      <c r="ASU82" s="798"/>
      <c r="ASV82" s="798"/>
      <c r="ASW82" s="798"/>
      <c r="ASX82" s="798"/>
      <c r="ASY82" s="798"/>
      <c r="ASZ82" s="798"/>
      <c r="ATA82" s="798"/>
      <c r="ATB82" s="798"/>
      <c r="ATC82" s="798"/>
      <c r="ATD82" s="798"/>
      <c r="ATE82" s="798"/>
      <c r="ATF82" s="798"/>
      <c r="ATG82" s="798"/>
      <c r="ATH82" s="798"/>
      <c r="ATI82" s="798"/>
      <c r="ATJ82" s="798"/>
      <c r="ATK82" s="798"/>
      <c r="ATL82" s="798"/>
      <c r="ATM82" s="798"/>
      <c r="ATN82" s="798"/>
      <c r="ATO82" s="798"/>
      <c r="ATP82" s="798"/>
      <c r="ATQ82" s="798"/>
      <c r="ATR82" s="798"/>
      <c r="ATS82" s="798"/>
      <c r="ATT82" s="798"/>
      <c r="ATU82" s="798"/>
      <c r="ATV82" s="798"/>
      <c r="ATW82" s="798"/>
      <c r="ATX82" s="798"/>
      <c r="ATY82" s="798"/>
      <c r="ATZ82" s="798"/>
      <c r="AUA82" s="798"/>
      <c r="AUB82" s="798"/>
      <c r="AUC82" s="798"/>
      <c r="AUD82" s="798"/>
      <c r="AUE82" s="798"/>
      <c r="AUF82" s="798"/>
      <c r="AUG82" s="798"/>
      <c r="AUH82" s="798"/>
      <c r="AUI82" s="798"/>
      <c r="AUJ82" s="798"/>
      <c r="AUK82" s="798"/>
      <c r="AUL82" s="798"/>
      <c r="AUM82" s="798"/>
      <c r="AUN82" s="798"/>
      <c r="AUO82" s="798"/>
      <c r="AUP82" s="798"/>
      <c r="AUQ82" s="798"/>
      <c r="AUR82" s="798"/>
      <c r="AUS82" s="798"/>
      <c r="AUT82" s="798"/>
      <c r="AUU82" s="798"/>
      <c r="AUV82" s="798"/>
      <c r="AUW82" s="798"/>
      <c r="AUX82" s="798"/>
      <c r="AUY82" s="798"/>
      <c r="AUZ82" s="798"/>
      <c r="AVA82" s="798"/>
      <c r="AVB82" s="798"/>
      <c r="AVC82" s="798"/>
      <c r="AVD82" s="798"/>
      <c r="AVE82" s="798"/>
      <c r="AVF82" s="798"/>
      <c r="AVG82" s="798"/>
      <c r="AVH82" s="798"/>
      <c r="AVI82" s="798"/>
      <c r="AVJ82" s="798"/>
      <c r="AVK82" s="798"/>
      <c r="AVL82" s="798"/>
      <c r="AVM82" s="798"/>
      <c r="AVN82" s="798"/>
      <c r="AVO82" s="798"/>
      <c r="AVP82" s="798"/>
      <c r="AVQ82" s="798"/>
      <c r="AVR82" s="798"/>
      <c r="AVS82" s="798"/>
      <c r="AVT82" s="798"/>
      <c r="AVU82" s="798"/>
      <c r="AVV82" s="798"/>
      <c r="AVW82" s="798"/>
      <c r="AVX82" s="798"/>
      <c r="AVY82" s="798"/>
      <c r="AVZ82" s="798"/>
      <c r="AWA82" s="798"/>
      <c r="AWB82" s="798"/>
      <c r="AWC82" s="798"/>
      <c r="AWD82" s="798"/>
      <c r="AWE82" s="798"/>
      <c r="AWF82" s="798"/>
      <c r="AWG82" s="798"/>
      <c r="AWH82" s="798"/>
      <c r="AWI82" s="798"/>
      <c r="AWJ82" s="798"/>
      <c r="AWK82" s="798"/>
      <c r="AWL82" s="798"/>
      <c r="AWM82" s="798"/>
      <c r="AWN82" s="798"/>
      <c r="AWO82" s="798"/>
      <c r="AWP82" s="798"/>
      <c r="AWQ82" s="798"/>
      <c r="AWR82" s="798"/>
      <c r="AWS82" s="798"/>
      <c r="AWT82" s="798"/>
      <c r="AWU82" s="798"/>
      <c r="AWV82" s="798"/>
      <c r="AWW82" s="798"/>
      <c r="AWX82" s="798"/>
      <c r="AWY82" s="798"/>
      <c r="AWZ82" s="798"/>
      <c r="AXA82" s="798"/>
      <c r="AXB82" s="798"/>
      <c r="AXC82" s="798"/>
      <c r="AXD82" s="798"/>
      <c r="AXE82" s="798"/>
      <c r="AXF82" s="798"/>
      <c r="AXG82" s="798"/>
      <c r="AXH82" s="798"/>
      <c r="AXI82" s="798"/>
      <c r="AXJ82" s="798"/>
      <c r="AXK82" s="798"/>
      <c r="AXL82" s="798"/>
      <c r="AXM82" s="798"/>
      <c r="AXN82" s="798"/>
      <c r="AXO82" s="798"/>
      <c r="AXP82" s="798"/>
      <c r="AXQ82" s="798"/>
      <c r="AXR82" s="798"/>
      <c r="AXS82" s="798"/>
      <c r="AXT82" s="798"/>
      <c r="AXU82" s="798"/>
      <c r="AXV82" s="798"/>
      <c r="AXW82" s="798"/>
      <c r="AXX82" s="798"/>
      <c r="AXY82" s="798"/>
      <c r="AXZ82" s="798"/>
      <c r="AYA82" s="798"/>
      <c r="AYB82" s="798"/>
      <c r="AYC82" s="798"/>
      <c r="AYD82" s="798"/>
      <c r="AYE82" s="798"/>
      <c r="AYF82" s="798"/>
      <c r="AYG82" s="798"/>
      <c r="AYH82" s="798"/>
      <c r="AYI82" s="798"/>
      <c r="AYJ82" s="798"/>
      <c r="AYK82" s="798"/>
      <c r="AYL82" s="798"/>
      <c r="AYM82" s="798"/>
      <c r="AYN82" s="798"/>
      <c r="AYO82" s="798"/>
      <c r="AYP82" s="798"/>
      <c r="AYQ82" s="798"/>
      <c r="AYR82" s="798"/>
      <c r="AYS82" s="798"/>
      <c r="AYT82" s="798"/>
      <c r="AYU82" s="798"/>
      <c r="AYV82" s="798"/>
      <c r="AYW82" s="798"/>
      <c r="AYX82" s="798"/>
      <c r="AYY82" s="798"/>
      <c r="AYZ82" s="798"/>
      <c r="AZA82" s="798"/>
      <c r="AZB82" s="798"/>
      <c r="AZC82" s="798"/>
      <c r="AZD82" s="798"/>
      <c r="AZE82" s="798"/>
      <c r="AZF82" s="798"/>
      <c r="AZG82" s="798"/>
      <c r="AZH82" s="798"/>
      <c r="AZI82" s="798"/>
      <c r="AZJ82" s="798"/>
      <c r="AZK82" s="798"/>
      <c r="AZL82" s="798"/>
      <c r="AZM82" s="798"/>
      <c r="AZN82" s="798"/>
      <c r="AZO82" s="798"/>
      <c r="AZP82" s="798"/>
      <c r="AZQ82" s="798"/>
      <c r="AZR82" s="798"/>
      <c r="AZS82" s="798"/>
      <c r="AZT82" s="798"/>
      <c r="AZU82" s="798"/>
      <c r="AZV82" s="798"/>
      <c r="AZW82" s="798"/>
      <c r="AZX82" s="798"/>
      <c r="AZY82" s="798"/>
      <c r="AZZ82" s="798"/>
      <c r="BAA82" s="798"/>
      <c r="BAB82" s="798"/>
      <c r="BAC82" s="798"/>
      <c r="BAD82" s="798"/>
      <c r="BAE82" s="798"/>
      <c r="BAF82" s="798"/>
      <c r="BAG82" s="798"/>
      <c r="BAH82" s="798"/>
      <c r="BAI82" s="798"/>
      <c r="BAJ82" s="798"/>
      <c r="BAK82" s="798"/>
      <c r="BAL82" s="798"/>
      <c r="BAM82" s="798"/>
      <c r="BAN82" s="798"/>
      <c r="BAO82" s="798"/>
      <c r="BAP82" s="798"/>
      <c r="BAQ82" s="798"/>
      <c r="BAR82" s="798"/>
      <c r="BAS82" s="798"/>
      <c r="BAT82" s="798"/>
      <c r="BAU82" s="798"/>
      <c r="BAV82" s="798"/>
      <c r="BAW82" s="798"/>
      <c r="BAX82" s="798"/>
      <c r="BAY82" s="798"/>
      <c r="BAZ82" s="798"/>
      <c r="BBA82" s="798"/>
      <c r="BBB82" s="798"/>
      <c r="BBC82" s="798"/>
      <c r="BBD82" s="798"/>
      <c r="BBE82" s="798"/>
      <c r="BBF82" s="798"/>
      <c r="BBG82" s="798"/>
      <c r="BBH82" s="798"/>
      <c r="BBI82" s="798"/>
      <c r="BBJ82" s="798"/>
      <c r="BBK82" s="798"/>
      <c r="BBL82" s="798"/>
      <c r="BBM82" s="798"/>
      <c r="BBN82" s="798"/>
      <c r="BBO82" s="798"/>
      <c r="BBP82" s="798"/>
      <c r="BBQ82" s="798"/>
      <c r="BBR82" s="798"/>
      <c r="BBS82" s="798"/>
      <c r="BBT82" s="798"/>
      <c r="BBU82" s="798"/>
      <c r="BBV82" s="798"/>
      <c r="BBW82" s="798"/>
      <c r="BBX82" s="798"/>
      <c r="BBY82" s="798"/>
      <c r="BBZ82" s="798"/>
      <c r="BCA82" s="798"/>
      <c r="BCB82" s="798"/>
      <c r="BCC82" s="798"/>
      <c r="BCD82" s="798"/>
      <c r="BCE82" s="798"/>
      <c r="BCF82" s="798"/>
      <c r="BCG82" s="798"/>
      <c r="BCH82" s="798"/>
      <c r="BCI82" s="798"/>
      <c r="BCJ82" s="798"/>
      <c r="BCK82" s="798"/>
      <c r="BCL82" s="798"/>
      <c r="BCM82" s="798"/>
      <c r="BCN82" s="798"/>
      <c r="BCO82" s="798"/>
      <c r="BCP82" s="798"/>
      <c r="BCQ82" s="798"/>
      <c r="BCR82" s="798"/>
      <c r="BCS82" s="798"/>
      <c r="BCT82" s="798"/>
      <c r="BCU82" s="798"/>
      <c r="BCV82" s="798"/>
      <c r="BCW82" s="798"/>
      <c r="BCX82" s="798"/>
      <c r="BCY82" s="798"/>
      <c r="BCZ82" s="798"/>
      <c r="BDA82" s="798"/>
      <c r="BDB82" s="798"/>
      <c r="BDC82" s="798"/>
      <c r="BDD82" s="798"/>
      <c r="BDE82" s="798"/>
      <c r="BDF82" s="798"/>
      <c r="BDG82" s="798"/>
      <c r="BDH82" s="798"/>
      <c r="BDI82" s="798"/>
      <c r="BDJ82" s="798"/>
      <c r="BDK82" s="798"/>
      <c r="BDL82" s="798"/>
      <c r="BDM82" s="798"/>
      <c r="BDN82" s="798"/>
      <c r="BDO82" s="798"/>
      <c r="BDP82" s="798"/>
      <c r="BDQ82" s="798"/>
      <c r="BDR82" s="798"/>
      <c r="BDS82" s="798"/>
      <c r="BDT82" s="798"/>
      <c r="BDU82" s="798"/>
      <c r="BDV82" s="798"/>
      <c r="BDW82" s="798"/>
      <c r="BDX82" s="798"/>
      <c r="BDY82" s="798"/>
      <c r="BDZ82" s="798"/>
      <c r="BEA82" s="798"/>
      <c r="BEB82" s="798"/>
      <c r="BEC82" s="798"/>
      <c r="BED82" s="798"/>
      <c r="BEE82" s="798"/>
      <c r="BEF82" s="798"/>
      <c r="BEG82" s="798"/>
      <c r="BEH82" s="798"/>
      <c r="BEI82" s="798"/>
      <c r="BEJ82" s="798"/>
      <c r="BEK82" s="798"/>
      <c r="BEL82" s="798"/>
      <c r="BEM82" s="798"/>
      <c r="BEN82" s="798"/>
      <c r="BEO82" s="798"/>
      <c r="BEP82" s="798"/>
      <c r="BEQ82" s="798"/>
      <c r="BER82" s="798"/>
      <c r="BES82" s="798"/>
      <c r="BET82" s="798"/>
      <c r="BEU82" s="798"/>
      <c r="BEV82" s="798"/>
      <c r="BEW82" s="798"/>
      <c r="BEX82" s="798"/>
      <c r="BEY82" s="798"/>
      <c r="BEZ82" s="798"/>
      <c r="BFA82" s="798"/>
      <c r="BFB82" s="798"/>
      <c r="BFC82" s="798"/>
      <c r="BFD82" s="798"/>
      <c r="BFE82" s="798"/>
      <c r="BFF82" s="798"/>
      <c r="BFG82" s="798"/>
      <c r="BFH82" s="798"/>
      <c r="BFI82" s="798"/>
      <c r="BFJ82" s="798"/>
      <c r="BFK82" s="798"/>
      <c r="BFL82" s="798"/>
      <c r="BFM82" s="798"/>
      <c r="BFN82" s="798"/>
      <c r="BFO82" s="798"/>
      <c r="BFP82" s="798"/>
      <c r="BFQ82" s="798"/>
      <c r="BFR82" s="798"/>
      <c r="BFS82" s="798"/>
      <c r="BFT82" s="798"/>
      <c r="BFU82" s="798"/>
      <c r="BFV82" s="798"/>
      <c r="BFW82" s="798"/>
      <c r="BFX82" s="798"/>
      <c r="BFY82" s="798"/>
      <c r="BFZ82" s="798"/>
      <c r="BGA82" s="798"/>
      <c r="BGB82" s="798"/>
      <c r="BGC82" s="798"/>
      <c r="BGD82" s="798"/>
      <c r="BGE82" s="798"/>
      <c r="BGF82" s="798"/>
      <c r="BGG82" s="798"/>
      <c r="BGH82" s="798"/>
      <c r="BGI82" s="798"/>
      <c r="BGJ82" s="798"/>
      <c r="BGK82" s="798"/>
      <c r="BGL82" s="798"/>
      <c r="BGM82" s="798"/>
      <c r="BGN82" s="798"/>
      <c r="BGO82" s="798"/>
      <c r="BGP82" s="798"/>
      <c r="BGQ82" s="798"/>
      <c r="BGR82" s="798"/>
      <c r="BGS82" s="798"/>
      <c r="BGT82" s="798"/>
      <c r="BGU82" s="798"/>
      <c r="BGV82" s="798"/>
      <c r="BGW82" s="798"/>
      <c r="BGX82" s="798"/>
      <c r="BGY82" s="798"/>
      <c r="BGZ82" s="798"/>
      <c r="BHA82" s="798"/>
      <c r="BHB82" s="798"/>
      <c r="BHC82" s="798"/>
      <c r="BHD82" s="798"/>
      <c r="BHE82" s="798"/>
      <c r="BHF82" s="798"/>
      <c r="BHG82" s="798"/>
      <c r="BHH82" s="798"/>
      <c r="BHI82" s="798"/>
      <c r="BHJ82" s="798"/>
      <c r="BHK82" s="798"/>
      <c r="BHL82" s="798"/>
      <c r="BHM82" s="798"/>
      <c r="BHN82" s="798"/>
      <c r="BHO82" s="798"/>
      <c r="BHP82" s="798"/>
      <c r="BHQ82" s="798"/>
      <c r="BHR82" s="798"/>
      <c r="BHS82" s="798"/>
      <c r="BHT82" s="798"/>
      <c r="BHU82" s="798"/>
      <c r="BHV82" s="798"/>
      <c r="BHW82" s="798"/>
      <c r="BHX82" s="798"/>
      <c r="BHY82" s="798"/>
      <c r="BHZ82" s="798"/>
      <c r="BIA82" s="798"/>
      <c r="BIB82" s="798"/>
      <c r="BIC82" s="798"/>
      <c r="BID82" s="798"/>
      <c r="BIE82" s="798"/>
      <c r="BIF82" s="798"/>
      <c r="BIG82" s="798"/>
      <c r="BIH82" s="798"/>
      <c r="BII82" s="798"/>
      <c r="BIJ82" s="798"/>
      <c r="BIK82" s="798"/>
      <c r="BIL82" s="798"/>
      <c r="BIM82" s="798"/>
      <c r="BIN82" s="798"/>
      <c r="BIO82" s="798"/>
      <c r="BIP82" s="798"/>
      <c r="BIQ82" s="798"/>
      <c r="BIR82" s="798"/>
      <c r="BIS82" s="798"/>
      <c r="BIT82" s="798"/>
      <c r="BIU82" s="798"/>
      <c r="BIV82" s="798"/>
      <c r="BIW82" s="798"/>
      <c r="BIX82" s="798"/>
      <c r="BIY82" s="798"/>
      <c r="BIZ82" s="798"/>
      <c r="BJA82" s="798"/>
      <c r="BJB82" s="798"/>
      <c r="BJC82" s="798"/>
      <c r="BJD82" s="798"/>
      <c r="BJE82" s="798"/>
      <c r="BJF82" s="798"/>
      <c r="BJG82" s="798"/>
      <c r="BJH82" s="798"/>
      <c r="BJI82" s="798"/>
      <c r="BJJ82" s="798"/>
      <c r="BJK82" s="798"/>
      <c r="BJL82" s="798"/>
      <c r="BJM82" s="798"/>
      <c r="BJN82" s="798"/>
      <c r="BJO82" s="798"/>
      <c r="BJP82" s="798"/>
      <c r="BJQ82" s="798"/>
      <c r="BJR82" s="798"/>
      <c r="BJS82" s="798"/>
      <c r="BJT82" s="798"/>
      <c r="BJU82" s="798"/>
      <c r="BJV82" s="798"/>
      <c r="BJW82" s="798"/>
      <c r="BJX82" s="798"/>
      <c r="BJY82" s="798"/>
      <c r="BJZ82" s="798"/>
      <c r="BKA82" s="798"/>
      <c r="BKB82" s="798"/>
      <c r="BKC82" s="798"/>
      <c r="BKD82" s="798"/>
      <c r="BKE82" s="798"/>
      <c r="BKF82" s="798"/>
      <c r="BKG82" s="798"/>
      <c r="BKH82" s="798"/>
      <c r="BKI82" s="798"/>
      <c r="BKJ82" s="798"/>
      <c r="BKK82" s="798"/>
      <c r="BKL82" s="798"/>
      <c r="BKM82" s="798"/>
      <c r="BKN82" s="798"/>
      <c r="BKO82" s="798"/>
      <c r="BKP82" s="798"/>
      <c r="BKQ82" s="798"/>
      <c r="BKR82" s="798"/>
      <c r="BKS82" s="798"/>
      <c r="BKT82" s="798"/>
      <c r="BKU82" s="798"/>
      <c r="BKV82" s="798"/>
      <c r="BKW82" s="798"/>
      <c r="BKX82" s="798"/>
      <c r="BKY82" s="798"/>
      <c r="BKZ82" s="798"/>
      <c r="BLA82" s="798"/>
      <c r="BLB82" s="798"/>
      <c r="BLC82" s="798"/>
      <c r="BLD82" s="798"/>
      <c r="BLE82" s="798"/>
      <c r="BLF82" s="798"/>
      <c r="BLG82" s="798"/>
      <c r="BLH82" s="798"/>
      <c r="BLI82" s="798"/>
      <c r="BLJ82" s="798"/>
      <c r="BLK82" s="798"/>
      <c r="BLL82" s="798"/>
      <c r="BLM82" s="798"/>
      <c r="BLN82" s="798"/>
      <c r="BLO82" s="798"/>
      <c r="BLP82" s="798"/>
      <c r="BLQ82" s="798"/>
      <c r="BLR82" s="798"/>
      <c r="BLS82" s="798"/>
      <c r="BLT82" s="798"/>
      <c r="BLU82" s="798"/>
      <c r="BLV82" s="798"/>
      <c r="BLW82" s="798"/>
      <c r="BLX82" s="798"/>
      <c r="BLY82" s="798"/>
      <c r="BLZ82" s="798"/>
      <c r="BMA82" s="798"/>
      <c r="BMB82" s="798"/>
      <c r="BMC82" s="798"/>
      <c r="BMD82" s="798"/>
      <c r="BME82" s="798"/>
      <c r="BMF82" s="798"/>
      <c r="BMG82" s="798"/>
      <c r="BMH82" s="798"/>
      <c r="BMI82" s="798"/>
      <c r="BMJ82" s="798"/>
      <c r="BMK82" s="798"/>
      <c r="BML82" s="798"/>
      <c r="BMM82" s="798"/>
      <c r="BMN82" s="798"/>
      <c r="BMO82" s="798"/>
      <c r="BMP82" s="798"/>
      <c r="BMQ82" s="798"/>
      <c r="BMR82" s="798"/>
      <c r="BMS82" s="798"/>
      <c r="BMT82" s="798"/>
      <c r="BMU82" s="798"/>
      <c r="BMV82" s="798"/>
      <c r="BMW82" s="798"/>
      <c r="BMX82" s="798"/>
      <c r="BMY82" s="798"/>
      <c r="BMZ82" s="798"/>
      <c r="BNA82" s="798"/>
      <c r="BNB82" s="798"/>
      <c r="BNC82" s="798"/>
      <c r="BND82" s="798"/>
      <c r="BNE82" s="798"/>
      <c r="BNF82" s="798"/>
      <c r="BNG82" s="798"/>
      <c r="BNH82" s="798"/>
      <c r="BNI82" s="798"/>
      <c r="BNJ82" s="798"/>
      <c r="BNK82" s="798"/>
      <c r="BNL82" s="798"/>
      <c r="BNM82" s="798"/>
      <c r="BNN82" s="798"/>
      <c r="BNO82" s="798"/>
      <c r="BNP82" s="798"/>
      <c r="BNQ82" s="798"/>
      <c r="BNR82" s="798"/>
      <c r="BNS82" s="798"/>
      <c r="BNT82" s="798"/>
      <c r="BNU82" s="798"/>
      <c r="BNV82" s="798"/>
      <c r="BNW82" s="798"/>
      <c r="BNX82" s="798"/>
      <c r="BNY82" s="798"/>
      <c r="BNZ82" s="798"/>
      <c r="BOA82" s="798"/>
      <c r="BOB82" s="798"/>
      <c r="BOC82" s="798"/>
      <c r="BOD82" s="798"/>
      <c r="BOE82" s="798"/>
      <c r="BOF82" s="798"/>
      <c r="BOG82" s="798"/>
      <c r="BOH82" s="798"/>
      <c r="BOI82" s="798"/>
      <c r="BOJ82" s="798"/>
      <c r="BOK82" s="798"/>
      <c r="BOL82" s="798"/>
      <c r="BOM82" s="798"/>
      <c r="BON82" s="798"/>
      <c r="BOO82" s="798"/>
      <c r="BOP82" s="798"/>
      <c r="BOQ82" s="798"/>
      <c r="BOR82" s="798"/>
      <c r="BOS82" s="798"/>
      <c r="BOT82" s="798"/>
      <c r="BOU82" s="798"/>
      <c r="BOV82" s="798"/>
      <c r="BOW82" s="798"/>
      <c r="BOX82" s="798"/>
      <c r="BOY82" s="798"/>
      <c r="BOZ82" s="798"/>
      <c r="BPA82" s="798"/>
      <c r="BPB82" s="798"/>
      <c r="BPC82" s="798"/>
      <c r="BPD82" s="798"/>
      <c r="BPE82" s="798"/>
      <c r="BPF82" s="798"/>
      <c r="BPG82" s="798"/>
      <c r="BPH82" s="798"/>
      <c r="BPI82" s="798"/>
      <c r="BPJ82" s="798"/>
      <c r="BPK82" s="798"/>
      <c r="BPL82" s="798"/>
      <c r="BPM82" s="798"/>
      <c r="BPN82" s="798"/>
      <c r="BPO82" s="798"/>
      <c r="BPP82" s="798"/>
      <c r="BPQ82" s="798"/>
      <c r="BPR82" s="798"/>
      <c r="BPS82" s="798"/>
      <c r="BPT82" s="798"/>
      <c r="BPU82" s="798"/>
      <c r="BPV82" s="798"/>
      <c r="BPW82" s="798"/>
      <c r="BPX82" s="798"/>
      <c r="BPY82" s="798"/>
      <c r="BPZ82" s="798"/>
      <c r="BQA82" s="798"/>
      <c r="BQB82" s="798"/>
      <c r="BQC82" s="798"/>
      <c r="BQD82" s="798"/>
      <c r="BQE82" s="798"/>
      <c r="BQF82" s="798"/>
      <c r="BQG82" s="798"/>
      <c r="BQH82" s="798"/>
      <c r="BQI82" s="798"/>
      <c r="BQJ82" s="798"/>
      <c r="BQK82" s="798"/>
      <c r="BQL82" s="798"/>
      <c r="BQM82" s="798"/>
      <c r="BQN82" s="798"/>
      <c r="BQO82" s="798"/>
      <c r="BQP82" s="798"/>
      <c r="BQQ82" s="798"/>
      <c r="BQR82" s="798"/>
      <c r="BQS82" s="798"/>
      <c r="BQT82" s="798"/>
      <c r="BQU82" s="798"/>
      <c r="BQV82" s="798"/>
      <c r="BQW82" s="798"/>
      <c r="BQX82" s="798"/>
      <c r="BQY82" s="798"/>
      <c r="BQZ82" s="798"/>
      <c r="BRA82" s="798"/>
      <c r="BRB82" s="798"/>
      <c r="BRC82" s="798"/>
      <c r="BRD82" s="798"/>
      <c r="BRE82" s="798"/>
      <c r="BRF82" s="798"/>
      <c r="BRG82" s="798"/>
      <c r="BRH82" s="798"/>
      <c r="BRI82" s="798"/>
      <c r="BRJ82" s="798"/>
      <c r="BRK82" s="798"/>
      <c r="BRL82" s="798"/>
      <c r="BRM82" s="798"/>
      <c r="BRN82" s="798"/>
      <c r="BRO82" s="798"/>
      <c r="BRP82" s="798"/>
      <c r="BRQ82" s="798"/>
      <c r="BRR82" s="798"/>
      <c r="BRS82" s="798"/>
      <c r="BRT82" s="798"/>
      <c r="BRU82" s="798"/>
      <c r="BRV82" s="798"/>
      <c r="BRW82" s="798"/>
      <c r="BRX82" s="798"/>
      <c r="BRY82" s="798"/>
      <c r="BRZ82" s="798"/>
      <c r="BSA82" s="798"/>
      <c r="BSB82" s="798"/>
      <c r="BSC82" s="798"/>
      <c r="BSD82" s="798"/>
      <c r="BSE82" s="798"/>
      <c r="BSF82" s="798"/>
      <c r="BSG82" s="798"/>
      <c r="BSH82" s="798"/>
      <c r="BSI82" s="798"/>
      <c r="BSJ82" s="798"/>
      <c r="BSK82" s="798"/>
      <c r="BSL82" s="798"/>
      <c r="BSM82" s="798"/>
      <c r="BSN82" s="798"/>
      <c r="BSO82" s="798"/>
      <c r="BSP82" s="798"/>
      <c r="BSQ82" s="798"/>
      <c r="BSR82" s="798"/>
      <c r="BSS82" s="798"/>
      <c r="BST82" s="798"/>
      <c r="BSU82" s="798"/>
      <c r="BSV82" s="798"/>
      <c r="BSW82" s="798"/>
      <c r="BSX82" s="798"/>
      <c r="BSY82" s="798"/>
      <c r="BSZ82" s="798"/>
      <c r="BTA82" s="798"/>
      <c r="BTB82" s="798"/>
      <c r="BTC82" s="798"/>
      <c r="BTD82" s="798"/>
      <c r="BTE82" s="798"/>
      <c r="BTF82" s="798"/>
      <c r="BTG82" s="798"/>
      <c r="BTH82" s="798"/>
      <c r="BTI82" s="798"/>
      <c r="BTJ82" s="798"/>
      <c r="BTK82" s="798"/>
      <c r="BTL82" s="798"/>
      <c r="BTM82" s="798"/>
      <c r="BTN82" s="798"/>
      <c r="BTO82" s="798"/>
      <c r="BTP82" s="798"/>
      <c r="BTQ82" s="798"/>
      <c r="BTR82" s="798"/>
      <c r="BTS82" s="798"/>
      <c r="BTT82" s="798"/>
      <c r="BTU82" s="798"/>
      <c r="BTV82" s="798"/>
      <c r="BTW82" s="798"/>
      <c r="BTX82" s="798"/>
      <c r="BTY82" s="798"/>
      <c r="BTZ82" s="798"/>
      <c r="BUA82" s="798"/>
      <c r="BUB82" s="798"/>
      <c r="BUC82" s="798"/>
      <c r="BUD82" s="798"/>
      <c r="BUE82" s="798"/>
      <c r="BUF82" s="798"/>
      <c r="BUG82" s="798"/>
      <c r="BUH82" s="798"/>
      <c r="BUI82" s="798"/>
      <c r="BUJ82" s="798"/>
      <c r="BUK82" s="798"/>
      <c r="BUL82" s="798"/>
      <c r="BUM82" s="798"/>
      <c r="BUN82" s="798"/>
      <c r="BUO82" s="798"/>
      <c r="BUP82" s="798"/>
      <c r="BUQ82" s="798"/>
      <c r="BUR82" s="798"/>
      <c r="BUS82" s="798"/>
      <c r="BUT82" s="798"/>
      <c r="BUU82" s="798"/>
      <c r="BUV82" s="798"/>
      <c r="BUW82" s="798"/>
      <c r="BUX82" s="798"/>
      <c r="BUY82" s="798"/>
      <c r="BUZ82" s="798"/>
      <c r="BVA82" s="798"/>
      <c r="BVB82" s="798"/>
      <c r="BVC82" s="798"/>
      <c r="BVD82" s="798"/>
      <c r="BVE82" s="798"/>
      <c r="BVF82" s="798"/>
      <c r="BVG82" s="798"/>
      <c r="BVH82" s="798"/>
      <c r="BVI82" s="798"/>
      <c r="BVJ82" s="798"/>
      <c r="BVK82" s="798"/>
      <c r="BVL82" s="798"/>
      <c r="BVM82" s="798"/>
      <c r="BVN82" s="798"/>
      <c r="BVO82" s="798"/>
      <c r="BVP82" s="798"/>
      <c r="BVQ82" s="798"/>
      <c r="BVR82" s="798"/>
      <c r="BVS82" s="798"/>
      <c r="BVT82" s="798"/>
      <c r="BVU82" s="798"/>
      <c r="BVV82" s="798"/>
      <c r="BVW82" s="798"/>
      <c r="BVX82" s="798"/>
      <c r="BVY82" s="798"/>
      <c r="BVZ82" s="798"/>
      <c r="BWA82" s="798"/>
      <c r="BWB82" s="798"/>
      <c r="BWC82" s="798"/>
      <c r="BWD82" s="798"/>
      <c r="BWE82" s="798"/>
      <c r="BWF82" s="798"/>
      <c r="BWG82" s="798"/>
      <c r="BWH82" s="798"/>
      <c r="BWI82" s="798"/>
      <c r="BWJ82" s="798"/>
      <c r="BWK82" s="798"/>
      <c r="BWL82" s="798"/>
      <c r="BWM82" s="798"/>
      <c r="BWN82" s="798"/>
      <c r="BWO82" s="798"/>
      <c r="BWP82" s="798"/>
      <c r="BWQ82" s="798"/>
      <c r="BWR82" s="798"/>
      <c r="BWS82" s="798"/>
      <c r="BWT82" s="798"/>
      <c r="BWU82" s="798"/>
      <c r="BWV82" s="798"/>
      <c r="BWW82" s="798"/>
      <c r="BWX82" s="798"/>
      <c r="BWY82" s="798"/>
      <c r="BWZ82" s="798"/>
      <c r="BXA82" s="798"/>
      <c r="BXB82" s="798"/>
      <c r="BXC82" s="798"/>
      <c r="BXD82" s="798"/>
      <c r="BXE82" s="798"/>
      <c r="BXF82" s="798"/>
      <c r="BXG82" s="798"/>
      <c r="BXH82" s="798"/>
      <c r="BXI82" s="798"/>
      <c r="BXJ82" s="798"/>
      <c r="BXK82" s="798"/>
      <c r="BXL82" s="798"/>
      <c r="BXM82" s="798"/>
      <c r="BXN82" s="798"/>
      <c r="BXO82" s="798"/>
      <c r="BXP82" s="798"/>
      <c r="BXQ82" s="798"/>
      <c r="BXR82" s="798"/>
      <c r="BXS82" s="798"/>
      <c r="BXT82" s="798"/>
      <c r="BXU82" s="798"/>
      <c r="BXV82" s="798"/>
      <c r="BXW82" s="798"/>
      <c r="BXX82" s="798"/>
      <c r="BXY82" s="798"/>
      <c r="BXZ82" s="798"/>
      <c r="BYA82" s="798"/>
      <c r="BYB82" s="798"/>
      <c r="BYC82" s="798"/>
      <c r="BYD82" s="798"/>
      <c r="BYE82" s="798"/>
      <c r="BYF82" s="798"/>
      <c r="BYG82" s="798"/>
      <c r="BYH82" s="798"/>
      <c r="BYI82" s="798"/>
      <c r="BYJ82" s="798"/>
      <c r="BYK82" s="798"/>
      <c r="BYL82" s="798"/>
      <c r="BYM82" s="798"/>
      <c r="BYN82" s="798"/>
      <c r="BYO82" s="798"/>
      <c r="BYP82" s="798"/>
      <c r="BYQ82" s="798"/>
      <c r="BYR82" s="798"/>
      <c r="BYS82" s="798"/>
      <c r="BYT82" s="798"/>
      <c r="BYU82" s="798"/>
      <c r="BYV82" s="798"/>
      <c r="BYW82" s="798"/>
      <c r="BYX82" s="798"/>
      <c r="BYY82" s="798"/>
      <c r="BYZ82" s="798"/>
      <c r="BZA82" s="798"/>
      <c r="BZB82" s="798"/>
      <c r="BZC82" s="798"/>
      <c r="BZD82" s="798"/>
      <c r="BZE82" s="798"/>
      <c r="BZF82" s="798"/>
      <c r="BZG82" s="798"/>
      <c r="BZH82" s="798"/>
      <c r="BZI82" s="798"/>
      <c r="BZJ82" s="798"/>
      <c r="BZK82" s="798"/>
      <c r="BZL82" s="798"/>
      <c r="BZM82" s="798"/>
      <c r="BZN82" s="798"/>
      <c r="BZO82" s="798"/>
      <c r="BZP82" s="798"/>
      <c r="BZQ82" s="798"/>
      <c r="BZR82" s="798"/>
      <c r="BZS82" s="798"/>
      <c r="BZT82" s="798"/>
      <c r="BZU82" s="798"/>
      <c r="BZV82" s="798"/>
      <c r="BZW82" s="798"/>
      <c r="BZX82" s="798"/>
      <c r="BZY82" s="798"/>
      <c r="BZZ82" s="798"/>
      <c r="CAA82" s="798"/>
      <c r="CAB82" s="798"/>
      <c r="CAC82" s="798"/>
      <c r="CAD82" s="798"/>
      <c r="CAE82" s="798"/>
      <c r="CAF82" s="798"/>
      <c r="CAG82" s="798"/>
      <c r="CAH82" s="798"/>
      <c r="CAI82" s="798"/>
      <c r="CAJ82" s="798"/>
      <c r="CAK82" s="798"/>
      <c r="CAL82" s="798"/>
      <c r="CAM82" s="798"/>
      <c r="CAN82" s="798"/>
      <c r="CAO82" s="798"/>
      <c r="CAP82" s="798"/>
      <c r="CAQ82" s="798"/>
      <c r="CAR82" s="798"/>
      <c r="CAS82" s="798"/>
      <c r="CAT82" s="798"/>
      <c r="CAU82" s="798"/>
      <c r="CAV82" s="798"/>
      <c r="CAW82" s="798"/>
      <c r="CAX82" s="798"/>
      <c r="CAY82" s="798"/>
      <c r="CAZ82" s="798"/>
      <c r="CBA82" s="798"/>
      <c r="CBB82" s="798"/>
      <c r="CBC82" s="798"/>
      <c r="CBD82" s="798"/>
      <c r="CBE82" s="798"/>
      <c r="CBF82" s="798"/>
      <c r="CBG82" s="798"/>
      <c r="CBH82" s="798"/>
      <c r="CBI82" s="798"/>
      <c r="CBJ82" s="798"/>
      <c r="CBK82" s="798"/>
      <c r="CBL82" s="798"/>
      <c r="CBM82" s="798"/>
      <c r="CBN82" s="798"/>
      <c r="CBO82" s="798"/>
      <c r="CBP82" s="798"/>
      <c r="CBQ82" s="798"/>
      <c r="CBR82" s="798"/>
      <c r="CBS82" s="798"/>
      <c r="CBT82" s="798"/>
      <c r="CBU82" s="798"/>
      <c r="CBV82" s="798"/>
      <c r="CBW82" s="798"/>
      <c r="CBX82" s="798"/>
      <c r="CBY82" s="798"/>
      <c r="CBZ82" s="798"/>
      <c r="CCA82" s="798"/>
      <c r="CCB82" s="798"/>
      <c r="CCC82" s="798"/>
      <c r="CCD82" s="798"/>
      <c r="CCE82" s="798"/>
      <c r="CCF82" s="798"/>
      <c r="CCG82" s="798"/>
      <c r="CCH82" s="798"/>
      <c r="CCI82" s="798"/>
      <c r="CCJ82" s="798"/>
      <c r="CCK82" s="798"/>
      <c r="CCL82" s="798"/>
      <c r="CCM82" s="798"/>
      <c r="CCN82" s="798"/>
      <c r="CCO82" s="798"/>
      <c r="CCP82" s="798"/>
      <c r="CCQ82" s="798"/>
      <c r="CCR82" s="798"/>
      <c r="CCS82" s="798"/>
      <c r="CCT82" s="798"/>
      <c r="CCU82" s="798"/>
      <c r="CCV82" s="798"/>
      <c r="CCW82" s="798"/>
      <c r="CCX82" s="798"/>
      <c r="CCY82" s="798"/>
      <c r="CCZ82" s="798"/>
      <c r="CDA82" s="798"/>
      <c r="CDB82" s="798"/>
      <c r="CDC82" s="798"/>
      <c r="CDD82" s="798"/>
      <c r="CDE82" s="798"/>
      <c r="CDF82" s="798"/>
      <c r="CDG82" s="798"/>
      <c r="CDH82" s="798"/>
      <c r="CDI82" s="798"/>
      <c r="CDJ82" s="798"/>
      <c r="CDK82" s="798"/>
      <c r="CDL82" s="798"/>
      <c r="CDM82" s="798"/>
      <c r="CDN82" s="798"/>
      <c r="CDO82" s="798"/>
      <c r="CDP82" s="798"/>
      <c r="CDQ82" s="798"/>
      <c r="CDR82" s="798"/>
      <c r="CDS82" s="798"/>
      <c r="CDT82" s="798"/>
      <c r="CDU82" s="798"/>
      <c r="CDV82" s="798"/>
      <c r="CDW82" s="798"/>
      <c r="CDX82" s="798"/>
      <c r="CDY82" s="798"/>
      <c r="CDZ82" s="798"/>
      <c r="CEA82" s="798"/>
      <c r="CEB82" s="798"/>
      <c r="CEC82" s="798"/>
      <c r="CED82" s="798"/>
      <c r="CEE82" s="798"/>
      <c r="CEF82" s="798"/>
      <c r="CEG82" s="798"/>
      <c r="CEH82" s="798"/>
      <c r="CEI82" s="798"/>
      <c r="CEJ82" s="798"/>
      <c r="CEK82" s="798"/>
      <c r="CEL82" s="798"/>
      <c r="CEM82" s="798"/>
      <c r="CEN82" s="798"/>
      <c r="CEO82" s="798"/>
      <c r="CEP82" s="798"/>
      <c r="CEQ82" s="798"/>
      <c r="CER82" s="798"/>
      <c r="CES82" s="798"/>
      <c r="CET82" s="798"/>
      <c r="CEU82" s="798"/>
      <c r="CEV82" s="798"/>
      <c r="CEW82" s="798"/>
      <c r="CEX82" s="798"/>
      <c r="CEY82" s="798"/>
      <c r="CEZ82" s="798"/>
      <c r="CFA82" s="798"/>
      <c r="CFB82" s="798"/>
      <c r="CFC82" s="798"/>
      <c r="CFD82" s="798"/>
      <c r="CFE82" s="798"/>
      <c r="CFF82" s="798"/>
      <c r="CFG82" s="798"/>
      <c r="CFH82" s="798"/>
      <c r="CFI82" s="798"/>
      <c r="CFJ82" s="798"/>
      <c r="CFK82" s="798"/>
      <c r="CFL82" s="798"/>
      <c r="CFM82" s="798"/>
      <c r="CFN82" s="798"/>
      <c r="CFO82" s="798"/>
      <c r="CFP82" s="798"/>
      <c r="CFQ82" s="798"/>
      <c r="CFR82" s="798"/>
      <c r="CFS82" s="798"/>
      <c r="CFT82" s="798"/>
      <c r="CFU82" s="798"/>
      <c r="CFV82" s="798"/>
      <c r="CFW82" s="798"/>
      <c r="CFX82" s="798"/>
      <c r="CFY82" s="798"/>
      <c r="CFZ82" s="798"/>
      <c r="CGA82" s="798"/>
      <c r="CGB82" s="798"/>
      <c r="CGC82" s="798"/>
      <c r="CGD82" s="798"/>
      <c r="CGE82" s="798"/>
      <c r="CGF82" s="798"/>
      <c r="CGG82" s="798"/>
      <c r="CGH82" s="798"/>
      <c r="CGI82" s="798"/>
      <c r="CGJ82" s="798"/>
      <c r="CGK82" s="798"/>
      <c r="CGL82" s="798"/>
      <c r="CGM82" s="798"/>
      <c r="CGN82" s="798"/>
      <c r="CGO82" s="798"/>
      <c r="CGP82" s="798"/>
      <c r="CGQ82" s="798"/>
      <c r="CGR82" s="798"/>
      <c r="CGS82" s="798"/>
      <c r="CGT82" s="798"/>
      <c r="CGU82" s="798"/>
      <c r="CGV82" s="798"/>
      <c r="CGW82" s="798"/>
      <c r="CGX82" s="798"/>
      <c r="CGY82" s="798"/>
      <c r="CGZ82" s="798"/>
      <c r="CHA82" s="798"/>
      <c r="CHB82" s="798"/>
      <c r="CHC82" s="798"/>
      <c r="CHD82" s="798"/>
      <c r="CHE82" s="798"/>
      <c r="CHF82" s="798"/>
      <c r="CHG82" s="798"/>
      <c r="CHH82" s="798"/>
      <c r="CHI82" s="798"/>
      <c r="CHJ82" s="798"/>
      <c r="CHK82" s="798"/>
      <c r="CHL82" s="798"/>
      <c r="CHM82" s="798"/>
      <c r="CHN82" s="798"/>
      <c r="CHO82" s="798"/>
      <c r="CHP82" s="798"/>
      <c r="CHQ82" s="798"/>
      <c r="CHR82" s="798"/>
      <c r="CHS82" s="798"/>
      <c r="CHT82" s="798"/>
      <c r="CHU82" s="798"/>
      <c r="CHV82" s="798"/>
      <c r="CHW82" s="798"/>
      <c r="CHX82" s="798"/>
      <c r="CHY82" s="798"/>
      <c r="CHZ82" s="798"/>
      <c r="CIA82" s="798"/>
      <c r="CIB82" s="798"/>
      <c r="CIC82" s="798"/>
      <c r="CID82" s="798"/>
      <c r="CIE82" s="798"/>
      <c r="CIF82" s="798"/>
      <c r="CIG82" s="798"/>
      <c r="CIH82" s="798"/>
      <c r="CII82" s="798"/>
      <c r="CIJ82" s="798"/>
      <c r="CIK82" s="798"/>
      <c r="CIL82" s="798"/>
      <c r="CIM82" s="798"/>
      <c r="CIN82" s="798"/>
      <c r="CIO82" s="798"/>
      <c r="CIP82" s="798"/>
      <c r="CIQ82" s="798"/>
      <c r="CIR82" s="798"/>
      <c r="CIS82" s="798"/>
      <c r="CIT82" s="798"/>
      <c r="CIU82" s="798"/>
      <c r="CIV82" s="798"/>
      <c r="CIW82" s="798"/>
      <c r="CIX82" s="798"/>
      <c r="CIY82" s="798"/>
      <c r="CIZ82" s="798"/>
      <c r="CJA82" s="798"/>
      <c r="CJB82" s="798"/>
      <c r="CJC82" s="798"/>
      <c r="CJD82" s="798"/>
      <c r="CJE82" s="798"/>
      <c r="CJF82" s="798"/>
      <c r="CJG82" s="798"/>
      <c r="CJH82" s="798"/>
      <c r="CJI82" s="798"/>
      <c r="CJJ82" s="798"/>
      <c r="CJK82" s="798"/>
      <c r="CJL82" s="798"/>
      <c r="CJM82" s="798"/>
      <c r="CJN82" s="798"/>
      <c r="CJO82" s="798"/>
      <c r="CJP82" s="798"/>
      <c r="CJQ82" s="798"/>
      <c r="CJR82" s="798"/>
      <c r="CJS82" s="798"/>
      <c r="CJT82" s="798"/>
      <c r="CJU82" s="798"/>
      <c r="CJV82" s="798"/>
      <c r="CJW82" s="798"/>
      <c r="CJX82" s="798"/>
      <c r="CJY82" s="798"/>
      <c r="CJZ82" s="798"/>
      <c r="CKA82" s="798"/>
      <c r="CKB82" s="798"/>
      <c r="CKC82" s="798"/>
      <c r="CKD82" s="798"/>
      <c r="CKE82" s="798"/>
      <c r="CKF82" s="798"/>
      <c r="CKG82" s="798"/>
      <c r="CKH82" s="798"/>
      <c r="CKI82" s="798"/>
      <c r="CKJ82" s="798"/>
      <c r="CKK82" s="798"/>
      <c r="CKL82" s="798"/>
      <c r="CKM82" s="798"/>
      <c r="CKN82" s="798"/>
      <c r="CKO82" s="798"/>
      <c r="CKP82" s="798"/>
      <c r="CKQ82" s="798"/>
      <c r="CKR82" s="798"/>
      <c r="CKS82" s="798"/>
      <c r="CKT82" s="798"/>
      <c r="CKU82" s="798"/>
      <c r="CKV82" s="798"/>
      <c r="CKW82" s="798"/>
      <c r="CKX82" s="798"/>
      <c r="CKY82" s="798"/>
      <c r="CKZ82" s="798"/>
      <c r="CLA82" s="798"/>
      <c r="CLB82" s="798"/>
      <c r="CLC82" s="798"/>
      <c r="CLD82" s="798"/>
      <c r="CLE82" s="798"/>
      <c r="CLF82" s="798"/>
      <c r="CLG82" s="798"/>
      <c r="CLH82" s="798"/>
      <c r="CLI82" s="798"/>
      <c r="CLJ82" s="798"/>
      <c r="CLK82" s="798"/>
      <c r="CLL82" s="798"/>
      <c r="CLM82" s="798"/>
      <c r="CLN82" s="798"/>
      <c r="CLO82" s="798"/>
      <c r="CLP82" s="798"/>
      <c r="CLQ82" s="798"/>
      <c r="CLR82" s="798"/>
      <c r="CLS82" s="798"/>
      <c r="CLT82" s="798"/>
      <c r="CLU82" s="798"/>
      <c r="CLV82" s="798"/>
      <c r="CLW82" s="798"/>
      <c r="CLX82" s="798"/>
      <c r="CLY82" s="798"/>
      <c r="CLZ82" s="798"/>
      <c r="CMA82" s="798"/>
      <c r="CMB82" s="798"/>
      <c r="CMC82" s="798"/>
      <c r="CMD82" s="798"/>
      <c r="CME82" s="798"/>
      <c r="CMF82" s="798"/>
      <c r="CMG82" s="798"/>
      <c r="CMH82" s="798"/>
      <c r="CMI82" s="798"/>
      <c r="CMJ82" s="798"/>
      <c r="CMK82" s="798"/>
      <c r="CML82" s="798"/>
      <c r="CMM82" s="798"/>
      <c r="CMN82" s="798"/>
      <c r="CMO82" s="798"/>
      <c r="CMP82" s="798"/>
      <c r="CMQ82" s="798"/>
      <c r="CMR82" s="798"/>
      <c r="CMS82" s="798"/>
      <c r="CMT82" s="798"/>
      <c r="CMU82" s="798"/>
      <c r="CMV82" s="798"/>
      <c r="CMW82" s="798"/>
      <c r="CMX82" s="798"/>
      <c r="CMY82" s="798"/>
      <c r="CMZ82" s="798"/>
      <c r="CNA82" s="798"/>
      <c r="CNB82" s="798"/>
      <c r="CNC82" s="798"/>
      <c r="CND82" s="798"/>
      <c r="CNE82" s="798"/>
      <c r="CNF82" s="798"/>
      <c r="CNG82" s="798"/>
      <c r="CNH82" s="798"/>
      <c r="CNI82" s="798"/>
      <c r="CNJ82" s="798"/>
      <c r="CNK82" s="798"/>
      <c r="CNL82" s="798"/>
      <c r="CNM82" s="798"/>
      <c r="CNN82" s="798"/>
      <c r="CNO82" s="798"/>
      <c r="CNP82" s="798"/>
      <c r="CNQ82" s="798"/>
      <c r="CNR82" s="798"/>
      <c r="CNS82" s="798"/>
      <c r="CNT82" s="798"/>
      <c r="CNU82" s="798"/>
      <c r="CNV82" s="798"/>
      <c r="CNW82" s="798"/>
      <c r="CNX82" s="798"/>
      <c r="CNY82" s="798"/>
      <c r="CNZ82" s="798"/>
      <c r="COA82" s="798"/>
      <c r="COB82" s="798"/>
      <c r="COC82" s="798"/>
      <c r="COD82" s="798"/>
      <c r="COE82" s="798"/>
      <c r="COF82" s="798"/>
      <c r="COG82" s="798"/>
      <c r="COH82" s="798"/>
      <c r="COI82" s="798"/>
      <c r="COJ82" s="798"/>
      <c r="COK82" s="798"/>
      <c r="COL82" s="798"/>
      <c r="COM82" s="798"/>
      <c r="CON82" s="798"/>
      <c r="COO82" s="798"/>
      <c r="COP82" s="798"/>
      <c r="COQ82" s="798"/>
      <c r="COR82" s="798"/>
      <c r="COS82" s="798"/>
      <c r="COT82" s="798"/>
      <c r="COU82" s="798"/>
      <c r="COV82" s="798"/>
      <c r="COW82" s="798"/>
      <c r="COX82" s="798"/>
      <c r="COY82" s="798"/>
      <c r="COZ82" s="798"/>
      <c r="CPA82" s="798"/>
      <c r="CPB82" s="798"/>
      <c r="CPC82" s="798"/>
      <c r="CPD82" s="798"/>
      <c r="CPE82" s="798"/>
      <c r="CPF82" s="798"/>
      <c r="CPG82" s="798"/>
      <c r="CPH82" s="798"/>
      <c r="CPI82" s="798"/>
      <c r="CPJ82" s="798"/>
      <c r="CPK82" s="798"/>
      <c r="CPL82" s="798"/>
      <c r="CPM82" s="798"/>
      <c r="CPN82" s="798"/>
      <c r="CPO82" s="798"/>
      <c r="CPP82" s="798"/>
      <c r="CPQ82" s="798"/>
      <c r="CPR82" s="798"/>
      <c r="CPS82" s="798"/>
      <c r="CPT82" s="798"/>
      <c r="CPU82" s="798"/>
      <c r="CPV82" s="798"/>
      <c r="CPW82" s="798"/>
      <c r="CPX82" s="798"/>
      <c r="CPY82" s="798"/>
      <c r="CPZ82" s="798"/>
      <c r="CQA82" s="798"/>
      <c r="CQB82" s="798"/>
      <c r="CQC82" s="798"/>
      <c r="CQD82" s="798"/>
      <c r="CQE82" s="798"/>
      <c r="CQF82" s="798"/>
      <c r="CQG82" s="798"/>
      <c r="CQH82" s="798"/>
      <c r="CQI82" s="798"/>
      <c r="CQJ82" s="798"/>
      <c r="CQK82" s="798"/>
      <c r="CQL82" s="798"/>
      <c r="CQM82" s="798"/>
      <c r="CQN82" s="798"/>
      <c r="CQO82" s="798"/>
      <c r="CQP82" s="798"/>
      <c r="CQQ82" s="798"/>
      <c r="CQR82" s="798"/>
      <c r="CQS82" s="798"/>
      <c r="CQT82" s="798"/>
      <c r="CQU82" s="798"/>
      <c r="CQV82" s="798"/>
      <c r="CQW82" s="798"/>
      <c r="CQX82" s="798"/>
      <c r="CQY82" s="798"/>
      <c r="CQZ82" s="798"/>
      <c r="CRA82" s="798"/>
      <c r="CRB82" s="798"/>
      <c r="CRC82" s="798"/>
      <c r="CRD82" s="798"/>
      <c r="CRE82" s="798"/>
      <c r="CRF82" s="798"/>
      <c r="CRG82" s="798"/>
      <c r="CRH82" s="798"/>
      <c r="CRI82" s="798"/>
      <c r="CRJ82" s="798"/>
      <c r="CRK82" s="798"/>
      <c r="CRL82" s="798"/>
      <c r="CRM82" s="798"/>
      <c r="CRN82" s="798"/>
      <c r="CRO82" s="798"/>
      <c r="CRP82" s="798"/>
      <c r="CRQ82" s="798"/>
      <c r="CRR82" s="798"/>
      <c r="CRS82" s="798"/>
      <c r="CRT82" s="798"/>
      <c r="CRU82" s="798"/>
      <c r="CRV82" s="798"/>
      <c r="CRW82" s="798"/>
      <c r="CRX82" s="798"/>
      <c r="CRY82" s="798"/>
      <c r="CRZ82" s="798"/>
      <c r="CSA82" s="798"/>
      <c r="CSB82" s="798"/>
      <c r="CSC82" s="798"/>
      <c r="CSD82" s="798"/>
      <c r="CSE82" s="798"/>
      <c r="CSF82" s="798"/>
      <c r="CSG82" s="798"/>
      <c r="CSH82" s="798"/>
      <c r="CSI82" s="798"/>
      <c r="CSJ82" s="798"/>
      <c r="CSK82" s="798"/>
      <c r="CSL82" s="798"/>
      <c r="CSM82" s="798"/>
      <c r="CSN82" s="798"/>
      <c r="CSO82" s="798"/>
      <c r="CSP82" s="798"/>
      <c r="CSQ82" s="798"/>
      <c r="CSR82" s="798"/>
      <c r="CSS82" s="798"/>
      <c r="CST82" s="798"/>
      <c r="CSU82" s="798"/>
      <c r="CSV82" s="798"/>
      <c r="CSW82" s="798"/>
      <c r="CSX82" s="798"/>
      <c r="CSY82" s="798"/>
      <c r="CSZ82" s="798"/>
      <c r="CTA82" s="798"/>
      <c r="CTB82" s="798"/>
      <c r="CTC82" s="798"/>
      <c r="CTD82" s="798"/>
      <c r="CTE82" s="798"/>
      <c r="CTF82" s="798"/>
      <c r="CTG82" s="798"/>
      <c r="CTH82" s="798"/>
      <c r="CTI82" s="798"/>
      <c r="CTJ82" s="798"/>
      <c r="CTK82" s="798"/>
      <c r="CTL82" s="798"/>
      <c r="CTM82" s="798"/>
      <c r="CTN82" s="798"/>
      <c r="CTO82" s="798"/>
      <c r="CTP82" s="798"/>
      <c r="CTQ82" s="798"/>
      <c r="CTR82" s="798"/>
      <c r="CTS82" s="798"/>
      <c r="CTT82" s="798"/>
      <c r="CTU82" s="798"/>
      <c r="CTV82" s="798"/>
      <c r="CTW82" s="798"/>
      <c r="CTX82" s="798"/>
      <c r="CTY82" s="798"/>
      <c r="CTZ82" s="798"/>
      <c r="CUA82" s="798"/>
      <c r="CUB82" s="798"/>
      <c r="CUC82" s="798"/>
      <c r="CUD82" s="798"/>
      <c r="CUE82" s="798"/>
      <c r="CUF82" s="798"/>
      <c r="CUG82" s="798"/>
      <c r="CUH82" s="798"/>
      <c r="CUI82" s="798"/>
      <c r="CUJ82" s="798"/>
      <c r="CUK82" s="798"/>
      <c r="CUL82" s="798"/>
      <c r="CUM82" s="798"/>
      <c r="CUN82" s="798"/>
      <c r="CUO82" s="798"/>
      <c r="CUP82" s="798"/>
      <c r="CUQ82" s="798"/>
      <c r="CUR82" s="798"/>
      <c r="CUS82" s="798"/>
      <c r="CUT82" s="798"/>
      <c r="CUU82" s="798"/>
      <c r="CUV82" s="798"/>
      <c r="CUW82" s="798"/>
      <c r="CUX82" s="798"/>
      <c r="CUY82" s="798"/>
      <c r="CUZ82" s="798"/>
      <c r="CVA82" s="798"/>
      <c r="CVB82" s="798"/>
      <c r="CVC82" s="798"/>
      <c r="CVD82" s="798"/>
      <c r="CVE82" s="798"/>
      <c r="CVF82" s="798"/>
      <c r="CVG82" s="798"/>
      <c r="CVH82" s="798"/>
      <c r="CVI82" s="798"/>
      <c r="CVJ82" s="798"/>
      <c r="CVK82" s="798"/>
      <c r="CVL82" s="798"/>
      <c r="CVM82" s="798"/>
      <c r="CVN82" s="798"/>
      <c r="CVO82" s="798"/>
      <c r="CVP82" s="798"/>
      <c r="CVQ82" s="798"/>
      <c r="CVR82" s="798"/>
      <c r="CVS82" s="798"/>
      <c r="CVT82" s="798"/>
      <c r="CVU82" s="798"/>
      <c r="CVV82" s="798"/>
      <c r="CVW82" s="798"/>
      <c r="CVX82" s="798"/>
      <c r="CVY82" s="798"/>
      <c r="CVZ82" s="798"/>
      <c r="CWA82" s="798"/>
      <c r="CWB82" s="798"/>
      <c r="CWC82" s="798"/>
      <c r="CWD82" s="798"/>
      <c r="CWE82" s="798"/>
      <c r="CWF82" s="798"/>
      <c r="CWG82" s="798"/>
      <c r="CWH82" s="798"/>
      <c r="CWI82" s="798"/>
      <c r="CWJ82" s="798"/>
      <c r="CWK82" s="798"/>
      <c r="CWL82" s="798"/>
      <c r="CWM82" s="798"/>
      <c r="CWN82" s="798"/>
      <c r="CWO82" s="798"/>
      <c r="CWP82" s="798"/>
      <c r="CWQ82" s="798"/>
      <c r="CWR82" s="798"/>
      <c r="CWS82" s="798"/>
      <c r="CWT82" s="798"/>
      <c r="CWU82" s="798"/>
      <c r="CWV82" s="798"/>
      <c r="CWW82" s="798"/>
      <c r="CWX82" s="798"/>
      <c r="CWY82" s="798"/>
      <c r="CWZ82" s="798"/>
      <c r="CXA82" s="798"/>
      <c r="CXB82" s="798"/>
      <c r="CXC82" s="798"/>
      <c r="CXD82" s="798"/>
      <c r="CXE82" s="798"/>
      <c r="CXF82" s="798"/>
      <c r="CXG82" s="798"/>
      <c r="CXH82" s="798"/>
      <c r="CXI82" s="798"/>
      <c r="CXJ82" s="798"/>
      <c r="CXK82" s="798"/>
      <c r="CXL82" s="798"/>
      <c r="CXM82" s="798"/>
      <c r="CXN82" s="798"/>
      <c r="CXO82" s="798"/>
      <c r="CXP82" s="798"/>
      <c r="CXQ82" s="798"/>
      <c r="CXR82" s="798"/>
      <c r="CXS82" s="798"/>
      <c r="CXT82" s="798"/>
      <c r="CXU82" s="798"/>
      <c r="CXV82" s="798"/>
      <c r="CXW82" s="798"/>
      <c r="CXX82" s="798"/>
      <c r="CXY82" s="798"/>
      <c r="CXZ82" s="798"/>
      <c r="CYA82" s="798"/>
      <c r="CYB82" s="798"/>
      <c r="CYC82" s="798"/>
      <c r="CYD82" s="798"/>
      <c r="CYE82" s="798"/>
      <c r="CYF82" s="798"/>
      <c r="CYG82" s="798"/>
      <c r="CYH82" s="798"/>
      <c r="CYI82" s="798"/>
      <c r="CYJ82" s="798"/>
      <c r="CYK82" s="798"/>
      <c r="CYL82" s="798"/>
      <c r="CYM82" s="798"/>
      <c r="CYN82" s="798"/>
      <c r="CYO82" s="798"/>
      <c r="CYP82" s="798"/>
      <c r="CYQ82" s="798"/>
      <c r="CYR82" s="798"/>
      <c r="CYS82" s="798"/>
      <c r="CYT82" s="798"/>
      <c r="CYU82" s="798"/>
      <c r="CYV82" s="798"/>
      <c r="CYW82" s="798"/>
      <c r="CYX82" s="798"/>
      <c r="CYY82" s="798"/>
      <c r="CYZ82" s="798"/>
      <c r="CZA82" s="798"/>
      <c r="CZB82" s="798"/>
      <c r="CZC82" s="798"/>
      <c r="CZD82" s="798"/>
      <c r="CZE82" s="798"/>
      <c r="CZF82" s="798"/>
      <c r="CZG82" s="798"/>
      <c r="CZH82" s="798"/>
      <c r="CZI82" s="798"/>
      <c r="CZJ82" s="798"/>
      <c r="CZK82" s="798"/>
      <c r="CZL82" s="798"/>
      <c r="CZM82" s="798"/>
      <c r="CZN82" s="798"/>
      <c r="CZO82" s="798"/>
      <c r="CZP82" s="798"/>
      <c r="CZQ82" s="798"/>
      <c r="CZR82" s="798"/>
      <c r="CZS82" s="798"/>
      <c r="CZT82" s="798"/>
      <c r="CZU82" s="798"/>
      <c r="CZV82" s="798"/>
      <c r="CZW82" s="798"/>
      <c r="CZX82" s="798"/>
      <c r="CZY82" s="798"/>
      <c r="CZZ82" s="798"/>
      <c r="DAA82" s="798"/>
      <c r="DAB82" s="798"/>
      <c r="DAC82" s="798"/>
      <c r="DAD82" s="798"/>
      <c r="DAE82" s="798"/>
      <c r="DAF82" s="798"/>
      <c r="DAG82" s="798"/>
      <c r="DAH82" s="798"/>
      <c r="DAI82" s="798"/>
      <c r="DAJ82" s="798"/>
      <c r="DAK82" s="798"/>
      <c r="DAL82" s="798"/>
      <c r="DAM82" s="798"/>
      <c r="DAN82" s="798"/>
      <c r="DAO82" s="798"/>
      <c r="DAP82" s="798"/>
      <c r="DAQ82" s="798"/>
      <c r="DAR82" s="798"/>
      <c r="DAS82" s="798"/>
      <c r="DAT82" s="798"/>
      <c r="DAU82" s="798"/>
      <c r="DAV82" s="798"/>
      <c r="DAW82" s="798"/>
      <c r="DAX82" s="798"/>
      <c r="DAY82" s="798"/>
      <c r="DAZ82" s="798"/>
      <c r="DBA82" s="798"/>
      <c r="DBB82" s="798"/>
      <c r="DBC82" s="798"/>
      <c r="DBD82" s="798"/>
      <c r="DBE82" s="798"/>
      <c r="DBF82" s="798"/>
      <c r="DBG82" s="798"/>
      <c r="DBH82" s="798"/>
      <c r="DBI82" s="798"/>
      <c r="DBJ82" s="798"/>
      <c r="DBK82" s="798"/>
      <c r="DBL82" s="798"/>
      <c r="DBM82" s="798"/>
      <c r="DBN82" s="798"/>
      <c r="DBO82" s="798"/>
      <c r="DBP82" s="798"/>
      <c r="DBQ82" s="798"/>
      <c r="DBR82" s="798"/>
      <c r="DBS82" s="798"/>
      <c r="DBT82" s="798"/>
      <c r="DBU82" s="798"/>
      <c r="DBV82" s="798"/>
      <c r="DBW82" s="798"/>
      <c r="DBX82" s="798"/>
      <c r="DBY82" s="798"/>
      <c r="DBZ82" s="798"/>
      <c r="DCA82" s="798"/>
      <c r="DCB82" s="798"/>
      <c r="DCC82" s="798"/>
      <c r="DCD82" s="798"/>
      <c r="DCE82" s="798"/>
      <c r="DCF82" s="798"/>
      <c r="DCG82" s="798"/>
      <c r="DCH82" s="798"/>
      <c r="DCI82" s="798"/>
      <c r="DCJ82" s="798"/>
      <c r="DCK82" s="798"/>
      <c r="DCL82" s="798"/>
      <c r="DCM82" s="798"/>
      <c r="DCN82" s="798"/>
      <c r="DCO82" s="798"/>
      <c r="DCP82" s="798"/>
      <c r="DCQ82" s="798"/>
      <c r="DCR82" s="798"/>
      <c r="DCS82" s="798"/>
      <c r="DCT82" s="798"/>
      <c r="DCU82" s="798"/>
      <c r="DCV82" s="798"/>
      <c r="DCW82" s="798"/>
      <c r="DCX82" s="798"/>
      <c r="DCY82" s="798"/>
      <c r="DCZ82" s="798"/>
      <c r="DDA82" s="798"/>
      <c r="DDB82" s="798"/>
      <c r="DDC82" s="798"/>
      <c r="DDD82" s="798"/>
      <c r="DDE82" s="798"/>
      <c r="DDF82" s="798"/>
      <c r="DDG82" s="798"/>
      <c r="DDH82" s="798"/>
      <c r="DDI82" s="798"/>
      <c r="DDJ82" s="798"/>
      <c r="DDK82" s="798"/>
      <c r="DDL82" s="798"/>
      <c r="DDM82" s="798"/>
      <c r="DDN82" s="798"/>
      <c r="DDO82" s="798"/>
      <c r="DDP82" s="798"/>
      <c r="DDQ82" s="798"/>
      <c r="DDR82" s="798"/>
      <c r="DDS82" s="798"/>
      <c r="DDT82" s="798"/>
      <c r="DDU82" s="798"/>
      <c r="DDV82" s="798"/>
      <c r="DDW82" s="798"/>
      <c r="DDX82" s="798"/>
      <c r="DDY82" s="798"/>
      <c r="DDZ82" s="798"/>
      <c r="DEA82" s="798"/>
      <c r="DEB82" s="798"/>
      <c r="DEC82" s="798"/>
      <c r="DED82" s="798"/>
      <c r="DEE82" s="798"/>
      <c r="DEF82" s="798"/>
      <c r="DEG82" s="798"/>
      <c r="DEH82" s="798"/>
      <c r="DEI82" s="798"/>
      <c r="DEJ82" s="798"/>
      <c r="DEK82" s="798"/>
      <c r="DEL82" s="798"/>
      <c r="DEM82" s="798"/>
      <c r="DEN82" s="798"/>
      <c r="DEO82" s="798"/>
      <c r="DEP82" s="798"/>
      <c r="DEQ82" s="798"/>
      <c r="DER82" s="798"/>
      <c r="DES82" s="798"/>
      <c r="DET82" s="798"/>
      <c r="DEU82" s="798"/>
      <c r="DEV82" s="798"/>
      <c r="DEW82" s="798"/>
      <c r="DEX82" s="798"/>
      <c r="DEY82" s="798"/>
      <c r="DEZ82" s="798"/>
      <c r="DFA82" s="798"/>
      <c r="DFB82" s="798"/>
      <c r="DFC82" s="798"/>
      <c r="DFD82" s="798"/>
      <c r="DFE82" s="798"/>
      <c r="DFF82" s="798"/>
      <c r="DFG82" s="798"/>
      <c r="DFH82" s="798"/>
      <c r="DFI82" s="798"/>
      <c r="DFJ82" s="798"/>
      <c r="DFK82" s="798"/>
      <c r="DFL82" s="798"/>
      <c r="DFM82" s="798"/>
      <c r="DFN82" s="798"/>
      <c r="DFO82" s="798"/>
      <c r="DFP82" s="798"/>
      <c r="DFQ82" s="798"/>
      <c r="DFR82" s="798"/>
      <c r="DFS82" s="798"/>
      <c r="DFT82" s="798"/>
      <c r="DFU82" s="798"/>
      <c r="DFV82" s="798"/>
      <c r="DFW82" s="798"/>
      <c r="DFX82" s="798"/>
      <c r="DFY82" s="798"/>
      <c r="DFZ82" s="798"/>
      <c r="DGA82" s="798"/>
      <c r="DGB82" s="798"/>
      <c r="DGC82" s="798"/>
      <c r="DGD82" s="798"/>
      <c r="DGE82" s="798"/>
      <c r="DGF82" s="798"/>
      <c r="DGG82" s="798"/>
      <c r="DGH82" s="798"/>
      <c r="DGI82" s="798"/>
      <c r="DGJ82" s="798"/>
      <c r="DGK82" s="798"/>
      <c r="DGL82" s="798"/>
      <c r="DGM82" s="798"/>
      <c r="DGN82" s="798"/>
      <c r="DGO82" s="798"/>
      <c r="DGP82" s="798"/>
      <c r="DGQ82" s="798"/>
      <c r="DGR82" s="798"/>
      <c r="DGS82" s="798"/>
      <c r="DGT82" s="798"/>
      <c r="DGU82" s="798"/>
      <c r="DGV82" s="798"/>
      <c r="DGW82" s="798"/>
      <c r="DGX82" s="798"/>
      <c r="DGY82" s="798"/>
      <c r="DGZ82" s="798"/>
      <c r="DHA82" s="798"/>
      <c r="DHB82" s="798"/>
      <c r="DHC82" s="798"/>
      <c r="DHD82" s="798"/>
      <c r="DHE82" s="798"/>
      <c r="DHF82" s="798"/>
      <c r="DHG82" s="798"/>
      <c r="DHH82" s="798"/>
      <c r="DHI82" s="798"/>
      <c r="DHJ82" s="798"/>
      <c r="DHK82" s="798"/>
      <c r="DHL82" s="798"/>
      <c r="DHM82" s="798"/>
      <c r="DHN82" s="798"/>
      <c r="DHO82" s="798"/>
      <c r="DHP82" s="798"/>
      <c r="DHQ82" s="798"/>
      <c r="DHR82" s="798"/>
      <c r="DHS82" s="798"/>
      <c r="DHT82" s="798"/>
      <c r="DHU82" s="798"/>
      <c r="DHV82" s="798"/>
      <c r="DHW82" s="798"/>
      <c r="DHX82" s="798"/>
      <c r="DHY82" s="798"/>
      <c r="DHZ82" s="798"/>
      <c r="DIA82" s="798"/>
      <c r="DIB82" s="798"/>
      <c r="DIC82" s="798"/>
      <c r="DID82" s="798"/>
      <c r="DIE82" s="798"/>
      <c r="DIF82" s="798"/>
      <c r="DIG82" s="798"/>
      <c r="DIH82" s="798"/>
      <c r="DII82" s="798"/>
      <c r="DIJ82" s="798"/>
      <c r="DIK82" s="798"/>
      <c r="DIL82" s="798"/>
      <c r="DIM82" s="798"/>
      <c r="DIN82" s="798"/>
      <c r="DIO82" s="798"/>
      <c r="DIP82" s="798"/>
      <c r="DIQ82" s="798"/>
      <c r="DIR82" s="798"/>
      <c r="DIS82" s="798"/>
      <c r="DIT82" s="798"/>
      <c r="DIU82" s="798"/>
      <c r="DIV82" s="798"/>
      <c r="DIW82" s="798"/>
      <c r="DIX82" s="798"/>
      <c r="DIY82" s="798"/>
      <c r="DIZ82" s="798"/>
      <c r="DJA82" s="798"/>
      <c r="DJB82" s="798"/>
      <c r="DJC82" s="798"/>
      <c r="DJD82" s="798"/>
      <c r="DJE82" s="798"/>
      <c r="DJF82" s="798"/>
      <c r="DJG82" s="798"/>
      <c r="DJH82" s="798"/>
      <c r="DJI82" s="798"/>
      <c r="DJJ82" s="798"/>
      <c r="DJK82" s="798"/>
      <c r="DJL82" s="798"/>
      <c r="DJM82" s="798"/>
      <c r="DJN82" s="798"/>
      <c r="DJO82" s="798"/>
      <c r="DJP82" s="798"/>
      <c r="DJQ82" s="798"/>
      <c r="DJR82" s="798"/>
      <c r="DJS82" s="798"/>
      <c r="DJT82" s="798"/>
      <c r="DJU82" s="798"/>
      <c r="DJV82" s="798"/>
      <c r="DJW82" s="798"/>
      <c r="DJX82" s="798"/>
      <c r="DJY82" s="798"/>
      <c r="DJZ82" s="798"/>
      <c r="DKA82" s="798"/>
      <c r="DKB82" s="798"/>
      <c r="DKC82" s="798"/>
      <c r="DKD82" s="798"/>
      <c r="DKE82" s="798"/>
      <c r="DKF82" s="798"/>
      <c r="DKG82" s="798"/>
      <c r="DKH82" s="798"/>
      <c r="DKI82" s="798"/>
      <c r="DKJ82" s="798"/>
      <c r="DKK82" s="798"/>
      <c r="DKL82" s="798"/>
      <c r="DKM82" s="798"/>
      <c r="DKN82" s="798"/>
      <c r="DKO82" s="798"/>
      <c r="DKP82" s="798"/>
      <c r="DKQ82" s="798"/>
      <c r="DKR82" s="798"/>
      <c r="DKS82" s="798"/>
      <c r="DKT82" s="798"/>
      <c r="DKU82" s="798"/>
      <c r="DKV82" s="798"/>
      <c r="DKW82" s="798"/>
      <c r="DKX82" s="798"/>
      <c r="DKY82" s="798"/>
      <c r="DKZ82" s="798"/>
      <c r="DLA82" s="798"/>
      <c r="DLB82" s="798"/>
      <c r="DLC82" s="798"/>
      <c r="DLD82" s="798"/>
      <c r="DLE82" s="798"/>
      <c r="DLF82" s="798"/>
      <c r="DLG82" s="798"/>
      <c r="DLH82" s="798"/>
      <c r="DLI82" s="798"/>
      <c r="DLJ82" s="798"/>
      <c r="DLK82" s="798"/>
      <c r="DLL82" s="798"/>
      <c r="DLM82" s="798"/>
      <c r="DLN82" s="798"/>
      <c r="DLO82" s="798"/>
      <c r="DLP82" s="798"/>
      <c r="DLQ82" s="798"/>
      <c r="DLR82" s="798"/>
      <c r="DLS82" s="798"/>
      <c r="DLT82" s="798"/>
      <c r="DLU82" s="798"/>
      <c r="DLV82" s="798"/>
      <c r="DLW82" s="798"/>
      <c r="DLX82" s="798"/>
      <c r="DLY82" s="798"/>
      <c r="DLZ82" s="798"/>
      <c r="DMA82" s="798"/>
      <c r="DMB82" s="798"/>
      <c r="DMC82" s="798"/>
      <c r="DMD82" s="798"/>
      <c r="DME82" s="798"/>
      <c r="DMF82" s="798"/>
      <c r="DMG82" s="798"/>
      <c r="DMH82" s="798"/>
      <c r="DMI82" s="798"/>
      <c r="DMJ82" s="798"/>
      <c r="DMK82" s="798"/>
      <c r="DML82" s="798"/>
      <c r="DMM82" s="798"/>
      <c r="DMN82" s="798"/>
      <c r="DMO82" s="798"/>
      <c r="DMP82" s="798"/>
      <c r="DMQ82" s="798"/>
      <c r="DMR82" s="798"/>
      <c r="DMS82" s="798"/>
      <c r="DMT82" s="798"/>
      <c r="DMU82" s="798"/>
      <c r="DMV82" s="798"/>
      <c r="DMW82" s="798"/>
      <c r="DMX82" s="798"/>
      <c r="DMY82" s="798"/>
      <c r="DMZ82" s="798"/>
      <c r="DNA82" s="798"/>
      <c r="DNB82" s="798"/>
      <c r="DNC82" s="798"/>
      <c r="DND82" s="798"/>
      <c r="DNE82" s="798"/>
      <c r="DNF82" s="798"/>
      <c r="DNG82" s="798"/>
      <c r="DNH82" s="798"/>
      <c r="DNI82" s="798"/>
      <c r="DNJ82" s="798"/>
      <c r="DNK82" s="798"/>
      <c r="DNL82" s="798"/>
      <c r="DNM82" s="798"/>
      <c r="DNN82" s="798"/>
      <c r="DNO82" s="798"/>
      <c r="DNP82" s="798"/>
      <c r="DNQ82" s="798"/>
      <c r="DNR82" s="798"/>
      <c r="DNS82" s="798"/>
      <c r="DNT82" s="798"/>
      <c r="DNU82" s="798"/>
      <c r="DNV82" s="798"/>
      <c r="DNW82" s="798"/>
      <c r="DNX82" s="798"/>
      <c r="DNY82" s="798"/>
      <c r="DNZ82" s="798"/>
      <c r="DOA82" s="798"/>
      <c r="DOB82" s="798"/>
      <c r="DOC82" s="798"/>
      <c r="DOD82" s="798"/>
      <c r="DOE82" s="798"/>
      <c r="DOF82" s="798"/>
      <c r="DOG82" s="798"/>
      <c r="DOH82" s="798"/>
      <c r="DOI82" s="798"/>
      <c r="DOJ82" s="798"/>
      <c r="DOK82" s="798"/>
      <c r="DOL82" s="798"/>
      <c r="DOM82" s="798"/>
      <c r="DON82" s="798"/>
      <c r="DOO82" s="798"/>
      <c r="DOP82" s="798"/>
      <c r="DOQ82" s="798"/>
      <c r="DOR82" s="798"/>
      <c r="DOS82" s="798"/>
      <c r="DOT82" s="798"/>
      <c r="DOU82" s="798"/>
      <c r="DOV82" s="798"/>
      <c r="DOW82" s="798"/>
      <c r="DOX82" s="798"/>
      <c r="DOY82" s="798"/>
      <c r="DOZ82" s="798"/>
      <c r="DPA82" s="798"/>
      <c r="DPB82" s="798"/>
      <c r="DPC82" s="798"/>
      <c r="DPD82" s="798"/>
      <c r="DPE82" s="798"/>
      <c r="DPF82" s="798"/>
      <c r="DPG82" s="798"/>
      <c r="DPH82" s="798"/>
      <c r="DPI82" s="798"/>
      <c r="DPJ82" s="798"/>
      <c r="DPK82" s="798"/>
      <c r="DPL82" s="798"/>
      <c r="DPM82" s="798"/>
      <c r="DPN82" s="798"/>
      <c r="DPO82" s="798"/>
      <c r="DPP82" s="798"/>
      <c r="DPQ82" s="798"/>
      <c r="DPR82" s="798"/>
      <c r="DPS82" s="798"/>
      <c r="DPT82" s="798"/>
      <c r="DPU82" s="798"/>
      <c r="DPV82" s="798"/>
      <c r="DPW82" s="798"/>
      <c r="DPX82" s="798"/>
      <c r="DPY82" s="798"/>
      <c r="DPZ82" s="798"/>
      <c r="DQA82" s="798"/>
      <c r="DQB82" s="798"/>
      <c r="DQC82" s="798"/>
      <c r="DQD82" s="798"/>
      <c r="DQE82" s="798"/>
      <c r="DQF82" s="798"/>
      <c r="DQG82" s="798"/>
      <c r="DQH82" s="798"/>
      <c r="DQI82" s="798"/>
      <c r="DQJ82" s="798"/>
      <c r="DQK82" s="798"/>
      <c r="DQL82" s="798"/>
      <c r="DQM82" s="798"/>
      <c r="DQN82" s="798"/>
      <c r="DQO82" s="798"/>
      <c r="DQP82" s="798"/>
      <c r="DQQ82" s="798"/>
      <c r="DQR82" s="798"/>
      <c r="DQS82" s="798"/>
      <c r="DQT82" s="798"/>
      <c r="DQU82" s="798"/>
      <c r="DQV82" s="798"/>
      <c r="DQW82" s="798"/>
      <c r="DQX82" s="798"/>
      <c r="DQY82" s="798"/>
      <c r="DQZ82" s="798"/>
      <c r="DRA82" s="798"/>
      <c r="DRB82" s="798"/>
      <c r="DRC82" s="798"/>
      <c r="DRD82" s="798"/>
      <c r="DRE82" s="798"/>
      <c r="DRF82" s="798"/>
      <c r="DRG82" s="798"/>
      <c r="DRH82" s="798"/>
      <c r="DRI82" s="798"/>
      <c r="DRJ82" s="798"/>
      <c r="DRK82" s="798"/>
      <c r="DRL82" s="798"/>
      <c r="DRM82" s="798"/>
      <c r="DRN82" s="798"/>
      <c r="DRO82" s="798"/>
      <c r="DRP82" s="798"/>
      <c r="DRQ82" s="798"/>
      <c r="DRR82" s="798"/>
      <c r="DRS82" s="798"/>
      <c r="DRT82" s="798"/>
      <c r="DRU82" s="798"/>
      <c r="DRV82" s="798"/>
      <c r="DRW82" s="798"/>
      <c r="DRX82" s="798"/>
      <c r="DRY82" s="798"/>
      <c r="DRZ82" s="798"/>
      <c r="DSA82" s="798"/>
      <c r="DSB82" s="798"/>
      <c r="DSC82" s="798"/>
      <c r="DSD82" s="798"/>
      <c r="DSE82" s="798"/>
      <c r="DSF82" s="798"/>
      <c r="DSG82" s="798"/>
      <c r="DSH82" s="798"/>
      <c r="DSI82" s="798"/>
      <c r="DSJ82" s="798"/>
      <c r="DSK82" s="798"/>
      <c r="DSL82" s="798"/>
      <c r="DSM82" s="798"/>
      <c r="DSN82" s="798"/>
      <c r="DSO82" s="798"/>
      <c r="DSP82" s="798"/>
      <c r="DSQ82" s="798"/>
      <c r="DSR82" s="798"/>
      <c r="DSS82" s="798"/>
      <c r="DST82" s="798"/>
      <c r="DSU82" s="798"/>
      <c r="DSV82" s="798"/>
      <c r="DSW82" s="798"/>
      <c r="DSX82" s="798"/>
      <c r="DSY82" s="798"/>
      <c r="DSZ82" s="798"/>
      <c r="DTA82" s="798"/>
      <c r="DTB82" s="798"/>
      <c r="DTC82" s="798"/>
      <c r="DTD82" s="798"/>
      <c r="DTE82" s="798"/>
      <c r="DTF82" s="798"/>
      <c r="DTG82" s="798"/>
      <c r="DTH82" s="798"/>
      <c r="DTI82" s="798"/>
      <c r="DTJ82" s="798"/>
      <c r="DTK82" s="798"/>
      <c r="DTL82" s="798"/>
      <c r="DTM82" s="798"/>
      <c r="DTN82" s="798"/>
      <c r="DTO82" s="798"/>
      <c r="DTP82" s="798"/>
      <c r="DTQ82" s="798"/>
      <c r="DTR82" s="798"/>
      <c r="DTS82" s="798"/>
      <c r="DTT82" s="798"/>
      <c r="DTU82" s="798"/>
      <c r="DTV82" s="798"/>
      <c r="DTW82" s="798"/>
      <c r="DTX82" s="798"/>
      <c r="DTY82" s="798"/>
      <c r="DTZ82" s="798"/>
      <c r="DUA82" s="798"/>
      <c r="DUB82" s="798"/>
      <c r="DUC82" s="798"/>
      <c r="DUD82" s="798"/>
      <c r="DUE82" s="798"/>
      <c r="DUF82" s="798"/>
      <c r="DUG82" s="798"/>
      <c r="DUH82" s="798"/>
      <c r="DUI82" s="798"/>
      <c r="DUJ82" s="798"/>
      <c r="DUK82" s="798"/>
      <c r="DUL82" s="798"/>
      <c r="DUM82" s="798"/>
      <c r="DUN82" s="798"/>
      <c r="DUO82" s="798"/>
      <c r="DUP82" s="798"/>
      <c r="DUQ82" s="798"/>
      <c r="DUR82" s="798"/>
      <c r="DUS82" s="798"/>
      <c r="DUT82" s="798"/>
      <c r="DUU82" s="798"/>
      <c r="DUV82" s="798"/>
      <c r="DUW82" s="798"/>
      <c r="DUX82" s="798"/>
      <c r="DUY82" s="798"/>
      <c r="DUZ82" s="798"/>
      <c r="DVA82" s="798"/>
      <c r="DVB82" s="798"/>
      <c r="DVC82" s="798"/>
      <c r="DVD82" s="798"/>
      <c r="DVE82" s="798"/>
      <c r="DVF82" s="798"/>
      <c r="DVG82" s="798"/>
      <c r="DVH82" s="798"/>
      <c r="DVI82" s="798"/>
      <c r="DVJ82" s="798"/>
      <c r="DVK82" s="798"/>
      <c r="DVL82" s="798"/>
      <c r="DVM82" s="798"/>
      <c r="DVN82" s="798"/>
      <c r="DVO82" s="798"/>
      <c r="DVP82" s="798"/>
      <c r="DVQ82" s="798"/>
      <c r="DVR82" s="798"/>
      <c r="DVS82" s="798"/>
      <c r="DVT82" s="798"/>
      <c r="DVU82" s="798"/>
      <c r="DVV82" s="798"/>
      <c r="DVW82" s="798"/>
      <c r="DVX82" s="798"/>
      <c r="DVY82" s="798"/>
      <c r="DVZ82" s="798"/>
      <c r="DWA82" s="798"/>
      <c r="DWB82" s="798"/>
      <c r="DWC82" s="798"/>
      <c r="DWD82" s="798"/>
      <c r="DWE82" s="798"/>
      <c r="DWF82" s="798"/>
      <c r="DWG82" s="798"/>
      <c r="DWH82" s="798"/>
      <c r="DWI82" s="798"/>
      <c r="DWJ82" s="798"/>
      <c r="DWK82" s="798"/>
      <c r="DWL82" s="798"/>
      <c r="DWM82" s="798"/>
      <c r="DWN82" s="798"/>
      <c r="DWO82" s="798"/>
      <c r="DWP82" s="798"/>
      <c r="DWQ82" s="798"/>
      <c r="DWR82" s="798"/>
      <c r="DWS82" s="798"/>
      <c r="DWT82" s="798"/>
      <c r="DWU82" s="798"/>
      <c r="DWV82" s="798"/>
      <c r="DWW82" s="798"/>
      <c r="DWX82" s="798"/>
      <c r="DWY82" s="798"/>
      <c r="DWZ82" s="798"/>
      <c r="DXA82" s="798"/>
      <c r="DXB82" s="798"/>
      <c r="DXC82" s="798"/>
      <c r="DXD82" s="798"/>
      <c r="DXE82" s="798"/>
      <c r="DXF82" s="798"/>
      <c r="DXG82" s="798"/>
      <c r="DXH82" s="798"/>
      <c r="DXI82" s="798"/>
      <c r="DXJ82" s="798"/>
      <c r="DXK82" s="798"/>
      <c r="DXL82" s="798"/>
      <c r="DXM82" s="798"/>
      <c r="DXN82" s="798"/>
      <c r="DXO82" s="798"/>
      <c r="DXP82" s="798"/>
      <c r="DXQ82" s="798"/>
      <c r="DXR82" s="798"/>
      <c r="DXS82" s="798"/>
      <c r="DXT82" s="798"/>
      <c r="DXU82" s="798"/>
      <c r="DXV82" s="798"/>
      <c r="DXW82" s="798"/>
      <c r="DXX82" s="798"/>
      <c r="DXY82" s="798"/>
      <c r="DXZ82" s="798"/>
      <c r="DYA82" s="798"/>
      <c r="DYB82" s="798"/>
      <c r="DYC82" s="798"/>
      <c r="DYD82" s="798"/>
      <c r="DYE82" s="798"/>
      <c r="DYF82" s="798"/>
      <c r="DYG82" s="798"/>
      <c r="DYH82" s="798"/>
      <c r="DYI82" s="798"/>
      <c r="DYJ82" s="798"/>
      <c r="DYK82" s="798"/>
      <c r="DYL82" s="798"/>
      <c r="DYM82" s="798"/>
      <c r="DYN82" s="798"/>
      <c r="DYO82" s="798"/>
      <c r="DYP82" s="798"/>
      <c r="DYQ82" s="798"/>
      <c r="DYR82" s="798"/>
      <c r="DYS82" s="798"/>
      <c r="DYT82" s="798"/>
      <c r="DYU82" s="798"/>
      <c r="DYV82" s="798"/>
      <c r="DYW82" s="798"/>
      <c r="DYX82" s="798"/>
      <c r="DYY82" s="798"/>
      <c r="DYZ82" s="798"/>
      <c r="DZA82" s="798"/>
      <c r="DZB82" s="798"/>
      <c r="DZC82" s="798"/>
      <c r="DZD82" s="798"/>
      <c r="DZE82" s="798"/>
      <c r="DZF82" s="798"/>
      <c r="DZG82" s="798"/>
      <c r="DZH82" s="798"/>
      <c r="DZI82" s="798"/>
      <c r="DZJ82" s="798"/>
      <c r="DZK82" s="798"/>
      <c r="DZL82" s="798"/>
      <c r="DZM82" s="798"/>
      <c r="DZN82" s="798"/>
      <c r="DZO82" s="798"/>
      <c r="DZP82" s="798"/>
      <c r="DZQ82" s="798"/>
      <c r="DZR82" s="798"/>
      <c r="DZS82" s="798"/>
      <c r="DZT82" s="798"/>
      <c r="DZU82" s="798"/>
      <c r="DZV82" s="798"/>
      <c r="DZW82" s="798"/>
      <c r="DZX82" s="798"/>
      <c r="DZY82" s="798"/>
      <c r="DZZ82" s="798"/>
      <c r="EAA82" s="798"/>
      <c r="EAB82" s="798"/>
      <c r="EAC82" s="798"/>
      <c r="EAD82" s="798"/>
      <c r="EAE82" s="798"/>
      <c r="EAF82" s="798"/>
      <c r="EAG82" s="798"/>
      <c r="EAH82" s="798"/>
      <c r="EAI82" s="798"/>
      <c r="EAJ82" s="798"/>
      <c r="EAK82" s="798"/>
      <c r="EAL82" s="798"/>
      <c r="EAM82" s="798"/>
      <c r="EAN82" s="798"/>
      <c r="EAO82" s="798"/>
      <c r="EAP82" s="798"/>
      <c r="EAQ82" s="798"/>
      <c r="EAR82" s="798"/>
      <c r="EAS82" s="798"/>
      <c r="EAT82" s="798"/>
      <c r="EAU82" s="798"/>
      <c r="EAV82" s="798"/>
      <c r="EAW82" s="798"/>
      <c r="EAX82" s="798"/>
      <c r="EAY82" s="798"/>
      <c r="EAZ82" s="798"/>
      <c r="EBA82" s="798"/>
      <c r="EBB82" s="798"/>
      <c r="EBC82" s="798"/>
      <c r="EBD82" s="798"/>
      <c r="EBE82" s="798"/>
      <c r="EBF82" s="798"/>
      <c r="EBG82" s="798"/>
      <c r="EBH82" s="798"/>
      <c r="EBI82" s="798"/>
      <c r="EBJ82" s="798"/>
      <c r="EBK82" s="798"/>
      <c r="EBL82" s="798"/>
      <c r="EBM82" s="798"/>
      <c r="EBN82" s="798"/>
      <c r="EBO82" s="798"/>
      <c r="EBP82" s="798"/>
      <c r="EBQ82" s="798"/>
      <c r="EBR82" s="798"/>
      <c r="EBS82" s="798"/>
      <c r="EBT82" s="798"/>
      <c r="EBU82" s="798"/>
      <c r="EBV82" s="798"/>
      <c r="EBW82" s="798"/>
      <c r="EBX82" s="798"/>
      <c r="EBY82" s="798"/>
      <c r="EBZ82" s="798"/>
      <c r="ECA82" s="798"/>
      <c r="ECB82" s="798"/>
      <c r="ECC82" s="798"/>
      <c r="ECD82" s="798"/>
      <c r="ECE82" s="798"/>
      <c r="ECF82" s="798"/>
      <c r="ECG82" s="798"/>
      <c r="ECH82" s="798"/>
      <c r="ECI82" s="798"/>
      <c r="ECJ82" s="798"/>
      <c r="ECK82" s="798"/>
      <c r="ECL82" s="798"/>
      <c r="ECM82" s="798"/>
      <c r="ECN82" s="798"/>
      <c r="ECO82" s="798"/>
      <c r="ECP82" s="798"/>
      <c r="ECQ82" s="798"/>
      <c r="ECR82" s="798"/>
      <c r="ECS82" s="798"/>
      <c r="ECT82" s="798"/>
      <c r="ECU82" s="798"/>
      <c r="ECV82" s="798"/>
      <c r="ECW82" s="798"/>
      <c r="ECX82" s="798"/>
      <c r="ECY82" s="798"/>
      <c r="ECZ82" s="798"/>
      <c r="EDA82" s="798"/>
      <c r="EDB82" s="798"/>
      <c r="EDC82" s="798"/>
      <c r="EDD82" s="798"/>
      <c r="EDE82" s="798"/>
      <c r="EDF82" s="798"/>
      <c r="EDG82" s="798"/>
      <c r="EDH82" s="798"/>
      <c r="EDI82" s="798"/>
      <c r="EDJ82" s="798"/>
      <c r="EDK82" s="798"/>
      <c r="EDL82" s="798"/>
      <c r="EDM82" s="798"/>
      <c r="EDN82" s="798"/>
      <c r="EDO82" s="798"/>
      <c r="EDP82" s="798"/>
      <c r="EDQ82" s="798"/>
      <c r="EDR82" s="798"/>
      <c r="EDS82" s="798"/>
      <c r="EDT82" s="798"/>
      <c r="EDU82" s="798"/>
      <c r="EDV82" s="798"/>
      <c r="EDW82" s="798"/>
      <c r="EDX82" s="798"/>
      <c r="EDY82" s="798"/>
      <c r="EDZ82" s="798"/>
      <c r="EEA82" s="798"/>
      <c r="EEB82" s="798"/>
      <c r="EEC82" s="798"/>
      <c r="EED82" s="798"/>
      <c r="EEE82" s="798"/>
      <c r="EEF82" s="798"/>
      <c r="EEG82" s="798"/>
      <c r="EEH82" s="798"/>
      <c r="EEI82" s="798"/>
      <c r="EEJ82" s="798"/>
      <c r="EEK82" s="798"/>
      <c r="EEL82" s="798"/>
      <c r="EEM82" s="798"/>
      <c r="EEN82" s="798"/>
      <c r="EEO82" s="798"/>
      <c r="EEP82" s="798"/>
      <c r="EEQ82" s="798"/>
      <c r="EER82" s="798"/>
      <c r="EES82" s="798"/>
      <c r="EET82" s="798"/>
      <c r="EEU82" s="798"/>
      <c r="EEV82" s="798"/>
      <c r="EEW82" s="798"/>
      <c r="EEX82" s="798"/>
      <c r="EEY82" s="798"/>
      <c r="EEZ82" s="798"/>
      <c r="EFA82" s="798"/>
      <c r="EFB82" s="798"/>
      <c r="EFC82" s="798"/>
      <c r="EFD82" s="798"/>
      <c r="EFE82" s="798"/>
      <c r="EFF82" s="798"/>
      <c r="EFG82" s="798"/>
      <c r="EFH82" s="798"/>
      <c r="EFI82" s="798"/>
      <c r="EFJ82" s="798"/>
      <c r="EFK82" s="798"/>
      <c r="EFL82" s="798"/>
      <c r="EFM82" s="798"/>
      <c r="EFN82" s="798"/>
      <c r="EFO82" s="798"/>
      <c r="EFP82" s="798"/>
      <c r="EFQ82" s="798"/>
      <c r="EFR82" s="798"/>
      <c r="EFS82" s="798"/>
      <c r="EFT82" s="798"/>
      <c r="EFU82" s="798"/>
      <c r="EFV82" s="798"/>
      <c r="EFW82" s="798"/>
      <c r="EFX82" s="798"/>
      <c r="EFY82" s="798"/>
      <c r="EFZ82" s="798"/>
      <c r="EGA82" s="798"/>
      <c r="EGB82" s="798"/>
      <c r="EGC82" s="798"/>
      <c r="EGD82" s="798"/>
      <c r="EGE82" s="798"/>
      <c r="EGF82" s="798"/>
      <c r="EGG82" s="798"/>
      <c r="EGH82" s="798"/>
      <c r="EGI82" s="798"/>
      <c r="EGJ82" s="798"/>
      <c r="EGK82" s="798"/>
      <c r="EGL82" s="798"/>
      <c r="EGM82" s="798"/>
      <c r="EGN82" s="798"/>
      <c r="EGO82" s="798"/>
      <c r="EGP82" s="798"/>
      <c r="EGQ82" s="798"/>
      <c r="EGR82" s="798"/>
      <c r="EGS82" s="798"/>
      <c r="EGT82" s="798"/>
      <c r="EGU82" s="798"/>
      <c r="EGV82" s="798"/>
      <c r="EGW82" s="798"/>
      <c r="EGX82" s="798"/>
      <c r="EGY82" s="798"/>
      <c r="EGZ82" s="798"/>
      <c r="EHA82" s="798"/>
      <c r="EHB82" s="798"/>
      <c r="EHC82" s="798"/>
      <c r="EHD82" s="798"/>
      <c r="EHE82" s="798"/>
      <c r="EHF82" s="798"/>
      <c r="EHG82" s="798"/>
      <c r="EHH82" s="798"/>
      <c r="EHI82" s="798"/>
      <c r="EHJ82" s="798"/>
      <c r="EHK82" s="798"/>
      <c r="EHL82" s="798"/>
      <c r="EHM82" s="798"/>
      <c r="EHN82" s="798"/>
      <c r="EHO82" s="798"/>
      <c r="EHP82" s="798"/>
      <c r="EHQ82" s="798"/>
      <c r="EHR82" s="798"/>
      <c r="EHS82" s="798"/>
      <c r="EHT82" s="798"/>
      <c r="EHU82" s="798"/>
      <c r="EHV82" s="798"/>
      <c r="EHW82" s="798"/>
      <c r="EHX82" s="798"/>
      <c r="EHY82" s="798"/>
      <c r="EHZ82" s="798"/>
      <c r="EIA82" s="798"/>
      <c r="EIB82" s="798"/>
      <c r="EIC82" s="798"/>
      <c r="EID82" s="798"/>
      <c r="EIE82" s="798"/>
      <c r="EIF82" s="798"/>
      <c r="EIG82" s="798"/>
      <c r="EIH82" s="798"/>
      <c r="EII82" s="798"/>
      <c r="EIJ82" s="798"/>
      <c r="EIK82" s="798"/>
      <c r="EIL82" s="798"/>
      <c r="EIM82" s="798"/>
      <c r="EIN82" s="798"/>
      <c r="EIO82" s="798"/>
      <c r="EIP82" s="798"/>
      <c r="EIQ82" s="798"/>
      <c r="EIR82" s="798"/>
      <c r="EIS82" s="798"/>
      <c r="EIT82" s="798"/>
      <c r="EIU82" s="798"/>
      <c r="EIV82" s="798"/>
      <c r="EIW82" s="798"/>
      <c r="EIX82" s="798"/>
      <c r="EIY82" s="798"/>
      <c r="EIZ82" s="798"/>
      <c r="EJA82" s="798"/>
      <c r="EJB82" s="798"/>
      <c r="EJC82" s="798"/>
      <c r="EJD82" s="798"/>
      <c r="EJE82" s="798"/>
      <c r="EJF82" s="798"/>
      <c r="EJG82" s="798"/>
      <c r="EJH82" s="798"/>
      <c r="EJI82" s="798"/>
      <c r="EJJ82" s="798"/>
      <c r="EJK82" s="798"/>
      <c r="EJL82" s="798"/>
      <c r="EJM82" s="798"/>
      <c r="EJN82" s="798"/>
      <c r="EJO82" s="798"/>
      <c r="EJP82" s="798"/>
      <c r="EJQ82" s="798"/>
      <c r="EJR82" s="798"/>
      <c r="EJS82" s="798"/>
      <c r="EJT82" s="798"/>
      <c r="EJU82" s="798"/>
      <c r="EJV82" s="798"/>
      <c r="EJW82" s="798"/>
      <c r="EJX82" s="798"/>
      <c r="EJY82" s="798"/>
      <c r="EJZ82" s="798"/>
      <c r="EKA82" s="798"/>
      <c r="EKB82" s="798"/>
      <c r="EKC82" s="798"/>
      <c r="EKD82" s="798"/>
      <c r="EKE82" s="798"/>
      <c r="EKF82" s="798"/>
      <c r="EKG82" s="798"/>
      <c r="EKH82" s="798"/>
      <c r="EKI82" s="798"/>
      <c r="EKJ82" s="798"/>
      <c r="EKK82" s="798"/>
      <c r="EKL82" s="798"/>
      <c r="EKM82" s="798"/>
      <c r="EKN82" s="798"/>
      <c r="EKO82" s="798"/>
      <c r="EKP82" s="798"/>
      <c r="EKQ82" s="798"/>
      <c r="EKR82" s="798"/>
      <c r="EKS82" s="798"/>
      <c r="EKT82" s="798"/>
      <c r="EKU82" s="798"/>
      <c r="EKV82" s="798"/>
      <c r="EKW82" s="798"/>
      <c r="EKX82" s="798"/>
      <c r="EKY82" s="798"/>
      <c r="EKZ82" s="798"/>
      <c r="ELA82" s="798"/>
      <c r="ELB82" s="798"/>
      <c r="ELC82" s="798"/>
      <c r="ELD82" s="798"/>
      <c r="ELE82" s="798"/>
      <c r="ELF82" s="798"/>
      <c r="ELG82" s="798"/>
      <c r="ELH82" s="798"/>
      <c r="ELI82" s="798"/>
      <c r="ELJ82" s="798"/>
      <c r="ELK82" s="798"/>
      <c r="ELL82" s="798"/>
      <c r="ELM82" s="798"/>
      <c r="ELN82" s="798"/>
      <c r="ELO82" s="798"/>
      <c r="ELP82" s="798"/>
      <c r="ELQ82" s="798"/>
      <c r="ELR82" s="798"/>
      <c r="ELS82" s="798"/>
      <c r="ELT82" s="798"/>
      <c r="ELU82" s="798"/>
      <c r="ELV82" s="798"/>
      <c r="ELW82" s="798"/>
      <c r="ELX82" s="798"/>
      <c r="ELY82" s="798"/>
      <c r="ELZ82" s="798"/>
      <c r="EMA82" s="798"/>
      <c r="EMB82" s="798"/>
      <c r="EMC82" s="798"/>
      <c r="EMD82" s="798"/>
      <c r="EME82" s="798"/>
      <c r="EMF82" s="798"/>
      <c r="EMG82" s="798"/>
      <c r="EMH82" s="798"/>
      <c r="EMI82" s="798"/>
      <c r="EMJ82" s="798"/>
      <c r="EMK82" s="798"/>
      <c r="EML82" s="798"/>
      <c r="EMM82" s="798"/>
      <c r="EMN82" s="798"/>
      <c r="EMO82" s="798"/>
      <c r="EMP82" s="798"/>
      <c r="EMQ82" s="798"/>
      <c r="EMR82" s="798"/>
      <c r="EMS82" s="798"/>
      <c r="EMT82" s="798"/>
      <c r="EMU82" s="798"/>
      <c r="EMV82" s="798"/>
      <c r="EMW82" s="798"/>
      <c r="EMX82" s="798"/>
      <c r="EMY82" s="798"/>
      <c r="EMZ82" s="798"/>
      <c r="ENA82" s="798"/>
      <c r="ENB82" s="798"/>
      <c r="ENC82" s="798"/>
      <c r="END82" s="798"/>
      <c r="ENE82" s="798"/>
      <c r="ENF82" s="798"/>
      <c r="ENG82" s="798"/>
      <c r="ENH82" s="798"/>
      <c r="ENI82" s="798"/>
      <c r="ENJ82" s="798"/>
      <c r="ENK82" s="798"/>
      <c r="ENL82" s="798"/>
      <c r="ENM82" s="798"/>
      <c r="ENN82" s="798"/>
      <c r="ENO82" s="798"/>
      <c r="ENP82" s="798"/>
      <c r="ENQ82" s="798"/>
      <c r="ENR82" s="798"/>
      <c r="ENS82" s="798"/>
      <c r="ENT82" s="798"/>
      <c r="ENU82" s="798"/>
      <c r="ENV82" s="798"/>
      <c r="ENW82" s="798"/>
      <c r="ENX82" s="798"/>
      <c r="ENY82" s="798"/>
      <c r="ENZ82" s="798"/>
      <c r="EOA82" s="798"/>
      <c r="EOB82" s="798"/>
      <c r="EOC82" s="798"/>
      <c r="EOD82" s="798"/>
      <c r="EOE82" s="798"/>
      <c r="EOF82" s="798"/>
      <c r="EOG82" s="798"/>
      <c r="EOH82" s="798"/>
      <c r="EOI82" s="798"/>
      <c r="EOJ82" s="798"/>
      <c r="EOK82" s="798"/>
      <c r="EOL82" s="798"/>
      <c r="EOM82" s="798"/>
      <c r="EON82" s="798"/>
      <c r="EOO82" s="798"/>
      <c r="EOP82" s="798"/>
      <c r="EOQ82" s="798"/>
      <c r="EOR82" s="798"/>
      <c r="EOS82" s="798"/>
      <c r="EOT82" s="798"/>
      <c r="EOU82" s="798"/>
      <c r="EOV82" s="798"/>
      <c r="EOW82" s="798"/>
      <c r="EOX82" s="798"/>
      <c r="EOY82" s="798"/>
      <c r="EOZ82" s="798"/>
      <c r="EPA82" s="798"/>
      <c r="EPB82" s="798"/>
      <c r="EPC82" s="798"/>
      <c r="EPD82" s="798"/>
      <c r="EPE82" s="798"/>
      <c r="EPF82" s="798"/>
      <c r="EPG82" s="798"/>
      <c r="EPH82" s="798"/>
      <c r="EPI82" s="798"/>
      <c r="EPJ82" s="798"/>
      <c r="EPK82" s="798"/>
      <c r="EPL82" s="798"/>
      <c r="EPM82" s="798"/>
      <c r="EPN82" s="798"/>
      <c r="EPO82" s="798"/>
      <c r="EPP82" s="798"/>
      <c r="EPQ82" s="798"/>
      <c r="EPR82" s="798"/>
      <c r="EPS82" s="798"/>
      <c r="EPT82" s="798"/>
      <c r="EPU82" s="798"/>
      <c r="EPV82" s="798"/>
      <c r="EPW82" s="798"/>
      <c r="EPX82" s="798"/>
      <c r="EPY82" s="798"/>
      <c r="EPZ82" s="798"/>
      <c r="EQA82" s="798"/>
      <c r="EQB82" s="798"/>
      <c r="EQC82" s="798"/>
      <c r="EQD82" s="798"/>
      <c r="EQE82" s="798"/>
      <c r="EQF82" s="798"/>
      <c r="EQG82" s="798"/>
      <c r="EQH82" s="798"/>
      <c r="EQI82" s="798"/>
      <c r="EQJ82" s="798"/>
      <c r="EQK82" s="798"/>
      <c r="EQL82" s="798"/>
      <c r="EQM82" s="798"/>
      <c r="EQN82" s="798"/>
      <c r="EQO82" s="798"/>
      <c r="EQP82" s="798"/>
      <c r="EQQ82" s="798"/>
      <c r="EQR82" s="798"/>
      <c r="EQS82" s="798"/>
      <c r="EQT82" s="798"/>
      <c r="EQU82" s="798"/>
      <c r="EQV82" s="798"/>
      <c r="EQW82" s="798"/>
      <c r="EQX82" s="798"/>
      <c r="EQY82" s="798"/>
      <c r="EQZ82" s="798"/>
      <c r="ERA82" s="798"/>
      <c r="ERB82" s="798"/>
      <c r="ERC82" s="798"/>
      <c r="ERD82" s="798"/>
      <c r="ERE82" s="798"/>
      <c r="ERF82" s="798"/>
      <c r="ERG82" s="798"/>
      <c r="ERH82" s="798"/>
      <c r="ERI82" s="798"/>
      <c r="ERJ82" s="798"/>
      <c r="ERK82" s="798"/>
      <c r="ERL82" s="798"/>
      <c r="ERM82" s="798"/>
      <c r="ERN82" s="798"/>
      <c r="ERO82" s="798"/>
      <c r="ERP82" s="798"/>
      <c r="ERQ82" s="798"/>
      <c r="ERR82" s="798"/>
      <c r="ERS82" s="798"/>
      <c r="ERT82" s="798"/>
      <c r="ERU82" s="798"/>
      <c r="ERV82" s="798"/>
      <c r="ERW82" s="798"/>
      <c r="ERX82" s="798"/>
      <c r="ERY82" s="798"/>
      <c r="ERZ82" s="798"/>
      <c r="ESA82" s="798"/>
      <c r="ESB82" s="798"/>
      <c r="ESC82" s="798"/>
      <c r="ESD82" s="798"/>
      <c r="ESE82" s="798"/>
      <c r="ESF82" s="798"/>
      <c r="ESG82" s="798"/>
      <c r="ESH82" s="798"/>
      <c r="ESI82" s="798"/>
      <c r="ESJ82" s="798"/>
      <c r="ESK82" s="798"/>
      <c r="ESL82" s="798"/>
      <c r="ESM82" s="798"/>
      <c r="ESN82" s="798"/>
      <c r="ESO82" s="798"/>
      <c r="ESP82" s="798"/>
      <c r="ESQ82" s="798"/>
      <c r="ESR82" s="798"/>
      <c r="ESS82" s="798"/>
      <c r="EST82" s="798"/>
      <c r="ESU82" s="798"/>
      <c r="ESV82" s="798"/>
      <c r="ESW82" s="798"/>
      <c r="ESX82" s="798"/>
      <c r="ESY82" s="798"/>
      <c r="ESZ82" s="798"/>
      <c r="ETA82" s="798"/>
      <c r="ETB82" s="798"/>
      <c r="ETC82" s="798"/>
      <c r="ETD82" s="798"/>
      <c r="ETE82" s="798"/>
      <c r="ETF82" s="798"/>
      <c r="ETG82" s="798"/>
      <c r="ETH82" s="798"/>
      <c r="ETI82" s="798"/>
      <c r="ETJ82" s="798"/>
      <c r="ETK82" s="798"/>
      <c r="ETL82" s="798"/>
      <c r="ETM82" s="798"/>
      <c r="ETN82" s="798"/>
      <c r="ETO82" s="798"/>
      <c r="ETP82" s="798"/>
      <c r="ETQ82" s="798"/>
      <c r="ETR82" s="798"/>
      <c r="ETS82" s="798"/>
      <c r="ETT82" s="798"/>
      <c r="ETU82" s="798"/>
      <c r="ETV82" s="798"/>
      <c r="ETW82" s="798"/>
      <c r="ETX82" s="798"/>
      <c r="ETY82" s="798"/>
      <c r="ETZ82" s="798"/>
      <c r="EUA82" s="798"/>
      <c r="EUB82" s="798"/>
      <c r="EUC82" s="798"/>
      <c r="EUD82" s="798"/>
      <c r="EUE82" s="798"/>
      <c r="EUF82" s="798"/>
      <c r="EUG82" s="798"/>
      <c r="EUH82" s="798"/>
      <c r="EUI82" s="798"/>
      <c r="EUJ82" s="798"/>
      <c r="EUK82" s="798"/>
      <c r="EUL82" s="798"/>
      <c r="EUM82" s="798"/>
      <c r="EUN82" s="798"/>
      <c r="EUO82" s="798"/>
      <c r="EUP82" s="798"/>
      <c r="EUQ82" s="798"/>
      <c r="EUR82" s="798"/>
      <c r="EUS82" s="798"/>
      <c r="EUT82" s="798"/>
      <c r="EUU82" s="798"/>
      <c r="EUV82" s="798"/>
      <c r="EUW82" s="798"/>
      <c r="EUX82" s="798"/>
      <c r="EUY82" s="798"/>
      <c r="EUZ82" s="798"/>
      <c r="EVA82" s="798"/>
      <c r="EVB82" s="798"/>
      <c r="EVC82" s="798"/>
      <c r="EVD82" s="798"/>
      <c r="EVE82" s="798"/>
      <c r="EVF82" s="798"/>
      <c r="EVG82" s="798"/>
      <c r="EVH82" s="798"/>
      <c r="EVI82" s="798"/>
      <c r="EVJ82" s="798"/>
      <c r="EVK82" s="798"/>
      <c r="EVL82" s="798"/>
      <c r="EVM82" s="798"/>
      <c r="EVN82" s="798"/>
      <c r="EVO82" s="798"/>
      <c r="EVP82" s="798"/>
      <c r="EVQ82" s="798"/>
      <c r="EVR82" s="798"/>
      <c r="EVS82" s="798"/>
      <c r="EVT82" s="798"/>
      <c r="EVU82" s="798"/>
      <c r="EVV82" s="798"/>
      <c r="EVW82" s="798"/>
      <c r="EVX82" s="798"/>
      <c r="EVY82" s="798"/>
      <c r="EVZ82" s="798"/>
      <c r="EWA82" s="798"/>
      <c r="EWB82" s="798"/>
      <c r="EWC82" s="798"/>
      <c r="EWD82" s="798"/>
      <c r="EWE82" s="798"/>
      <c r="EWF82" s="798"/>
      <c r="EWG82" s="798"/>
      <c r="EWH82" s="798"/>
      <c r="EWI82" s="798"/>
      <c r="EWJ82" s="798"/>
      <c r="EWK82" s="798"/>
      <c r="EWL82" s="798"/>
      <c r="EWM82" s="798"/>
      <c r="EWN82" s="798"/>
      <c r="EWO82" s="798"/>
      <c r="EWP82" s="798"/>
      <c r="EWQ82" s="798"/>
      <c r="EWR82" s="798"/>
      <c r="EWS82" s="798"/>
      <c r="EWT82" s="798"/>
      <c r="EWU82" s="798"/>
      <c r="EWV82" s="798"/>
      <c r="EWW82" s="798"/>
      <c r="EWX82" s="798"/>
      <c r="EWY82" s="798"/>
      <c r="EWZ82" s="798"/>
      <c r="EXA82" s="798"/>
      <c r="EXB82" s="798"/>
      <c r="EXC82" s="798"/>
      <c r="EXD82" s="798"/>
      <c r="EXE82" s="798"/>
      <c r="EXF82" s="798"/>
      <c r="EXG82" s="798"/>
      <c r="EXH82" s="798"/>
      <c r="EXI82" s="798"/>
      <c r="EXJ82" s="798"/>
      <c r="EXK82" s="798"/>
      <c r="EXL82" s="798"/>
      <c r="EXM82" s="798"/>
      <c r="EXN82" s="798"/>
      <c r="EXO82" s="798"/>
      <c r="EXP82" s="798"/>
      <c r="EXQ82" s="798"/>
      <c r="EXR82" s="798"/>
      <c r="EXS82" s="798"/>
      <c r="EXT82" s="798"/>
      <c r="EXU82" s="798"/>
      <c r="EXV82" s="798"/>
      <c r="EXW82" s="798"/>
      <c r="EXX82" s="798"/>
      <c r="EXY82" s="798"/>
      <c r="EXZ82" s="798"/>
      <c r="EYA82" s="798"/>
      <c r="EYB82" s="798"/>
      <c r="EYC82" s="798"/>
      <c r="EYD82" s="798"/>
      <c r="EYE82" s="798"/>
      <c r="EYF82" s="798"/>
      <c r="EYG82" s="798"/>
      <c r="EYH82" s="798"/>
      <c r="EYI82" s="798"/>
      <c r="EYJ82" s="798"/>
      <c r="EYK82" s="798"/>
      <c r="EYL82" s="798"/>
      <c r="EYM82" s="798"/>
      <c r="EYN82" s="798"/>
      <c r="EYO82" s="798"/>
      <c r="EYP82" s="798"/>
      <c r="EYQ82" s="798"/>
      <c r="EYR82" s="798"/>
      <c r="EYS82" s="798"/>
      <c r="EYT82" s="798"/>
      <c r="EYU82" s="798"/>
      <c r="EYV82" s="798"/>
      <c r="EYW82" s="798"/>
      <c r="EYX82" s="798"/>
      <c r="EYY82" s="798"/>
      <c r="EYZ82" s="798"/>
      <c r="EZA82" s="798"/>
      <c r="EZB82" s="798"/>
      <c r="EZC82" s="798"/>
      <c r="EZD82" s="798"/>
      <c r="EZE82" s="798"/>
      <c r="EZF82" s="798"/>
      <c r="EZG82" s="798"/>
      <c r="EZH82" s="798"/>
      <c r="EZI82" s="798"/>
      <c r="EZJ82" s="798"/>
      <c r="EZK82" s="798"/>
      <c r="EZL82" s="798"/>
      <c r="EZM82" s="798"/>
      <c r="EZN82" s="798"/>
      <c r="EZO82" s="798"/>
      <c r="EZP82" s="798"/>
      <c r="EZQ82" s="798"/>
      <c r="EZR82" s="798"/>
      <c r="EZS82" s="798"/>
      <c r="EZT82" s="798"/>
      <c r="EZU82" s="798"/>
      <c r="EZV82" s="798"/>
      <c r="EZW82" s="798"/>
      <c r="EZX82" s="798"/>
      <c r="EZY82" s="798"/>
      <c r="EZZ82" s="798"/>
      <c r="FAA82" s="798"/>
      <c r="FAB82" s="798"/>
      <c r="FAC82" s="798"/>
      <c r="FAD82" s="798"/>
      <c r="FAE82" s="798"/>
      <c r="FAF82" s="798"/>
      <c r="FAG82" s="798"/>
      <c r="FAH82" s="798"/>
      <c r="FAI82" s="798"/>
      <c r="FAJ82" s="798"/>
      <c r="FAK82" s="798"/>
      <c r="FAL82" s="798"/>
      <c r="FAM82" s="798"/>
      <c r="FAN82" s="798"/>
      <c r="FAO82" s="798"/>
      <c r="FAP82" s="798"/>
      <c r="FAQ82" s="798"/>
      <c r="FAR82" s="798"/>
      <c r="FAS82" s="798"/>
      <c r="FAT82" s="798"/>
      <c r="FAU82" s="798"/>
      <c r="FAV82" s="798"/>
      <c r="FAW82" s="798"/>
      <c r="FAX82" s="798"/>
      <c r="FAY82" s="798"/>
      <c r="FAZ82" s="798"/>
      <c r="FBA82" s="798"/>
      <c r="FBB82" s="798"/>
      <c r="FBC82" s="798"/>
      <c r="FBD82" s="798"/>
      <c r="FBE82" s="798"/>
      <c r="FBF82" s="798"/>
      <c r="FBG82" s="798"/>
      <c r="FBH82" s="798"/>
      <c r="FBI82" s="798"/>
      <c r="FBJ82" s="798"/>
      <c r="FBK82" s="798"/>
      <c r="FBL82" s="798"/>
      <c r="FBM82" s="798"/>
      <c r="FBN82" s="798"/>
      <c r="FBO82" s="798"/>
      <c r="FBP82" s="798"/>
      <c r="FBQ82" s="798"/>
      <c r="FBR82" s="798"/>
      <c r="FBS82" s="798"/>
      <c r="FBT82" s="798"/>
      <c r="FBU82" s="798"/>
      <c r="FBV82" s="798"/>
      <c r="FBW82" s="798"/>
      <c r="FBX82" s="798"/>
      <c r="FBY82" s="798"/>
      <c r="FBZ82" s="798"/>
      <c r="FCA82" s="798"/>
      <c r="FCB82" s="798"/>
      <c r="FCC82" s="798"/>
      <c r="FCD82" s="798"/>
      <c r="FCE82" s="798"/>
      <c r="FCF82" s="798"/>
      <c r="FCG82" s="798"/>
      <c r="FCH82" s="798"/>
      <c r="FCI82" s="798"/>
      <c r="FCJ82" s="798"/>
      <c r="FCK82" s="798"/>
      <c r="FCL82" s="798"/>
      <c r="FCM82" s="798"/>
      <c r="FCN82" s="798"/>
      <c r="FCO82" s="798"/>
      <c r="FCP82" s="798"/>
      <c r="FCQ82" s="798"/>
      <c r="FCR82" s="798"/>
      <c r="FCS82" s="798"/>
      <c r="FCT82" s="798"/>
      <c r="FCU82" s="798"/>
      <c r="FCV82" s="798"/>
      <c r="FCW82" s="798"/>
      <c r="FCX82" s="798"/>
      <c r="FCY82" s="798"/>
      <c r="FCZ82" s="798"/>
      <c r="FDA82" s="798"/>
      <c r="FDB82" s="798"/>
      <c r="FDC82" s="798"/>
      <c r="FDD82" s="798"/>
      <c r="FDE82" s="798"/>
      <c r="FDF82" s="798"/>
      <c r="FDG82" s="798"/>
      <c r="FDH82" s="798"/>
      <c r="FDI82" s="798"/>
      <c r="FDJ82" s="798"/>
      <c r="FDK82" s="798"/>
      <c r="FDL82" s="798"/>
      <c r="FDM82" s="798"/>
      <c r="FDN82" s="798"/>
      <c r="FDO82" s="798"/>
      <c r="FDP82" s="798"/>
      <c r="FDQ82" s="798"/>
      <c r="FDR82" s="798"/>
      <c r="FDS82" s="798"/>
      <c r="FDT82" s="798"/>
      <c r="FDU82" s="798"/>
      <c r="FDV82" s="798"/>
      <c r="FDW82" s="798"/>
      <c r="FDX82" s="798"/>
      <c r="FDY82" s="798"/>
      <c r="FDZ82" s="798"/>
      <c r="FEA82" s="798"/>
      <c r="FEB82" s="798"/>
      <c r="FEC82" s="798"/>
      <c r="FED82" s="798"/>
      <c r="FEE82" s="798"/>
      <c r="FEF82" s="798"/>
      <c r="FEG82" s="798"/>
      <c r="FEH82" s="798"/>
      <c r="FEI82" s="798"/>
      <c r="FEJ82" s="798"/>
      <c r="FEK82" s="798"/>
      <c r="FEL82" s="798"/>
      <c r="FEM82" s="798"/>
      <c r="FEN82" s="798"/>
      <c r="FEO82" s="798"/>
      <c r="FEP82" s="798"/>
      <c r="FEQ82" s="798"/>
      <c r="FER82" s="798"/>
      <c r="FES82" s="798"/>
      <c r="FET82" s="798"/>
      <c r="FEU82" s="798"/>
      <c r="FEV82" s="798"/>
      <c r="FEW82" s="798"/>
      <c r="FEX82" s="798"/>
      <c r="FEY82" s="798"/>
      <c r="FEZ82" s="798"/>
      <c r="FFA82" s="798"/>
      <c r="FFB82" s="798"/>
      <c r="FFC82" s="798"/>
      <c r="FFD82" s="798"/>
      <c r="FFE82" s="798"/>
      <c r="FFF82" s="798"/>
      <c r="FFG82" s="798"/>
      <c r="FFH82" s="798"/>
      <c r="FFI82" s="798"/>
      <c r="FFJ82" s="798"/>
      <c r="FFK82" s="798"/>
      <c r="FFL82" s="798"/>
      <c r="FFM82" s="798"/>
      <c r="FFN82" s="798"/>
      <c r="FFO82" s="798"/>
      <c r="FFP82" s="798"/>
      <c r="FFQ82" s="798"/>
      <c r="FFR82" s="798"/>
      <c r="FFS82" s="798"/>
      <c r="FFT82" s="798"/>
      <c r="FFU82" s="798"/>
      <c r="FFV82" s="798"/>
      <c r="FFW82" s="798"/>
      <c r="FFX82" s="798"/>
      <c r="FFY82" s="798"/>
      <c r="FFZ82" s="798"/>
      <c r="FGA82" s="798"/>
      <c r="FGB82" s="798"/>
      <c r="FGC82" s="798"/>
      <c r="FGD82" s="798"/>
      <c r="FGE82" s="798"/>
      <c r="FGF82" s="798"/>
      <c r="FGG82" s="798"/>
      <c r="FGH82" s="798"/>
      <c r="FGI82" s="798"/>
      <c r="FGJ82" s="798"/>
      <c r="FGK82" s="798"/>
      <c r="FGL82" s="798"/>
      <c r="FGM82" s="798"/>
      <c r="FGN82" s="798"/>
      <c r="FGO82" s="798"/>
      <c r="FGP82" s="798"/>
      <c r="FGQ82" s="798"/>
      <c r="FGR82" s="798"/>
      <c r="FGS82" s="798"/>
      <c r="FGT82" s="798"/>
      <c r="FGU82" s="798"/>
      <c r="FGV82" s="798"/>
      <c r="FGW82" s="798"/>
      <c r="FGX82" s="798"/>
      <c r="FGY82" s="798"/>
      <c r="FGZ82" s="798"/>
      <c r="FHA82" s="798"/>
      <c r="FHB82" s="798"/>
      <c r="FHC82" s="798"/>
      <c r="FHD82" s="798"/>
      <c r="FHE82" s="798"/>
      <c r="FHF82" s="798"/>
      <c r="FHG82" s="798"/>
      <c r="FHH82" s="798"/>
      <c r="FHI82" s="798"/>
      <c r="FHJ82" s="798"/>
      <c r="FHK82" s="798"/>
      <c r="FHL82" s="798"/>
      <c r="FHM82" s="798"/>
      <c r="FHN82" s="798"/>
      <c r="FHO82" s="798"/>
      <c r="FHP82" s="798"/>
      <c r="FHQ82" s="798"/>
      <c r="FHR82" s="798"/>
      <c r="FHS82" s="798"/>
      <c r="FHT82" s="798"/>
      <c r="FHU82" s="798"/>
      <c r="FHV82" s="798"/>
      <c r="FHW82" s="798"/>
      <c r="FHX82" s="798"/>
      <c r="FHY82" s="798"/>
      <c r="FHZ82" s="798"/>
      <c r="FIA82" s="798"/>
      <c r="FIB82" s="798"/>
      <c r="FIC82" s="798"/>
      <c r="FID82" s="798"/>
      <c r="FIE82" s="798"/>
      <c r="FIF82" s="798"/>
      <c r="FIG82" s="798"/>
      <c r="FIH82" s="798"/>
      <c r="FII82" s="798"/>
      <c r="FIJ82" s="798"/>
      <c r="FIK82" s="798"/>
      <c r="FIL82" s="798"/>
      <c r="FIM82" s="798"/>
      <c r="FIN82" s="798"/>
      <c r="FIO82" s="798"/>
      <c r="FIP82" s="798"/>
      <c r="FIQ82" s="798"/>
      <c r="FIR82" s="798"/>
      <c r="FIS82" s="798"/>
      <c r="FIT82" s="798"/>
      <c r="FIU82" s="798"/>
      <c r="FIV82" s="798"/>
      <c r="FIW82" s="798"/>
      <c r="FIX82" s="798"/>
      <c r="FIY82" s="798"/>
      <c r="FIZ82" s="798"/>
      <c r="FJA82" s="798"/>
      <c r="FJB82" s="798"/>
      <c r="FJC82" s="798"/>
      <c r="FJD82" s="798"/>
      <c r="FJE82" s="798"/>
      <c r="FJF82" s="798"/>
      <c r="FJG82" s="798"/>
      <c r="FJH82" s="798"/>
      <c r="FJI82" s="798"/>
      <c r="FJJ82" s="798"/>
      <c r="FJK82" s="798"/>
      <c r="FJL82" s="798"/>
      <c r="FJM82" s="798"/>
      <c r="FJN82" s="798"/>
      <c r="FJO82" s="798"/>
      <c r="FJP82" s="798"/>
      <c r="FJQ82" s="798"/>
      <c r="FJR82" s="798"/>
      <c r="FJS82" s="798"/>
      <c r="FJT82" s="798"/>
      <c r="FJU82" s="798"/>
      <c r="FJV82" s="798"/>
      <c r="FJW82" s="798"/>
      <c r="FJX82" s="798"/>
      <c r="FJY82" s="798"/>
      <c r="FJZ82" s="798"/>
      <c r="FKA82" s="798"/>
      <c r="FKB82" s="798"/>
      <c r="FKC82" s="798"/>
      <c r="FKD82" s="798"/>
      <c r="FKE82" s="798"/>
      <c r="FKF82" s="798"/>
      <c r="FKG82" s="798"/>
      <c r="FKH82" s="798"/>
      <c r="FKI82" s="798"/>
      <c r="FKJ82" s="798"/>
      <c r="FKK82" s="798"/>
      <c r="FKL82" s="798"/>
      <c r="FKM82" s="798"/>
      <c r="FKN82" s="798"/>
      <c r="FKO82" s="798"/>
      <c r="FKP82" s="798"/>
      <c r="FKQ82" s="798"/>
      <c r="FKR82" s="798"/>
      <c r="FKS82" s="798"/>
      <c r="FKT82" s="798"/>
      <c r="FKU82" s="798"/>
      <c r="FKV82" s="798"/>
      <c r="FKW82" s="798"/>
      <c r="FKX82" s="798"/>
      <c r="FKY82" s="798"/>
      <c r="FKZ82" s="798"/>
      <c r="FLA82" s="798"/>
      <c r="FLB82" s="798"/>
      <c r="FLC82" s="798"/>
      <c r="FLD82" s="798"/>
      <c r="FLE82" s="798"/>
      <c r="FLF82" s="798"/>
      <c r="FLG82" s="798"/>
      <c r="FLH82" s="798"/>
      <c r="FLI82" s="798"/>
      <c r="FLJ82" s="798"/>
      <c r="FLK82" s="798"/>
      <c r="FLL82" s="798"/>
      <c r="FLM82" s="798"/>
      <c r="FLN82" s="798"/>
      <c r="FLO82" s="798"/>
      <c r="FLP82" s="798"/>
      <c r="FLQ82" s="798"/>
      <c r="FLR82" s="798"/>
      <c r="FLS82" s="798"/>
      <c r="FLT82" s="798"/>
      <c r="FLU82" s="798"/>
      <c r="FLV82" s="798"/>
      <c r="FLW82" s="798"/>
      <c r="FLX82" s="798"/>
      <c r="FLY82" s="798"/>
      <c r="FLZ82" s="798"/>
      <c r="FMA82" s="798"/>
      <c r="FMB82" s="798"/>
      <c r="FMC82" s="798"/>
      <c r="FMD82" s="798"/>
      <c r="FME82" s="798"/>
      <c r="FMF82" s="798"/>
      <c r="FMG82" s="798"/>
      <c r="FMH82" s="798"/>
      <c r="FMI82" s="798"/>
      <c r="FMJ82" s="798"/>
      <c r="FMK82" s="798"/>
      <c r="FML82" s="798"/>
      <c r="FMM82" s="798"/>
      <c r="FMN82" s="798"/>
      <c r="FMO82" s="798"/>
      <c r="FMP82" s="798"/>
      <c r="FMQ82" s="798"/>
      <c r="FMR82" s="798"/>
      <c r="FMS82" s="798"/>
      <c r="FMT82" s="798"/>
      <c r="FMU82" s="798"/>
      <c r="FMV82" s="798"/>
      <c r="FMW82" s="798"/>
      <c r="FMX82" s="798"/>
      <c r="FMY82" s="798"/>
      <c r="FMZ82" s="798"/>
      <c r="FNA82" s="798"/>
      <c r="FNB82" s="798"/>
      <c r="FNC82" s="798"/>
      <c r="FND82" s="798"/>
      <c r="FNE82" s="798"/>
      <c r="FNF82" s="798"/>
      <c r="FNG82" s="798"/>
      <c r="FNH82" s="798"/>
      <c r="FNI82" s="798"/>
      <c r="FNJ82" s="798"/>
      <c r="FNK82" s="798"/>
      <c r="FNL82" s="798"/>
      <c r="FNM82" s="798"/>
      <c r="FNN82" s="798"/>
      <c r="FNO82" s="798"/>
      <c r="FNP82" s="798"/>
      <c r="FNQ82" s="798"/>
      <c r="FNR82" s="798"/>
      <c r="FNS82" s="798"/>
      <c r="FNT82" s="798"/>
      <c r="FNU82" s="798"/>
      <c r="FNV82" s="798"/>
      <c r="FNW82" s="798"/>
      <c r="FNX82" s="798"/>
      <c r="FNY82" s="798"/>
      <c r="FNZ82" s="798"/>
      <c r="FOA82" s="798"/>
      <c r="FOB82" s="798"/>
      <c r="FOC82" s="798"/>
      <c r="FOD82" s="798"/>
      <c r="FOE82" s="798"/>
      <c r="FOF82" s="798"/>
      <c r="FOG82" s="798"/>
      <c r="FOH82" s="798"/>
      <c r="FOI82" s="798"/>
      <c r="FOJ82" s="798"/>
      <c r="FOK82" s="798"/>
      <c r="FOL82" s="798"/>
      <c r="FOM82" s="798"/>
      <c r="FON82" s="798"/>
      <c r="FOO82" s="798"/>
      <c r="FOP82" s="798"/>
      <c r="FOQ82" s="798"/>
      <c r="FOR82" s="798"/>
      <c r="FOS82" s="798"/>
      <c r="FOT82" s="798"/>
      <c r="FOU82" s="798"/>
      <c r="FOV82" s="798"/>
      <c r="FOW82" s="798"/>
      <c r="FOX82" s="798"/>
      <c r="FOY82" s="798"/>
      <c r="FOZ82" s="798"/>
      <c r="FPA82" s="798"/>
      <c r="FPB82" s="798"/>
      <c r="FPC82" s="798"/>
      <c r="FPD82" s="798"/>
      <c r="FPE82" s="798"/>
      <c r="FPF82" s="798"/>
      <c r="FPG82" s="798"/>
      <c r="FPH82" s="798"/>
      <c r="FPI82" s="798"/>
      <c r="FPJ82" s="798"/>
      <c r="FPK82" s="798"/>
      <c r="FPL82" s="798"/>
      <c r="FPM82" s="798"/>
      <c r="FPN82" s="798"/>
      <c r="FPO82" s="798"/>
      <c r="FPP82" s="798"/>
      <c r="FPQ82" s="798"/>
      <c r="FPR82" s="798"/>
      <c r="FPS82" s="798"/>
      <c r="FPT82" s="798"/>
      <c r="FPU82" s="798"/>
      <c r="FPV82" s="798"/>
      <c r="FPW82" s="798"/>
      <c r="FPX82" s="798"/>
      <c r="FPY82" s="798"/>
      <c r="FPZ82" s="798"/>
      <c r="FQA82" s="798"/>
      <c r="FQB82" s="798"/>
      <c r="FQC82" s="798"/>
      <c r="FQD82" s="798"/>
      <c r="FQE82" s="798"/>
      <c r="FQF82" s="798"/>
      <c r="FQG82" s="798"/>
      <c r="FQH82" s="798"/>
      <c r="FQI82" s="798"/>
      <c r="FQJ82" s="798"/>
      <c r="FQK82" s="798"/>
      <c r="FQL82" s="798"/>
      <c r="FQM82" s="798"/>
      <c r="FQN82" s="798"/>
      <c r="FQO82" s="798"/>
      <c r="FQP82" s="798"/>
      <c r="FQQ82" s="798"/>
      <c r="FQR82" s="798"/>
      <c r="FQS82" s="798"/>
      <c r="FQT82" s="798"/>
      <c r="FQU82" s="798"/>
      <c r="FQV82" s="798"/>
      <c r="FQW82" s="798"/>
      <c r="FQX82" s="798"/>
      <c r="FQY82" s="798"/>
      <c r="FQZ82" s="798"/>
      <c r="FRA82" s="798"/>
      <c r="FRB82" s="798"/>
      <c r="FRC82" s="798"/>
      <c r="FRD82" s="798"/>
      <c r="FRE82" s="798"/>
      <c r="FRF82" s="798"/>
      <c r="FRG82" s="798"/>
      <c r="FRH82" s="798"/>
      <c r="FRI82" s="798"/>
      <c r="FRJ82" s="798"/>
      <c r="FRK82" s="798"/>
      <c r="FRL82" s="798"/>
      <c r="FRM82" s="798"/>
      <c r="FRN82" s="798"/>
      <c r="FRO82" s="798"/>
      <c r="FRP82" s="798"/>
      <c r="FRQ82" s="798"/>
      <c r="FRR82" s="798"/>
      <c r="FRS82" s="798"/>
      <c r="FRT82" s="798"/>
      <c r="FRU82" s="798"/>
      <c r="FRV82" s="798"/>
      <c r="FRW82" s="798"/>
      <c r="FRX82" s="798"/>
      <c r="FRY82" s="798"/>
      <c r="FRZ82" s="798"/>
      <c r="FSA82" s="798"/>
      <c r="FSB82" s="798"/>
      <c r="FSC82" s="798"/>
      <c r="FSD82" s="798"/>
      <c r="FSE82" s="798"/>
      <c r="FSF82" s="798"/>
      <c r="FSG82" s="798"/>
      <c r="FSH82" s="798"/>
      <c r="FSI82" s="798"/>
      <c r="FSJ82" s="798"/>
      <c r="FSK82" s="798"/>
      <c r="FSL82" s="798"/>
      <c r="FSM82" s="798"/>
      <c r="FSN82" s="798"/>
      <c r="FSO82" s="798"/>
      <c r="FSP82" s="798"/>
      <c r="FSQ82" s="798"/>
      <c r="FSR82" s="798"/>
      <c r="FSS82" s="798"/>
      <c r="FST82" s="798"/>
      <c r="FSU82" s="798"/>
      <c r="FSV82" s="798"/>
      <c r="FSW82" s="798"/>
      <c r="FSX82" s="798"/>
      <c r="FSY82" s="798"/>
      <c r="FSZ82" s="798"/>
      <c r="FTA82" s="798"/>
      <c r="FTB82" s="798"/>
      <c r="FTC82" s="798"/>
      <c r="FTD82" s="798"/>
      <c r="FTE82" s="798"/>
      <c r="FTF82" s="798"/>
      <c r="FTG82" s="798"/>
      <c r="FTH82" s="798"/>
      <c r="FTI82" s="798"/>
      <c r="FTJ82" s="798"/>
      <c r="FTK82" s="798"/>
      <c r="FTL82" s="798"/>
      <c r="FTM82" s="798"/>
      <c r="FTN82" s="798"/>
      <c r="FTO82" s="798"/>
      <c r="FTP82" s="798"/>
      <c r="FTQ82" s="798"/>
      <c r="FTR82" s="798"/>
      <c r="FTS82" s="798"/>
      <c r="FTT82" s="798"/>
      <c r="FTU82" s="798"/>
      <c r="FTV82" s="798"/>
      <c r="FTW82" s="798"/>
      <c r="FTX82" s="798"/>
      <c r="FTY82" s="798"/>
      <c r="FTZ82" s="798"/>
      <c r="FUA82" s="798"/>
      <c r="FUB82" s="798"/>
      <c r="FUC82" s="798"/>
      <c r="FUD82" s="798"/>
      <c r="FUE82" s="798"/>
      <c r="FUF82" s="798"/>
      <c r="FUG82" s="798"/>
      <c r="FUH82" s="798"/>
      <c r="FUI82" s="798"/>
      <c r="FUJ82" s="798"/>
      <c r="FUK82" s="798"/>
      <c r="FUL82" s="798"/>
      <c r="FUM82" s="798"/>
      <c r="FUN82" s="798"/>
      <c r="FUO82" s="798"/>
      <c r="FUP82" s="798"/>
      <c r="FUQ82" s="798"/>
      <c r="FUR82" s="798"/>
      <c r="FUS82" s="798"/>
      <c r="FUT82" s="798"/>
      <c r="FUU82" s="798"/>
      <c r="FUV82" s="798"/>
      <c r="FUW82" s="798"/>
      <c r="FUX82" s="798"/>
      <c r="FUY82" s="798"/>
      <c r="FUZ82" s="798"/>
      <c r="FVA82" s="798"/>
      <c r="FVB82" s="798"/>
      <c r="FVC82" s="798"/>
      <c r="FVD82" s="798"/>
      <c r="FVE82" s="798"/>
      <c r="FVF82" s="798"/>
      <c r="FVG82" s="798"/>
      <c r="FVH82" s="798"/>
      <c r="FVI82" s="798"/>
      <c r="FVJ82" s="798"/>
      <c r="FVK82" s="798"/>
      <c r="FVL82" s="798"/>
      <c r="FVM82" s="798"/>
      <c r="FVN82" s="798"/>
      <c r="FVO82" s="798"/>
      <c r="FVP82" s="798"/>
      <c r="FVQ82" s="798"/>
      <c r="FVR82" s="798"/>
      <c r="FVS82" s="798"/>
      <c r="FVT82" s="798"/>
      <c r="FVU82" s="798"/>
      <c r="FVV82" s="798"/>
      <c r="FVW82" s="798"/>
      <c r="FVX82" s="798"/>
      <c r="FVY82" s="798"/>
      <c r="FVZ82" s="798"/>
      <c r="FWA82" s="798"/>
      <c r="FWB82" s="798"/>
      <c r="FWC82" s="798"/>
      <c r="FWD82" s="798"/>
      <c r="FWE82" s="798"/>
      <c r="FWF82" s="798"/>
      <c r="FWG82" s="798"/>
      <c r="FWH82" s="798"/>
      <c r="FWI82" s="798"/>
      <c r="FWJ82" s="798"/>
      <c r="FWK82" s="798"/>
      <c r="FWL82" s="798"/>
      <c r="FWM82" s="798"/>
      <c r="FWN82" s="798"/>
      <c r="FWO82" s="798"/>
      <c r="FWP82" s="798"/>
      <c r="FWQ82" s="798"/>
      <c r="FWR82" s="798"/>
      <c r="FWS82" s="798"/>
      <c r="FWT82" s="798"/>
      <c r="FWU82" s="798"/>
      <c r="FWV82" s="798"/>
      <c r="FWW82" s="798"/>
      <c r="FWX82" s="798"/>
      <c r="FWY82" s="798"/>
      <c r="FWZ82" s="798"/>
      <c r="FXA82" s="798"/>
      <c r="FXB82" s="798"/>
      <c r="FXC82" s="798"/>
      <c r="FXD82" s="798"/>
      <c r="FXE82" s="798"/>
      <c r="FXF82" s="798"/>
      <c r="FXG82" s="798"/>
      <c r="FXH82" s="798"/>
      <c r="FXI82" s="798"/>
      <c r="FXJ82" s="798"/>
      <c r="FXK82" s="798"/>
      <c r="FXL82" s="798"/>
      <c r="FXM82" s="798"/>
      <c r="FXN82" s="798"/>
      <c r="FXO82" s="798"/>
      <c r="FXP82" s="798"/>
      <c r="FXQ82" s="798"/>
      <c r="FXR82" s="798"/>
      <c r="FXS82" s="798"/>
      <c r="FXT82" s="798"/>
      <c r="FXU82" s="798"/>
      <c r="FXV82" s="798"/>
      <c r="FXW82" s="798"/>
      <c r="FXX82" s="798"/>
      <c r="FXY82" s="798"/>
      <c r="FXZ82" s="798"/>
      <c r="FYA82" s="798"/>
      <c r="FYB82" s="798"/>
      <c r="FYC82" s="798"/>
      <c r="FYD82" s="798"/>
      <c r="FYE82" s="798"/>
      <c r="FYF82" s="798"/>
      <c r="FYG82" s="798"/>
      <c r="FYH82" s="798"/>
      <c r="FYI82" s="798"/>
      <c r="FYJ82" s="798"/>
      <c r="FYK82" s="798"/>
      <c r="FYL82" s="798"/>
      <c r="FYM82" s="798"/>
      <c r="FYN82" s="798"/>
      <c r="FYO82" s="798"/>
      <c r="FYP82" s="798"/>
      <c r="FYQ82" s="798"/>
      <c r="FYR82" s="798"/>
      <c r="FYS82" s="798"/>
      <c r="FYT82" s="798"/>
      <c r="FYU82" s="798"/>
      <c r="FYV82" s="798"/>
      <c r="FYW82" s="798"/>
      <c r="FYX82" s="798"/>
      <c r="FYY82" s="798"/>
      <c r="FYZ82" s="798"/>
      <c r="FZA82" s="798"/>
      <c r="FZB82" s="798"/>
      <c r="FZC82" s="798"/>
      <c r="FZD82" s="798"/>
      <c r="FZE82" s="798"/>
      <c r="FZF82" s="798"/>
      <c r="FZG82" s="798"/>
      <c r="FZH82" s="798"/>
      <c r="FZI82" s="798"/>
      <c r="FZJ82" s="798"/>
      <c r="FZK82" s="798"/>
      <c r="FZL82" s="798"/>
      <c r="FZM82" s="798"/>
      <c r="FZN82" s="798"/>
      <c r="FZO82" s="798"/>
      <c r="FZP82" s="798"/>
      <c r="FZQ82" s="798"/>
      <c r="FZR82" s="798"/>
      <c r="FZS82" s="798"/>
      <c r="FZT82" s="798"/>
      <c r="FZU82" s="798"/>
      <c r="FZV82" s="798"/>
      <c r="FZW82" s="798"/>
      <c r="FZX82" s="798"/>
      <c r="FZY82" s="798"/>
      <c r="FZZ82" s="798"/>
      <c r="GAA82" s="798"/>
      <c r="GAB82" s="798"/>
      <c r="GAC82" s="798"/>
      <c r="GAD82" s="798"/>
      <c r="GAE82" s="798"/>
      <c r="GAF82" s="798"/>
      <c r="GAG82" s="798"/>
      <c r="GAH82" s="798"/>
      <c r="GAI82" s="798"/>
      <c r="GAJ82" s="798"/>
      <c r="GAK82" s="798"/>
      <c r="GAL82" s="798"/>
      <c r="GAM82" s="798"/>
      <c r="GAN82" s="798"/>
      <c r="GAO82" s="798"/>
      <c r="GAP82" s="798"/>
      <c r="GAQ82" s="798"/>
      <c r="GAR82" s="798"/>
      <c r="GAS82" s="798"/>
      <c r="GAT82" s="798"/>
      <c r="GAU82" s="798"/>
      <c r="GAV82" s="798"/>
      <c r="GAW82" s="798"/>
      <c r="GAX82" s="798"/>
      <c r="GAY82" s="798"/>
      <c r="GAZ82" s="798"/>
      <c r="GBA82" s="798"/>
      <c r="GBB82" s="798"/>
      <c r="GBC82" s="798"/>
      <c r="GBD82" s="798"/>
      <c r="GBE82" s="798"/>
      <c r="GBF82" s="798"/>
      <c r="GBG82" s="798"/>
      <c r="GBH82" s="798"/>
      <c r="GBI82" s="798"/>
      <c r="GBJ82" s="798"/>
      <c r="GBK82" s="798"/>
      <c r="GBL82" s="798"/>
      <c r="GBM82" s="798"/>
      <c r="GBN82" s="798"/>
      <c r="GBO82" s="798"/>
      <c r="GBP82" s="798"/>
      <c r="GBQ82" s="798"/>
      <c r="GBR82" s="798"/>
      <c r="GBS82" s="798"/>
      <c r="GBT82" s="798"/>
      <c r="GBU82" s="798"/>
      <c r="GBV82" s="798"/>
      <c r="GBW82" s="798"/>
      <c r="GBX82" s="798"/>
      <c r="GBY82" s="798"/>
      <c r="GBZ82" s="798"/>
      <c r="GCA82" s="798"/>
      <c r="GCB82" s="798"/>
      <c r="GCC82" s="798"/>
      <c r="GCD82" s="798"/>
      <c r="GCE82" s="798"/>
      <c r="GCF82" s="798"/>
      <c r="GCG82" s="798"/>
      <c r="GCH82" s="798"/>
      <c r="GCI82" s="798"/>
      <c r="GCJ82" s="798"/>
      <c r="GCK82" s="798"/>
      <c r="GCL82" s="798"/>
      <c r="GCM82" s="798"/>
      <c r="GCN82" s="798"/>
      <c r="GCO82" s="798"/>
      <c r="GCP82" s="798"/>
      <c r="GCQ82" s="798"/>
      <c r="GCR82" s="798"/>
      <c r="GCS82" s="798"/>
      <c r="GCT82" s="798"/>
      <c r="GCU82" s="798"/>
      <c r="GCV82" s="798"/>
      <c r="GCW82" s="798"/>
      <c r="GCX82" s="798"/>
      <c r="GCY82" s="798"/>
      <c r="GCZ82" s="798"/>
      <c r="GDA82" s="798"/>
      <c r="GDB82" s="798"/>
      <c r="GDC82" s="798"/>
      <c r="GDD82" s="798"/>
      <c r="GDE82" s="798"/>
      <c r="GDF82" s="798"/>
      <c r="GDG82" s="798"/>
      <c r="GDH82" s="798"/>
      <c r="GDI82" s="798"/>
      <c r="GDJ82" s="798"/>
      <c r="GDK82" s="798"/>
      <c r="GDL82" s="798"/>
      <c r="GDM82" s="798"/>
      <c r="GDN82" s="798"/>
      <c r="GDO82" s="798"/>
      <c r="GDP82" s="798"/>
      <c r="GDQ82" s="798"/>
      <c r="GDR82" s="798"/>
      <c r="GDS82" s="798"/>
      <c r="GDT82" s="798"/>
      <c r="GDU82" s="798"/>
      <c r="GDV82" s="798"/>
      <c r="GDW82" s="798"/>
      <c r="GDX82" s="798"/>
      <c r="GDY82" s="798"/>
      <c r="GDZ82" s="798"/>
      <c r="GEA82" s="798"/>
      <c r="GEB82" s="798"/>
      <c r="GEC82" s="798"/>
      <c r="GED82" s="798"/>
      <c r="GEE82" s="798"/>
      <c r="GEF82" s="798"/>
      <c r="GEG82" s="798"/>
      <c r="GEH82" s="798"/>
      <c r="GEI82" s="798"/>
      <c r="GEJ82" s="798"/>
      <c r="GEK82" s="798"/>
      <c r="GEL82" s="798"/>
      <c r="GEM82" s="798"/>
      <c r="GEN82" s="798"/>
      <c r="GEO82" s="798"/>
      <c r="GEP82" s="798"/>
      <c r="GEQ82" s="798"/>
      <c r="GER82" s="798"/>
      <c r="GES82" s="798"/>
      <c r="GET82" s="798"/>
      <c r="GEU82" s="798"/>
      <c r="GEV82" s="798"/>
      <c r="GEW82" s="798"/>
      <c r="GEX82" s="798"/>
      <c r="GEY82" s="798"/>
      <c r="GEZ82" s="798"/>
      <c r="GFA82" s="798"/>
      <c r="GFB82" s="798"/>
      <c r="GFC82" s="798"/>
      <c r="GFD82" s="798"/>
      <c r="GFE82" s="798"/>
      <c r="GFF82" s="798"/>
      <c r="GFG82" s="798"/>
      <c r="GFH82" s="798"/>
      <c r="GFI82" s="798"/>
      <c r="GFJ82" s="798"/>
      <c r="GFK82" s="798"/>
      <c r="GFL82" s="798"/>
      <c r="GFM82" s="798"/>
      <c r="GFN82" s="798"/>
      <c r="GFO82" s="798"/>
      <c r="GFP82" s="798"/>
      <c r="GFQ82" s="798"/>
      <c r="GFR82" s="798"/>
      <c r="GFS82" s="798"/>
      <c r="GFT82" s="798"/>
      <c r="GFU82" s="798"/>
      <c r="GFV82" s="798"/>
      <c r="GFW82" s="798"/>
      <c r="GFX82" s="798"/>
      <c r="GFY82" s="798"/>
      <c r="GFZ82" s="798"/>
      <c r="GGA82" s="798"/>
      <c r="GGB82" s="798"/>
      <c r="GGC82" s="798"/>
      <c r="GGD82" s="798"/>
      <c r="GGE82" s="798"/>
      <c r="GGF82" s="798"/>
      <c r="GGG82" s="798"/>
      <c r="GGH82" s="798"/>
      <c r="GGI82" s="798"/>
      <c r="GGJ82" s="798"/>
      <c r="GGK82" s="798"/>
      <c r="GGL82" s="798"/>
      <c r="GGM82" s="798"/>
      <c r="GGN82" s="798"/>
      <c r="GGO82" s="798"/>
      <c r="GGP82" s="798"/>
      <c r="GGQ82" s="798"/>
      <c r="GGR82" s="798"/>
      <c r="GGS82" s="798"/>
      <c r="GGT82" s="798"/>
      <c r="GGU82" s="798"/>
      <c r="GGV82" s="798"/>
      <c r="GGW82" s="798"/>
      <c r="GGX82" s="798"/>
      <c r="GGY82" s="798"/>
      <c r="GGZ82" s="798"/>
      <c r="GHA82" s="798"/>
      <c r="GHB82" s="798"/>
      <c r="GHC82" s="798"/>
      <c r="GHD82" s="798"/>
      <c r="GHE82" s="798"/>
      <c r="GHF82" s="798"/>
      <c r="GHG82" s="798"/>
      <c r="GHH82" s="798"/>
      <c r="GHI82" s="798"/>
      <c r="GHJ82" s="798"/>
      <c r="GHK82" s="798"/>
      <c r="GHL82" s="798"/>
      <c r="GHM82" s="798"/>
      <c r="GHN82" s="798"/>
      <c r="GHO82" s="798"/>
      <c r="GHP82" s="798"/>
      <c r="GHQ82" s="798"/>
      <c r="GHR82" s="798"/>
      <c r="GHS82" s="798"/>
      <c r="GHT82" s="798"/>
      <c r="GHU82" s="798"/>
      <c r="GHV82" s="798"/>
      <c r="GHW82" s="798"/>
      <c r="GHX82" s="798"/>
      <c r="GHY82" s="798"/>
      <c r="GHZ82" s="798"/>
      <c r="GIA82" s="798"/>
      <c r="GIB82" s="798"/>
      <c r="GIC82" s="798"/>
      <c r="GID82" s="798"/>
      <c r="GIE82" s="798"/>
      <c r="GIF82" s="798"/>
      <c r="GIG82" s="798"/>
      <c r="GIH82" s="798"/>
      <c r="GII82" s="798"/>
      <c r="GIJ82" s="798"/>
      <c r="GIK82" s="798"/>
      <c r="GIL82" s="798"/>
      <c r="GIM82" s="798"/>
      <c r="GIN82" s="798"/>
      <c r="GIO82" s="798"/>
      <c r="GIP82" s="798"/>
      <c r="GIQ82" s="798"/>
      <c r="GIR82" s="798"/>
      <c r="GIS82" s="798"/>
      <c r="GIT82" s="798"/>
      <c r="GIU82" s="798"/>
      <c r="GIV82" s="798"/>
      <c r="GIW82" s="798"/>
      <c r="GIX82" s="798"/>
      <c r="GIY82" s="798"/>
      <c r="GIZ82" s="798"/>
      <c r="GJA82" s="798"/>
      <c r="GJB82" s="798"/>
      <c r="GJC82" s="798"/>
      <c r="GJD82" s="798"/>
      <c r="GJE82" s="798"/>
      <c r="GJF82" s="798"/>
      <c r="GJG82" s="798"/>
      <c r="GJH82" s="798"/>
      <c r="GJI82" s="798"/>
      <c r="GJJ82" s="798"/>
      <c r="GJK82" s="798"/>
      <c r="GJL82" s="798"/>
      <c r="GJM82" s="798"/>
      <c r="GJN82" s="798"/>
      <c r="GJO82" s="798"/>
      <c r="GJP82" s="798"/>
      <c r="GJQ82" s="798"/>
      <c r="GJR82" s="798"/>
      <c r="GJS82" s="798"/>
      <c r="GJT82" s="798"/>
      <c r="GJU82" s="798"/>
      <c r="GJV82" s="798"/>
      <c r="GJW82" s="798"/>
      <c r="GJX82" s="798"/>
      <c r="GJY82" s="798"/>
      <c r="GJZ82" s="798"/>
      <c r="GKA82" s="798"/>
      <c r="GKB82" s="798"/>
      <c r="GKC82" s="798"/>
      <c r="GKD82" s="798"/>
      <c r="GKE82" s="798"/>
      <c r="GKF82" s="798"/>
      <c r="GKG82" s="798"/>
      <c r="GKH82" s="798"/>
      <c r="GKI82" s="798"/>
      <c r="GKJ82" s="798"/>
      <c r="GKK82" s="798"/>
      <c r="GKL82" s="798"/>
      <c r="GKM82" s="798"/>
      <c r="GKN82" s="798"/>
      <c r="GKO82" s="798"/>
      <c r="GKP82" s="798"/>
      <c r="GKQ82" s="798"/>
      <c r="GKR82" s="798"/>
      <c r="GKS82" s="798"/>
      <c r="GKT82" s="798"/>
      <c r="GKU82" s="798"/>
      <c r="GKV82" s="798"/>
      <c r="GKW82" s="798"/>
      <c r="GKX82" s="798"/>
      <c r="GKY82" s="798"/>
      <c r="GKZ82" s="798"/>
      <c r="GLA82" s="798"/>
      <c r="GLB82" s="798"/>
      <c r="GLC82" s="798"/>
      <c r="GLD82" s="798"/>
      <c r="GLE82" s="798"/>
      <c r="GLF82" s="798"/>
      <c r="GLG82" s="798"/>
      <c r="GLH82" s="798"/>
      <c r="GLI82" s="798"/>
      <c r="GLJ82" s="798"/>
      <c r="GLK82" s="798"/>
      <c r="GLL82" s="798"/>
      <c r="GLM82" s="798"/>
      <c r="GLN82" s="798"/>
      <c r="GLO82" s="798"/>
      <c r="GLP82" s="798"/>
      <c r="GLQ82" s="798"/>
      <c r="GLR82" s="798"/>
      <c r="GLS82" s="798"/>
      <c r="GLT82" s="798"/>
      <c r="GLU82" s="798"/>
      <c r="GLV82" s="798"/>
      <c r="GLW82" s="798"/>
      <c r="GLX82" s="798"/>
      <c r="GLY82" s="798"/>
      <c r="GLZ82" s="798"/>
      <c r="GMA82" s="798"/>
      <c r="GMB82" s="798"/>
      <c r="GMC82" s="798"/>
      <c r="GMD82" s="798"/>
      <c r="GME82" s="798"/>
      <c r="GMF82" s="798"/>
      <c r="GMG82" s="798"/>
      <c r="GMH82" s="798"/>
      <c r="GMI82" s="798"/>
      <c r="GMJ82" s="798"/>
      <c r="GMK82" s="798"/>
      <c r="GML82" s="798"/>
      <c r="GMM82" s="798"/>
      <c r="GMN82" s="798"/>
      <c r="GMO82" s="798"/>
      <c r="GMP82" s="798"/>
      <c r="GMQ82" s="798"/>
      <c r="GMR82" s="798"/>
      <c r="GMS82" s="798"/>
      <c r="GMT82" s="798"/>
      <c r="GMU82" s="798"/>
      <c r="GMV82" s="798"/>
      <c r="GMW82" s="798"/>
      <c r="GMX82" s="798"/>
      <c r="GMY82" s="798"/>
      <c r="GMZ82" s="798"/>
      <c r="GNA82" s="798"/>
      <c r="GNB82" s="798"/>
      <c r="GNC82" s="798"/>
      <c r="GND82" s="798"/>
      <c r="GNE82" s="798"/>
      <c r="GNF82" s="798"/>
      <c r="GNG82" s="798"/>
      <c r="GNH82" s="798"/>
      <c r="GNI82" s="798"/>
      <c r="GNJ82" s="798"/>
      <c r="GNK82" s="798"/>
      <c r="GNL82" s="798"/>
      <c r="GNM82" s="798"/>
      <c r="GNN82" s="798"/>
      <c r="GNO82" s="798"/>
      <c r="GNP82" s="798"/>
      <c r="GNQ82" s="798"/>
      <c r="GNR82" s="798"/>
      <c r="GNS82" s="798"/>
      <c r="GNT82" s="798"/>
      <c r="GNU82" s="798"/>
      <c r="GNV82" s="798"/>
      <c r="GNW82" s="798"/>
      <c r="GNX82" s="798"/>
      <c r="GNY82" s="798"/>
      <c r="GNZ82" s="798"/>
      <c r="GOA82" s="798"/>
      <c r="GOB82" s="798"/>
      <c r="GOC82" s="798"/>
      <c r="GOD82" s="798"/>
      <c r="GOE82" s="798"/>
      <c r="GOF82" s="798"/>
      <c r="GOG82" s="798"/>
      <c r="GOH82" s="798"/>
      <c r="GOI82" s="798"/>
      <c r="GOJ82" s="798"/>
      <c r="GOK82" s="798"/>
      <c r="GOL82" s="798"/>
      <c r="GOM82" s="798"/>
      <c r="GON82" s="798"/>
      <c r="GOO82" s="798"/>
      <c r="GOP82" s="798"/>
      <c r="GOQ82" s="798"/>
      <c r="GOR82" s="798"/>
      <c r="GOS82" s="798"/>
      <c r="GOT82" s="798"/>
      <c r="GOU82" s="798"/>
      <c r="GOV82" s="798"/>
      <c r="GOW82" s="798"/>
      <c r="GOX82" s="798"/>
      <c r="GOY82" s="798"/>
      <c r="GOZ82" s="798"/>
      <c r="GPA82" s="798"/>
      <c r="GPB82" s="798"/>
      <c r="GPC82" s="798"/>
      <c r="GPD82" s="798"/>
      <c r="GPE82" s="798"/>
      <c r="GPF82" s="798"/>
      <c r="GPG82" s="798"/>
      <c r="GPH82" s="798"/>
      <c r="GPI82" s="798"/>
      <c r="GPJ82" s="798"/>
      <c r="GPK82" s="798"/>
      <c r="GPL82" s="798"/>
      <c r="GPM82" s="798"/>
      <c r="GPN82" s="798"/>
      <c r="GPO82" s="798"/>
      <c r="GPP82" s="798"/>
      <c r="GPQ82" s="798"/>
      <c r="GPR82" s="798"/>
      <c r="GPS82" s="798"/>
      <c r="GPT82" s="798"/>
      <c r="GPU82" s="798"/>
      <c r="GPV82" s="798"/>
      <c r="GPW82" s="798"/>
      <c r="GPX82" s="798"/>
      <c r="GPY82" s="798"/>
      <c r="GPZ82" s="798"/>
      <c r="GQA82" s="798"/>
      <c r="GQB82" s="798"/>
      <c r="GQC82" s="798"/>
      <c r="GQD82" s="798"/>
      <c r="GQE82" s="798"/>
      <c r="GQF82" s="798"/>
      <c r="GQG82" s="798"/>
      <c r="GQH82" s="798"/>
      <c r="GQI82" s="798"/>
      <c r="GQJ82" s="798"/>
      <c r="GQK82" s="798"/>
      <c r="GQL82" s="798"/>
      <c r="GQM82" s="798"/>
      <c r="GQN82" s="798"/>
      <c r="GQO82" s="798"/>
      <c r="GQP82" s="798"/>
      <c r="GQQ82" s="798"/>
      <c r="GQR82" s="798"/>
      <c r="GQS82" s="798"/>
      <c r="GQT82" s="798"/>
      <c r="GQU82" s="798"/>
      <c r="GQV82" s="798"/>
      <c r="GQW82" s="798"/>
      <c r="GQX82" s="798"/>
      <c r="GQY82" s="798"/>
      <c r="GQZ82" s="798"/>
      <c r="GRA82" s="798"/>
      <c r="GRB82" s="798"/>
      <c r="GRC82" s="798"/>
      <c r="GRD82" s="798"/>
      <c r="GRE82" s="798"/>
      <c r="GRF82" s="798"/>
      <c r="GRG82" s="798"/>
      <c r="GRH82" s="798"/>
      <c r="GRI82" s="798"/>
      <c r="GRJ82" s="798"/>
      <c r="GRK82" s="798"/>
      <c r="GRL82" s="798"/>
      <c r="GRM82" s="798"/>
      <c r="GRN82" s="798"/>
      <c r="GRO82" s="798"/>
      <c r="GRP82" s="798"/>
      <c r="GRQ82" s="798"/>
      <c r="GRR82" s="798"/>
      <c r="GRS82" s="798"/>
      <c r="GRT82" s="798"/>
      <c r="GRU82" s="798"/>
      <c r="GRV82" s="798"/>
      <c r="GRW82" s="798"/>
      <c r="GRX82" s="798"/>
      <c r="GRY82" s="798"/>
      <c r="GRZ82" s="798"/>
      <c r="GSA82" s="798"/>
      <c r="GSB82" s="798"/>
      <c r="GSC82" s="798"/>
      <c r="GSD82" s="798"/>
      <c r="GSE82" s="798"/>
      <c r="GSF82" s="798"/>
      <c r="GSG82" s="798"/>
      <c r="GSH82" s="798"/>
      <c r="GSI82" s="798"/>
      <c r="GSJ82" s="798"/>
      <c r="GSK82" s="798"/>
      <c r="GSL82" s="798"/>
      <c r="GSM82" s="798"/>
      <c r="GSN82" s="798"/>
      <c r="GSO82" s="798"/>
      <c r="GSP82" s="798"/>
      <c r="GSQ82" s="798"/>
      <c r="GSR82" s="798"/>
      <c r="GSS82" s="798"/>
      <c r="GST82" s="798"/>
      <c r="GSU82" s="798"/>
      <c r="GSV82" s="798"/>
      <c r="GSW82" s="798"/>
      <c r="GSX82" s="798"/>
      <c r="GSY82" s="798"/>
      <c r="GSZ82" s="798"/>
      <c r="GTA82" s="798"/>
      <c r="GTB82" s="798"/>
      <c r="GTC82" s="798"/>
      <c r="GTD82" s="798"/>
      <c r="GTE82" s="798"/>
      <c r="GTF82" s="798"/>
      <c r="GTG82" s="798"/>
      <c r="GTH82" s="798"/>
      <c r="GTI82" s="798"/>
      <c r="GTJ82" s="798"/>
      <c r="GTK82" s="798"/>
      <c r="GTL82" s="798"/>
      <c r="GTM82" s="798"/>
      <c r="GTN82" s="798"/>
      <c r="GTO82" s="798"/>
      <c r="GTP82" s="798"/>
      <c r="GTQ82" s="798"/>
      <c r="GTR82" s="798"/>
      <c r="GTS82" s="798"/>
      <c r="GTT82" s="798"/>
      <c r="GTU82" s="798"/>
      <c r="GTV82" s="798"/>
      <c r="GTW82" s="798"/>
      <c r="GTX82" s="798"/>
      <c r="GTY82" s="798"/>
      <c r="GTZ82" s="798"/>
      <c r="GUA82" s="798"/>
      <c r="GUB82" s="798"/>
      <c r="GUC82" s="798"/>
      <c r="GUD82" s="798"/>
      <c r="GUE82" s="798"/>
      <c r="GUF82" s="798"/>
      <c r="GUG82" s="798"/>
      <c r="GUH82" s="798"/>
      <c r="GUI82" s="798"/>
      <c r="GUJ82" s="798"/>
      <c r="GUK82" s="798"/>
      <c r="GUL82" s="798"/>
      <c r="GUM82" s="798"/>
      <c r="GUN82" s="798"/>
      <c r="GUO82" s="798"/>
      <c r="GUP82" s="798"/>
      <c r="GUQ82" s="798"/>
      <c r="GUR82" s="798"/>
      <c r="GUS82" s="798"/>
      <c r="GUT82" s="798"/>
      <c r="GUU82" s="798"/>
      <c r="GUV82" s="798"/>
      <c r="GUW82" s="798"/>
      <c r="GUX82" s="798"/>
      <c r="GUY82" s="798"/>
      <c r="GUZ82" s="798"/>
      <c r="GVA82" s="798"/>
      <c r="GVB82" s="798"/>
      <c r="GVC82" s="798"/>
      <c r="GVD82" s="798"/>
      <c r="GVE82" s="798"/>
      <c r="GVF82" s="798"/>
      <c r="GVG82" s="798"/>
      <c r="GVH82" s="798"/>
      <c r="GVI82" s="798"/>
      <c r="GVJ82" s="798"/>
      <c r="GVK82" s="798"/>
      <c r="GVL82" s="798"/>
      <c r="GVM82" s="798"/>
      <c r="GVN82" s="798"/>
      <c r="GVO82" s="798"/>
      <c r="GVP82" s="798"/>
      <c r="GVQ82" s="798"/>
      <c r="GVR82" s="798"/>
      <c r="GVS82" s="798"/>
      <c r="GVT82" s="798"/>
      <c r="GVU82" s="798"/>
      <c r="GVV82" s="798"/>
      <c r="GVW82" s="798"/>
      <c r="GVX82" s="798"/>
      <c r="GVY82" s="798"/>
      <c r="GVZ82" s="798"/>
      <c r="GWA82" s="798"/>
      <c r="GWB82" s="798"/>
      <c r="GWC82" s="798"/>
      <c r="GWD82" s="798"/>
      <c r="GWE82" s="798"/>
      <c r="GWF82" s="798"/>
      <c r="GWG82" s="798"/>
      <c r="GWH82" s="798"/>
      <c r="GWI82" s="798"/>
      <c r="GWJ82" s="798"/>
      <c r="GWK82" s="798"/>
      <c r="GWL82" s="798"/>
      <c r="GWM82" s="798"/>
      <c r="GWN82" s="798"/>
      <c r="GWO82" s="798"/>
      <c r="GWP82" s="798"/>
      <c r="GWQ82" s="798"/>
      <c r="GWR82" s="798"/>
      <c r="GWS82" s="798"/>
      <c r="GWT82" s="798"/>
      <c r="GWU82" s="798"/>
      <c r="GWV82" s="798"/>
      <c r="GWW82" s="798"/>
      <c r="GWX82" s="798"/>
      <c r="GWY82" s="798"/>
      <c r="GWZ82" s="798"/>
      <c r="GXA82" s="798"/>
      <c r="GXB82" s="798"/>
      <c r="GXC82" s="798"/>
      <c r="GXD82" s="798"/>
      <c r="GXE82" s="798"/>
      <c r="GXF82" s="798"/>
      <c r="GXG82" s="798"/>
      <c r="GXH82" s="798"/>
      <c r="GXI82" s="798"/>
      <c r="GXJ82" s="798"/>
      <c r="GXK82" s="798"/>
      <c r="GXL82" s="798"/>
      <c r="GXM82" s="798"/>
      <c r="GXN82" s="798"/>
      <c r="GXO82" s="798"/>
      <c r="GXP82" s="798"/>
      <c r="GXQ82" s="798"/>
      <c r="GXR82" s="798"/>
      <c r="GXS82" s="798"/>
      <c r="GXT82" s="798"/>
      <c r="GXU82" s="798"/>
      <c r="GXV82" s="798"/>
      <c r="GXW82" s="798"/>
      <c r="GXX82" s="798"/>
      <c r="GXY82" s="798"/>
      <c r="GXZ82" s="798"/>
      <c r="GYA82" s="798"/>
      <c r="GYB82" s="798"/>
      <c r="GYC82" s="798"/>
      <c r="GYD82" s="798"/>
      <c r="GYE82" s="798"/>
      <c r="GYF82" s="798"/>
      <c r="GYG82" s="798"/>
      <c r="GYH82" s="798"/>
      <c r="GYI82" s="798"/>
      <c r="GYJ82" s="798"/>
      <c r="GYK82" s="798"/>
      <c r="GYL82" s="798"/>
      <c r="GYM82" s="798"/>
      <c r="GYN82" s="798"/>
      <c r="GYO82" s="798"/>
      <c r="GYP82" s="798"/>
      <c r="GYQ82" s="798"/>
      <c r="GYR82" s="798"/>
      <c r="GYS82" s="798"/>
      <c r="GYT82" s="798"/>
      <c r="GYU82" s="798"/>
      <c r="GYV82" s="798"/>
      <c r="GYW82" s="798"/>
      <c r="GYX82" s="798"/>
      <c r="GYY82" s="798"/>
      <c r="GYZ82" s="798"/>
      <c r="GZA82" s="798"/>
      <c r="GZB82" s="798"/>
      <c r="GZC82" s="798"/>
      <c r="GZD82" s="798"/>
      <c r="GZE82" s="798"/>
      <c r="GZF82" s="798"/>
      <c r="GZG82" s="798"/>
      <c r="GZH82" s="798"/>
      <c r="GZI82" s="798"/>
      <c r="GZJ82" s="798"/>
      <c r="GZK82" s="798"/>
      <c r="GZL82" s="798"/>
      <c r="GZM82" s="798"/>
      <c r="GZN82" s="798"/>
      <c r="GZO82" s="798"/>
      <c r="GZP82" s="798"/>
      <c r="GZQ82" s="798"/>
      <c r="GZR82" s="798"/>
      <c r="GZS82" s="798"/>
      <c r="GZT82" s="798"/>
      <c r="GZU82" s="798"/>
      <c r="GZV82" s="798"/>
      <c r="GZW82" s="798"/>
      <c r="GZX82" s="798"/>
      <c r="GZY82" s="798"/>
      <c r="GZZ82" s="798"/>
      <c r="HAA82" s="798"/>
      <c r="HAB82" s="798"/>
      <c r="HAC82" s="798"/>
      <c r="HAD82" s="798"/>
      <c r="HAE82" s="798"/>
      <c r="HAF82" s="798"/>
      <c r="HAG82" s="798"/>
      <c r="HAH82" s="798"/>
      <c r="HAI82" s="798"/>
      <c r="HAJ82" s="798"/>
      <c r="HAK82" s="798"/>
      <c r="HAL82" s="798"/>
      <c r="HAM82" s="798"/>
      <c r="HAN82" s="798"/>
      <c r="HAO82" s="798"/>
      <c r="HAP82" s="798"/>
      <c r="HAQ82" s="798"/>
      <c r="HAR82" s="798"/>
      <c r="HAS82" s="798"/>
      <c r="HAT82" s="798"/>
      <c r="HAU82" s="798"/>
      <c r="HAV82" s="798"/>
      <c r="HAW82" s="798"/>
      <c r="HAX82" s="798"/>
      <c r="HAY82" s="798"/>
      <c r="HAZ82" s="798"/>
      <c r="HBA82" s="798"/>
      <c r="HBB82" s="798"/>
      <c r="HBC82" s="798"/>
      <c r="HBD82" s="798"/>
      <c r="HBE82" s="798"/>
      <c r="HBF82" s="798"/>
      <c r="HBG82" s="798"/>
      <c r="HBH82" s="798"/>
      <c r="HBI82" s="798"/>
      <c r="HBJ82" s="798"/>
      <c r="HBK82" s="798"/>
      <c r="HBL82" s="798"/>
      <c r="HBM82" s="798"/>
      <c r="HBN82" s="798"/>
      <c r="HBO82" s="798"/>
      <c r="HBP82" s="798"/>
      <c r="HBQ82" s="798"/>
      <c r="HBR82" s="798"/>
      <c r="HBS82" s="798"/>
      <c r="HBT82" s="798"/>
      <c r="HBU82" s="798"/>
      <c r="HBV82" s="798"/>
      <c r="HBW82" s="798"/>
      <c r="HBX82" s="798"/>
      <c r="HBY82" s="798"/>
      <c r="HBZ82" s="798"/>
      <c r="HCA82" s="798"/>
      <c r="HCB82" s="798"/>
      <c r="HCC82" s="798"/>
      <c r="HCD82" s="798"/>
      <c r="HCE82" s="798"/>
      <c r="HCF82" s="798"/>
      <c r="HCG82" s="798"/>
      <c r="HCH82" s="798"/>
      <c r="HCI82" s="798"/>
      <c r="HCJ82" s="798"/>
      <c r="HCK82" s="798"/>
      <c r="HCL82" s="798"/>
      <c r="HCM82" s="798"/>
      <c r="HCN82" s="798"/>
      <c r="HCO82" s="798"/>
      <c r="HCP82" s="798"/>
      <c r="HCQ82" s="798"/>
      <c r="HCR82" s="798"/>
      <c r="HCS82" s="798"/>
      <c r="HCT82" s="798"/>
      <c r="HCU82" s="798"/>
      <c r="HCV82" s="798"/>
      <c r="HCW82" s="798"/>
      <c r="HCX82" s="798"/>
      <c r="HCY82" s="798"/>
      <c r="HCZ82" s="798"/>
      <c r="HDA82" s="798"/>
      <c r="HDB82" s="798"/>
      <c r="HDC82" s="798"/>
      <c r="HDD82" s="798"/>
      <c r="HDE82" s="798"/>
      <c r="HDF82" s="798"/>
      <c r="HDG82" s="798"/>
      <c r="HDH82" s="798"/>
      <c r="HDI82" s="798"/>
      <c r="HDJ82" s="798"/>
      <c r="HDK82" s="798"/>
      <c r="HDL82" s="798"/>
      <c r="HDM82" s="798"/>
      <c r="HDN82" s="798"/>
      <c r="HDO82" s="798"/>
      <c r="HDP82" s="798"/>
      <c r="HDQ82" s="798"/>
      <c r="HDR82" s="798"/>
      <c r="HDS82" s="798"/>
      <c r="HDT82" s="798"/>
      <c r="HDU82" s="798"/>
      <c r="HDV82" s="798"/>
      <c r="HDW82" s="798"/>
      <c r="HDX82" s="798"/>
      <c r="HDY82" s="798"/>
      <c r="HDZ82" s="798"/>
      <c r="HEA82" s="798"/>
      <c r="HEB82" s="798"/>
      <c r="HEC82" s="798"/>
      <c r="HED82" s="798"/>
      <c r="HEE82" s="798"/>
      <c r="HEF82" s="798"/>
      <c r="HEG82" s="798"/>
      <c r="HEH82" s="798"/>
      <c r="HEI82" s="798"/>
      <c r="HEJ82" s="798"/>
      <c r="HEK82" s="798"/>
      <c r="HEL82" s="798"/>
      <c r="HEM82" s="798"/>
      <c r="HEN82" s="798"/>
      <c r="HEO82" s="798"/>
      <c r="HEP82" s="798"/>
      <c r="HEQ82" s="798"/>
      <c r="HER82" s="798"/>
      <c r="HES82" s="798"/>
      <c r="HET82" s="798"/>
      <c r="HEU82" s="798"/>
      <c r="HEV82" s="798"/>
      <c r="HEW82" s="798"/>
      <c r="HEX82" s="798"/>
      <c r="HEY82" s="798"/>
      <c r="HEZ82" s="798"/>
      <c r="HFA82" s="798"/>
      <c r="HFB82" s="798"/>
      <c r="HFC82" s="798"/>
      <c r="HFD82" s="798"/>
      <c r="HFE82" s="798"/>
      <c r="HFF82" s="798"/>
      <c r="HFG82" s="798"/>
      <c r="HFH82" s="798"/>
      <c r="HFI82" s="798"/>
      <c r="HFJ82" s="798"/>
      <c r="HFK82" s="798"/>
      <c r="HFL82" s="798"/>
      <c r="HFM82" s="798"/>
      <c r="HFN82" s="798"/>
      <c r="HFO82" s="798"/>
      <c r="HFP82" s="798"/>
      <c r="HFQ82" s="798"/>
      <c r="HFR82" s="798"/>
      <c r="HFS82" s="798"/>
      <c r="HFT82" s="798"/>
      <c r="HFU82" s="798"/>
      <c r="HFV82" s="798"/>
      <c r="HFW82" s="798"/>
      <c r="HFX82" s="798"/>
      <c r="HFY82" s="798"/>
      <c r="HFZ82" s="798"/>
      <c r="HGA82" s="798"/>
      <c r="HGB82" s="798"/>
      <c r="HGC82" s="798"/>
      <c r="HGD82" s="798"/>
      <c r="HGE82" s="798"/>
      <c r="HGF82" s="798"/>
      <c r="HGG82" s="798"/>
      <c r="HGH82" s="798"/>
      <c r="HGI82" s="798"/>
      <c r="HGJ82" s="798"/>
      <c r="HGK82" s="798"/>
      <c r="HGL82" s="798"/>
      <c r="HGM82" s="798"/>
      <c r="HGN82" s="798"/>
      <c r="HGO82" s="798"/>
      <c r="HGP82" s="798"/>
      <c r="HGQ82" s="798"/>
      <c r="HGR82" s="798"/>
      <c r="HGS82" s="798"/>
      <c r="HGT82" s="798"/>
      <c r="HGU82" s="798"/>
      <c r="HGV82" s="798"/>
      <c r="HGW82" s="798"/>
      <c r="HGX82" s="798"/>
      <c r="HGY82" s="798"/>
      <c r="HGZ82" s="798"/>
      <c r="HHA82" s="798"/>
      <c r="HHB82" s="798"/>
      <c r="HHC82" s="798"/>
      <c r="HHD82" s="798"/>
      <c r="HHE82" s="798"/>
      <c r="HHF82" s="798"/>
      <c r="HHG82" s="798"/>
      <c r="HHH82" s="798"/>
      <c r="HHI82" s="798"/>
      <c r="HHJ82" s="798"/>
      <c r="HHK82" s="798"/>
      <c r="HHL82" s="798"/>
      <c r="HHM82" s="798"/>
      <c r="HHN82" s="798"/>
      <c r="HHO82" s="798"/>
      <c r="HHP82" s="798"/>
      <c r="HHQ82" s="798"/>
      <c r="HHR82" s="798"/>
      <c r="HHS82" s="798"/>
      <c r="HHT82" s="798"/>
      <c r="HHU82" s="798"/>
      <c r="HHV82" s="798"/>
      <c r="HHW82" s="798"/>
      <c r="HHX82" s="798"/>
      <c r="HHY82" s="798"/>
      <c r="HHZ82" s="798"/>
      <c r="HIA82" s="798"/>
      <c r="HIB82" s="798"/>
      <c r="HIC82" s="798"/>
      <c r="HID82" s="798"/>
      <c r="HIE82" s="798"/>
      <c r="HIF82" s="798"/>
      <c r="HIG82" s="798"/>
      <c r="HIH82" s="798"/>
      <c r="HII82" s="798"/>
      <c r="HIJ82" s="798"/>
      <c r="HIK82" s="798"/>
      <c r="HIL82" s="798"/>
      <c r="HIM82" s="798"/>
      <c r="HIN82" s="798"/>
      <c r="HIO82" s="798"/>
      <c r="HIP82" s="798"/>
      <c r="HIQ82" s="798"/>
      <c r="HIR82" s="798"/>
      <c r="HIS82" s="798"/>
      <c r="HIT82" s="798"/>
      <c r="HIU82" s="798"/>
      <c r="HIV82" s="798"/>
      <c r="HIW82" s="798"/>
      <c r="HIX82" s="798"/>
      <c r="HIY82" s="798"/>
      <c r="HIZ82" s="798"/>
      <c r="HJA82" s="798"/>
      <c r="HJB82" s="798"/>
      <c r="HJC82" s="798"/>
      <c r="HJD82" s="798"/>
      <c r="HJE82" s="798"/>
      <c r="HJF82" s="798"/>
      <c r="HJG82" s="798"/>
      <c r="HJH82" s="798"/>
      <c r="HJI82" s="798"/>
      <c r="HJJ82" s="798"/>
      <c r="HJK82" s="798"/>
      <c r="HJL82" s="798"/>
      <c r="HJM82" s="798"/>
      <c r="HJN82" s="798"/>
      <c r="HJO82" s="798"/>
      <c r="HJP82" s="798"/>
      <c r="HJQ82" s="798"/>
      <c r="HJR82" s="798"/>
      <c r="HJS82" s="798"/>
      <c r="HJT82" s="798"/>
      <c r="HJU82" s="798"/>
      <c r="HJV82" s="798"/>
      <c r="HJW82" s="798"/>
      <c r="HJX82" s="798"/>
      <c r="HJY82" s="798"/>
      <c r="HJZ82" s="798"/>
      <c r="HKA82" s="798"/>
      <c r="HKB82" s="798"/>
      <c r="HKC82" s="798"/>
      <c r="HKD82" s="798"/>
      <c r="HKE82" s="798"/>
      <c r="HKF82" s="798"/>
      <c r="HKG82" s="798"/>
      <c r="HKH82" s="798"/>
      <c r="HKI82" s="798"/>
      <c r="HKJ82" s="798"/>
      <c r="HKK82" s="798"/>
      <c r="HKL82" s="798"/>
      <c r="HKM82" s="798"/>
      <c r="HKN82" s="798"/>
      <c r="HKO82" s="798"/>
      <c r="HKP82" s="798"/>
      <c r="HKQ82" s="798"/>
      <c r="HKR82" s="798"/>
      <c r="HKS82" s="798"/>
      <c r="HKT82" s="798"/>
      <c r="HKU82" s="798"/>
      <c r="HKV82" s="798"/>
      <c r="HKW82" s="798"/>
      <c r="HKX82" s="798"/>
      <c r="HKY82" s="798"/>
      <c r="HKZ82" s="798"/>
      <c r="HLA82" s="798"/>
      <c r="HLB82" s="798"/>
      <c r="HLC82" s="798"/>
      <c r="HLD82" s="798"/>
      <c r="HLE82" s="798"/>
      <c r="HLF82" s="798"/>
      <c r="HLG82" s="798"/>
      <c r="HLH82" s="798"/>
      <c r="HLI82" s="798"/>
      <c r="HLJ82" s="798"/>
      <c r="HLK82" s="798"/>
      <c r="HLL82" s="798"/>
      <c r="HLM82" s="798"/>
      <c r="HLN82" s="798"/>
      <c r="HLO82" s="798"/>
      <c r="HLP82" s="798"/>
      <c r="HLQ82" s="798"/>
      <c r="HLR82" s="798"/>
      <c r="HLS82" s="798"/>
      <c r="HLT82" s="798"/>
      <c r="HLU82" s="798"/>
      <c r="HLV82" s="798"/>
      <c r="HLW82" s="798"/>
      <c r="HLX82" s="798"/>
      <c r="HLY82" s="798"/>
      <c r="HLZ82" s="798"/>
      <c r="HMA82" s="798"/>
      <c r="HMB82" s="798"/>
      <c r="HMC82" s="798"/>
      <c r="HMD82" s="798"/>
      <c r="HME82" s="798"/>
      <c r="HMF82" s="798"/>
      <c r="HMG82" s="798"/>
      <c r="HMH82" s="798"/>
      <c r="HMI82" s="798"/>
      <c r="HMJ82" s="798"/>
      <c r="HMK82" s="798"/>
      <c r="HML82" s="798"/>
      <c r="HMM82" s="798"/>
      <c r="HMN82" s="798"/>
      <c r="HMO82" s="798"/>
      <c r="HMP82" s="798"/>
      <c r="HMQ82" s="798"/>
      <c r="HMR82" s="798"/>
      <c r="HMS82" s="798"/>
      <c r="HMT82" s="798"/>
      <c r="HMU82" s="798"/>
      <c r="HMV82" s="798"/>
      <c r="HMW82" s="798"/>
      <c r="HMX82" s="798"/>
      <c r="HMY82" s="798"/>
      <c r="HMZ82" s="798"/>
      <c r="HNA82" s="798"/>
      <c r="HNB82" s="798"/>
      <c r="HNC82" s="798"/>
      <c r="HND82" s="798"/>
      <c r="HNE82" s="798"/>
      <c r="HNF82" s="798"/>
      <c r="HNG82" s="798"/>
      <c r="HNH82" s="798"/>
      <c r="HNI82" s="798"/>
      <c r="HNJ82" s="798"/>
      <c r="HNK82" s="798"/>
      <c r="HNL82" s="798"/>
      <c r="HNM82" s="798"/>
      <c r="HNN82" s="798"/>
      <c r="HNO82" s="798"/>
      <c r="HNP82" s="798"/>
      <c r="HNQ82" s="798"/>
      <c r="HNR82" s="798"/>
      <c r="HNS82" s="798"/>
      <c r="HNT82" s="798"/>
      <c r="HNU82" s="798"/>
      <c r="HNV82" s="798"/>
      <c r="HNW82" s="798"/>
      <c r="HNX82" s="798"/>
      <c r="HNY82" s="798"/>
      <c r="HNZ82" s="798"/>
      <c r="HOA82" s="798"/>
      <c r="HOB82" s="798"/>
      <c r="HOC82" s="798"/>
      <c r="HOD82" s="798"/>
      <c r="HOE82" s="798"/>
      <c r="HOF82" s="798"/>
      <c r="HOG82" s="798"/>
      <c r="HOH82" s="798"/>
      <c r="HOI82" s="798"/>
      <c r="HOJ82" s="798"/>
      <c r="HOK82" s="798"/>
      <c r="HOL82" s="798"/>
      <c r="HOM82" s="798"/>
      <c r="HON82" s="798"/>
      <c r="HOO82" s="798"/>
      <c r="HOP82" s="798"/>
      <c r="HOQ82" s="798"/>
      <c r="HOR82" s="798"/>
      <c r="HOS82" s="798"/>
      <c r="HOT82" s="798"/>
      <c r="HOU82" s="798"/>
      <c r="HOV82" s="798"/>
      <c r="HOW82" s="798"/>
      <c r="HOX82" s="798"/>
      <c r="HOY82" s="798"/>
      <c r="HOZ82" s="798"/>
      <c r="HPA82" s="798"/>
      <c r="HPB82" s="798"/>
      <c r="HPC82" s="798"/>
      <c r="HPD82" s="798"/>
      <c r="HPE82" s="798"/>
      <c r="HPF82" s="798"/>
      <c r="HPG82" s="798"/>
      <c r="HPH82" s="798"/>
      <c r="HPI82" s="798"/>
      <c r="HPJ82" s="798"/>
      <c r="HPK82" s="798"/>
      <c r="HPL82" s="798"/>
      <c r="HPM82" s="798"/>
      <c r="HPN82" s="798"/>
      <c r="HPO82" s="798"/>
      <c r="HPP82" s="798"/>
      <c r="HPQ82" s="798"/>
      <c r="HPR82" s="798"/>
      <c r="HPS82" s="798"/>
      <c r="HPT82" s="798"/>
      <c r="HPU82" s="798"/>
      <c r="HPV82" s="798"/>
      <c r="HPW82" s="798"/>
      <c r="HPX82" s="798"/>
      <c r="HPY82" s="798"/>
      <c r="HPZ82" s="798"/>
      <c r="HQA82" s="798"/>
      <c r="HQB82" s="798"/>
      <c r="HQC82" s="798"/>
      <c r="HQD82" s="798"/>
      <c r="HQE82" s="798"/>
      <c r="HQF82" s="798"/>
      <c r="HQG82" s="798"/>
      <c r="HQH82" s="798"/>
      <c r="HQI82" s="798"/>
      <c r="HQJ82" s="798"/>
      <c r="HQK82" s="798"/>
      <c r="HQL82" s="798"/>
      <c r="HQM82" s="798"/>
      <c r="HQN82" s="798"/>
      <c r="HQO82" s="798"/>
      <c r="HQP82" s="798"/>
      <c r="HQQ82" s="798"/>
      <c r="HQR82" s="798"/>
      <c r="HQS82" s="798"/>
      <c r="HQT82" s="798"/>
      <c r="HQU82" s="798"/>
      <c r="HQV82" s="798"/>
      <c r="HQW82" s="798"/>
      <c r="HQX82" s="798"/>
      <c r="HQY82" s="798"/>
      <c r="HQZ82" s="798"/>
      <c r="HRA82" s="798"/>
      <c r="HRB82" s="798"/>
      <c r="HRC82" s="798"/>
      <c r="HRD82" s="798"/>
      <c r="HRE82" s="798"/>
      <c r="HRF82" s="798"/>
      <c r="HRG82" s="798"/>
      <c r="HRH82" s="798"/>
      <c r="HRI82" s="798"/>
      <c r="HRJ82" s="798"/>
      <c r="HRK82" s="798"/>
      <c r="HRL82" s="798"/>
      <c r="HRM82" s="798"/>
      <c r="HRN82" s="798"/>
      <c r="HRO82" s="798"/>
      <c r="HRP82" s="798"/>
      <c r="HRQ82" s="798"/>
      <c r="HRR82" s="798"/>
      <c r="HRS82" s="798"/>
      <c r="HRT82" s="798"/>
      <c r="HRU82" s="798"/>
      <c r="HRV82" s="798"/>
      <c r="HRW82" s="798"/>
      <c r="HRX82" s="798"/>
      <c r="HRY82" s="798"/>
      <c r="HRZ82" s="798"/>
      <c r="HSA82" s="798"/>
      <c r="HSB82" s="798"/>
      <c r="HSC82" s="798"/>
      <c r="HSD82" s="798"/>
      <c r="HSE82" s="798"/>
      <c r="HSF82" s="798"/>
      <c r="HSG82" s="798"/>
      <c r="HSH82" s="798"/>
      <c r="HSI82" s="798"/>
      <c r="HSJ82" s="798"/>
      <c r="HSK82" s="798"/>
      <c r="HSL82" s="798"/>
      <c r="HSM82" s="798"/>
      <c r="HSN82" s="798"/>
      <c r="HSO82" s="798"/>
      <c r="HSP82" s="798"/>
      <c r="HSQ82" s="798"/>
      <c r="HSR82" s="798"/>
      <c r="HSS82" s="798"/>
      <c r="HST82" s="798"/>
      <c r="HSU82" s="798"/>
      <c r="HSV82" s="798"/>
      <c r="HSW82" s="798"/>
      <c r="HSX82" s="798"/>
      <c r="HSY82" s="798"/>
      <c r="HSZ82" s="798"/>
      <c r="HTA82" s="798"/>
      <c r="HTB82" s="798"/>
      <c r="HTC82" s="798"/>
      <c r="HTD82" s="798"/>
      <c r="HTE82" s="798"/>
      <c r="HTF82" s="798"/>
      <c r="HTG82" s="798"/>
      <c r="HTH82" s="798"/>
      <c r="HTI82" s="798"/>
      <c r="HTJ82" s="798"/>
      <c r="HTK82" s="798"/>
      <c r="HTL82" s="798"/>
      <c r="HTM82" s="798"/>
      <c r="HTN82" s="798"/>
      <c r="HTO82" s="798"/>
      <c r="HTP82" s="798"/>
      <c r="HTQ82" s="798"/>
      <c r="HTR82" s="798"/>
      <c r="HTS82" s="798"/>
      <c r="HTT82" s="798"/>
      <c r="HTU82" s="798"/>
      <c r="HTV82" s="798"/>
      <c r="HTW82" s="798"/>
      <c r="HTX82" s="798"/>
      <c r="HTY82" s="798"/>
      <c r="HTZ82" s="798"/>
      <c r="HUA82" s="798"/>
      <c r="HUB82" s="798"/>
      <c r="HUC82" s="798"/>
      <c r="HUD82" s="798"/>
      <c r="HUE82" s="798"/>
      <c r="HUF82" s="798"/>
      <c r="HUG82" s="798"/>
      <c r="HUH82" s="798"/>
      <c r="HUI82" s="798"/>
      <c r="HUJ82" s="798"/>
      <c r="HUK82" s="798"/>
      <c r="HUL82" s="798"/>
      <c r="HUM82" s="798"/>
      <c r="HUN82" s="798"/>
      <c r="HUO82" s="798"/>
      <c r="HUP82" s="798"/>
      <c r="HUQ82" s="798"/>
      <c r="HUR82" s="798"/>
      <c r="HUS82" s="798"/>
      <c r="HUT82" s="798"/>
      <c r="HUU82" s="798"/>
      <c r="HUV82" s="798"/>
      <c r="HUW82" s="798"/>
      <c r="HUX82" s="798"/>
      <c r="HUY82" s="798"/>
      <c r="HUZ82" s="798"/>
      <c r="HVA82" s="798"/>
      <c r="HVB82" s="798"/>
      <c r="HVC82" s="798"/>
      <c r="HVD82" s="798"/>
      <c r="HVE82" s="798"/>
      <c r="HVF82" s="798"/>
      <c r="HVG82" s="798"/>
      <c r="HVH82" s="798"/>
      <c r="HVI82" s="798"/>
      <c r="HVJ82" s="798"/>
      <c r="HVK82" s="798"/>
      <c r="HVL82" s="798"/>
      <c r="HVM82" s="798"/>
      <c r="HVN82" s="798"/>
      <c r="HVO82" s="798"/>
      <c r="HVP82" s="798"/>
      <c r="HVQ82" s="798"/>
      <c r="HVR82" s="798"/>
      <c r="HVS82" s="798"/>
      <c r="HVT82" s="798"/>
      <c r="HVU82" s="798"/>
      <c r="HVV82" s="798"/>
      <c r="HVW82" s="798"/>
      <c r="HVX82" s="798"/>
      <c r="HVY82" s="798"/>
      <c r="HVZ82" s="798"/>
      <c r="HWA82" s="798"/>
      <c r="HWB82" s="798"/>
      <c r="HWC82" s="798"/>
      <c r="HWD82" s="798"/>
      <c r="HWE82" s="798"/>
      <c r="HWF82" s="798"/>
      <c r="HWG82" s="798"/>
      <c r="HWH82" s="798"/>
      <c r="HWI82" s="798"/>
      <c r="HWJ82" s="798"/>
      <c r="HWK82" s="798"/>
      <c r="HWL82" s="798"/>
      <c r="HWM82" s="798"/>
      <c r="HWN82" s="798"/>
      <c r="HWO82" s="798"/>
      <c r="HWP82" s="798"/>
      <c r="HWQ82" s="798"/>
      <c r="HWR82" s="798"/>
      <c r="HWS82" s="798"/>
      <c r="HWT82" s="798"/>
      <c r="HWU82" s="798"/>
      <c r="HWV82" s="798"/>
      <c r="HWW82" s="798"/>
      <c r="HWX82" s="798"/>
      <c r="HWY82" s="798"/>
      <c r="HWZ82" s="798"/>
      <c r="HXA82" s="798"/>
      <c r="HXB82" s="798"/>
      <c r="HXC82" s="798"/>
      <c r="HXD82" s="798"/>
      <c r="HXE82" s="798"/>
      <c r="HXF82" s="798"/>
      <c r="HXG82" s="798"/>
      <c r="HXH82" s="798"/>
      <c r="HXI82" s="798"/>
      <c r="HXJ82" s="798"/>
      <c r="HXK82" s="798"/>
      <c r="HXL82" s="798"/>
      <c r="HXM82" s="798"/>
      <c r="HXN82" s="798"/>
      <c r="HXO82" s="798"/>
      <c r="HXP82" s="798"/>
      <c r="HXQ82" s="798"/>
      <c r="HXR82" s="798"/>
      <c r="HXS82" s="798"/>
      <c r="HXT82" s="798"/>
      <c r="HXU82" s="798"/>
      <c r="HXV82" s="798"/>
      <c r="HXW82" s="798"/>
      <c r="HXX82" s="798"/>
      <c r="HXY82" s="798"/>
      <c r="HXZ82" s="798"/>
      <c r="HYA82" s="798"/>
      <c r="HYB82" s="798"/>
      <c r="HYC82" s="798"/>
      <c r="HYD82" s="798"/>
      <c r="HYE82" s="798"/>
      <c r="HYF82" s="798"/>
      <c r="HYG82" s="798"/>
      <c r="HYH82" s="798"/>
      <c r="HYI82" s="798"/>
      <c r="HYJ82" s="798"/>
      <c r="HYK82" s="798"/>
      <c r="HYL82" s="798"/>
      <c r="HYM82" s="798"/>
      <c r="HYN82" s="798"/>
      <c r="HYO82" s="798"/>
      <c r="HYP82" s="798"/>
      <c r="HYQ82" s="798"/>
      <c r="HYR82" s="798"/>
      <c r="HYS82" s="798"/>
      <c r="HYT82" s="798"/>
      <c r="HYU82" s="798"/>
      <c r="HYV82" s="798"/>
      <c r="HYW82" s="798"/>
      <c r="HYX82" s="798"/>
      <c r="HYY82" s="798"/>
      <c r="HYZ82" s="798"/>
      <c r="HZA82" s="798"/>
      <c r="HZB82" s="798"/>
      <c r="HZC82" s="798"/>
      <c r="HZD82" s="798"/>
      <c r="HZE82" s="798"/>
      <c r="HZF82" s="798"/>
      <c r="HZG82" s="798"/>
      <c r="HZH82" s="798"/>
      <c r="HZI82" s="798"/>
      <c r="HZJ82" s="798"/>
      <c r="HZK82" s="798"/>
      <c r="HZL82" s="798"/>
      <c r="HZM82" s="798"/>
      <c r="HZN82" s="798"/>
      <c r="HZO82" s="798"/>
      <c r="HZP82" s="798"/>
      <c r="HZQ82" s="798"/>
      <c r="HZR82" s="798"/>
      <c r="HZS82" s="798"/>
      <c r="HZT82" s="798"/>
      <c r="HZU82" s="798"/>
      <c r="HZV82" s="798"/>
      <c r="HZW82" s="798"/>
      <c r="HZX82" s="798"/>
      <c r="HZY82" s="798"/>
      <c r="HZZ82" s="798"/>
      <c r="IAA82" s="798"/>
      <c r="IAB82" s="798"/>
      <c r="IAC82" s="798"/>
      <c r="IAD82" s="798"/>
      <c r="IAE82" s="798"/>
      <c r="IAF82" s="798"/>
      <c r="IAG82" s="798"/>
      <c r="IAH82" s="798"/>
      <c r="IAI82" s="798"/>
      <c r="IAJ82" s="798"/>
      <c r="IAK82" s="798"/>
      <c r="IAL82" s="798"/>
      <c r="IAM82" s="798"/>
      <c r="IAN82" s="798"/>
      <c r="IAO82" s="798"/>
      <c r="IAP82" s="798"/>
      <c r="IAQ82" s="798"/>
      <c r="IAR82" s="798"/>
      <c r="IAS82" s="798"/>
      <c r="IAT82" s="798"/>
      <c r="IAU82" s="798"/>
      <c r="IAV82" s="798"/>
      <c r="IAW82" s="798"/>
      <c r="IAX82" s="798"/>
      <c r="IAY82" s="798"/>
      <c r="IAZ82" s="798"/>
      <c r="IBA82" s="798"/>
      <c r="IBB82" s="798"/>
      <c r="IBC82" s="798"/>
      <c r="IBD82" s="798"/>
      <c r="IBE82" s="798"/>
      <c r="IBF82" s="798"/>
      <c r="IBG82" s="798"/>
      <c r="IBH82" s="798"/>
      <c r="IBI82" s="798"/>
      <c r="IBJ82" s="798"/>
      <c r="IBK82" s="798"/>
      <c r="IBL82" s="798"/>
      <c r="IBM82" s="798"/>
      <c r="IBN82" s="798"/>
      <c r="IBO82" s="798"/>
      <c r="IBP82" s="798"/>
      <c r="IBQ82" s="798"/>
      <c r="IBR82" s="798"/>
      <c r="IBS82" s="798"/>
      <c r="IBT82" s="798"/>
      <c r="IBU82" s="798"/>
      <c r="IBV82" s="798"/>
      <c r="IBW82" s="798"/>
      <c r="IBX82" s="798"/>
      <c r="IBY82" s="798"/>
      <c r="IBZ82" s="798"/>
      <c r="ICA82" s="798"/>
      <c r="ICB82" s="798"/>
      <c r="ICC82" s="798"/>
      <c r="ICD82" s="798"/>
      <c r="ICE82" s="798"/>
      <c r="ICF82" s="798"/>
      <c r="ICG82" s="798"/>
      <c r="ICH82" s="798"/>
      <c r="ICI82" s="798"/>
      <c r="ICJ82" s="798"/>
      <c r="ICK82" s="798"/>
      <c r="ICL82" s="798"/>
      <c r="ICM82" s="798"/>
      <c r="ICN82" s="798"/>
      <c r="ICO82" s="798"/>
      <c r="ICP82" s="798"/>
      <c r="ICQ82" s="798"/>
      <c r="ICR82" s="798"/>
      <c r="ICS82" s="798"/>
      <c r="ICT82" s="798"/>
      <c r="ICU82" s="798"/>
      <c r="ICV82" s="798"/>
      <c r="ICW82" s="798"/>
      <c r="ICX82" s="798"/>
      <c r="ICY82" s="798"/>
      <c r="ICZ82" s="798"/>
      <c r="IDA82" s="798"/>
      <c r="IDB82" s="798"/>
      <c r="IDC82" s="798"/>
      <c r="IDD82" s="798"/>
      <c r="IDE82" s="798"/>
      <c r="IDF82" s="798"/>
      <c r="IDG82" s="798"/>
      <c r="IDH82" s="798"/>
      <c r="IDI82" s="798"/>
      <c r="IDJ82" s="798"/>
      <c r="IDK82" s="798"/>
      <c r="IDL82" s="798"/>
      <c r="IDM82" s="798"/>
      <c r="IDN82" s="798"/>
      <c r="IDO82" s="798"/>
      <c r="IDP82" s="798"/>
      <c r="IDQ82" s="798"/>
      <c r="IDR82" s="798"/>
      <c r="IDS82" s="798"/>
      <c r="IDT82" s="798"/>
      <c r="IDU82" s="798"/>
      <c r="IDV82" s="798"/>
      <c r="IDW82" s="798"/>
      <c r="IDX82" s="798"/>
      <c r="IDY82" s="798"/>
      <c r="IDZ82" s="798"/>
      <c r="IEA82" s="798"/>
      <c r="IEB82" s="798"/>
      <c r="IEC82" s="798"/>
      <c r="IED82" s="798"/>
      <c r="IEE82" s="798"/>
      <c r="IEF82" s="798"/>
      <c r="IEG82" s="798"/>
      <c r="IEH82" s="798"/>
      <c r="IEI82" s="798"/>
      <c r="IEJ82" s="798"/>
      <c r="IEK82" s="798"/>
      <c r="IEL82" s="798"/>
      <c r="IEM82" s="798"/>
      <c r="IEN82" s="798"/>
      <c r="IEO82" s="798"/>
      <c r="IEP82" s="798"/>
      <c r="IEQ82" s="798"/>
      <c r="IER82" s="798"/>
      <c r="IES82" s="798"/>
      <c r="IET82" s="798"/>
      <c r="IEU82" s="798"/>
      <c r="IEV82" s="798"/>
      <c r="IEW82" s="798"/>
      <c r="IEX82" s="798"/>
      <c r="IEY82" s="798"/>
      <c r="IEZ82" s="798"/>
      <c r="IFA82" s="798"/>
      <c r="IFB82" s="798"/>
      <c r="IFC82" s="798"/>
      <c r="IFD82" s="798"/>
      <c r="IFE82" s="798"/>
      <c r="IFF82" s="798"/>
      <c r="IFG82" s="798"/>
      <c r="IFH82" s="798"/>
      <c r="IFI82" s="798"/>
      <c r="IFJ82" s="798"/>
      <c r="IFK82" s="798"/>
      <c r="IFL82" s="798"/>
      <c r="IFM82" s="798"/>
      <c r="IFN82" s="798"/>
      <c r="IFO82" s="798"/>
      <c r="IFP82" s="798"/>
      <c r="IFQ82" s="798"/>
      <c r="IFR82" s="798"/>
      <c r="IFS82" s="798"/>
      <c r="IFT82" s="798"/>
      <c r="IFU82" s="798"/>
      <c r="IFV82" s="798"/>
      <c r="IFW82" s="798"/>
      <c r="IFX82" s="798"/>
      <c r="IFY82" s="798"/>
      <c r="IFZ82" s="798"/>
      <c r="IGA82" s="798"/>
      <c r="IGB82" s="798"/>
      <c r="IGC82" s="798"/>
      <c r="IGD82" s="798"/>
      <c r="IGE82" s="798"/>
      <c r="IGF82" s="798"/>
      <c r="IGG82" s="798"/>
      <c r="IGH82" s="798"/>
      <c r="IGI82" s="798"/>
      <c r="IGJ82" s="798"/>
      <c r="IGK82" s="798"/>
      <c r="IGL82" s="798"/>
      <c r="IGM82" s="798"/>
      <c r="IGN82" s="798"/>
      <c r="IGO82" s="798"/>
      <c r="IGP82" s="798"/>
      <c r="IGQ82" s="798"/>
      <c r="IGR82" s="798"/>
      <c r="IGS82" s="798"/>
      <c r="IGT82" s="798"/>
      <c r="IGU82" s="798"/>
      <c r="IGV82" s="798"/>
      <c r="IGW82" s="798"/>
      <c r="IGX82" s="798"/>
      <c r="IGY82" s="798"/>
      <c r="IGZ82" s="798"/>
      <c r="IHA82" s="798"/>
      <c r="IHB82" s="798"/>
      <c r="IHC82" s="798"/>
      <c r="IHD82" s="798"/>
      <c r="IHE82" s="798"/>
      <c r="IHF82" s="798"/>
      <c r="IHG82" s="798"/>
      <c r="IHH82" s="798"/>
      <c r="IHI82" s="798"/>
      <c r="IHJ82" s="798"/>
      <c r="IHK82" s="798"/>
      <c r="IHL82" s="798"/>
      <c r="IHM82" s="798"/>
      <c r="IHN82" s="798"/>
      <c r="IHO82" s="798"/>
      <c r="IHP82" s="798"/>
      <c r="IHQ82" s="798"/>
      <c r="IHR82" s="798"/>
      <c r="IHS82" s="798"/>
      <c r="IHT82" s="798"/>
      <c r="IHU82" s="798"/>
      <c r="IHV82" s="798"/>
      <c r="IHW82" s="798"/>
      <c r="IHX82" s="798"/>
      <c r="IHY82" s="798"/>
      <c r="IHZ82" s="798"/>
      <c r="IIA82" s="798"/>
      <c r="IIB82" s="798"/>
      <c r="IIC82" s="798"/>
      <c r="IID82" s="798"/>
      <c r="IIE82" s="798"/>
      <c r="IIF82" s="798"/>
      <c r="IIG82" s="798"/>
      <c r="IIH82" s="798"/>
      <c r="III82" s="798"/>
      <c r="IIJ82" s="798"/>
      <c r="IIK82" s="798"/>
      <c r="IIL82" s="798"/>
      <c r="IIM82" s="798"/>
      <c r="IIN82" s="798"/>
      <c r="IIO82" s="798"/>
      <c r="IIP82" s="798"/>
      <c r="IIQ82" s="798"/>
      <c r="IIR82" s="798"/>
      <c r="IIS82" s="798"/>
      <c r="IIT82" s="798"/>
      <c r="IIU82" s="798"/>
      <c r="IIV82" s="798"/>
      <c r="IIW82" s="798"/>
      <c r="IIX82" s="798"/>
      <c r="IIY82" s="798"/>
      <c r="IIZ82" s="798"/>
      <c r="IJA82" s="798"/>
      <c r="IJB82" s="798"/>
      <c r="IJC82" s="798"/>
      <c r="IJD82" s="798"/>
      <c r="IJE82" s="798"/>
      <c r="IJF82" s="798"/>
      <c r="IJG82" s="798"/>
      <c r="IJH82" s="798"/>
      <c r="IJI82" s="798"/>
      <c r="IJJ82" s="798"/>
      <c r="IJK82" s="798"/>
      <c r="IJL82" s="798"/>
      <c r="IJM82" s="798"/>
      <c r="IJN82" s="798"/>
      <c r="IJO82" s="798"/>
      <c r="IJP82" s="798"/>
      <c r="IJQ82" s="798"/>
      <c r="IJR82" s="798"/>
      <c r="IJS82" s="798"/>
      <c r="IJT82" s="798"/>
      <c r="IJU82" s="798"/>
      <c r="IJV82" s="798"/>
      <c r="IJW82" s="798"/>
      <c r="IJX82" s="798"/>
      <c r="IJY82" s="798"/>
      <c r="IJZ82" s="798"/>
      <c r="IKA82" s="798"/>
      <c r="IKB82" s="798"/>
      <c r="IKC82" s="798"/>
      <c r="IKD82" s="798"/>
      <c r="IKE82" s="798"/>
      <c r="IKF82" s="798"/>
      <c r="IKG82" s="798"/>
      <c r="IKH82" s="798"/>
      <c r="IKI82" s="798"/>
      <c r="IKJ82" s="798"/>
      <c r="IKK82" s="798"/>
      <c r="IKL82" s="798"/>
      <c r="IKM82" s="798"/>
      <c r="IKN82" s="798"/>
      <c r="IKO82" s="798"/>
      <c r="IKP82" s="798"/>
      <c r="IKQ82" s="798"/>
      <c r="IKR82" s="798"/>
      <c r="IKS82" s="798"/>
      <c r="IKT82" s="798"/>
      <c r="IKU82" s="798"/>
      <c r="IKV82" s="798"/>
      <c r="IKW82" s="798"/>
      <c r="IKX82" s="798"/>
      <c r="IKY82" s="798"/>
      <c r="IKZ82" s="798"/>
      <c r="ILA82" s="798"/>
      <c r="ILB82" s="798"/>
      <c r="ILC82" s="798"/>
      <c r="ILD82" s="798"/>
      <c r="ILE82" s="798"/>
      <c r="ILF82" s="798"/>
      <c r="ILG82" s="798"/>
      <c r="ILH82" s="798"/>
      <c r="ILI82" s="798"/>
      <c r="ILJ82" s="798"/>
      <c r="ILK82" s="798"/>
      <c r="ILL82" s="798"/>
      <c r="ILM82" s="798"/>
      <c r="ILN82" s="798"/>
      <c r="ILO82" s="798"/>
      <c r="ILP82" s="798"/>
      <c r="ILQ82" s="798"/>
      <c r="ILR82" s="798"/>
      <c r="ILS82" s="798"/>
      <c r="ILT82" s="798"/>
      <c r="ILU82" s="798"/>
      <c r="ILV82" s="798"/>
      <c r="ILW82" s="798"/>
      <c r="ILX82" s="798"/>
      <c r="ILY82" s="798"/>
      <c r="ILZ82" s="798"/>
      <c r="IMA82" s="798"/>
      <c r="IMB82" s="798"/>
      <c r="IMC82" s="798"/>
      <c r="IMD82" s="798"/>
      <c r="IME82" s="798"/>
      <c r="IMF82" s="798"/>
      <c r="IMG82" s="798"/>
      <c r="IMH82" s="798"/>
      <c r="IMI82" s="798"/>
      <c r="IMJ82" s="798"/>
      <c r="IMK82" s="798"/>
      <c r="IML82" s="798"/>
      <c r="IMM82" s="798"/>
      <c r="IMN82" s="798"/>
      <c r="IMO82" s="798"/>
      <c r="IMP82" s="798"/>
      <c r="IMQ82" s="798"/>
      <c r="IMR82" s="798"/>
      <c r="IMS82" s="798"/>
      <c r="IMT82" s="798"/>
      <c r="IMU82" s="798"/>
      <c r="IMV82" s="798"/>
      <c r="IMW82" s="798"/>
      <c r="IMX82" s="798"/>
      <c r="IMY82" s="798"/>
      <c r="IMZ82" s="798"/>
      <c r="INA82" s="798"/>
      <c r="INB82" s="798"/>
      <c r="INC82" s="798"/>
      <c r="IND82" s="798"/>
      <c r="INE82" s="798"/>
      <c r="INF82" s="798"/>
      <c r="ING82" s="798"/>
      <c r="INH82" s="798"/>
      <c r="INI82" s="798"/>
      <c r="INJ82" s="798"/>
      <c r="INK82" s="798"/>
      <c r="INL82" s="798"/>
      <c r="INM82" s="798"/>
      <c r="INN82" s="798"/>
      <c r="INO82" s="798"/>
      <c r="INP82" s="798"/>
      <c r="INQ82" s="798"/>
      <c r="INR82" s="798"/>
      <c r="INS82" s="798"/>
      <c r="INT82" s="798"/>
      <c r="INU82" s="798"/>
      <c r="INV82" s="798"/>
      <c r="INW82" s="798"/>
      <c r="INX82" s="798"/>
      <c r="INY82" s="798"/>
      <c r="INZ82" s="798"/>
      <c r="IOA82" s="798"/>
      <c r="IOB82" s="798"/>
      <c r="IOC82" s="798"/>
      <c r="IOD82" s="798"/>
      <c r="IOE82" s="798"/>
      <c r="IOF82" s="798"/>
      <c r="IOG82" s="798"/>
      <c r="IOH82" s="798"/>
      <c r="IOI82" s="798"/>
      <c r="IOJ82" s="798"/>
      <c r="IOK82" s="798"/>
      <c r="IOL82" s="798"/>
      <c r="IOM82" s="798"/>
      <c r="ION82" s="798"/>
      <c r="IOO82" s="798"/>
      <c r="IOP82" s="798"/>
      <c r="IOQ82" s="798"/>
      <c r="IOR82" s="798"/>
      <c r="IOS82" s="798"/>
      <c r="IOT82" s="798"/>
      <c r="IOU82" s="798"/>
      <c r="IOV82" s="798"/>
      <c r="IOW82" s="798"/>
      <c r="IOX82" s="798"/>
      <c r="IOY82" s="798"/>
      <c r="IOZ82" s="798"/>
      <c r="IPA82" s="798"/>
      <c r="IPB82" s="798"/>
      <c r="IPC82" s="798"/>
      <c r="IPD82" s="798"/>
      <c r="IPE82" s="798"/>
      <c r="IPF82" s="798"/>
      <c r="IPG82" s="798"/>
      <c r="IPH82" s="798"/>
      <c r="IPI82" s="798"/>
      <c r="IPJ82" s="798"/>
      <c r="IPK82" s="798"/>
      <c r="IPL82" s="798"/>
      <c r="IPM82" s="798"/>
      <c r="IPN82" s="798"/>
      <c r="IPO82" s="798"/>
      <c r="IPP82" s="798"/>
      <c r="IPQ82" s="798"/>
      <c r="IPR82" s="798"/>
      <c r="IPS82" s="798"/>
      <c r="IPT82" s="798"/>
      <c r="IPU82" s="798"/>
      <c r="IPV82" s="798"/>
      <c r="IPW82" s="798"/>
      <c r="IPX82" s="798"/>
      <c r="IPY82" s="798"/>
      <c r="IPZ82" s="798"/>
      <c r="IQA82" s="798"/>
      <c r="IQB82" s="798"/>
      <c r="IQC82" s="798"/>
      <c r="IQD82" s="798"/>
      <c r="IQE82" s="798"/>
      <c r="IQF82" s="798"/>
      <c r="IQG82" s="798"/>
      <c r="IQH82" s="798"/>
      <c r="IQI82" s="798"/>
      <c r="IQJ82" s="798"/>
      <c r="IQK82" s="798"/>
      <c r="IQL82" s="798"/>
      <c r="IQM82" s="798"/>
      <c r="IQN82" s="798"/>
      <c r="IQO82" s="798"/>
      <c r="IQP82" s="798"/>
      <c r="IQQ82" s="798"/>
      <c r="IQR82" s="798"/>
      <c r="IQS82" s="798"/>
      <c r="IQT82" s="798"/>
      <c r="IQU82" s="798"/>
      <c r="IQV82" s="798"/>
      <c r="IQW82" s="798"/>
      <c r="IQX82" s="798"/>
      <c r="IQY82" s="798"/>
      <c r="IQZ82" s="798"/>
      <c r="IRA82" s="798"/>
      <c r="IRB82" s="798"/>
      <c r="IRC82" s="798"/>
      <c r="IRD82" s="798"/>
      <c r="IRE82" s="798"/>
      <c r="IRF82" s="798"/>
      <c r="IRG82" s="798"/>
      <c r="IRH82" s="798"/>
      <c r="IRI82" s="798"/>
      <c r="IRJ82" s="798"/>
      <c r="IRK82" s="798"/>
      <c r="IRL82" s="798"/>
      <c r="IRM82" s="798"/>
      <c r="IRN82" s="798"/>
      <c r="IRO82" s="798"/>
      <c r="IRP82" s="798"/>
      <c r="IRQ82" s="798"/>
      <c r="IRR82" s="798"/>
      <c r="IRS82" s="798"/>
      <c r="IRT82" s="798"/>
      <c r="IRU82" s="798"/>
      <c r="IRV82" s="798"/>
      <c r="IRW82" s="798"/>
      <c r="IRX82" s="798"/>
      <c r="IRY82" s="798"/>
      <c r="IRZ82" s="798"/>
      <c r="ISA82" s="798"/>
      <c r="ISB82" s="798"/>
      <c r="ISC82" s="798"/>
      <c r="ISD82" s="798"/>
      <c r="ISE82" s="798"/>
      <c r="ISF82" s="798"/>
      <c r="ISG82" s="798"/>
      <c r="ISH82" s="798"/>
      <c r="ISI82" s="798"/>
      <c r="ISJ82" s="798"/>
      <c r="ISK82" s="798"/>
      <c r="ISL82" s="798"/>
      <c r="ISM82" s="798"/>
      <c r="ISN82" s="798"/>
      <c r="ISO82" s="798"/>
      <c r="ISP82" s="798"/>
      <c r="ISQ82" s="798"/>
      <c r="ISR82" s="798"/>
      <c r="ISS82" s="798"/>
      <c r="IST82" s="798"/>
      <c r="ISU82" s="798"/>
      <c r="ISV82" s="798"/>
      <c r="ISW82" s="798"/>
      <c r="ISX82" s="798"/>
      <c r="ISY82" s="798"/>
      <c r="ISZ82" s="798"/>
      <c r="ITA82" s="798"/>
      <c r="ITB82" s="798"/>
      <c r="ITC82" s="798"/>
      <c r="ITD82" s="798"/>
      <c r="ITE82" s="798"/>
      <c r="ITF82" s="798"/>
      <c r="ITG82" s="798"/>
      <c r="ITH82" s="798"/>
      <c r="ITI82" s="798"/>
      <c r="ITJ82" s="798"/>
      <c r="ITK82" s="798"/>
      <c r="ITL82" s="798"/>
      <c r="ITM82" s="798"/>
      <c r="ITN82" s="798"/>
      <c r="ITO82" s="798"/>
      <c r="ITP82" s="798"/>
      <c r="ITQ82" s="798"/>
      <c r="ITR82" s="798"/>
      <c r="ITS82" s="798"/>
      <c r="ITT82" s="798"/>
      <c r="ITU82" s="798"/>
      <c r="ITV82" s="798"/>
      <c r="ITW82" s="798"/>
      <c r="ITX82" s="798"/>
      <c r="ITY82" s="798"/>
      <c r="ITZ82" s="798"/>
      <c r="IUA82" s="798"/>
      <c r="IUB82" s="798"/>
      <c r="IUC82" s="798"/>
      <c r="IUD82" s="798"/>
      <c r="IUE82" s="798"/>
      <c r="IUF82" s="798"/>
      <c r="IUG82" s="798"/>
      <c r="IUH82" s="798"/>
      <c r="IUI82" s="798"/>
      <c r="IUJ82" s="798"/>
      <c r="IUK82" s="798"/>
      <c r="IUL82" s="798"/>
      <c r="IUM82" s="798"/>
      <c r="IUN82" s="798"/>
      <c r="IUO82" s="798"/>
      <c r="IUP82" s="798"/>
      <c r="IUQ82" s="798"/>
      <c r="IUR82" s="798"/>
      <c r="IUS82" s="798"/>
      <c r="IUT82" s="798"/>
      <c r="IUU82" s="798"/>
      <c r="IUV82" s="798"/>
      <c r="IUW82" s="798"/>
      <c r="IUX82" s="798"/>
      <c r="IUY82" s="798"/>
      <c r="IUZ82" s="798"/>
      <c r="IVA82" s="798"/>
      <c r="IVB82" s="798"/>
      <c r="IVC82" s="798"/>
      <c r="IVD82" s="798"/>
      <c r="IVE82" s="798"/>
      <c r="IVF82" s="798"/>
      <c r="IVG82" s="798"/>
      <c r="IVH82" s="798"/>
      <c r="IVI82" s="798"/>
      <c r="IVJ82" s="798"/>
      <c r="IVK82" s="798"/>
      <c r="IVL82" s="798"/>
      <c r="IVM82" s="798"/>
      <c r="IVN82" s="798"/>
      <c r="IVO82" s="798"/>
      <c r="IVP82" s="798"/>
      <c r="IVQ82" s="798"/>
      <c r="IVR82" s="798"/>
      <c r="IVS82" s="798"/>
      <c r="IVT82" s="798"/>
      <c r="IVU82" s="798"/>
      <c r="IVV82" s="798"/>
      <c r="IVW82" s="798"/>
      <c r="IVX82" s="798"/>
      <c r="IVY82" s="798"/>
      <c r="IVZ82" s="798"/>
      <c r="IWA82" s="798"/>
      <c r="IWB82" s="798"/>
      <c r="IWC82" s="798"/>
      <c r="IWD82" s="798"/>
      <c r="IWE82" s="798"/>
      <c r="IWF82" s="798"/>
      <c r="IWG82" s="798"/>
      <c r="IWH82" s="798"/>
      <c r="IWI82" s="798"/>
      <c r="IWJ82" s="798"/>
      <c r="IWK82" s="798"/>
      <c r="IWL82" s="798"/>
      <c r="IWM82" s="798"/>
      <c r="IWN82" s="798"/>
      <c r="IWO82" s="798"/>
      <c r="IWP82" s="798"/>
      <c r="IWQ82" s="798"/>
      <c r="IWR82" s="798"/>
      <c r="IWS82" s="798"/>
      <c r="IWT82" s="798"/>
      <c r="IWU82" s="798"/>
      <c r="IWV82" s="798"/>
      <c r="IWW82" s="798"/>
      <c r="IWX82" s="798"/>
      <c r="IWY82" s="798"/>
      <c r="IWZ82" s="798"/>
      <c r="IXA82" s="798"/>
      <c r="IXB82" s="798"/>
      <c r="IXC82" s="798"/>
      <c r="IXD82" s="798"/>
      <c r="IXE82" s="798"/>
      <c r="IXF82" s="798"/>
      <c r="IXG82" s="798"/>
      <c r="IXH82" s="798"/>
      <c r="IXI82" s="798"/>
      <c r="IXJ82" s="798"/>
      <c r="IXK82" s="798"/>
      <c r="IXL82" s="798"/>
      <c r="IXM82" s="798"/>
      <c r="IXN82" s="798"/>
      <c r="IXO82" s="798"/>
      <c r="IXP82" s="798"/>
      <c r="IXQ82" s="798"/>
      <c r="IXR82" s="798"/>
      <c r="IXS82" s="798"/>
      <c r="IXT82" s="798"/>
      <c r="IXU82" s="798"/>
      <c r="IXV82" s="798"/>
      <c r="IXW82" s="798"/>
      <c r="IXX82" s="798"/>
      <c r="IXY82" s="798"/>
      <c r="IXZ82" s="798"/>
      <c r="IYA82" s="798"/>
      <c r="IYB82" s="798"/>
      <c r="IYC82" s="798"/>
      <c r="IYD82" s="798"/>
      <c r="IYE82" s="798"/>
      <c r="IYF82" s="798"/>
      <c r="IYG82" s="798"/>
      <c r="IYH82" s="798"/>
      <c r="IYI82" s="798"/>
      <c r="IYJ82" s="798"/>
      <c r="IYK82" s="798"/>
      <c r="IYL82" s="798"/>
      <c r="IYM82" s="798"/>
      <c r="IYN82" s="798"/>
      <c r="IYO82" s="798"/>
      <c r="IYP82" s="798"/>
      <c r="IYQ82" s="798"/>
      <c r="IYR82" s="798"/>
      <c r="IYS82" s="798"/>
      <c r="IYT82" s="798"/>
      <c r="IYU82" s="798"/>
      <c r="IYV82" s="798"/>
      <c r="IYW82" s="798"/>
      <c r="IYX82" s="798"/>
      <c r="IYY82" s="798"/>
      <c r="IYZ82" s="798"/>
      <c r="IZA82" s="798"/>
      <c r="IZB82" s="798"/>
      <c r="IZC82" s="798"/>
      <c r="IZD82" s="798"/>
      <c r="IZE82" s="798"/>
      <c r="IZF82" s="798"/>
      <c r="IZG82" s="798"/>
      <c r="IZH82" s="798"/>
      <c r="IZI82" s="798"/>
      <c r="IZJ82" s="798"/>
      <c r="IZK82" s="798"/>
      <c r="IZL82" s="798"/>
      <c r="IZM82" s="798"/>
      <c r="IZN82" s="798"/>
      <c r="IZO82" s="798"/>
      <c r="IZP82" s="798"/>
      <c r="IZQ82" s="798"/>
      <c r="IZR82" s="798"/>
      <c r="IZS82" s="798"/>
      <c r="IZT82" s="798"/>
      <c r="IZU82" s="798"/>
      <c r="IZV82" s="798"/>
      <c r="IZW82" s="798"/>
      <c r="IZX82" s="798"/>
      <c r="IZY82" s="798"/>
      <c r="IZZ82" s="798"/>
      <c r="JAA82" s="798"/>
      <c r="JAB82" s="798"/>
      <c r="JAC82" s="798"/>
      <c r="JAD82" s="798"/>
      <c r="JAE82" s="798"/>
      <c r="JAF82" s="798"/>
      <c r="JAG82" s="798"/>
      <c r="JAH82" s="798"/>
      <c r="JAI82" s="798"/>
      <c r="JAJ82" s="798"/>
      <c r="JAK82" s="798"/>
      <c r="JAL82" s="798"/>
      <c r="JAM82" s="798"/>
      <c r="JAN82" s="798"/>
      <c r="JAO82" s="798"/>
      <c r="JAP82" s="798"/>
      <c r="JAQ82" s="798"/>
      <c r="JAR82" s="798"/>
      <c r="JAS82" s="798"/>
      <c r="JAT82" s="798"/>
      <c r="JAU82" s="798"/>
      <c r="JAV82" s="798"/>
      <c r="JAW82" s="798"/>
      <c r="JAX82" s="798"/>
      <c r="JAY82" s="798"/>
      <c r="JAZ82" s="798"/>
      <c r="JBA82" s="798"/>
      <c r="JBB82" s="798"/>
      <c r="JBC82" s="798"/>
      <c r="JBD82" s="798"/>
      <c r="JBE82" s="798"/>
      <c r="JBF82" s="798"/>
      <c r="JBG82" s="798"/>
      <c r="JBH82" s="798"/>
      <c r="JBI82" s="798"/>
      <c r="JBJ82" s="798"/>
      <c r="JBK82" s="798"/>
      <c r="JBL82" s="798"/>
      <c r="JBM82" s="798"/>
      <c r="JBN82" s="798"/>
      <c r="JBO82" s="798"/>
      <c r="JBP82" s="798"/>
      <c r="JBQ82" s="798"/>
      <c r="JBR82" s="798"/>
      <c r="JBS82" s="798"/>
      <c r="JBT82" s="798"/>
      <c r="JBU82" s="798"/>
      <c r="JBV82" s="798"/>
      <c r="JBW82" s="798"/>
      <c r="JBX82" s="798"/>
      <c r="JBY82" s="798"/>
      <c r="JBZ82" s="798"/>
      <c r="JCA82" s="798"/>
      <c r="JCB82" s="798"/>
      <c r="JCC82" s="798"/>
      <c r="JCD82" s="798"/>
      <c r="JCE82" s="798"/>
      <c r="JCF82" s="798"/>
      <c r="JCG82" s="798"/>
      <c r="JCH82" s="798"/>
      <c r="JCI82" s="798"/>
      <c r="JCJ82" s="798"/>
      <c r="JCK82" s="798"/>
      <c r="JCL82" s="798"/>
      <c r="JCM82" s="798"/>
      <c r="JCN82" s="798"/>
      <c r="JCO82" s="798"/>
      <c r="JCP82" s="798"/>
      <c r="JCQ82" s="798"/>
      <c r="JCR82" s="798"/>
      <c r="JCS82" s="798"/>
      <c r="JCT82" s="798"/>
      <c r="JCU82" s="798"/>
      <c r="JCV82" s="798"/>
      <c r="JCW82" s="798"/>
      <c r="JCX82" s="798"/>
      <c r="JCY82" s="798"/>
      <c r="JCZ82" s="798"/>
      <c r="JDA82" s="798"/>
      <c r="JDB82" s="798"/>
      <c r="JDC82" s="798"/>
      <c r="JDD82" s="798"/>
      <c r="JDE82" s="798"/>
      <c r="JDF82" s="798"/>
      <c r="JDG82" s="798"/>
      <c r="JDH82" s="798"/>
      <c r="JDI82" s="798"/>
      <c r="JDJ82" s="798"/>
      <c r="JDK82" s="798"/>
      <c r="JDL82" s="798"/>
      <c r="JDM82" s="798"/>
      <c r="JDN82" s="798"/>
      <c r="JDO82" s="798"/>
      <c r="JDP82" s="798"/>
      <c r="JDQ82" s="798"/>
      <c r="JDR82" s="798"/>
      <c r="JDS82" s="798"/>
      <c r="JDT82" s="798"/>
      <c r="JDU82" s="798"/>
      <c r="JDV82" s="798"/>
      <c r="JDW82" s="798"/>
      <c r="JDX82" s="798"/>
      <c r="JDY82" s="798"/>
      <c r="JDZ82" s="798"/>
      <c r="JEA82" s="798"/>
      <c r="JEB82" s="798"/>
      <c r="JEC82" s="798"/>
      <c r="JED82" s="798"/>
      <c r="JEE82" s="798"/>
      <c r="JEF82" s="798"/>
      <c r="JEG82" s="798"/>
      <c r="JEH82" s="798"/>
      <c r="JEI82" s="798"/>
      <c r="JEJ82" s="798"/>
      <c r="JEK82" s="798"/>
      <c r="JEL82" s="798"/>
      <c r="JEM82" s="798"/>
      <c r="JEN82" s="798"/>
      <c r="JEO82" s="798"/>
      <c r="JEP82" s="798"/>
      <c r="JEQ82" s="798"/>
      <c r="JER82" s="798"/>
      <c r="JES82" s="798"/>
      <c r="JET82" s="798"/>
      <c r="JEU82" s="798"/>
      <c r="JEV82" s="798"/>
      <c r="JEW82" s="798"/>
      <c r="JEX82" s="798"/>
      <c r="JEY82" s="798"/>
      <c r="JEZ82" s="798"/>
      <c r="JFA82" s="798"/>
      <c r="JFB82" s="798"/>
      <c r="JFC82" s="798"/>
      <c r="JFD82" s="798"/>
      <c r="JFE82" s="798"/>
      <c r="JFF82" s="798"/>
      <c r="JFG82" s="798"/>
      <c r="JFH82" s="798"/>
      <c r="JFI82" s="798"/>
      <c r="JFJ82" s="798"/>
      <c r="JFK82" s="798"/>
      <c r="JFL82" s="798"/>
      <c r="JFM82" s="798"/>
      <c r="JFN82" s="798"/>
      <c r="JFO82" s="798"/>
      <c r="JFP82" s="798"/>
      <c r="JFQ82" s="798"/>
      <c r="JFR82" s="798"/>
      <c r="JFS82" s="798"/>
      <c r="JFT82" s="798"/>
      <c r="JFU82" s="798"/>
      <c r="JFV82" s="798"/>
      <c r="JFW82" s="798"/>
      <c r="JFX82" s="798"/>
      <c r="JFY82" s="798"/>
      <c r="JFZ82" s="798"/>
      <c r="JGA82" s="798"/>
      <c r="JGB82" s="798"/>
      <c r="JGC82" s="798"/>
      <c r="JGD82" s="798"/>
      <c r="JGE82" s="798"/>
      <c r="JGF82" s="798"/>
      <c r="JGG82" s="798"/>
      <c r="JGH82" s="798"/>
      <c r="JGI82" s="798"/>
      <c r="JGJ82" s="798"/>
      <c r="JGK82" s="798"/>
      <c r="JGL82" s="798"/>
      <c r="JGM82" s="798"/>
      <c r="JGN82" s="798"/>
      <c r="JGO82" s="798"/>
      <c r="JGP82" s="798"/>
      <c r="JGQ82" s="798"/>
      <c r="JGR82" s="798"/>
      <c r="JGS82" s="798"/>
      <c r="JGT82" s="798"/>
      <c r="JGU82" s="798"/>
      <c r="JGV82" s="798"/>
      <c r="JGW82" s="798"/>
      <c r="JGX82" s="798"/>
      <c r="JGY82" s="798"/>
      <c r="JGZ82" s="798"/>
      <c r="JHA82" s="798"/>
      <c r="JHB82" s="798"/>
      <c r="JHC82" s="798"/>
      <c r="JHD82" s="798"/>
      <c r="JHE82" s="798"/>
      <c r="JHF82" s="798"/>
      <c r="JHG82" s="798"/>
      <c r="JHH82" s="798"/>
      <c r="JHI82" s="798"/>
      <c r="JHJ82" s="798"/>
      <c r="JHK82" s="798"/>
      <c r="JHL82" s="798"/>
      <c r="JHM82" s="798"/>
      <c r="JHN82" s="798"/>
      <c r="JHO82" s="798"/>
      <c r="JHP82" s="798"/>
      <c r="JHQ82" s="798"/>
      <c r="JHR82" s="798"/>
      <c r="JHS82" s="798"/>
      <c r="JHT82" s="798"/>
      <c r="JHU82" s="798"/>
      <c r="JHV82" s="798"/>
      <c r="JHW82" s="798"/>
      <c r="JHX82" s="798"/>
      <c r="JHY82" s="798"/>
      <c r="JHZ82" s="798"/>
      <c r="JIA82" s="798"/>
      <c r="JIB82" s="798"/>
      <c r="JIC82" s="798"/>
      <c r="JID82" s="798"/>
      <c r="JIE82" s="798"/>
      <c r="JIF82" s="798"/>
      <c r="JIG82" s="798"/>
      <c r="JIH82" s="798"/>
      <c r="JII82" s="798"/>
      <c r="JIJ82" s="798"/>
      <c r="JIK82" s="798"/>
      <c r="JIL82" s="798"/>
      <c r="JIM82" s="798"/>
      <c r="JIN82" s="798"/>
      <c r="JIO82" s="798"/>
      <c r="JIP82" s="798"/>
      <c r="JIQ82" s="798"/>
      <c r="JIR82" s="798"/>
      <c r="JIS82" s="798"/>
      <c r="JIT82" s="798"/>
      <c r="JIU82" s="798"/>
      <c r="JIV82" s="798"/>
      <c r="JIW82" s="798"/>
      <c r="JIX82" s="798"/>
      <c r="JIY82" s="798"/>
      <c r="JIZ82" s="798"/>
      <c r="JJA82" s="798"/>
      <c r="JJB82" s="798"/>
      <c r="JJC82" s="798"/>
      <c r="JJD82" s="798"/>
      <c r="JJE82" s="798"/>
      <c r="JJF82" s="798"/>
      <c r="JJG82" s="798"/>
      <c r="JJH82" s="798"/>
      <c r="JJI82" s="798"/>
      <c r="JJJ82" s="798"/>
      <c r="JJK82" s="798"/>
      <c r="JJL82" s="798"/>
      <c r="JJM82" s="798"/>
      <c r="JJN82" s="798"/>
      <c r="JJO82" s="798"/>
      <c r="JJP82" s="798"/>
      <c r="JJQ82" s="798"/>
      <c r="JJR82" s="798"/>
      <c r="JJS82" s="798"/>
      <c r="JJT82" s="798"/>
      <c r="JJU82" s="798"/>
      <c r="JJV82" s="798"/>
      <c r="JJW82" s="798"/>
      <c r="JJX82" s="798"/>
      <c r="JJY82" s="798"/>
      <c r="JJZ82" s="798"/>
      <c r="JKA82" s="798"/>
      <c r="JKB82" s="798"/>
      <c r="JKC82" s="798"/>
      <c r="JKD82" s="798"/>
      <c r="JKE82" s="798"/>
      <c r="JKF82" s="798"/>
      <c r="JKG82" s="798"/>
      <c r="JKH82" s="798"/>
      <c r="JKI82" s="798"/>
      <c r="JKJ82" s="798"/>
      <c r="JKK82" s="798"/>
      <c r="JKL82" s="798"/>
      <c r="JKM82" s="798"/>
      <c r="JKN82" s="798"/>
      <c r="JKO82" s="798"/>
      <c r="JKP82" s="798"/>
      <c r="JKQ82" s="798"/>
      <c r="JKR82" s="798"/>
      <c r="JKS82" s="798"/>
      <c r="JKT82" s="798"/>
      <c r="JKU82" s="798"/>
      <c r="JKV82" s="798"/>
      <c r="JKW82" s="798"/>
      <c r="JKX82" s="798"/>
      <c r="JKY82" s="798"/>
      <c r="JKZ82" s="798"/>
      <c r="JLA82" s="798"/>
      <c r="JLB82" s="798"/>
      <c r="JLC82" s="798"/>
      <c r="JLD82" s="798"/>
      <c r="JLE82" s="798"/>
      <c r="JLF82" s="798"/>
      <c r="JLG82" s="798"/>
      <c r="JLH82" s="798"/>
      <c r="JLI82" s="798"/>
      <c r="JLJ82" s="798"/>
      <c r="JLK82" s="798"/>
      <c r="JLL82" s="798"/>
      <c r="JLM82" s="798"/>
      <c r="JLN82" s="798"/>
      <c r="JLO82" s="798"/>
      <c r="JLP82" s="798"/>
      <c r="JLQ82" s="798"/>
      <c r="JLR82" s="798"/>
      <c r="JLS82" s="798"/>
      <c r="JLT82" s="798"/>
      <c r="JLU82" s="798"/>
      <c r="JLV82" s="798"/>
      <c r="JLW82" s="798"/>
      <c r="JLX82" s="798"/>
      <c r="JLY82" s="798"/>
      <c r="JLZ82" s="798"/>
      <c r="JMA82" s="798"/>
      <c r="JMB82" s="798"/>
      <c r="JMC82" s="798"/>
      <c r="JMD82" s="798"/>
      <c r="JME82" s="798"/>
      <c r="JMF82" s="798"/>
      <c r="JMG82" s="798"/>
      <c r="JMH82" s="798"/>
      <c r="JMI82" s="798"/>
      <c r="JMJ82" s="798"/>
      <c r="JMK82" s="798"/>
      <c r="JML82" s="798"/>
      <c r="JMM82" s="798"/>
      <c r="JMN82" s="798"/>
      <c r="JMO82" s="798"/>
      <c r="JMP82" s="798"/>
      <c r="JMQ82" s="798"/>
      <c r="JMR82" s="798"/>
      <c r="JMS82" s="798"/>
      <c r="JMT82" s="798"/>
      <c r="JMU82" s="798"/>
      <c r="JMV82" s="798"/>
      <c r="JMW82" s="798"/>
      <c r="JMX82" s="798"/>
      <c r="JMY82" s="798"/>
      <c r="JMZ82" s="798"/>
      <c r="JNA82" s="798"/>
      <c r="JNB82" s="798"/>
      <c r="JNC82" s="798"/>
      <c r="JND82" s="798"/>
      <c r="JNE82" s="798"/>
      <c r="JNF82" s="798"/>
      <c r="JNG82" s="798"/>
      <c r="JNH82" s="798"/>
      <c r="JNI82" s="798"/>
      <c r="JNJ82" s="798"/>
      <c r="JNK82" s="798"/>
      <c r="JNL82" s="798"/>
      <c r="JNM82" s="798"/>
      <c r="JNN82" s="798"/>
      <c r="JNO82" s="798"/>
      <c r="JNP82" s="798"/>
      <c r="JNQ82" s="798"/>
      <c r="JNR82" s="798"/>
      <c r="JNS82" s="798"/>
      <c r="JNT82" s="798"/>
      <c r="JNU82" s="798"/>
      <c r="JNV82" s="798"/>
      <c r="JNW82" s="798"/>
      <c r="JNX82" s="798"/>
      <c r="JNY82" s="798"/>
      <c r="JNZ82" s="798"/>
      <c r="JOA82" s="798"/>
      <c r="JOB82" s="798"/>
      <c r="JOC82" s="798"/>
      <c r="JOD82" s="798"/>
      <c r="JOE82" s="798"/>
      <c r="JOF82" s="798"/>
      <c r="JOG82" s="798"/>
      <c r="JOH82" s="798"/>
      <c r="JOI82" s="798"/>
      <c r="JOJ82" s="798"/>
      <c r="JOK82" s="798"/>
      <c r="JOL82" s="798"/>
      <c r="JOM82" s="798"/>
      <c r="JON82" s="798"/>
      <c r="JOO82" s="798"/>
      <c r="JOP82" s="798"/>
      <c r="JOQ82" s="798"/>
      <c r="JOR82" s="798"/>
      <c r="JOS82" s="798"/>
      <c r="JOT82" s="798"/>
      <c r="JOU82" s="798"/>
      <c r="JOV82" s="798"/>
      <c r="JOW82" s="798"/>
      <c r="JOX82" s="798"/>
      <c r="JOY82" s="798"/>
      <c r="JOZ82" s="798"/>
      <c r="JPA82" s="798"/>
      <c r="JPB82" s="798"/>
      <c r="JPC82" s="798"/>
      <c r="JPD82" s="798"/>
      <c r="JPE82" s="798"/>
      <c r="JPF82" s="798"/>
      <c r="JPG82" s="798"/>
      <c r="JPH82" s="798"/>
      <c r="JPI82" s="798"/>
      <c r="JPJ82" s="798"/>
      <c r="JPK82" s="798"/>
      <c r="JPL82" s="798"/>
      <c r="JPM82" s="798"/>
      <c r="JPN82" s="798"/>
      <c r="JPO82" s="798"/>
      <c r="JPP82" s="798"/>
      <c r="JPQ82" s="798"/>
      <c r="JPR82" s="798"/>
      <c r="JPS82" s="798"/>
      <c r="JPT82" s="798"/>
      <c r="JPU82" s="798"/>
      <c r="JPV82" s="798"/>
      <c r="JPW82" s="798"/>
      <c r="JPX82" s="798"/>
      <c r="JPY82" s="798"/>
      <c r="JPZ82" s="798"/>
      <c r="JQA82" s="798"/>
      <c r="JQB82" s="798"/>
      <c r="JQC82" s="798"/>
      <c r="JQD82" s="798"/>
      <c r="JQE82" s="798"/>
      <c r="JQF82" s="798"/>
      <c r="JQG82" s="798"/>
      <c r="JQH82" s="798"/>
      <c r="JQI82" s="798"/>
      <c r="JQJ82" s="798"/>
      <c r="JQK82" s="798"/>
      <c r="JQL82" s="798"/>
      <c r="JQM82" s="798"/>
      <c r="JQN82" s="798"/>
      <c r="JQO82" s="798"/>
      <c r="JQP82" s="798"/>
      <c r="JQQ82" s="798"/>
      <c r="JQR82" s="798"/>
      <c r="JQS82" s="798"/>
      <c r="JQT82" s="798"/>
      <c r="JQU82" s="798"/>
      <c r="JQV82" s="798"/>
      <c r="JQW82" s="798"/>
      <c r="JQX82" s="798"/>
      <c r="JQY82" s="798"/>
      <c r="JQZ82" s="798"/>
      <c r="JRA82" s="798"/>
      <c r="JRB82" s="798"/>
      <c r="JRC82" s="798"/>
      <c r="JRD82" s="798"/>
      <c r="JRE82" s="798"/>
      <c r="JRF82" s="798"/>
      <c r="JRG82" s="798"/>
      <c r="JRH82" s="798"/>
      <c r="JRI82" s="798"/>
      <c r="JRJ82" s="798"/>
      <c r="JRK82" s="798"/>
      <c r="JRL82" s="798"/>
      <c r="JRM82" s="798"/>
      <c r="JRN82" s="798"/>
      <c r="JRO82" s="798"/>
      <c r="JRP82" s="798"/>
      <c r="JRQ82" s="798"/>
      <c r="JRR82" s="798"/>
      <c r="JRS82" s="798"/>
      <c r="JRT82" s="798"/>
      <c r="JRU82" s="798"/>
      <c r="JRV82" s="798"/>
      <c r="JRW82" s="798"/>
      <c r="JRX82" s="798"/>
      <c r="JRY82" s="798"/>
      <c r="JRZ82" s="798"/>
      <c r="JSA82" s="798"/>
      <c r="JSB82" s="798"/>
      <c r="JSC82" s="798"/>
      <c r="JSD82" s="798"/>
      <c r="JSE82" s="798"/>
      <c r="JSF82" s="798"/>
      <c r="JSG82" s="798"/>
      <c r="JSH82" s="798"/>
      <c r="JSI82" s="798"/>
      <c r="JSJ82" s="798"/>
      <c r="JSK82" s="798"/>
      <c r="JSL82" s="798"/>
      <c r="JSM82" s="798"/>
      <c r="JSN82" s="798"/>
      <c r="JSO82" s="798"/>
      <c r="JSP82" s="798"/>
      <c r="JSQ82" s="798"/>
      <c r="JSR82" s="798"/>
      <c r="JSS82" s="798"/>
      <c r="JST82" s="798"/>
      <c r="JSU82" s="798"/>
      <c r="JSV82" s="798"/>
      <c r="JSW82" s="798"/>
      <c r="JSX82" s="798"/>
      <c r="JSY82" s="798"/>
      <c r="JSZ82" s="798"/>
      <c r="JTA82" s="798"/>
      <c r="JTB82" s="798"/>
      <c r="JTC82" s="798"/>
      <c r="JTD82" s="798"/>
      <c r="JTE82" s="798"/>
      <c r="JTF82" s="798"/>
      <c r="JTG82" s="798"/>
      <c r="JTH82" s="798"/>
      <c r="JTI82" s="798"/>
      <c r="JTJ82" s="798"/>
      <c r="JTK82" s="798"/>
      <c r="JTL82" s="798"/>
      <c r="JTM82" s="798"/>
      <c r="JTN82" s="798"/>
      <c r="JTO82" s="798"/>
      <c r="JTP82" s="798"/>
      <c r="JTQ82" s="798"/>
      <c r="JTR82" s="798"/>
      <c r="JTS82" s="798"/>
      <c r="JTT82" s="798"/>
      <c r="JTU82" s="798"/>
      <c r="JTV82" s="798"/>
      <c r="JTW82" s="798"/>
      <c r="JTX82" s="798"/>
      <c r="JTY82" s="798"/>
      <c r="JTZ82" s="798"/>
      <c r="JUA82" s="798"/>
      <c r="JUB82" s="798"/>
      <c r="JUC82" s="798"/>
      <c r="JUD82" s="798"/>
      <c r="JUE82" s="798"/>
      <c r="JUF82" s="798"/>
      <c r="JUG82" s="798"/>
      <c r="JUH82" s="798"/>
      <c r="JUI82" s="798"/>
      <c r="JUJ82" s="798"/>
      <c r="JUK82" s="798"/>
      <c r="JUL82" s="798"/>
      <c r="JUM82" s="798"/>
      <c r="JUN82" s="798"/>
      <c r="JUO82" s="798"/>
      <c r="JUP82" s="798"/>
      <c r="JUQ82" s="798"/>
      <c r="JUR82" s="798"/>
      <c r="JUS82" s="798"/>
      <c r="JUT82" s="798"/>
      <c r="JUU82" s="798"/>
      <c r="JUV82" s="798"/>
      <c r="JUW82" s="798"/>
      <c r="JUX82" s="798"/>
      <c r="JUY82" s="798"/>
      <c r="JUZ82" s="798"/>
      <c r="JVA82" s="798"/>
      <c r="JVB82" s="798"/>
      <c r="JVC82" s="798"/>
      <c r="JVD82" s="798"/>
      <c r="JVE82" s="798"/>
      <c r="JVF82" s="798"/>
      <c r="JVG82" s="798"/>
      <c r="JVH82" s="798"/>
      <c r="JVI82" s="798"/>
      <c r="JVJ82" s="798"/>
      <c r="JVK82" s="798"/>
      <c r="JVL82" s="798"/>
      <c r="JVM82" s="798"/>
      <c r="JVN82" s="798"/>
      <c r="JVO82" s="798"/>
      <c r="JVP82" s="798"/>
      <c r="JVQ82" s="798"/>
      <c r="JVR82" s="798"/>
      <c r="JVS82" s="798"/>
      <c r="JVT82" s="798"/>
      <c r="JVU82" s="798"/>
      <c r="JVV82" s="798"/>
      <c r="JVW82" s="798"/>
      <c r="JVX82" s="798"/>
      <c r="JVY82" s="798"/>
      <c r="JVZ82" s="798"/>
      <c r="JWA82" s="798"/>
      <c r="JWB82" s="798"/>
      <c r="JWC82" s="798"/>
      <c r="JWD82" s="798"/>
      <c r="JWE82" s="798"/>
      <c r="JWF82" s="798"/>
      <c r="JWG82" s="798"/>
      <c r="JWH82" s="798"/>
      <c r="JWI82" s="798"/>
      <c r="JWJ82" s="798"/>
      <c r="JWK82" s="798"/>
      <c r="JWL82" s="798"/>
      <c r="JWM82" s="798"/>
      <c r="JWN82" s="798"/>
      <c r="JWO82" s="798"/>
      <c r="JWP82" s="798"/>
      <c r="JWQ82" s="798"/>
      <c r="JWR82" s="798"/>
      <c r="JWS82" s="798"/>
      <c r="JWT82" s="798"/>
      <c r="JWU82" s="798"/>
      <c r="JWV82" s="798"/>
      <c r="JWW82" s="798"/>
      <c r="JWX82" s="798"/>
      <c r="JWY82" s="798"/>
      <c r="JWZ82" s="798"/>
      <c r="JXA82" s="798"/>
      <c r="JXB82" s="798"/>
      <c r="JXC82" s="798"/>
      <c r="JXD82" s="798"/>
      <c r="JXE82" s="798"/>
      <c r="JXF82" s="798"/>
      <c r="JXG82" s="798"/>
      <c r="JXH82" s="798"/>
      <c r="JXI82" s="798"/>
      <c r="JXJ82" s="798"/>
      <c r="JXK82" s="798"/>
      <c r="JXL82" s="798"/>
      <c r="JXM82" s="798"/>
      <c r="JXN82" s="798"/>
      <c r="JXO82" s="798"/>
      <c r="JXP82" s="798"/>
      <c r="JXQ82" s="798"/>
      <c r="JXR82" s="798"/>
      <c r="JXS82" s="798"/>
      <c r="JXT82" s="798"/>
      <c r="JXU82" s="798"/>
      <c r="JXV82" s="798"/>
      <c r="JXW82" s="798"/>
      <c r="JXX82" s="798"/>
      <c r="JXY82" s="798"/>
      <c r="JXZ82" s="798"/>
      <c r="JYA82" s="798"/>
      <c r="JYB82" s="798"/>
      <c r="JYC82" s="798"/>
      <c r="JYD82" s="798"/>
      <c r="JYE82" s="798"/>
      <c r="JYF82" s="798"/>
      <c r="JYG82" s="798"/>
      <c r="JYH82" s="798"/>
      <c r="JYI82" s="798"/>
      <c r="JYJ82" s="798"/>
      <c r="JYK82" s="798"/>
      <c r="JYL82" s="798"/>
      <c r="JYM82" s="798"/>
      <c r="JYN82" s="798"/>
      <c r="JYO82" s="798"/>
      <c r="JYP82" s="798"/>
      <c r="JYQ82" s="798"/>
      <c r="JYR82" s="798"/>
      <c r="JYS82" s="798"/>
      <c r="JYT82" s="798"/>
      <c r="JYU82" s="798"/>
      <c r="JYV82" s="798"/>
      <c r="JYW82" s="798"/>
      <c r="JYX82" s="798"/>
      <c r="JYY82" s="798"/>
      <c r="JYZ82" s="798"/>
      <c r="JZA82" s="798"/>
      <c r="JZB82" s="798"/>
      <c r="JZC82" s="798"/>
      <c r="JZD82" s="798"/>
      <c r="JZE82" s="798"/>
      <c r="JZF82" s="798"/>
      <c r="JZG82" s="798"/>
      <c r="JZH82" s="798"/>
      <c r="JZI82" s="798"/>
      <c r="JZJ82" s="798"/>
      <c r="JZK82" s="798"/>
      <c r="JZL82" s="798"/>
      <c r="JZM82" s="798"/>
      <c r="JZN82" s="798"/>
      <c r="JZO82" s="798"/>
      <c r="JZP82" s="798"/>
      <c r="JZQ82" s="798"/>
      <c r="JZR82" s="798"/>
      <c r="JZS82" s="798"/>
      <c r="JZT82" s="798"/>
      <c r="JZU82" s="798"/>
      <c r="JZV82" s="798"/>
      <c r="JZW82" s="798"/>
      <c r="JZX82" s="798"/>
      <c r="JZY82" s="798"/>
      <c r="JZZ82" s="798"/>
      <c r="KAA82" s="798"/>
      <c r="KAB82" s="798"/>
      <c r="KAC82" s="798"/>
      <c r="KAD82" s="798"/>
      <c r="KAE82" s="798"/>
      <c r="KAF82" s="798"/>
      <c r="KAG82" s="798"/>
      <c r="KAH82" s="798"/>
      <c r="KAI82" s="798"/>
      <c r="KAJ82" s="798"/>
      <c r="KAK82" s="798"/>
      <c r="KAL82" s="798"/>
      <c r="KAM82" s="798"/>
      <c r="KAN82" s="798"/>
      <c r="KAO82" s="798"/>
      <c r="KAP82" s="798"/>
      <c r="KAQ82" s="798"/>
      <c r="KAR82" s="798"/>
      <c r="KAS82" s="798"/>
      <c r="KAT82" s="798"/>
      <c r="KAU82" s="798"/>
      <c r="KAV82" s="798"/>
      <c r="KAW82" s="798"/>
      <c r="KAX82" s="798"/>
      <c r="KAY82" s="798"/>
      <c r="KAZ82" s="798"/>
      <c r="KBA82" s="798"/>
      <c r="KBB82" s="798"/>
      <c r="KBC82" s="798"/>
      <c r="KBD82" s="798"/>
      <c r="KBE82" s="798"/>
      <c r="KBF82" s="798"/>
      <c r="KBG82" s="798"/>
      <c r="KBH82" s="798"/>
      <c r="KBI82" s="798"/>
      <c r="KBJ82" s="798"/>
      <c r="KBK82" s="798"/>
      <c r="KBL82" s="798"/>
      <c r="KBM82" s="798"/>
      <c r="KBN82" s="798"/>
      <c r="KBO82" s="798"/>
      <c r="KBP82" s="798"/>
      <c r="KBQ82" s="798"/>
      <c r="KBR82" s="798"/>
      <c r="KBS82" s="798"/>
      <c r="KBT82" s="798"/>
      <c r="KBU82" s="798"/>
      <c r="KBV82" s="798"/>
      <c r="KBW82" s="798"/>
      <c r="KBX82" s="798"/>
      <c r="KBY82" s="798"/>
      <c r="KBZ82" s="798"/>
      <c r="KCA82" s="798"/>
      <c r="KCB82" s="798"/>
      <c r="KCC82" s="798"/>
      <c r="KCD82" s="798"/>
      <c r="KCE82" s="798"/>
      <c r="KCF82" s="798"/>
      <c r="KCG82" s="798"/>
      <c r="KCH82" s="798"/>
      <c r="KCI82" s="798"/>
      <c r="KCJ82" s="798"/>
      <c r="KCK82" s="798"/>
      <c r="KCL82" s="798"/>
      <c r="KCM82" s="798"/>
      <c r="KCN82" s="798"/>
      <c r="KCO82" s="798"/>
      <c r="KCP82" s="798"/>
      <c r="KCQ82" s="798"/>
      <c r="KCR82" s="798"/>
      <c r="KCS82" s="798"/>
      <c r="KCT82" s="798"/>
      <c r="KCU82" s="798"/>
      <c r="KCV82" s="798"/>
      <c r="KCW82" s="798"/>
      <c r="KCX82" s="798"/>
      <c r="KCY82" s="798"/>
      <c r="KCZ82" s="798"/>
      <c r="KDA82" s="798"/>
      <c r="KDB82" s="798"/>
      <c r="KDC82" s="798"/>
      <c r="KDD82" s="798"/>
      <c r="KDE82" s="798"/>
      <c r="KDF82" s="798"/>
      <c r="KDG82" s="798"/>
      <c r="KDH82" s="798"/>
      <c r="KDI82" s="798"/>
      <c r="KDJ82" s="798"/>
      <c r="KDK82" s="798"/>
      <c r="KDL82" s="798"/>
      <c r="KDM82" s="798"/>
      <c r="KDN82" s="798"/>
      <c r="KDO82" s="798"/>
      <c r="KDP82" s="798"/>
      <c r="KDQ82" s="798"/>
      <c r="KDR82" s="798"/>
      <c r="KDS82" s="798"/>
      <c r="KDT82" s="798"/>
      <c r="KDU82" s="798"/>
      <c r="KDV82" s="798"/>
      <c r="KDW82" s="798"/>
      <c r="KDX82" s="798"/>
      <c r="KDY82" s="798"/>
      <c r="KDZ82" s="798"/>
      <c r="KEA82" s="798"/>
      <c r="KEB82" s="798"/>
      <c r="KEC82" s="798"/>
      <c r="KED82" s="798"/>
      <c r="KEE82" s="798"/>
      <c r="KEF82" s="798"/>
      <c r="KEG82" s="798"/>
      <c r="KEH82" s="798"/>
      <c r="KEI82" s="798"/>
      <c r="KEJ82" s="798"/>
      <c r="KEK82" s="798"/>
      <c r="KEL82" s="798"/>
      <c r="KEM82" s="798"/>
      <c r="KEN82" s="798"/>
      <c r="KEO82" s="798"/>
      <c r="KEP82" s="798"/>
      <c r="KEQ82" s="798"/>
      <c r="KER82" s="798"/>
      <c r="KES82" s="798"/>
      <c r="KET82" s="798"/>
      <c r="KEU82" s="798"/>
      <c r="KEV82" s="798"/>
      <c r="KEW82" s="798"/>
      <c r="KEX82" s="798"/>
      <c r="KEY82" s="798"/>
      <c r="KEZ82" s="798"/>
      <c r="KFA82" s="798"/>
      <c r="KFB82" s="798"/>
      <c r="KFC82" s="798"/>
      <c r="KFD82" s="798"/>
      <c r="KFE82" s="798"/>
      <c r="KFF82" s="798"/>
      <c r="KFG82" s="798"/>
      <c r="KFH82" s="798"/>
      <c r="KFI82" s="798"/>
      <c r="KFJ82" s="798"/>
      <c r="KFK82" s="798"/>
      <c r="KFL82" s="798"/>
      <c r="KFM82" s="798"/>
      <c r="KFN82" s="798"/>
      <c r="KFO82" s="798"/>
      <c r="KFP82" s="798"/>
      <c r="KFQ82" s="798"/>
      <c r="KFR82" s="798"/>
      <c r="KFS82" s="798"/>
      <c r="KFT82" s="798"/>
      <c r="KFU82" s="798"/>
      <c r="KFV82" s="798"/>
      <c r="KFW82" s="798"/>
      <c r="KFX82" s="798"/>
      <c r="KFY82" s="798"/>
      <c r="KFZ82" s="798"/>
      <c r="KGA82" s="798"/>
      <c r="KGB82" s="798"/>
      <c r="KGC82" s="798"/>
      <c r="KGD82" s="798"/>
      <c r="KGE82" s="798"/>
      <c r="KGF82" s="798"/>
      <c r="KGG82" s="798"/>
      <c r="KGH82" s="798"/>
      <c r="KGI82" s="798"/>
      <c r="KGJ82" s="798"/>
      <c r="KGK82" s="798"/>
      <c r="KGL82" s="798"/>
      <c r="KGM82" s="798"/>
      <c r="KGN82" s="798"/>
      <c r="KGO82" s="798"/>
      <c r="KGP82" s="798"/>
      <c r="KGQ82" s="798"/>
      <c r="KGR82" s="798"/>
      <c r="KGS82" s="798"/>
      <c r="KGT82" s="798"/>
      <c r="KGU82" s="798"/>
      <c r="KGV82" s="798"/>
      <c r="KGW82" s="798"/>
      <c r="KGX82" s="798"/>
      <c r="KGY82" s="798"/>
      <c r="KGZ82" s="798"/>
      <c r="KHA82" s="798"/>
      <c r="KHB82" s="798"/>
      <c r="KHC82" s="798"/>
      <c r="KHD82" s="798"/>
      <c r="KHE82" s="798"/>
      <c r="KHF82" s="798"/>
      <c r="KHG82" s="798"/>
      <c r="KHH82" s="798"/>
      <c r="KHI82" s="798"/>
      <c r="KHJ82" s="798"/>
      <c r="KHK82" s="798"/>
      <c r="KHL82" s="798"/>
      <c r="KHM82" s="798"/>
      <c r="KHN82" s="798"/>
      <c r="KHO82" s="798"/>
      <c r="KHP82" s="798"/>
      <c r="KHQ82" s="798"/>
      <c r="KHR82" s="798"/>
      <c r="KHS82" s="798"/>
      <c r="KHT82" s="798"/>
      <c r="KHU82" s="798"/>
      <c r="KHV82" s="798"/>
      <c r="KHW82" s="798"/>
      <c r="KHX82" s="798"/>
      <c r="KHY82" s="798"/>
      <c r="KHZ82" s="798"/>
      <c r="KIA82" s="798"/>
      <c r="KIB82" s="798"/>
      <c r="KIC82" s="798"/>
      <c r="KID82" s="798"/>
      <c r="KIE82" s="798"/>
      <c r="KIF82" s="798"/>
      <c r="KIG82" s="798"/>
      <c r="KIH82" s="798"/>
      <c r="KII82" s="798"/>
      <c r="KIJ82" s="798"/>
      <c r="KIK82" s="798"/>
      <c r="KIL82" s="798"/>
      <c r="KIM82" s="798"/>
      <c r="KIN82" s="798"/>
      <c r="KIO82" s="798"/>
      <c r="KIP82" s="798"/>
      <c r="KIQ82" s="798"/>
      <c r="KIR82" s="798"/>
      <c r="KIS82" s="798"/>
      <c r="KIT82" s="798"/>
      <c r="KIU82" s="798"/>
      <c r="KIV82" s="798"/>
      <c r="KIW82" s="798"/>
      <c r="KIX82" s="798"/>
      <c r="KIY82" s="798"/>
      <c r="KIZ82" s="798"/>
      <c r="KJA82" s="798"/>
      <c r="KJB82" s="798"/>
      <c r="KJC82" s="798"/>
      <c r="KJD82" s="798"/>
      <c r="KJE82" s="798"/>
      <c r="KJF82" s="798"/>
      <c r="KJG82" s="798"/>
      <c r="KJH82" s="798"/>
      <c r="KJI82" s="798"/>
      <c r="KJJ82" s="798"/>
      <c r="KJK82" s="798"/>
      <c r="KJL82" s="798"/>
      <c r="KJM82" s="798"/>
      <c r="KJN82" s="798"/>
      <c r="KJO82" s="798"/>
      <c r="KJP82" s="798"/>
      <c r="KJQ82" s="798"/>
      <c r="KJR82" s="798"/>
      <c r="KJS82" s="798"/>
      <c r="KJT82" s="798"/>
      <c r="KJU82" s="798"/>
      <c r="KJV82" s="798"/>
      <c r="KJW82" s="798"/>
      <c r="KJX82" s="798"/>
      <c r="KJY82" s="798"/>
      <c r="KJZ82" s="798"/>
      <c r="KKA82" s="798"/>
      <c r="KKB82" s="798"/>
      <c r="KKC82" s="798"/>
      <c r="KKD82" s="798"/>
      <c r="KKE82" s="798"/>
      <c r="KKF82" s="798"/>
      <c r="KKG82" s="798"/>
      <c r="KKH82" s="798"/>
      <c r="KKI82" s="798"/>
      <c r="KKJ82" s="798"/>
      <c r="KKK82" s="798"/>
      <c r="KKL82" s="798"/>
      <c r="KKM82" s="798"/>
      <c r="KKN82" s="798"/>
      <c r="KKO82" s="798"/>
      <c r="KKP82" s="798"/>
      <c r="KKQ82" s="798"/>
      <c r="KKR82" s="798"/>
      <c r="KKS82" s="798"/>
      <c r="KKT82" s="798"/>
      <c r="KKU82" s="798"/>
      <c r="KKV82" s="798"/>
      <c r="KKW82" s="798"/>
      <c r="KKX82" s="798"/>
      <c r="KKY82" s="798"/>
      <c r="KKZ82" s="798"/>
      <c r="KLA82" s="798"/>
      <c r="KLB82" s="798"/>
      <c r="KLC82" s="798"/>
      <c r="KLD82" s="798"/>
      <c r="KLE82" s="798"/>
      <c r="KLF82" s="798"/>
      <c r="KLG82" s="798"/>
      <c r="KLH82" s="798"/>
      <c r="KLI82" s="798"/>
      <c r="KLJ82" s="798"/>
      <c r="KLK82" s="798"/>
      <c r="KLL82" s="798"/>
      <c r="KLM82" s="798"/>
      <c r="KLN82" s="798"/>
      <c r="KLO82" s="798"/>
      <c r="KLP82" s="798"/>
      <c r="KLQ82" s="798"/>
      <c r="KLR82" s="798"/>
      <c r="KLS82" s="798"/>
      <c r="KLT82" s="798"/>
      <c r="KLU82" s="798"/>
      <c r="KLV82" s="798"/>
      <c r="KLW82" s="798"/>
      <c r="KLX82" s="798"/>
      <c r="KLY82" s="798"/>
      <c r="KLZ82" s="798"/>
      <c r="KMA82" s="798"/>
      <c r="KMB82" s="798"/>
      <c r="KMC82" s="798"/>
      <c r="KMD82" s="798"/>
      <c r="KME82" s="798"/>
      <c r="KMF82" s="798"/>
      <c r="KMG82" s="798"/>
      <c r="KMH82" s="798"/>
      <c r="KMI82" s="798"/>
      <c r="KMJ82" s="798"/>
      <c r="KMK82" s="798"/>
      <c r="KML82" s="798"/>
      <c r="KMM82" s="798"/>
      <c r="KMN82" s="798"/>
      <c r="KMO82" s="798"/>
      <c r="KMP82" s="798"/>
      <c r="KMQ82" s="798"/>
      <c r="KMR82" s="798"/>
      <c r="KMS82" s="798"/>
      <c r="KMT82" s="798"/>
      <c r="KMU82" s="798"/>
      <c r="KMV82" s="798"/>
      <c r="KMW82" s="798"/>
      <c r="KMX82" s="798"/>
      <c r="KMY82" s="798"/>
      <c r="KMZ82" s="798"/>
      <c r="KNA82" s="798"/>
      <c r="KNB82" s="798"/>
      <c r="KNC82" s="798"/>
      <c r="KND82" s="798"/>
      <c r="KNE82" s="798"/>
      <c r="KNF82" s="798"/>
      <c r="KNG82" s="798"/>
      <c r="KNH82" s="798"/>
      <c r="KNI82" s="798"/>
      <c r="KNJ82" s="798"/>
      <c r="KNK82" s="798"/>
      <c r="KNL82" s="798"/>
      <c r="KNM82" s="798"/>
      <c r="KNN82" s="798"/>
      <c r="KNO82" s="798"/>
      <c r="KNP82" s="798"/>
      <c r="KNQ82" s="798"/>
      <c r="KNR82" s="798"/>
      <c r="KNS82" s="798"/>
      <c r="KNT82" s="798"/>
      <c r="KNU82" s="798"/>
      <c r="KNV82" s="798"/>
      <c r="KNW82" s="798"/>
      <c r="KNX82" s="798"/>
      <c r="KNY82" s="798"/>
      <c r="KNZ82" s="798"/>
      <c r="KOA82" s="798"/>
      <c r="KOB82" s="798"/>
      <c r="KOC82" s="798"/>
      <c r="KOD82" s="798"/>
      <c r="KOE82" s="798"/>
      <c r="KOF82" s="798"/>
      <c r="KOG82" s="798"/>
      <c r="KOH82" s="798"/>
      <c r="KOI82" s="798"/>
      <c r="KOJ82" s="798"/>
      <c r="KOK82" s="798"/>
      <c r="KOL82" s="798"/>
      <c r="KOM82" s="798"/>
      <c r="KON82" s="798"/>
      <c r="KOO82" s="798"/>
      <c r="KOP82" s="798"/>
      <c r="KOQ82" s="798"/>
      <c r="KOR82" s="798"/>
      <c r="KOS82" s="798"/>
      <c r="KOT82" s="798"/>
      <c r="KOU82" s="798"/>
      <c r="KOV82" s="798"/>
      <c r="KOW82" s="798"/>
      <c r="KOX82" s="798"/>
      <c r="KOY82" s="798"/>
      <c r="KOZ82" s="798"/>
      <c r="KPA82" s="798"/>
      <c r="KPB82" s="798"/>
      <c r="KPC82" s="798"/>
      <c r="KPD82" s="798"/>
      <c r="KPE82" s="798"/>
      <c r="KPF82" s="798"/>
      <c r="KPG82" s="798"/>
      <c r="KPH82" s="798"/>
      <c r="KPI82" s="798"/>
      <c r="KPJ82" s="798"/>
      <c r="KPK82" s="798"/>
      <c r="KPL82" s="798"/>
      <c r="KPM82" s="798"/>
      <c r="KPN82" s="798"/>
      <c r="KPO82" s="798"/>
      <c r="KPP82" s="798"/>
      <c r="KPQ82" s="798"/>
      <c r="KPR82" s="798"/>
      <c r="KPS82" s="798"/>
      <c r="KPT82" s="798"/>
      <c r="KPU82" s="798"/>
      <c r="KPV82" s="798"/>
      <c r="KPW82" s="798"/>
      <c r="KPX82" s="798"/>
      <c r="KPY82" s="798"/>
      <c r="KPZ82" s="798"/>
      <c r="KQA82" s="798"/>
      <c r="KQB82" s="798"/>
      <c r="KQC82" s="798"/>
      <c r="KQD82" s="798"/>
      <c r="KQE82" s="798"/>
      <c r="KQF82" s="798"/>
      <c r="KQG82" s="798"/>
      <c r="KQH82" s="798"/>
      <c r="KQI82" s="798"/>
      <c r="KQJ82" s="798"/>
      <c r="KQK82" s="798"/>
      <c r="KQL82" s="798"/>
      <c r="KQM82" s="798"/>
      <c r="KQN82" s="798"/>
      <c r="KQO82" s="798"/>
      <c r="KQP82" s="798"/>
      <c r="KQQ82" s="798"/>
      <c r="KQR82" s="798"/>
      <c r="KQS82" s="798"/>
      <c r="KQT82" s="798"/>
      <c r="KQU82" s="798"/>
      <c r="KQV82" s="798"/>
      <c r="KQW82" s="798"/>
      <c r="KQX82" s="798"/>
      <c r="KQY82" s="798"/>
      <c r="KQZ82" s="798"/>
      <c r="KRA82" s="798"/>
      <c r="KRB82" s="798"/>
      <c r="KRC82" s="798"/>
      <c r="KRD82" s="798"/>
      <c r="KRE82" s="798"/>
      <c r="KRF82" s="798"/>
      <c r="KRG82" s="798"/>
      <c r="KRH82" s="798"/>
      <c r="KRI82" s="798"/>
      <c r="KRJ82" s="798"/>
      <c r="KRK82" s="798"/>
      <c r="KRL82" s="798"/>
      <c r="KRM82" s="798"/>
      <c r="KRN82" s="798"/>
      <c r="KRO82" s="798"/>
      <c r="KRP82" s="798"/>
      <c r="KRQ82" s="798"/>
      <c r="KRR82" s="798"/>
      <c r="KRS82" s="798"/>
      <c r="KRT82" s="798"/>
      <c r="KRU82" s="798"/>
      <c r="KRV82" s="798"/>
      <c r="KRW82" s="798"/>
      <c r="KRX82" s="798"/>
      <c r="KRY82" s="798"/>
      <c r="KRZ82" s="798"/>
      <c r="KSA82" s="798"/>
      <c r="KSB82" s="798"/>
      <c r="KSC82" s="798"/>
      <c r="KSD82" s="798"/>
      <c r="KSE82" s="798"/>
      <c r="KSF82" s="798"/>
      <c r="KSG82" s="798"/>
      <c r="KSH82" s="798"/>
      <c r="KSI82" s="798"/>
      <c r="KSJ82" s="798"/>
      <c r="KSK82" s="798"/>
      <c r="KSL82" s="798"/>
      <c r="KSM82" s="798"/>
      <c r="KSN82" s="798"/>
      <c r="KSO82" s="798"/>
      <c r="KSP82" s="798"/>
      <c r="KSQ82" s="798"/>
      <c r="KSR82" s="798"/>
      <c r="KSS82" s="798"/>
      <c r="KST82" s="798"/>
      <c r="KSU82" s="798"/>
      <c r="KSV82" s="798"/>
      <c r="KSW82" s="798"/>
      <c r="KSX82" s="798"/>
      <c r="KSY82" s="798"/>
      <c r="KSZ82" s="798"/>
      <c r="KTA82" s="798"/>
      <c r="KTB82" s="798"/>
      <c r="KTC82" s="798"/>
      <c r="KTD82" s="798"/>
      <c r="KTE82" s="798"/>
      <c r="KTF82" s="798"/>
      <c r="KTG82" s="798"/>
      <c r="KTH82" s="798"/>
      <c r="KTI82" s="798"/>
      <c r="KTJ82" s="798"/>
      <c r="KTK82" s="798"/>
      <c r="KTL82" s="798"/>
      <c r="KTM82" s="798"/>
      <c r="KTN82" s="798"/>
      <c r="KTO82" s="798"/>
      <c r="KTP82" s="798"/>
      <c r="KTQ82" s="798"/>
      <c r="KTR82" s="798"/>
      <c r="KTS82" s="798"/>
      <c r="KTT82" s="798"/>
      <c r="KTU82" s="798"/>
      <c r="KTV82" s="798"/>
      <c r="KTW82" s="798"/>
      <c r="KTX82" s="798"/>
      <c r="KTY82" s="798"/>
      <c r="KTZ82" s="798"/>
      <c r="KUA82" s="798"/>
      <c r="KUB82" s="798"/>
      <c r="KUC82" s="798"/>
      <c r="KUD82" s="798"/>
      <c r="KUE82" s="798"/>
      <c r="KUF82" s="798"/>
      <c r="KUG82" s="798"/>
      <c r="KUH82" s="798"/>
      <c r="KUI82" s="798"/>
      <c r="KUJ82" s="798"/>
      <c r="KUK82" s="798"/>
      <c r="KUL82" s="798"/>
      <c r="KUM82" s="798"/>
      <c r="KUN82" s="798"/>
      <c r="KUO82" s="798"/>
      <c r="KUP82" s="798"/>
      <c r="KUQ82" s="798"/>
      <c r="KUR82" s="798"/>
      <c r="KUS82" s="798"/>
      <c r="KUT82" s="798"/>
      <c r="KUU82" s="798"/>
      <c r="KUV82" s="798"/>
      <c r="KUW82" s="798"/>
      <c r="KUX82" s="798"/>
      <c r="KUY82" s="798"/>
      <c r="KUZ82" s="798"/>
      <c r="KVA82" s="798"/>
      <c r="KVB82" s="798"/>
      <c r="KVC82" s="798"/>
      <c r="KVD82" s="798"/>
      <c r="KVE82" s="798"/>
      <c r="KVF82" s="798"/>
      <c r="KVG82" s="798"/>
      <c r="KVH82" s="798"/>
      <c r="KVI82" s="798"/>
      <c r="KVJ82" s="798"/>
      <c r="KVK82" s="798"/>
      <c r="KVL82" s="798"/>
      <c r="KVM82" s="798"/>
      <c r="KVN82" s="798"/>
      <c r="KVO82" s="798"/>
      <c r="KVP82" s="798"/>
      <c r="KVQ82" s="798"/>
      <c r="KVR82" s="798"/>
      <c r="KVS82" s="798"/>
      <c r="KVT82" s="798"/>
      <c r="KVU82" s="798"/>
      <c r="KVV82" s="798"/>
      <c r="KVW82" s="798"/>
      <c r="KVX82" s="798"/>
      <c r="KVY82" s="798"/>
      <c r="KVZ82" s="798"/>
      <c r="KWA82" s="798"/>
      <c r="KWB82" s="798"/>
      <c r="KWC82" s="798"/>
      <c r="KWD82" s="798"/>
      <c r="KWE82" s="798"/>
      <c r="KWF82" s="798"/>
      <c r="KWG82" s="798"/>
      <c r="KWH82" s="798"/>
      <c r="KWI82" s="798"/>
      <c r="KWJ82" s="798"/>
      <c r="KWK82" s="798"/>
      <c r="KWL82" s="798"/>
      <c r="KWM82" s="798"/>
      <c r="KWN82" s="798"/>
      <c r="KWO82" s="798"/>
      <c r="KWP82" s="798"/>
      <c r="KWQ82" s="798"/>
      <c r="KWR82" s="798"/>
      <c r="KWS82" s="798"/>
      <c r="KWT82" s="798"/>
      <c r="KWU82" s="798"/>
      <c r="KWV82" s="798"/>
      <c r="KWW82" s="798"/>
      <c r="KWX82" s="798"/>
      <c r="KWY82" s="798"/>
      <c r="KWZ82" s="798"/>
      <c r="KXA82" s="798"/>
      <c r="KXB82" s="798"/>
      <c r="KXC82" s="798"/>
      <c r="KXD82" s="798"/>
      <c r="KXE82" s="798"/>
      <c r="KXF82" s="798"/>
      <c r="KXG82" s="798"/>
      <c r="KXH82" s="798"/>
      <c r="KXI82" s="798"/>
      <c r="KXJ82" s="798"/>
      <c r="KXK82" s="798"/>
      <c r="KXL82" s="798"/>
      <c r="KXM82" s="798"/>
      <c r="KXN82" s="798"/>
      <c r="KXO82" s="798"/>
      <c r="KXP82" s="798"/>
      <c r="KXQ82" s="798"/>
      <c r="KXR82" s="798"/>
      <c r="KXS82" s="798"/>
      <c r="KXT82" s="798"/>
      <c r="KXU82" s="798"/>
      <c r="KXV82" s="798"/>
      <c r="KXW82" s="798"/>
      <c r="KXX82" s="798"/>
      <c r="KXY82" s="798"/>
      <c r="KXZ82" s="798"/>
      <c r="KYA82" s="798"/>
      <c r="KYB82" s="798"/>
      <c r="KYC82" s="798"/>
      <c r="KYD82" s="798"/>
      <c r="KYE82" s="798"/>
      <c r="KYF82" s="798"/>
      <c r="KYG82" s="798"/>
      <c r="KYH82" s="798"/>
      <c r="KYI82" s="798"/>
      <c r="KYJ82" s="798"/>
      <c r="KYK82" s="798"/>
      <c r="KYL82" s="798"/>
      <c r="KYM82" s="798"/>
      <c r="KYN82" s="798"/>
      <c r="KYO82" s="798"/>
      <c r="KYP82" s="798"/>
      <c r="KYQ82" s="798"/>
      <c r="KYR82" s="798"/>
      <c r="KYS82" s="798"/>
      <c r="KYT82" s="798"/>
      <c r="KYU82" s="798"/>
      <c r="KYV82" s="798"/>
      <c r="KYW82" s="798"/>
      <c r="KYX82" s="798"/>
      <c r="KYY82" s="798"/>
      <c r="KYZ82" s="798"/>
      <c r="KZA82" s="798"/>
      <c r="KZB82" s="798"/>
      <c r="KZC82" s="798"/>
      <c r="KZD82" s="798"/>
      <c r="KZE82" s="798"/>
      <c r="KZF82" s="798"/>
      <c r="KZG82" s="798"/>
      <c r="KZH82" s="798"/>
      <c r="KZI82" s="798"/>
      <c r="KZJ82" s="798"/>
      <c r="KZK82" s="798"/>
      <c r="KZL82" s="798"/>
      <c r="KZM82" s="798"/>
      <c r="KZN82" s="798"/>
      <c r="KZO82" s="798"/>
      <c r="KZP82" s="798"/>
      <c r="KZQ82" s="798"/>
      <c r="KZR82" s="798"/>
      <c r="KZS82" s="798"/>
      <c r="KZT82" s="798"/>
      <c r="KZU82" s="798"/>
      <c r="KZV82" s="798"/>
      <c r="KZW82" s="798"/>
      <c r="KZX82" s="798"/>
      <c r="KZY82" s="798"/>
      <c r="KZZ82" s="798"/>
      <c r="LAA82" s="798"/>
      <c r="LAB82" s="798"/>
      <c r="LAC82" s="798"/>
      <c r="LAD82" s="798"/>
      <c r="LAE82" s="798"/>
      <c r="LAF82" s="798"/>
      <c r="LAG82" s="798"/>
      <c r="LAH82" s="798"/>
      <c r="LAI82" s="798"/>
      <c r="LAJ82" s="798"/>
      <c r="LAK82" s="798"/>
      <c r="LAL82" s="798"/>
      <c r="LAM82" s="798"/>
      <c r="LAN82" s="798"/>
      <c r="LAO82" s="798"/>
      <c r="LAP82" s="798"/>
      <c r="LAQ82" s="798"/>
      <c r="LAR82" s="798"/>
      <c r="LAS82" s="798"/>
      <c r="LAT82" s="798"/>
      <c r="LAU82" s="798"/>
      <c r="LAV82" s="798"/>
      <c r="LAW82" s="798"/>
      <c r="LAX82" s="798"/>
      <c r="LAY82" s="798"/>
      <c r="LAZ82" s="798"/>
      <c r="LBA82" s="798"/>
      <c r="LBB82" s="798"/>
      <c r="LBC82" s="798"/>
      <c r="LBD82" s="798"/>
      <c r="LBE82" s="798"/>
      <c r="LBF82" s="798"/>
      <c r="LBG82" s="798"/>
      <c r="LBH82" s="798"/>
      <c r="LBI82" s="798"/>
      <c r="LBJ82" s="798"/>
      <c r="LBK82" s="798"/>
      <c r="LBL82" s="798"/>
      <c r="LBM82" s="798"/>
      <c r="LBN82" s="798"/>
      <c r="LBO82" s="798"/>
      <c r="LBP82" s="798"/>
      <c r="LBQ82" s="798"/>
      <c r="LBR82" s="798"/>
      <c r="LBS82" s="798"/>
      <c r="LBT82" s="798"/>
      <c r="LBU82" s="798"/>
      <c r="LBV82" s="798"/>
      <c r="LBW82" s="798"/>
      <c r="LBX82" s="798"/>
      <c r="LBY82" s="798"/>
      <c r="LBZ82" s="798"/>
      <c r="LCA82" s="798"/>
      <c r="LCB82" s="798"/>
      <c r="LCC82" s="798"/>
      <c r="LCD82" s="798"/>
      <c r="LCE82" s="798"/>
      <c r="LCF82" s="798"/>
      <c r="LCG82" s="798"/>
      <c r="LCH82" s="798"/>
      <c r="LCI82" s="798"/>
      <c r="LCJ82" s="798"/>
      <c r="LCK82" s="798"/>
      <c r="LCL82" s="798"/>
      <c r="LCM82" s="798"/>
      <c r="LCN82" s="798"/>
      <c r="LCO82" s="798"/>
      <c r="LCP82" s="798"/>
      <c r="LCQ82" s="798"/>
      <c r="LCR82" s="798"/>
      <c r="LCS82" s="798"/>
      <c r="LCT82" s="798"/>
      <c r="LCU82" s="798"/>
      <c r="LCV82" s="798"/>
      <c r="LCW82" s="798"/>
      <c r="LCX82" s="798"/>
      <c r="LCY82" s="798"/>
      <c r="LCZ82" s="798"/>
      <c r="LDA82" s="798"/>
      <c r="LDB82" s="798"/>
      <c r="LDC82" s="798"/>
      <c r="LDD82" s="798"/>
      <c r="LDE82" s="798"/>
      <c r="LDF82" s="798"/>
      <c r="LDG82" s="798"/>
      <c r="LDH82" s="798"/>
      <c r="LDI82" s="798"/>
      <c r="LDJ82" s="798"/>
      <c r="LDK82" s="798"/>
      <c r="LDL82" s="798"/>
      <c r="LDM82" s="798"/>
      <c r="LDN82" s="798"/>
      <c r="LDO82" s="798"/>
      <c r="LDP82" s="798"/>
      <c r="LDQ82" s="798"/>
      <c r="LDR82" s="798"/>
      <c r="LDS82" s="798"/>
      <c r="LDT82" s="798"/>
      <c r="LDU82" s="798"/>
      <c r="LDV82" s="798"/>
      <c r="LDW82" s="798"/>
      <c r="LDX82" s="798"/>
      <c r="LDY82" s="798"/>
      <c r="LDZ82" s="798"/>
      <c r="LEA82" s="798"/>
      <c r="LEB82" s="798"/>
      <c r="LEC82" s="798"/>
      <c r="LED82" s="798"/>
      <c r="LEE82" s="798"/>
      <c r="LEF82" s="798"/>
      <c r="LEG82" s="798"/>
      <c r="LEH82" s="798"/>
      <c r="LEI82" s="798"/>
      <c r="LEJ82" s="798"/>
      <c r="LEK82" s="798"/>
      <c r="LEL82" s="798"/>
      <c r="LEM82" s="798"/>
      <c r="LEN82" s="798"/>
      <c r="LEO82" s="798"/>
      <c r="LEP82" s="798"/>
      <c r="LEQ82" s="798"/>
      <c r="LER82" s="798"/>
      <c r="LES82" s="798"/>
      <c r="LET82" s="798"/>
      <c r="LEU82" s="798"/>
      <c r="LEV82" s="798"/>
      <c r="LEW82" s="798"/>
      <c r="LEX82" s="798"/>
      <c r="LEY82" s="798"/>
      <c r="LEZ82" s="798"/>
      <c r="LFA82" s="798"/>
      <c r="LFB82" s="798"/>
      <c r="LFC82" s="798"/>
      <c r="LFD82" s="798"/>
      <c r="LFE82" s="798"/>
      <c r="LFF82" s="798"/>
      <c r="LFG82" s="798"/>
      <c r="LFH82" s="798"/>
      <c r="LFI82" s="798"/>
      <c r="LFJ82" s="798"/>
      <c r="LFK82" s="798"/>
      <c r="LFL82" s="798"/>
      <c r="LFM82" s="798"/>
      <c r="LFN82" s="798"/>
      <c r="LFO82" s="798"/>
      <c r="LFP82" s="798"/>
      <c r="LFQ82" s="798"/>
      <c r="LFR82" s="798"/>
      <c r="LFS82" s="798"/>
      <c r="LFT82" s="798"/>
      <c r="LFU82" s="798"/>
      <c r="LFV82" s="798"/>
      <c r="LFW82" s="798"/>
      <c r="LFX82" s="798"/>
      <c r="LFY82" s="798"/>
      <c r="LFZ82" s="798"/>
      <c r="LGA82" s="798"/>
      <c r="LGB82" s="798"/>
      <c r="LGC82" s="798"/>
      <c r="LGD82" s="798"/>
      <c r="LGE82" s="798"/>
      <c r="LGF82" s="798"/>
      <c r="LGG82" s="798"/>
      <c r="LGH82" s="798"/>
      <c r="LGI82" s="798"/>
      <c r="LGJ82" s="798"/>
      <c r="LGK82" s="798"/>
      <c r="LGL82" s="798"/>
      <c r="LGM82" s="798"/>
      <c r="LGN82" s="798"/>
      <c r="LGO82" s="798"/>
      <c r="LGP82" s="798"/>
      <c r="LGQ82" s="798"/>
      <c r="LGR82" s="798"/>
      <c r="LGS82" s="798"/>
      <c r="LGT82" s="798"/>
      <c r="LGU82" s="798"/>
      <c r="LGV82" s="798"/>
      <c r="LGW82" s="798"/>
      <c r="LGX82" s="798"/>
      <c r="LGY82" s="798"/>
      <c r="LGZ82" s="798"/>
      <c r="LHA82" s="798"/>
      <c r="LHB82" s="798"/>
      <c r="LHC82" s="798"/>
      <c r="LHD82" s="798"/>
      <c r="LHE82" s="798"/>
      <c r="LHF82" s="798"/>
      <c r="LHG82" s="798"/>
      <c r="LHH82" s="798"/>
      <c r="LHI82" s="798"/>
      <c r="LHJ82" s="798"/>
      <c r="LHK82" s="798"/>
      <c r="LHL82" s="798"/>
      <c r="LHM82" s="798"/>
      <c r="LHN82" s="798"/>
      <c r="LHO82" s="798"/>
      <c r="LHP82" s="798"/>
      <c r="LHQ82" s="798"/>
      <c r="LHR82" s="798"/>
      <c r="LHS82" s="798"/>
      <c r="LHT82" s="798"/>
      <c r="LHU82" s="798"/>
      <c r="LHV82" s="798"/>
      <c r="LHW82" s="798"/>
      <c r="LHX82" s="798"/>
      <c r="LHY82" s="798"/>
      <c r="LHZ82" s="798"/>
      <c r="LIA82" s="798"/>
      <c r="LIB82" s="798"/>
      <c r="LIC82" s="798"/>
      <c r="LID82" s="798"/>
      <c r="LIE82" s="798"/>
      <c r="LIF82" s="798"/>
      <c r="LIG82" s="798"/>
      <c r="LIH82" s="798"/>
      <c r="LII82" s="798"/>
      <c r="LIJ82" s="798"/>
      <c r="LIK82" s="798"/>
      <c r="LIL82" s="798"/>
      <c r="LIM82" s="798"/>
      <c r="LIN82" s="798"/>
      <c r="LIO82" s="798"/>
      <c r="LIP82" s="798"/>
      <c r="LIQ82" s="798"/>
      <c r="LIR82" s="798"/>
      <c r="LIS82" s="798"/>
      <c r="LIT82" s="798"/>
      <c r="LIU82" s="798"/>
      <c r="LIV82" s="798"/>
      <c r="LIW82" s="798"/>
      <c r="LIX82" s="798"/>
      <c r="LIY82" s="798"/>
      <c r="LIZ82" s="798"/>
      <c r="LJA82" s="798"/>
      <c r="LJB82" s="798"/>
      <c r="LJC82" s="798"/>
      <c r="LJD82" s="798"/>
      <c r="LJE82" s="798"/>
      <c r="LJF82" s="798"/>
      <c r="LJG82" s="798"/>
      <c r="LJH82" s="798"/>
      <c r="LJI82" s="798"/>
      <c r="LJJ82" s="798"/>
      <c r="LJK82" s="798"/>
      <c r="LJL82" s="798"/>
      <c r="LJM82" s="798"/>
      <c r="LJN82" s="798"/>
      <c r="LJO82" s="798"/>
      <c r="LJP82" s="798"/>
      <c r="LJQ82" s="798"/>
      <c r="LJR82" s="798"/>
      <c r="LJS82" s="798"/>
      <c r="LJT82" s="798"/>
      <c r="LJU82" s="798"/>
      <c r="LJV82" s="798"/>
      <c r="LJW82" s="798"/>
      <c r="LJX82" s="798"/>
      <c r="LJY82" s="798"/>
      <c r="LJZ82" s="798"/>
      <c r="LKA82" s="798"/>
      <c r="LKB82" s="798"/>
      <c r="LKC82" s="798"/>
      <c r="LKD82" s="798"/>
      <c r="LKE82" s="798"/>
      <c r="LKF82" s="798"/>
      <c r="LKG82" s="798"/>
      <c r="LKH82" s="798"/>
      <c r="LKI82" s="798"/>
      <c r="LKJ82" s="798"/>
      <c r="LKK82" s="798"/>
      <c r="LKL82" s="798"/>
      <c r="LKM82" s="798"/>
      <c r="LKN82" s="798"/>
      <c r="LKO82" s="798"/>
      <c r="LKP82" s="798"/>
      <c r="LKQ82" s="798"/>
      <c r="LKR82" s="798"/>
      <c r="LKS82" s="798"/>
      <c r="LKT82" s="798"/>
      <c r="LKU82" s="798"/>
      <c r="LKV82" s="798"/>
      <c r="LKW82" s="798"/>
      <c r="LKX82" s="798"/>
      <c r="LKY82" s="798"/>
      <c r="LKZ82" s="798"/>
      <c r="LLA82" s="798"/>
      <c r="LLB82" s="798"/>
      <c r="LLC82" s="798"/>
      <c r="LLD82" s="798"/>
      <c r="LLE82" s="798"/>
      <c r="LLF82" s="798"/>
      <c r="LLG82" s="798"/>
      <c r="LLH82" s="798"/>
      <c r="LLI82" s="798"/>
      <c r="LLJ82" s="798"/>
      <c r="LLK82" s="798"/>
      <c r="LLL82" s="798"/>
      <c r="LLM82" s="798"/>
      <c r="LLN82" s="798"/>
      <c r="LLO82" s="798"/>
      <c r="LLP82" s="798"/>
      <c r="LLQ82" s="798"/>
      <c r="LLR82" s="798"/>
      <c r="LLS82" s="798"/>
      <c r="LLT82" s="798"/>
      <c r="LLU82" s="798"/>
      <c r="LLV82" s="798"/>
      <c r="LLW82" s="798"/>
      <c r="LLX82" s="798"/>
      <c r="LLY82" s="798"/>
      <c r="LLZ82" s="798"/>
      <c r="LMA82" s="798"/>
      <c r="LMB82" s="798"/>
      <c r="LMC82" s="798"/>
      <c r="LMD82" s="798"/>
      <c r="LME82" s="798"/>
      <c r="LMF82" s="798"/>
      <c r="LMG82" s="798"/>
      <c r="LMH82" s="798"/>
      <c r="LMI82" s="798"/>
      <c r="LMJ82" s="798"/>
      <c r="LMK82" s="798"/>
      <c r="LML82" s="798"/>
      <c r="LMM82" s="798"/>
      <c r="LMN82" s="798"/>
      <c r="LMO82" s="798"/>
      <c r="LMP82" s="798"/>
      <c r="LMQ82" s="798"/>
      <c r="LMR82" s="798"/>
      <c r="LMS82" s="798"/>
      <c r="LMT82" s="798"/>
      <c r="LMU82" s="798"/>
      <c r="LMV82" s="798"/>
      <c r="LMW82" s="798"/>
      <c r="LMX82" s="798"/>
      <c r="LMY82" s="798"/>
      <c r="LMZ82" s="798"/>
      <c r="LNA82" s="798"/>
      <c r="LNB82" s="798"/>
      <c r="LNC82" s="798"/>
      <c r="LND82" s="798"/>
      <c r="LNE82" s="798"/>
      <c r="LNF82" s="798"/>
      <c r="LNG82" s="798"/>
      <c r="LNH82" s="798"/>
      <c r="LNI82" s="798"/>
      <c r="LNJ82" s="798"/>
      <c r="LNK82" s="798"/>
      <c r="LNL82" s="798"/>
      <c r="LNM82" s="798"/>
      <c r="LNN82" s="798"/>
      <c r="LNO82" s="798"/>
      <c r="LNP82" s="798"/>
      <c r="LNQ82" s="798"/>
      <c r="LNR82" s="798"/>
      <c r="LNS82" s="798"/>
      <c r="LNT82" s="798"/>
      <c r="LNU82" s="798"/>
      <c r="LNV82" s="798"/>
      <c r="LNW82" s="798"/>
      <c r="LNX82" s="798"/>
      <c r="LNY82" s="798"/>
      <c r="LNZ82" s="798"/>
      <c r="LOA82" s="798"/>
      <c r="LOB82" s="798"/>
      <c r="LOC82" s="798"/>
      <c r="LOD82" s="798"/>
      <c r="LOE82" s="798"/>
      <c r="LOF82" s="798"/>
      <c r="LOG82" s="798"/>
      <c r="LOH82" s="798"/>
      <c r="LOI82" s="798"/>
      <c r="LOJ82" s="798"/>
      <c r="LOK82" s="798"/>
      <c r="LOL82" s="798"/>
      <c r="LOM82" s="798"/>
      <c r="LON82" s="798"/>
      <c r="LOO82" s="798"/>
      <c r="LOP82" s="798"/>
      <c r="LOQ82" s="798"/>
      <c r="LOR82" s="798"/>
      <c r="LOS82" s="798"/>
      <c r="LOT82" s="798"/>
      <c r="LOU82" s="798"/>
      <c r="LOV82" s="798"/>
      <c r="LOW82" s="798"/>
      <c r="LOX82" s="798"/>
      <c r="LOY82" s="798"/>
      <c r="LOZ82" s="798"/>
      <c r="LPA82" s="798"/>
      <c r="LPB82" s="798"/>
      <c r="LPC82" s="798"/>
      <c r="LPD82" s="798"/>
      <c r="LPE82" s="798"/>
      <c r="LPF82" s="798"/>
      <c r="LPG82" s="798"/>
      <c r="LPH82" s="798"/>
      <c r="LPI82" s="798"/>
      <c r="LPJ82" s="798"/>
      <c r="LPK82" s="798"/>
      <c r="LPL82" s="798"/>
      <c r="LPM82" s="798"/>
      <c r="LPN82" s="798"/>
      <c r="LPO82" s="798"/>
      <c r="LPP82" s="798"/>
      <c r="LPQ82" s="798"/>
      <c r="LPR82" s="798"/>
      <c r="LPS82" s="798"/>
      <c r="LPT82" s="798"/>
      <c r="LPU82" s="798"/>
      <c r="LPV82" s="798"/>
      <c r="LPW82" s="798"/>
      <c r="LPX82" s="798"/>
      <c r="LPY82" s="798"/>
      <c r="LPZ82" s="798"/>
      <c r="LQA82" s="798"/>
      <c r="LQB82" s="798"/>
      <c r="LQC82" s="798"/>
      <c r="LQD82" s="798"/>
      <c r="LQE82" s="798"/>
      <c r="LQF82" s="798"/>
      <c r="LQG82" s="798"/>
      <c r="LQH82" s="798"/>
      <c r="LQI82" s="798"/>
      <c r="LQJ82" s="798"/>
      <c r="LQK82" s="798"/>
      <c r="LQL82" s="798"/>
      <c r="LQM82" s="798"/>
      <c r="LQN82" s="798"/>
      <c r="LQO82" s="798"/>
      <c r="LQP82" s="798"/>
      <c r="LQQ82" s="798"/>
      <c r="LQR82" s="798"/>
      <c r="LQS82" s="798"/>
      <c r="LQT82" s="798"/>
      <c r="LQU82" s="798"/>
      <c r="LQV82" s="798"/>
      <c r="LQW82" s="798"/>
      <c r="LQX82" s="798"/>
      <c r="LQY82" s="798"/>
      <c r="LQZ82" s="798"/>
      <c r="LRA82" s="798"/>
      <c r="LRB82" s="798"/>
      <c r="LRC82" s="798"/>
      <c r="LRD82" s="798"/>
      <c r="LRE82" s="798"/>
      <c r="LRF82" s="798"/>
      <c r="LRG82" s="798"/>
      <c r="LRH82" s="798"/>
      <c r="LRI82" s="798"/>
      <c r="LRJ82" s="798"/>
      <c r="LRK82" s="798"/>
      <c r="LRL82" s="798"/>
      <c r="LRM82" s="798"/>
      <c r="LRN82" s="798"/>
      <c r="LRO82" s="798"/>
      <c r="LRP82" s="798"/>
      <c r="LRQ82" s="798"/>
      <c r="LRR82" s="798"/>
      <c r="LRS82" s="798"/>
      <c r="LRT82" s="798"/>
      <c r="LRU82" s="798"/>
      <c r="LRV82" s="798"/>
      <c r="LRW82" s="798"/>
      <c r="LRX82" s="798"/>
      <c r="LRY82" s="798"/>
      <c r="LRZ82" s="798"/>
      <c r="LSA82" s="798"/>
      <c r="LSB82" s="798"/>
      <c r="LSC82" s="798"/>
      <c r="LSD82" s="798"/>
      <c r="LSE82" s="798"/>
      <c r="LSF82" s="798"/>
      <c r="LSG82" s="798"/>
      <c r="LSH82" s="798"/>
      <c r="LSI82" s="798"/>
      <c r="LSJ82" s="798"/>
      <c r="LSK82" s="798"/>
      <c r="LSL82" s="798"/>
      <c r="LSM82" s="798"/>
      <c r="LSN82" s="798"/>
      <c r="LSO82" s="798"/>
      <c r="LSP82" s="798"/>
      <c r="LSQ82" s="798"/>
      <c r="LSR82" s="798"/>
      <c r="LSS82" s="798"/>
      <c r="LST82" s="798"/>
      <c r="LSU82" s="798"/>
      <c r="LSV82" s="798"/>
      <c r="LSW82" s="798"/>
      <c r="LSX82" s="798"/>
      <c r="LSY82" s="798"/>
      <c r="LSZ82" s="798"/>
      <c r="LTA82" s="798"/>
      <c r="LTB82" s="798"/>
      <c r="LTC82" s="798"/>
      <c r="LTD82" s="798"/>
      <c r="LTE82" s="798"/>
      <c r="LTF82" s="798"/>
      <c r="LTG82" s="798"/>
      <c r="LTH82" s="798"/>
      <c r="LTI82" s="798"/>
      <c r="LTJ82" s="798"/>
      <c r="LTK82" s="798"/>
      <c r="LTL82" s="798"/>
      <c r="LTM82" s="798"/>
      <c r="LTN82" s="798"/>
      <c r="LTO82" s="798"/>
      <c r="LTP82" s="798"/>
      <c r="LTQ82" s="798"/>
      <c r="LTR82" s="798"/>
      <c r="LTS82" s="798"/>
      <c r="LTT82" s="798"/>
      <c r="LTU82" s="798"/>
      <c r="LTV82" s="798"/>
      <c r="LTW82" s="798"/>
      <c r="LTX82" s="798"/>
      <c r="LTY82" s="798"/>
      <c r="LTZ82" s="798"/>
      <c r="LUA82" s="798"/>
      <c r="LUB82" s="798"/>
      <c r="LUC82" s="798"/>
      <c r="LUD82" s="798"/>
      <c r="LUE82" s="798"/>
      <c r="LUF82" s="798"/>
      <c r="LUG82" s="798"/>
      <c r="LUH82" s="798"/>
      <c r="LUI82" s="798"/>
      <c r="LUJ82" s="798"/>
      <c r="LUK82" s="798"/>
      <c r="LUL82" s="798"/>
      <c r="LUM82" s="798"/>
      <c r="LUN82" s="798"/>
      <c r="LUO82" s="798"/>
      <c r="LUP82" s="798"/>
      <c r="LUQ82" s="798"/>
      <c r="LUR82" s="798"/>
      <c r="LUS82" s="798"/>
      <c r="LUT82" s="798"/>
      <c r="LUU82" s="798"/>
      <c r="LUV82" s="798"/>
      <c r="LUW82" s="798"/>
      <c r="LUX82" s="798"/>
      <c r="LUY82" s="798"/>
      <c r="LUZ82" s="798"/>
      <c r="LVA82" s="798"/>
      <c r="LVB82" s="798"/>
      <c r="LVC82" s="798"/>
      <c r="LVD82" s="798"/>
      <c r="LVE82" s="798"/>
      <c r="LVF82" s="798"/>
      <c r="LVG82" s="798"/>
      <c r="LVH82" s="798"/>
      <c r="LVI82" s="798"/>
      <c r="LVJ82" s="798"/>
      <c r="LVK82" s="798"/>
      <c r="LVL82" s="798"/>
      <c r="LVM82" s="798"/>
      <c r="LVN82" s="798"/>
      <c r="LVO82" s="798"/>
      <c r="LVP82" s="798"/>
      <c r="LVQ82" s="798"/>
      <c r="LVR82" s="798"/>
      <c r="LVS82" s="798"/>
      <c r="LVT82" s="798"/>
      <c r="LVU82" s="798"/>
      <c r="LVV82" s="798"/>
      <c r="LVW82" s="798"/>
      <c r="LVX82" s="798"/>
      <c r="LVY82" s="798"/>
      <c r="LVZ82" s="798"/>
      <c r="LWA82" s="798"/>
      <c r="LWB82" s="798"/>
      <c r="LWC82" s="798"/>
      <c r="LWD82" s="798"/>
      <c r="LWE82" s="798"/>
      <c r="LWF82" s="798"/>
      <c r="LWG82" s="798"/>
      <c r="LWH82" s="798"/>
      <c r="LWI82" s="798"/>
      <c r="LWJ82" s="798"/>
      <c r="LWK82" s="798"/>
      <c r="LWL82" s="798"/>
      <c r="LWM82" s="798"/>
      <c r="LWN82" s="798"/>
      <c r="LWO82" s="798"/>
      <c r="LWP82" s="798"/>
      <c r="LWQ82" s="798"/>
      <c r="LWR82" s="798"/>
      <c r="LWS82" s="798"/>
      <c r="LWT82" s="798"/>
      <c r="LWU82" s="798"/>
      <c r="LWV82" s="798"/>
      <c r="LWW82" s="798"/>
      <c r="LWX82" s="798"/>
      <c r="LWY82" s="798"/>
      <c r="LWZ82" s="798"/>
      <c r="LXA82" s="798"/>
      <c r="LXB82" s="798"/>
      <c r="LXC82" s="798"/>
      <c r="LXD82" s="798"/>
      <c r="LXE82" s="798"/>
      <c r="LXF82" s="798"/>
      <c r="LXG82" s="798"/>
      <c r="LXH82" s="798"/>
      <c r="LXI82" s="798"/>
      <c r="LXJ82" s="798"/>
      <c r="LXK82" s="798"/>
      <c r="LXL82" s="798"/>
      <c r="LXM82" s="798"/>
      <c r="LXN82" s="798"/>
      <c r="LXO82" s="798"/>
      <c r="LXP82" s="798"/>
      <c r="LXQ82" s="798"/>
      <c r="LXR82" s="798"/>
      <c r="LXS82" s="798"/>
      <c r="LXT82" s="798"/>
      <c r="LXU82" s="798"/>
      <c r="LXV82" s="798"/>
      <c r="LXW82" s="798"/>
      <c r="LXX82" s="798"/>
      <c r="LXY82" s="798"/>
      <c r="LXZ82" s="798"/>
      <c r="LYA82" s="798"/>
      <c r="LYB82" s="798"/>
      <c r="LYC82" s="798"/>
      <c r="LYD82" s="798"/>
      <c r="LYE82" s="798"/>
      <c r="LYF82" s="798"/>
      <c r="LYG82" s="798"/>
      <c r="LYH82" s="798"/>
      <c r="LYI82" s="798"/>
      <c r="LYJ82" s="798"/>
      <c r="LYK82" s="798"/>
      <c r="LYL82" s="798"/>
      <c r="LYM82" s="798"/>
      <c r="LYN82" s="798"/>
      <c r="LYO82" s="798"/>
      <c r="LYP82" s="798"/>
      <c r="LYQ82" s="798"/>
      <c r="LYR82" s="798"/>
      <c r="LYS82" s="798"/>
      <c r="LYT82" s="798"/>
      <c r="LYU82" s="798"/>
      <c r="LYV82" s="798"/>
      <c r="LYW82" s="798"/>
      <c r="LYX82" s="798"/>
      <c r="LYY82" s="798"/>
      <c r="LYZ82" s="798"/>
      <c r="LZA82" s="798"/>
      <c r="LZB82" s="798"/>
      <c r="LZC82" s="798"/>
      <c r="LZD82" s="798"/>
      <c r="LZE82" s="798"/>
      <c r="LZF82" s="798"/>
      <c r="LZG82" s="798"/>
      <c r="LZH82" s="798"/>
      <c r="LZI82" s="798"/>
      <c r="LZJ82" s="798"/>
      <c r="LZK82" s="798"/>
      <c r="LZL82" s="798"/>
      <c r="LZM82" s="798"/>
      <c r="LZN82" s="798"/>
      <c r="LZO82" s="798"/>
      <c r="LZP82" s="798"/>
      <c r="LZQ82" s="798"/>
      <c r="LZR82" s="798"/>
      <c r="LZS82" s="798"/>
      <c r="LZT82" s="798"/>
      <c r="LZU82" s="798"/>
      <c r="LZV82" s="798"/>
      <c r="LZW82" s="798"/>
      <c r="LZX82" s="798"/>
      <c r="LZY82" s="798"/>
      <c r="LZZ82" s="798"/>
      <c r="MAA82" s="798"/>
      <c r="MAB82" s="798"/>
      <c r="MAC82" s="798"/>
      <c r="MAD82" s="798"/>
      <c r="MAE82" s="798"/>
      <c r="MAF82" s="798"/>
      <c r="MAG82" s="798"/>
      <c r="MAH82" s="798"/>
      <c r="MAI82" s="798"/>
      <c r="MAJ82" s="798"/>
      <c r="MAK82" s="798"/>
      <c r="MAL82" s="798"/>
      <c r="MAM82" s="798"/>
      <c r="MAN82" s="798"/>
      <c r="MAO82" s="798"/>
      <c r="MAP82" s="798"/>
      <c r="MAQ82" s="798"/>
      <c r="MAR82" s="798"/>
      <c r="MAS82" s="798"/>
      <c r="MAT82" s="798"/>
      <c r="MAU82" s="798"/>
      <c r="MAV82" s="798"/>
      <c r="MAW82" s="798"/>
      <c r="MAX82" s="798"/>
      <c r="MAY82" s="798"/>
      <c r="MAZ82" s="798"/>
      <c r="MBA82" s="798"/>
      <c r="MBB82" s="798"/>
      <c r="MBC82" s="798"/>
      <c r="MBD82" s="798"/>
      <c r="MBE82" s="798"/>
      <c r="MBF82" s="798"/>
      <c r="MBG82" s="798"/>
      <c r="MBH82" s="798"/>
      <c r="MBI82" s="798"/>
      <c r="MBJ82" s="798"/>
      <c r="MBK82" s="798"/>
      <c r="MBL82" s="798"/>
      <c r="MBM82" s="798"/>
      <c r="MBN82" s="798"/>
      <c r="MBO82" s="798"/>
      <c r="MBP82" s="798"/>
      <c r="MBQ82" s="798"/>
      <c r="MBR82" s="798"/>
      <c r="MBS82" s="798"/>
      <c r="MBT82" s="798"/>
      <c r="MBU82" s="798"/>
      <c r="MBV82" s="798"/>
      <c r="MBW82" s="798"/>
      <c r="MBX82" s="798"/>
      <c r="MBY82" s="798"/>
      <c r="MBZ82" s="798"/>
      <c r="MCA82" s="798"/>
      <c r="MCB82" s="798"/>
      <c r="MCC82" s="798"/>
      <c r="MCD82" s="798"/>
      <c r="MCE82" s="798"/>
      <c r="MCF82" s="798"/>
      <c r="MCG82" s="798"/>
      <c r="MCH82" s="798"/>
      <c r="MCI82" s="798"/>
      <c r="MCJ82" s="798"/>
      <c r="MCK82" s="798"/>
      <c r="MCL82" s="798"/>
      <c r="MCM82" s="798"/>
      <c r="MCN82" s="798"/>
      <c r="MCO82" s="798"/>
      <c r="MCP82" s="798"/>
      <c r="MCQ82" s="798"/>
      <c r="MCR82" s="798"/>
      <c r="MCS82" s="798"/>
      <c r="MCT82" s="798"/>
      <c r="MCU82" s="798"/>
      <c r="MCV82" s="798"/>
      <c r="MCW82" s="798"/>
      <c r="MCX82" s="798"/>
      <c r="MCY82" s="798"/>
      <c r="MCZ82" s="798"/>
      <c r="MDA82" s="798"/>
      <c r="MDB82" s="798"/>
      <c r="MDC82" s="798"/>
      <c r="MDD82" s="798"/>
      <c r="MDE82" s="798"/>
      <c r="MDF82" s="798"/>
      <c r="MDG82" s="798"/>
      <c r="MDH82" s="798"/>
      <c r="MDI82" s="798"/>
      <c r="MDJ82" s="798"/>
      <c r="MDK82" s="798"/>
      <c r="MDL82" s="798"/>
      <c r="MDM82" s="798"/>
      <c r="MDN82" s="798"/>
      <c r="MDO82" s="798"/>
      <c r="MDP82" s="798"/>
      <c r="MDQ82" s="798"/>
      <c r="MDR82" s="798"/>
      <c r="MDS82" s="798"/>
      <c r="MDT82" s="798"/>
      <c r="MDU82" s="798"/>
      <c r="MDV82" s="798"/>
      <c r="MDW82" s="798"/>
      <c r="MDX82" s="798"/>
      <c r="MDY82" s="798"/>
      <c r="MDZ82" s="798"/>
      <c r="MEA82" s="798"/>
      <c r="MEB82" s="798"/>
      <c r="MEC82" s="798"/>
      <c r="MED82" s="798"/>
      <c r="MEE82" s="798"/>
      <c r="MEF82" s="798"/>
      <c r="MEG82" s="798"/>
      <c r="MEH82" s="798"/>
      <c r="MEI82" s="798"/>
      <c r="MEJ82" s="798"/>
      <c r="MEK82" s="798"/>
      <c r="MEL82" s="798"/>
      <c r="MEM82" s="798"/>
      <c r="MEN82" s="798"/>
      <c r="MEO82" s="798"/>
      <c r="MEP82" s="798"/>
      <c r="MEQ82" s="798"/>
      <c r="MER82" s="798"/>
      <c r="MES82" s="798"/>
      <c r="MET82" s="798"/>
      <c r="MEU82" s="798"/>
      <c r="MEV82" s="798"/>
      <c r="MEW82" s="798"/>
      <c r="MEX82" s="798"/>
      <c r="MEY82" s="798"/>
      <c r="MEZ82" s="798"/>
      <c r="MFA82" s="798"/>
      <c r="MFB82" s="798"/>
      <c r="MFC82" s="798"/>
      <c r="MFD82" s="798"/>
      <c r="MFE82" s="798"/>
      <c r="MFF82" s="798"/>
      <c r="MFG82" s="798"/>
      <c r="MFH82" s="798"/>
      <c r="MFI82" s="798"/>
      <c r="MFJ82" s="798"/>
      <c r="MFK82" s="798"/>
      <c r="MFL82" s="798"/>
      <c r="MFM82" s="798"/>
      <c r="MFN82" s="798"/>
      <c r="MFO82" s="798"/>
      <c r="MFP82" s="798"/>
      <c r="MFQ82" s="798"/>
      <c r="MFR82" s="798"/>
      <c r="MFS82" s="798"/>
      <c r="MFT82" s="798"/>
      <c r="MFU82" s="798"/>
      <c r="MFV82" s="798"/>
      <c r="MFW82" s="798"/>
      <c r="MFX82" s="798"/>
      <c r="MFY82" s="798"/>
      <c r="MFZ82" s="798"/>
      <c r="MGA82" s="798"/>
      <c r="MGB82" s="798"/>
      <c r="MGC82" s="798"/>
      <c r="MGD82" s="798"/>
      <c r="MGE82" s="798"/>
      <c r="MGF82" s="798"/>
      <c r="MGG82" s="798"/>
      <c r="MGH82" s="798"/>
      <c r="MGI82" s="798"/>
      <c r="MGJ82" s="798"/>
      <c r="MGK82" s="798"/>
      <c r="MGL82" s="798"/>
      <c r="MGM82" s="798"/>
      <c r="MGN82" s="798"/>
      <c r="MGO82" s="798"/>
      <c r="MGP82" s="798"/>
      <c r="MGQ82" s="798"/>
      <c r="MGR82" s="798"/>
      <c r="MGS82" s="798"/>
      <c r="MGT82" s="798"/>
      <c r="MGU82" s="798"/>
      <c r="MGV82" s="798"/>
      <c r="MGW82" s="798"/>
      <c r="MGX82" s="798"/>
      <c r="MGY82" s="798"/>
      <c r="MGZ82" s="798"/>
      <c r="MHA82" s="798"/>
      <c r="MHB82" s="798"/>
      <c r="MHC82" s="798"/>
      <c r="MHD82" s="798"/>
      <c r="MHE82" s="798"/>
      <c r="MHF82" s="798"/>
      <c r="MHG82" s="798"/>
      <c r="MHH82" s="798"/>
      <c r="MHI82" s="798"/>
      <c r="MHJ82" s="798"/>
      <c r="MHK82" s="798"/>
      <c r="MHL82" s="798"/>
      <c r="MHM82" s="798"/>
      <c r="MHN82" s="798"/>
      <c r="MHO82" s="798"/>
      <c r="MHP82" s="798"/>
      <c r="MHQ82" s="798"/>
      <c r="MHR82" s="798"/>
      <c r="MHS82" s="798"/>
      <c r="MHT82" s="798"/>
      <c r="MHU82" s="798"/>
      <c r="MHV82" s="798"/>
      <c r="MHW82" s="798"/>
      <c r="MHX82" s="798"/>
      <c r="MHY82" s="798"/>
      <c r="MHZ82" s="798"/>
      <c r="MIA82" s="798"/>
      <c r="MIB82" s="798"/>
      <c r="MIC82" s="798"/>
      <c r="MID82" s="798"/>
      <c r="MIE82" s="798"/>
      <c r="MIF82" s="798"/>
      <c r="MIG82" s="798"/>
      <c r="MIH82" s="798"/>
      <c r="MII82" s="798"/>
      <c r="MIJ82" s="798"/>
      <c r="MIK82" s="798"/>
      <c r="MIL82" s="798"/>
      <c r="MIM82" s="798"/>
      <c r="MIN82" s="798"/>
      <c r="MIO82" s="798"/>
      <c r="MIP82" s="798"/>
      <c r="MIQ82" s="798"/>
      <c r="MIR82" s="798"/>
      <c r="MIS82" s="798"/>
      <c r="MIT82" s="798"/>
      <c r="MIU82" s="798"/>
      <c r="MIV82" s="798"/>
      <c r="MIW82" s="798"/>
      <c r="MIX82" s="798"/>
      <c r="MIY82" s="798"/>
      <c r="MIZ82" s="798"/>
      <c r="MJA82" s="798"/>
      <c r="MJB82" s="798"/>
      <c r="MJC82" s="798"/>
      <c r="MJD82" s="798"/>
      <c r="MJE82" s="798"/>
      <c r="MJF82" s="798"/>
      <c r="MJG82" s="798"/>
      <c r="MJH82" s="798"/>
      <c r="MJI82" s="798"/>
      <c r="MJJ82" s="798"/>
      <c r="MJK82" s="798"/>
      <c r="MJL82" s="798"/>
      <c r="MJM82" s="798"/>
      <c r="MJN82" s="798"/>
      <c r="MJO82" s="798"/>
      <c r="MJP82" s="798"/>
      <c r="MJQ82" s="798"/>
      <c r="MJR82" s="798"/>
      <c r="MJS82" s="798"/>
      <c r="MJT82" s="798"/>
      <c r="MJU82" s="798"/>
      <c r="MJV82" s="798"/>
      <c r="MJW82" s="798"/>
      <c r="MJX82" s="798"/>
      <c r="MJY82" s="798"/>
      <c r="MJZ82" s="798"/>
      <c r="MKA82" s="798"/>
      <c r="MKB82" s="798"/>
      <c r="MKC82" s="798"/>
      <c r="MKD82" s="798"/>
      <c r="MKE82" s="798"/>
      <c r="MKF82" s="798"/>
      <c r="MKG82" s="798"/>
      <c r="MKH82" s="798"/>
      <c r="MKI82" s="798"/>
      <c r="MKJ82" s="798"/>
      <c r="MKK82" s="798"/>
      <c r="MKL82" s="798"/>
      <c r="MKM82" s="798"/>
      <c r="MKN82" s="798"/>
      <c r="MKO82" s="798"/>
      <c r="MKP82" s="798"/>
      <c r="MKQ82" s="798"/>
      <c r="MKR82" s="798"/>
      <c r="MKS82" s="798"/>
      <c r="MKT82" s="798"/>
      <c r="MKU82" s="798"/>
      <c r="MKV82" s="798"/>
      <c r="MKW82" s="798"/>
      <c r="MKX82" s="798"/>
      <c r="MKY82" s="798"/>
      <c r="MKZ82" s="798"/>
      <c r="MLA82" s="798"/>
      <c r="MLB82" s="798"/>
      <c r="MLC82" s="798"/>
      <c r="MLD82" s="798"/>
      <c r="MLE82" s="798"/>
      <c r="MLF82" s="798"/>
      <c r="MLG82" s="798"/>
      <c r="MLH82" s="798"/>
      <c r="MLI82" s="798"/>
      <c r="MLJ82" s="798"/>
      <c r="MLK82" s="798"/>
      <c r="MLL82" s="798"/>
      <c r="MLM82" s="798"/>
      <c r="MLN82" s="798"/>
      <c r="MLO82" s="798"/>
      <c r="MLP82" s="798"/>
      <c r="MLQ82" s="798"/>
      <c r="MLR82" s="798"/>
      <c r="MLS82" s="798"/>
      <c r="MLT82" s="798"/>
      <c r="MLU82" s="798"/>
      <c r="MLV82" s="798"/>
      <c r="MLW82" s="798"/>
      <c r="MLX82" s="798"/>
      <c r="MLY82" s="798"/>
      <c r="MLZ82" s="798"/>
      <c r="MMA82" s="798"/>
      <c r="MMB82" s="798"/>
      <c r="MMC82" s="798"/>
      <c r="MMD82" s="798"/>
      <c r="MME82" s="798"/>
      <c r="MMF82" s="798"/>
      <c r="MMG82" s="798"/>
      <c r="MMH82" s="798"/>
      <c r="MMI82" s="798"/>
      <c r="MMJ82" s="798"/>
      <c r="MMK82" s="798"/>
      <c r="MML82" s="798"/>
      <c r="MMM82" s="798"/>
      <c r="MMN82" s="798"/>
      <c r="MMO82" s="798"/>
      <c r="MMP82" s="798"/>
      <c r="MMQ82" s="798"/>
      <c r="MMR82" s="798"/>
      <c r="MMS82" s="798"/>
      <c r="MMT82" s="798"/>
      <c r="MMU82" s="798"/>
      <c r="MMV82" s="798"/>
      <c r="MMW82" s="798"/>
      <c r="MMX82" s="798"/>
      <c r="MMY82" s="798"/>
      <c r="MMZ82" s="798"/>
      <c r="MNA82" s="798"/>
      <c r="MNB82" s="798"/>
      <c r="MNC82" s="798"/>
      <c r="MND82" s="798"/>
      <c r="MNE82" s="798"/>
      <c r="MNF82" s="798"/>
      <c r="MNG82" s="798"/>
      <c r="MNH82" s="798"/>
      <c r="MNI82" s="798"/>
      <c r="MNJ82" s="798"/>
      <c r="MNK82" s="798"/>
      <c r="MNL82" s="798"/>
      <c r="MNM82" s="798"/>
      <c r="MNN82" s="798"/>
      <c r="MNO82" s="798"/>
      <c r="MNP82" s="798"/>
      <c r="MNQ82" s="798"/>
      <c r="MNR82" s="798"/>
      <c r="MNS82" s="798"/>
      <c r="MNT82" s="798"/>
      <c r="MNU82" s="798"/>
      <c r="MNV82" s="798"/>
      <c r="MNW82" s="798"/>
      <c r="MNX82" s="798"/>
      <c r="MNY82" s="798"/>
      <c r="MNZ82" s="798"/>
      <c r="MOA82" s="798"/>
      <c r="MOB82" s="798"/>
      <c r="MOC82" s="798"/>
      <c r="MOD82" s="798"/>
      <c r="MOE82" s="798"/>
      <c r="MOF82" s="798"/>
      <c r="MOG82" s="798"/>
      <c r="MOH82" s="798"/>
      <c r="MOI82" s="798"/>
      <c r="MOJ82" s="798"/>
      <c r="MOK82" s="798"/>
      <c r="MOL82" s="798"/>
      <c r="MOM82" s="798"/>
      <c r="MON82" s="798"/>
      <c r="MOO82" s="798"/>
      <c r="MOP82" s="798"/>
      <c r="MOQ82" s="798"/>
      <c r="MOR82" s="798"/>
      <c r="MOS82" s="798"/>
      <c r="MOT82" s="798"/>
      <c r="MOU82" s="798"/>
      <c r="MOV82" s="798"/>
      <c r="MOW82" s="798"/>
      <c r="MOX82" s="798"/>
      <c r="MOY82" s="798"/>
      <c r="MOZ82" s="798"/>
      <c r="MPA82" s="798"/>
      <c r="MPB82" s="798"/>
      <c r="MPC82" s="798"/>
      <c r="MPD82" s="798"/>
      <c r="MPE82" s="798"/>
      <c r="MPF82" s="798"/>
      <c r="MPG82" s="798"/>
      <c r="MPH82" s="798"/>
      <c r="MPI82" s="798"/>
      <c r="MPJ82" s="798"/>
      <c r="MPK82" s="798"/>
      <c r="MPL82" s="798"/>
      <c r="MPM82" s="798"/>
      <c r="MPN82" s="798"/>
      <c r="MPO82" s="798"/>
      <c r="MPP82" s="798"/>
      <c r="MPQ82" s="798"/>
      <c r="MPR82" s="798"/>
      <c r="MPS82" s="798"/>
      <c r="MPT82" s="798"/>
      <c r="MPU82" s="798"/>
      <c r="MPV82" s="798"/>
      <c r="MPW82" s="798"/>
      <c r="MPX82" s="798"/>
      <c r="MPY82" s="798"/>
      <c r="MPZ82" s="798"/>
      <c r="MQA82" s="798"/>
      <c r="MQB82" s="798"/>
      <c r="MQC82" s="798"/>
      <c r="MQD82" s="798"/>
      <c r="MQE82" s="798"/>
      <c r="MQF82" s="798"/>
      <c r="MQG82" s="798"/>
      <c r="MQH82" s="798"/>
      <c r="MQI82" s="798"/>
      <c r="MQJ82" s="798"/>
      <c r="MQK82" s="798"/>
      <c r="MQL82" s="798"/>
      <c r="MQM82" s="798"/>
      <c r="MQN82" s="798"/>
      <c r="MQO82" s="798"/>
      <c r="MQP82" s="798"/>
      <c r="MQQ82" s="798"/>
      <c r="MQR82" s="798"/>
      <c r="MQS82" s="798"/>
      <c r="MQT82" s="798"/>
      <c r="MQU82" s="798"/>
      <c r="MQV82" s="798"/>
      <c r="MQW82" s="798"/>
      <c r="MQX82" s="798"/>
      <c r="MQY82" s="798"/>
      <c r="MQZ82" s="798"/>
      <c r="MRA82" s="798"/>
      <c r="MRB82" s="798"/>
      <c r="MRC82" s="798"/>
      <c r="MRD82" s="798"/>
      <c r="MRE82" s="798"/>
      <c r="MRF82" s="798"/>
      <c r="MRG82" s="798"/>
      <c r="MRH82" s="798"/>
      <c r="MRI82" s="798"/>
      <c r="MRJ82" s="798"/>
      <c r="MRK82" s="798"/>
      <c r="MRL82" s="798"/>
      <c r="MRM82" s="798"/>
      <c r="MRN82" s="798"/>
      <c r="MRO82" s="798"/>
      <c r="MRP82" s="798"/>
      <c r="MRQ82" s="798"/>
      <c r="MRR82" s="798"/>
      <c r="MRS82" s="798"/>
      <c r="MRT82" s="798"/>
      <c r="MRU82" s="798"/>
      <c r="MRV82" s="798"/>
      <c r="MRW82" s="798"/>
      <c r="MRX82" s="798"/>
      <c r="MRY82" s="798"/>
      <c r="MRZ82" s="798"/>
      <c r="MSA82" s="798"/>
      <c r="MSB82" s="798"/>
      <c r="MSC82" s="798"/>
      <c r="MSD82" s="798"/>
      <c r="MSE82" s="798"/>
      <c r="MSF82" s="798"/>
      <c r="MSG82" s="798"/>
      <c r="MSH82" s="798"/>
      <c r="MSI82" s="798"/>
      <c r="MSJ82" s="798"/>
      <c r="MSK82" s="798"/>
      <c r="MSL82" s="798"/>
      <c r="MSM82" s="798"/>
      <c r="MSN82" s="798"/>
      <c r="MSO82" s="798"/>
      <c r="MSP82" s="798"/>
      <c r="MSQ82" s="798"/>
      <c r="MSR82" s="798"/>
      <c r="MSS82" s="798"/>
      <c r="MST82" s="798"/>
      <c r="MSU82" s="798"/>
      <c r="MSV82" s="798"/>
      <c r="MSW82" s="798"/>
      <c r="MSX82" s="798"/>
      <c r="MSY82" s="798"/>
      <c r="MSZ82" s="798"/>
      <c r="MTA82" s="798"/>
      <c r="MTB82" s="798"/>
      <c r="MTC82" s="798"/>
      <c r="MTD82" s="798"/>
      <c r="MTE82" s="798"/>
      <c r="MTF82" s="798"/>
      <c r="MTG82" s="798"/>
      <c r="MTH82" s="798"/>
      <c r="MTI82" s="798"/>
      <c r="MTJ82" s="798"/>
      <c r="MTK82" s="798"/>
      <c r="MTL82" s="798"/>
      <c r="MTM82" s="798"/>
      <c r="MTN82" s="798"/>
      <c r="MTO82" s="798"/>
      <c r="MTP82" s="798"/>
      <c r="MTQ82" s="798"/>
      <c r="MTR82" s="798"/>
      <c r="MTS82" s="798"/>
      <c r="MTT82" s="798"/>
      <c r="MTU82" s="798"/>
      <c r="MTV82" s="798"/>
      <c r="MTW82" s="798"/>
      <c r="MTX82" s="798"/>
      <c r="MTY82" s="798"/>
      <c r="MTZ82" s="798"/>
      <c r="MUA82" s="798"/>
      <c r="MUB82" s="798"/>
      <c r="MUC82" s="798"/>
      <c r="MUD82" s="798"/>
      <c r="MUE82" s="798"/>
      <c r="MUF82" s="798"/>
      <c r="MUG82" s="798"/>
      <c r="MUH82" s="798"/>
      <c r="MUI82" s="798"/>
      <c r="MUJ82" s="798"/>
      <c r="MUK82" s="798"/>
      <c r="MUL82" s="798"/>
      <c r="MUM82" s="798"/>
      <c r="MUN82" s="798"/>
      <c r="MUO82" s="798"/>
      <c r="MUP82" s="798"/>
      <c r="MUQ82" s="798"/>
      <c r="MUR82" s="798"/>
      <c r="MUS82" s="798"/>
      <c r="MUT82" s="798"/>
      <c r="MUU82" s="798"/>
      <c r="MUV82" s="798"/>
      <c r="MUW82" s="798"/>
      <c r="MUX82" s="798"/>
      <c r="MUY82" s="798"/>
      <c r="MUZ82" s="798"/>
      <c r="MVA82" s="798"/>
      <c r="MVB82" s="798"/>
      <c r="MVC82" s="798"/>
      <c r="MVD82" s="798"/>
      <c r="MVE82" s="798"/>
      <c r="MVF82" s="798"/>
      <c r="MVG82" s="798"/>
      <c r="MVH82" s="798"/>
      <c r="MVI82" s="798"/>
      <c r="MVJ82" s="798"/>
      <c r="MVK82" s="798"/>
      <c r="MVL82" s="798"/>
      <c r="MVM82" s="798"/>
      <c r="MVN82" s="798"/>
      <c r="MVO82" s="798"/>
      <c r="MVP82" s="798"/>
      <c r="MVQ82" s="798"/>
      <c r="MVR82" s="798"/>
      <c r="MVS82" s="798"/>
      <c r="MVT82" s="798"/>
      <c r="MVU82" s="798"/>
      <c r="MVV82" s="798"/>
      <c r="MVW82" s="798"/>
      <c r="MVX82" s="798"/>
      <c r="MVY82" s="798"/>
      <c r="MVZ82" s="798"/>
      <c r="MWA82" s="798"/>
      <c r="MWB82" s="798"/>
      <c r="MWC82" s="798"/>
      <c r="MWD82" s="798"/>
      <c r="MWE82" s="798"/>
      <c r="MWF82" s="798"/>
      <c r="MWG82" s="798"/>
      <c r="MWH82" s="798"/>
      <c r="MWI82" s="798"/>
      <c r="MWJ82" s="798"/>
      <c r="MWK82" s="798"/>
      <c r="MWL82" s="798"/>
      <c r="MWM82" s="798"/>
      <c r="MWN82" s="798"/>
      <c r="MWO82" s="798"/>
      <c r="MWP82" s="798"/>
      <c r="MWQ82" s="798"/>
      <c r="MWR82" s="798"/>
      <c r="MWS82" s="798"/>
      <c r="MWT82" s="798"/>
      <c r="MWU82" s="798"/>
      <c r="MWV82" s="798"/>
      <c r="MWW82" s="798"/>
      <c r="MWX82" s="798"/>
      <c r="MWY82" s="798"/>
      <c r="MWZ82" s="798"/>
      <c r="MXA82" s="798"/>
      <c r="MXB82" s="798"/>
      <c r="MXC82" s="798"/>
      <c r="MXD82" s="798"/>
      <c r="MXE82" s="798"/>
      <c r="MXF82" s="798"/>
      <c r="MXG82" s="798"/>
      <c r="MXH82" s="798"/>
      <c r="MXI82" s="798"/>
      <c r="MXJ82" s="798"/>
      <c r="MXK82" s="798"/>
      <c r="MXL82" s="798"/>
      <c r="MXM82" s="798"/>
      <c r="MXN82" s="798"/>
      <c r="MXO82" s="798"/>
      <c r="MXP82" s="798"/>
      <c r="MXQ82" s="798"/>
      <c r="MXR82" s="798"/>
      <c r="MXS82" s="798"/>
      <c r="MXT82" s="798"/>
      <c r="MXU82" s="798"/>
      <c r="MXV82" s="798"/>
      <c r="MXW82" s="798"/>
      <c r="MXX82" s="798"/>
      <c r="MXY82" s="798"/>
      <c r="MXZ82" s="798"/>
      <c r="MYA82" s="798"/>
      <c r="MYB82" s="798"/>
      <c r="MYC82" s="798"/>
      <c r="MYD82" s="798"/>
      <c r="MYE82" s="798"/>
      <c r="MYF82" s="798"/>
      <c r="MYG82" s="798"/>
      <c r="MYH82" s="798"/>
      <c r="MYI82" s="798"/>
      <c r="MYJ82" s="798"/>
      <c r="MYK82" s="798"/>
      <c r="MYL82" s="798"/>
      <c r="MYM82" s="798"/>
      <c r="MYN82" s="798"/>
      <c r="MYO82" s="798"/>
      <c r="MYP82" s="798"/>
      <c r="MYQ82" s="798"/>
      <c r="MYR82" s="798"/>
      <c r="MYS82" s="798"/>
      <c r="MYT82" s="798"/>
      <c r="MYU82" s="798"/>
      <c r="MYV82" s="798"/>
      <c r="MYW82" s="798"/>
      <c r="MYX82" s="798"/>
      <c r="MYY82" s="798"/>
      <c r="MYZ82" s="798"/>
      <c r="MZA82" s="798"/>
      <c r="MZB82" s="798"/>
      <c r="MZC82" s="798"/>
      <c r="MZD82" s="798"/>
      <c r="MZE82" s="798"/>
      <c r="MZF82" s="798"/>
      <c r="MZG82" s="798"/>
      <c r="MZH82" s="798"/>
      <c r="MZI82" s="798"/>
      <c r="MZJ82" s="798"/>
      <c r="MZK82" s="798"/>
      <c r="MZL82" s="798"/>
      <c r="MZM82" s="798"/>
      <c r="MZN82" s="798"/>
      <c r="MZO82" s="798"/>
      <c r="MZP82" s="798"/>
      <c r="MZQ82" s="798"/>
      <c r="MZR82" s="798"/>
      <c r="MZS82" s="798"/>
      <c r="MZT82" s="798"/>
      <c r="MZU82" s="798"/>
      <c r="MZV82" s="798"/>
      <c r="MZW82" s="798"/>
      <c r="MZX82" s="798"/>
      <c r="MZY82" s="798"/>
      <c r="MZZ82" s="798"/>
      <c r="NAA82" s="798"/>
      <c r="NAB82" s="798"/>
      <c r="NAC82" s="798"/>
      <c r="NAD82" s="798"/>
      <c r="NAE82" s="798"/>
      <c r="NAF82" s="798"/>
      <c r="NAG82" s="798"/>
      <c r="NAH82" s="798"/>
      <c r="NAI82" s="798"/>
      <c r="NAJ82" s="798"/>
      <c r="NAK82" s="798"/>
      <c r="NAL82" s="798"/>
      <c r="NAM82" s="798"/>
      <c r="NAN82" s="798"/>
      <c r="NAO82" s="798"/>
      <c r="NAP82" s="798"/>
      <c r="NAQ82" s="798"/>
      <c r="NAR82" s="798"/>
      <c r="NAS82" s="798"/>
      <c r="NAT82" s="798"/>
      <c r="NAU82" s="798"/>
      <c r="NAV82" s="798"/>
      <c r="NAW82" s="798"/>
      <c r="NAX82" s="798"/>
      <c r="NAY82" s="798"/>
      <c r="NAZ82" s="798"/>
      <c r="NBA82" s="798"/>
      <c r="NBB82" s="798"/>
      <c r="NBC82" s="798"/>
      <c r="NBD82" s="798"/>
      <c r="NBE82" s="798"/>
      <c r="NBF82" s="798"/>
      <c r="NBG82" s="798"/>
      <c r="NBH82" s="798"/>
      <c r="NBI82" s="798"/>
      <c r="NBJ82" s="798"/>
      <c r="NBK82" s="798"/>
      <c r="NBL82" s="798"/>
      <c r="NBM82" s="798"/>
      <c r="NBN82" s="798"/>
      <c r="NBO82" s="798"/>
      <c r="NBP82" s="798"/>
      <c r="NBQ82" s="798"/>
      <c r="NBR82" s="798"/>
      <c r="NBS82" s="798"/>
      <c r="NBT82" s="798"/>
      <c r="NBU82" s="798"/>
      <c r="NBV82" s="798"/>
      <c r="NBW82" s="798"/>
      <c r="NBX82" s="798"/>
      <c r="NBY82" s="798"/>
      <c r="NBZ82" s="798"/>
      <c r="NCA82" s="798"/>
      <c r="NCB82" s="798"/>
      <c r="NCC82" s="798"/>
      <c r="NCD82" s="798"/>
      <c r="NCE82" s="798"/>
      <c r="NCF82" s="798"/>
      <c r="NCG82" s="798"/>
      <c r="NCH82" s="798"/>
      <c r="NCI82" s="798"/>
      <c r="NCJ82" s="798"/>
      <c r="NCK82" s="798"/>
      <c r="NCL82" s="798"/>
      <c r="NCM82" s="798"/>
      <c r="NCN82" s="798"/>
      <c r="NCO82" s="798"/>
      <c r="NCP82" s="798"/>
      <c r="NCQ82" s="798"/>
      <c r="NCR82" s="798"/>
      <c r="NCS82" s="798"/>
      <c r="NCT82" s="798"/>
      <c r="NCU82" s="798"/>
      <c r="NCV82" s="798"/>
      <c r="NCW82" s="798"/>
      <c r="NCX82" s="798"/>
      <c r="NCY82" s="798"/>
      <c r="NCZ82" s="798"/>
      <c r="NDA82" s="798"/>
      <c r="NDB82" s="798"/>
      <c r="NDC82" s="798"/>
      <c r="NDD82" s="798"/>
      <c r="NDE82" s="798"/>
      <c r="NDF82" s="798"/>
      <c r="NDG82" s="798"/>
      <c r="NDH82" s="798"/>
      <c r="NDI82" s="798"/>
      <c r="NDJ82" s="798"/>
      <c r="NDK82" s="798"/>
      <c r="NDL82" s="798"/>
      <c r="NDM82" s="798"/>
      <c r="NDN82" s="798"/>
      <c r="NDO82" s="798"/>
      <c r="NDP82" s="798"/>
      <c r="NDQ82" s="798"/>
      <c r="NDR82" s="798"/>
      <c r="NDS82" s="798"/>
      <c r="NDT82" s="798"/>
      <c r="NDU82" s="798"/>
      <c r="NDV82" s="798"/>
      <c r="NDW82" s="798"/>
      <c r="NDX82" s="798"/>
      <c r="NDY82" s="798"/>
      <c r="NDZ82" s="798"/>
      <c r="NEA82" s="798"/>
      <c r="NEB82" s="798"/>
      <c r="NEC82" s="798"/>
      <c r="NED82" s="798"/>
      <c r="NEE82" s="798"/>
      <c r="NEF82" s="798"/>
      <c r="NEG82" s="798"/>
      <c r="NEH82" s="798"/>
      <c r="NEI82" s="798"/>
      <c r="NEJ82" s="798"/>
      <c r="NEK82" s="798"/>
      <c r="NEL82" s="798"/>
      <c r="NEM82" s="798"/>
      <c r="NEN82" s="798"/>
      <c r="NEO82" s="798"/>
      <c r="NEP82" s="798"/>
      <c r="NEQ82" s="798"/>
      <c r="NER82" s="798"/>
      <c r="NES82" s="798"/>
      <c r="NET82" s="798"/>
      <c r="NEU82" s="798"/>
      <c r="NEV82" s="798"/>
      <c r="NEW82" s="798"/>
      <c r="NEX82" s="798"/>
      <c r="NEY82" s="798"/>
      <c r="NEZ82" s="798"/>
      <c r="NFA82" s="798"/>
      <c r="NFB82" s="798"/>
      <c r="NFC82" s="798"/>
      <c r="NFD82" s="798"/>
      <c r="NFE82" s="798"/>
      <c r="NFF82" s="798"/>
      <c r="NFG82" s="798"/>
      <c r="NFH82" s="798"/>
      <c r="NFI82" s="798"/>
      <c r="NFJ82" s="798"/>
      <c r="NFK82" s="798"/>
      <c r="NFL82" s="798"/>
      <c r="NFM82" s="798"/>
      <c r="NFN82" s="798"/>
      <c r="NFO82" s="798"/>
      <c r="NFP82" s="798"/>
      <c r="NFQ82" s="798"/>
      <c r="NFR82" s="798"/>
      <c r="NFS82" s="798"/>
      <c r="NFT82" s="798"/>
      <c r="NFU82" s="798"/>
      <c r="NFV82" s="798"/>
      <c r="NFW82" s="798"/>
      <c r="NFX82" s="798"/>
      <c r="NFY82" s="798"/>
      <c r="NFZ82" s="798"/>
      <c r="NGA82" s="798"/>
      <c r="NGB82" s="798"/>
      <c r="NGC82" s="798"/>
      <c r="NGD82" s="798"/>
      <c r="NGE82" s="798"/>
      <c r="NGF82" s="798"/>
      <c r="NGG82" s="798"/>
      <c r="NGH82" s="798"/>
      <c r="NGI82" s="798"/>
      <c r="NGJ82" s="798"/>
      <c r="NGK82" s="798"/>
      <c r="NGL82" s="798"/>
      <c r="NGM82" s="798"/>
      <c r="NGN82" s="798"/>
      <c r="NGO82" s="798"/>
      <c r="NGP82" s="798"/>
      <c r="NGQ82" s="798"/>
      <c r="NGR82" s="798"/>
      <c r="NGS82" s="798"/>
      <c r="NGT82" s="798"/>
      <c r="NGU82" s="798"/>
      <c r="NGV82" s="798"/>
      <c r="NGW82" s="798"/>
      <c r="NGX82" s="798"/>
      <c r="NGY82" s="798"/>
      <c r="NGZ82" s="798"/>
      <c r="NHA82" s="798"/>
      <c r="NHB82" s="798"/>
      <c r="NHC82" s="798"/>
      <c r="NHD82" s="798"/>
      <c r="NHE82" s="798"/>
      <c r="NHF82" s="798"/>
      <c r="NHG82" s="798"/>
      <c r="NHH82" s="798"/>
      <c r="NHI82" s="798"/>
      <c r="NHJ82" s="798"/>
      <c r="NHK82" s="798"/>
      <c r="NHL82" s="798"/>
      <c r="NHM82" s="798"/>
      <c r="NHN82" s="798"/>
      <c r="NHO82" s="798"/>
      <c r="NHP82" s="798"/>
      <c r="NHQ82" s="798"/>
      <c r="NHR82" s="798"/>
      <c r="NHS82" s="798"/>
      <c r="NHT82" s="798"/>
      <c r="NHU82" s="798"/>
      <c r="NHV82" s="798"/>
      <c r="NHW82" s="798"/>
      <c r="NHX82" s="798"/>
      <c r="NHY82" s="798"/>
      <c r="NHZ82" s="798"/>
      <c r="NIA82" s="798"/>
      <c r="NIB82" s="798"/>
      <c r="NIC82" s="798"/>
      <c r="NID82" s="798"/>
      <c r="NIE82" s="798"/>
      <c r="NIF82" s="798"/>
      <c r="NIG82" s="798"/>
      <c r="NIH82" s="798"/>
      <c r="NII82" s="798"/>
      <c r="NIJ82" s="798"/>
      <c r="NIK82" s="798"/>
      <c r="NIL82" s="798"/>
      <c r="NIM82" s="798"/>
      <c r="NIN82" s="798"/>
      <c r="NIO82" s="798"/>
      <c r="NIP82" s="798"/>
      <c r="NIQ82" s="798"/>
      <c r="NIR82" s="798"/>
      <c r="NIS82" s="798"/>
      <c r="NIT82" s="798"/>
      <c r="NIU82" s="798"/>
      <c r="NIV82" s="798"/>
      <c r="NIW82" s="798"/>
      <c r="NIX82" s="798"/>
      <c r="NIY82" s="798"/>
      <c r="NIZ82" s="798"/>
      <c r="NJA82" s="798"/>
      <c r="NJB82" s="798"/>
      <c r="NJC82" s="798"/>
      <c r="NJD82" s="798"/>
      <c r="NJE82" s="798"/>
      <c r="NJF82" s="798"/>
      <c r="NJG82" s="798"/>
      <c r="NJH82" s="798"/>
      <c r="NJI82" s="798"/>
      <c r="NJJ82" s="798"/>
      <c r="NJK82" s="798"/>
      <c r="NJL82" s="798"/>
      <c r="NJM82" s="798"/>
      <c r="NJN82" s="798"/>
      <c r="NJO82" s="798"/>
      <c r="NJP82" s="798"/>
      <c r="NJQ82" s="798"/>
      <c r="NJR82" s="798"/>
      <c r="NJS82" s="798"/>
      <c r="NJT82" s="798"/>
      <c r="NJU82" s="798"/>
      <c r="NJV82" s="798"/>
      <c r="NJW82" s="798"/>
      <c r="NJX82" s="798"/>
      <c r="NJY82" s="798"/>
      <c r="NJZ82" s="798"/>
      <c r="NKA82" s="798"/>
      <c r="NKB82" s="798"/>
      <c r="NKC82" s="798"/>
      <c r="NKD82" s="798"/>
      <c r="NKE82" s="798"/>
      <c r="NKF82" s="798"/>
      <c r="NKG82" s="798"/>
      <c r="NKH82" s="798"/>
      <c r="NKI82" s="798"/>
      <c r="NKJ82" s="798"/>
      <c r="NKK82" s="798"/>
      <c r="NKL82" s="798"/>
      <c r="NKM82" s="798"/>
      <c r="NKN82" s="798"/>
      <c r="NKO82" s="798"/>
      <c r="NKP82" s="798"/>
      <c r="NKQ82" s="798"/>
      <c r="NKR82" s="798"/>
      <c r="NKS82" s="798"/>
      <c r="NKT82" s="798"/>
      <c r="NKU82" s="798"/>
      <c r="NKV82" s="798"/>
      <c r="NKW82" s="798"/>
      <c r="NKX82" s="798"/>
      <c r="NKY82" s="798"/>
      <c r="NKZ82" s="798"/>
      <c r="NLA82" s="798"/>
      <c r="NLB82" s="798"/>
      <c r="NLC82" s="798"/>
      <c r="NLD82" s="798"/>
      <c r="NLE82" s="798"/>
      <c r="NLF82" s="798"/>
      <c r="NLG82" s="798"/>
      <c r="NLH82" s="798"/>
      <c r="NLI82" s="798"/>
      <c r="NLJ82" s="798"/>
      <c r="NLK82" s="798"/>
      <c r="NLL82" s="798"/>
      <c r="NLM82" s="798"/>
      <c r="NLN82" s="798"/>
      <c r="NLO82" s="798"/>
      <c r="NLP82" s="798"/>
      <c r="NLQ82" s="798"/>
      <c r="NLR82" s="798"/>
      <c r="NLS82" s="798"/>
      <c r="NLT82" s="798"/>
      <c r="NLU82" s="798"/>
      <c r="NLV82" s="798"/>
      <c r="NLW82" s="798"/>
      <c r="NLX82" s="798"/>
      <c r="NLY82" s="798"/>
      <c r="NLZ82" s="798"/>
      <c r="NMA82" s="798"/>
      <c r="NMB82" s="798"/>
      <c r="NMC82" s="798"/>
      <c r="NMD82" s="798"/>
      <c r="NME82" s="798"/>
      <c r="NMF82" s="798"/>
      <c r="NMG82" s="798"/>
      <c r="NMH82" s="798"/>
      <c r="NMI82" s="798"/>
      <c r="NMJ82" s="798"/>
      <c r="NMK82" s="798"/>
      <c r="NML82" s="798"/>
      <c r="NMM82" s="798"/>
      <c r="NMN82" s="798"/>
      <c r="NMO82" s="798"/>
      <c r="NMP82" s="798"/>
      <c r="NMQ82" s="798"/>
      <c r="NMR82" s="798"/>
      <c r="NMS82" s="798"/>
      <c r="NMT82" s="798"/>
      <c r="NMU82" s="798"/>
      <c r="NMV82" s="798"/>
      <c r="NMW82" s="798"/>
      <c r="NMX82" s="798"/>
      <c r="NMY82" s="798"/>
      <c r="NMZ82" s="798"/>
      <c r="NNA82" s="798"/>
      <c r="NNB82" s="798"/>
      <c r="NNC82" s="798"/>
      <c r="NND82" s="798"/>
      <c r="NNE82" s="798"/>
      <c r="NNF82" s="798"/>
      <c r="NNG82" s="798"/>
      <c r="NNH82" s="798"/>
      <c r="NNI82" s="798"/>
      <c r="NNJ82" s="798"/>
      <c r="NNK82" s="798"/>
      <c r="NNL82" s="798"/>
      <c r="NNM82" s="798"/>
      <c r="NNN82" s="798"/>
      <c r="NNO82" s="798"/>
      <c r="NNP82" s="798"/>
      <c r="NNQ82" s="798"/>
      <c r="NNR82" s="798"/>
      <c r="NNS82" s="798"/>
      <c r="NNT82" s="798"/>
      <c r="NNU82" s="798"/>
      <c r="NNV82" s="798"/>
      <c r="NNW82" s="798"/>
      <c r="NNX82" s="798"/>
      <c r="NNY82" s="798"/>
      <c r="NNZ82" s="798"/>
      <c r="NOA82" s="798"/>
      <c r="NOB82" s="798"/>
      <c r="NOC82" s="798"/>
      <c r="NOD82" s="798"/>
      <c r="NOE82" s="798"/>
      <c r="NOF82" s="798"/>
      <c r="NOG82" s="798"/>
      <c r="NOH82" s="798"/>
      <c r="NOI82" s="798"/>
      <c r="NOJ82" s="798"/>
      <c r="NOK82" s="798"/>
      <c r="NOL82" s="798"/>
      <c r="NOM82" s="798"/>
      <c r="NON82" s="798"/>
      <c r="NOO82" s="798"/>
      <c r="NOP82" s="798"/>
      <c r="NOQ82" s="798"/>
      <c r="NOR82" s="798"/>
      <c r="NOS82" s="798"/>
      <c r="NOT82" s="798"/>
      <c r="NOU82" s="798"/>
      <c r="NOV82" s="798"/>
      <c r="NOW82" s="798"/>
      <c r="NOX82" s="798"/>
      <c r="NOY82" s="798"/>
      <c r="NOZ82" s="798"/>
      <c r="NPA82" s="798"/>
      <c r="NPB82" s="798"/>
      <c r="NPC82" s="798"/>
      <c r="NPD82" s="798"/>
      <c r="NPE82" s="798"/>
      <c r="NPF82" s="798"/>
      <c r="NPG82" s="798"/>
      <c r="NPH82" s="798"/>
      <c r="NPI82" s="798"/>
      <c r="NPJ82" s="798"/>
      <c r="NPK82" s="798"/>
      <c r="NPL82" s="798"/>
      <c r="NPM82" s="798"/>
      <c r="NPN82" s="798"/>
      <c r="NPO82" s="798"/>
      <c r="NPP82" s="798"/>
      <c r="NPQ82" s="798"/>
      <c r="NPR82" s="798"/>
      <c r="NPS82" s="798"/>
      <c r="NPT82" s="798"/>
      <c r="NPU82" s="798"/>
      <c r="NPV82" s="798"/>
      <c r="NPW82" s="798"/>
      <c r="NPX82" s="798"/>
      <c r="NPY82" s="798"/>
      <c r="NPZ82" s="798"/>
      <c r="NQA82" s="798"/>
      <c r="NQB82" s="798"/>
      <c r="NQC82" s="798"/>
      <c r="NQD82" s="798"/>
      <c r="NQE82" s="798"/>
      <c r="NQF82" s="798"/>
      <c r="NQG82" s="798"/>
      <c r="NQH82" s="798"/>
      <c r="NQI82" s="798"/>
      <c r="NQJ82" s="798"/>
      <c r="NQK82" s="798"/>
      <c r="NQL82" s="798"/>
      <c r="NQM82" s="798"/>
      <c r="NQN82" s="798"/>
      <c r="NQO82" s="798"/>
      <c r="NQP82" s="798"/>
      <c r="NQQ82" s="798"/>
      <c r="NQR82" s="798"/>
      <c r="NQS82" s="798"/>
      <c r="NQT82" s="798"/>
      <c r="NQU82" s="798"/>
      <c r="NQV82" s="798"/>
      <c r="NQW82" s="798"/>
      <c r="NQX82" s="798"/>
      <c r="NQY82" s="798"/>
      <c r="NQZ82" s="798"/>
      <c r="NRA82" s="798"/>
      <c r="NRB82" s="798"/>
      <c r="NRC82" s="798"/>
      <c r="NRD82" s="798"/>
      <c r="NRE82" s="798"/>
      <c r="NRF82" s="798"/>
      <c r="NRG82" s="798"/>
      <c r="NRH82" s="798"/>
      <c r="NRI82" s="798"/>
      <c r="NRJ82" s="798"/>
      <c r="NRK82" s="798"/>
      <c r="NRL82" s="798"/>
      <c r="NRM82" s="798"/>
      <c r="NRN82" s="798"/>
      <c r="NRO82" s="798"/>
      <c r="NRP82" s="798"/>
      <c r="NRQ82" s="798"/>
      <c r="NRR82" s="798"/>
      <c r="NRS82" s="798"/>
      <c r="NRT82" s="798"/>
      <c r="NRU82" s="798"/>
      <c r="NRV82" s="798"/>
      <c r="NRW82" s="798"/>
      <c r="NRX82" s="798"/>
      <c r="NRY82" s="798"/>
      <c r="NRZ82" s="798"/>
      <c r="NSA82" s="798"/>
      <c r="NSB82" s="798"/>
      <c r="NSC82" s="798"/>
      <c r="NSD82" s="798"/>
      <c r="NSE82" s="798"/>
      <c r="NSF82" s="798"/>
      <c r="NSG82" s="798"/>
      <c r="NSH82" s="798"/>
      <c r="NSI82" s="798"/>
      <c r="NSJ82" s="798"/>
      <c r="NSK82" s="798"/>
      <c r="NSL82" s="798"/>
      <c r="NSM82" s="798"/>
      <c r="NSN82" s="798"/>
      <c r="NSO82" s="798"/>
      <c r="NSP82" s="798"/>
      <c r="NSQ82" s="798"/>
      <c r="NSR82" s="798"/>
      <c r="NSS82" s="798"/>
      <c r="NST82" s="798"/>
      <c r="NSU82" s="798"/>
      <c r="NSV82" s="798"/>
      <c r="NSW82" s="798"/>
      <c r="NSX82" s="798"/>
      <c r="NSY82" s="798"/>
      <c r="NSZ82" s="798"/>
      <c r="NTA82" s="798"/>
      <c r="NTB82" s="798"/>
      <c r="NTC82" s="798"/>
      <c r="NTD82" s="798"/>
      <c r="NTE82" s="798"/>
      <c r="NTF82" s="798"/>
      <c r="NTG82" s="798"/>
      <c r="NTH82" s="798"/>
      <c r="NTI82" s="798"/>
      <c r="NTJ82" s="798"/>
      <c r="NTK82" s="798"/>
      <c r="NTL82" s="798"/>
      <c r="NTM82" s="798"/>
      <c r="NTN82" s="798"/>
      <c r="NTO82" s="798"/>
      <c r="NTP82" s="798"/>
      <c r="NTQ82" s="798"/>
      <c r="NTR82" s="798"/>
      <c r="NTS82" s="798"/>
      <c r="NTT82" s="798"/>
      <c r="NTU82" s="798"/>
      <c r="NTV82" s="798"/>
      <c r="NTW82" s="798"/>
      <c r="NTX82" s="798"/>
      <c r="NTY82" s="798"/>
      <c r="NTZ82" s="798"/>
      <c r="NUA82" s="798"/>
      <c r="NUB82" s="798"/>
      <c r="NUC82" s="798"/>
      <c r="NUD82" s="798"/>
      <c r="NUE82" s="798"/>
      <c r="NUF82" s="798"/>
      <c r="NUG82" s="798"/>
      <c r="NUH82" s="798"/>
      <c r="NUI82" s="798"/>
      <c r="NUJ82" s="798"/>
      <c r="NUK82" s="798"/>
      <c r="NUL82" s="798"/>
      <c r="NUM82" s="798"/>
      <c r="NUN82" s="798"/>
      <c r="NUO82" s="798"/>
      <c r="NUP82" s="798"/>
      <c r="NUQ82" s="798"/>
      <c r="NUR82" s="798"/>
      <c r="NUS82" s="798"/>
      <c r="NUT82" s="798"/>
      <c r="NUU82" s="798"/>
      <c r="NUV82" s="798"/>
      <c r="NUW82" s="798"/>
      <c r="NUX82" s="798"/>
      <c r="NUY82" s="798"/>
      <c r="NUZ82" s="798"/>
      <c r="NVA82" s="798"/>
      <c r="NVB82" s="798"/>
      <c r="NVC82" s="798"/>
      <c r="NVD82" s="798"/>
      <c r="NVE82" s="798"/>
      <c r="NVF82" s="798"/>
      <c r="NVG82" s="798"/>
      <c r="NVH82" s="798"/>
      <c r="NVI82" s="798"/>
      <c r="NVJ82" s="798"/>
      <c r="NVK82" s="798"/>
      <c r="NVL82" s="798"/>
      <c r="NVM82" s="798"/>
      <c r="NVN82" s="798"/>
      <c r="NVO82" s="798"/>
      <c r="NVP82" s="798"/>
      <c r="NVQ82" s="798"/>
      <c r="NVR82" s="798"/>
      <c r="NVS82" s="798"/>
      <c r="NVT82" s="798"/>
      <c r="NVU82" s="798"/>
      <c r="NVV82" s="798"/>
      <c r="NVW82" s="798"/>
      <c r="NVX82" s="798"/>
      <c r="NVY82" s="798"/>
      <c r="NVZ82" s="798"/>
      <c r="NWA82" s="798"/>
      <c r="NWB82" s="798"/>
      <c r="NWC82" s="798"/>
      <c r="NWD82" s="798"/>
      <c r="NWE82" s="798"/>
      <c r="NWF82" s="798"/>
      <c r="NWG82" s="798"/>
      <c r="NWH82" s="798"/>
      <c r="NWI82" s="798"/>
      <c r="NWJ82" s="798"/>
      <c r="NWK82" s="798"/>
      <c r="NWL82" s="798"/>
      <c r="NWM82" s="798"/>
      <c r="NWN82" s="798"/>
      <c r="NWO82" s="798"/>
      <c r="NWP82" s="798"/>
      <c r="NWQ82" s="798"/>
      <c r="NWR82" s="798"/>
      <c r="NWS82" s="798"/>
      <c r="NWT82" s="798"/>
      <c r="NWU82" s="798"/>
      <c r="NWV82" s="798"/>
      <c r="NWW82" s="798"/>
      <c r="NWX82" s="798"/>
      <c r="NWY82" s="798"/>
      <c r="NWZ82" s="798"/>
      <c r="NXA82" s="798"/>
      <c r="NXB82" s="798"/>
      <c r="NXC82" s="798"/>
      <c r="NXD82" s="798"/>
      <c r="NXE82" s="798"/>
      <c r="NXF82" s="798"/>
      <c r="NXG82" s="798"/>
      <c r="NXH82" s="798"/>
      <c r="NXI82" s="798"/>
      <c r="NXJ82" s="798"/>
      <c r="NXK82" s="798"/>
      <c r="NXL82" s="798"/>
      <c r="NXM82" s="798"/>
      <c r="NXN82" s="798"/>
      <c r="NXO82" s="798"/>
      <c r="NXP82" s="798"/>
      <c r="NXQ82" s="798"/>
      <c r="NXR82" s="798"/>
      <c r="NXS82" s="798"/>
      <c r="NXT82" s="798"/>
      <c r="NXU82" s="798"/>
      <c r="NXV82" s="798"/>
      <c r="NXW82" s="798"/>
      <c r="NXX82" s="798"/>
      <c r="NXY82" s="798"/>
      <c r="NXZ82" s="798"/>
      <c r="NYA82" s="798"/>
      <c r="NYB82" s="798"/>
      <c r="NYC82" s="798"/>
      <c r="NYD82" s="798"/>
      <c r="NYE82" s="798"/>
      <c r="NYF82" s="798"/>
      <c r="NYG82" s="798"/>
      <c r="NYH82" s="798"/>
      <c r="NYI82" s="798"/>
      <c r="NYJ82" s="798"/>
      <c r="NYK82" s="798"/>
      <c r="NYL82" s="798"/>
      <c r="NYM82" s="798"/>
      <c r="NYN82" s="798"/>
      <c r="NYO82" s="798"/>
      <c r="NYP82" s="798"/>
      <c r="NYQ82" s="798"/>
      <c r="NYR82" s="798"/>
      <c r="NYS82" s="798"/>
      <c r="NYT82" s="798"/>
      <c r="NYU82" s="798"/>
      <c r="NYV82" s="798"/>
      <c r="NYW82" s="798"/>
      <c r="NYX82" s="798"/>
      <c r="NYY82" s="798"/>
      <c r="NYZ82" s="798"/>
      <c r="NZA82" s="798"/>
      <c r="NZB82" s="798"/>
      <c r="NZC82" s="798"/>
      <c r="NZD82" s="798"/>
      <c r="NZE82" s="798"/>
      <c r="NZF82" s="798"/>
      <c r="NZG82" s="798"/>
      <c r="NZH82" s="798"/>
      <c r="NZI82" s="798"/>
      <c r="NZJ82" s="798"/>
      <c r="NZK82" s="798"/>
      <c r="NZL82" s="798"/>
      <c r="NZM82" s="798"/>
      <c r="NZN82" s="798"/>
      <c r="NZO82" s="798"/>
      <c r="NZP82" s="798"/>
      <c r="NZQ82" s="798"/>
      <c r="NZR82" s="798"/>
      <c r="NZS82" s="798"/>
      <c r="NZT82" s="798"/>
      <c r="NZU82" s="798"/>
      <c r="NZV82" s="798"/>
      <c r="NZW82" s="798"/>
      <c r="NZX82" s="798"/>
      <c r="NZY82" s="798"/>
      <c r="NZZ82" s="798"/>
      <c r="OAA82" s="798"/>
      <c r="OAB82" s="798"/>
      <c r="OAC82" s="798"/>
      <c r="OAD82" s="798"/>
      <c r="OAE82" s="798"/>
      <c r="OAF82" s="798"/>
      <c r="OAG82" s="798"/>
      <c r="OAH82" s="798"/>
      <c r="OAI82" s="798"/>
      <c r="OAJ82" s="798"/>
      <c r="OAK82" s="798"/>
      <c r="OAL82" s="798"/>
      <c r="OAM82" s="798"/>
      <c r="OAN82" s="798"/>
      <c r="OAO82" s="798"/>
      <c r="OAP82" s="798"/>
      <c r="OAQ82" s="798"/>
      <c r="OAR82" s="798"/>
      <c r="OAS82" s="798"/>
      <c r="OAT82" s="798"/>
      <c r="OAU82" s="798"/>
      <c r="OAV82" s="798"/>
      <c r="OAW82" s="798"/>
      <c r="OAX82" s="798"/>
      <c r="OAY82" s="798"/>
      <c r="OAZ82" s="798"/>
      <c r="OBA82" s="798"/>
      <c r="OBB82" s="798"/>
      <c r="OBC82" s="798"/>
      <c r="OBD82" s="798"/>
      <c r="OBE82" s="798"/>
      <c r="OBF82" s="798"/>
      <c r="OBG82" s="798"/>
      <c r="OBH82" s="798"/>
      <c r="OBI82" s="798"/>
      <c r="OBJ82" s="798"/>
      <c r="OBK82" s="798"/>
      <c r="OBL82" s="798"/>
      <c r="OBM82" s="798"/>
      <c r="OBN82" s="798"/>
      <c r="OBO82" s="798"/>
      <c r="OBP82" s="798"/>
      <c r="OBQ82" s="798"/>
      <c r="OBR82" s="798"/>
      <c r="OBS82" s="798"/>
      <c r="OBT82" s="798"/>
      <c r="OBU82" s="798"/>
      <c r="OBV82" s="798"/>
      <c r="OBW82" s="798"/>
      <c r="OBX82" s="798"/>
      <c r="OBY82" s="798"/>
      <c r="OBZ82" s="798"/>
      <c r="OCA82" s="798"/>
      <c r="OCB82" s="798"/>
      <c r="OCC82" s="798"/>
      <c r="OCD82" s="798"/>
      <c r="OCE82" s="798"/>
      <c r="OCF82" s="798"/>
      <c r="OCG82" s="798"/>
      <c r="OCH82" s="798"/>
      <c r="OCI82" s="798"/>
      <c r="OCJ82" s="798"/>
      <c r="OCK82" s="798"/>
      <c r="OCL82" s="798"/>
      <c r="OCM82" s="798"/>
      <c r="OCN82" s="798"/>
      <c r="OCO82" s="798"/>
      <c r="OCP82" s="798"/>
      <c r="OCQ82" s="798"/>
      <c r="OCR82" s="798"/>
      <c r="OCS82" s="798"/>
      <c r="OCT82" s="798"/>
      <c r="OCU82" s="798"/>
      <c r="OCV82" s="798"/>
      <c r="OCW82" s="798"/>
      <c r="OCX82" s="798"/>
      <c r="OCY82" s="798"/>
      <c r="OCZ82" s="798"/>
      <c r="ODA82" s="798"/>
      <c r="ODB82" s="798"/>
      <c r="ODC82" s="798"/>
      <c r="ODD82" s="798"/>
      <c r="ODE82" s="798"/>
      <c r="ODF82" s="798"/>
      <c r="ODG82" s="798"/>
      <c r="ODH82" s="798"/>
      <c r="ODI82" s="798"/>
      <c r="ODJ82" s="798"/>
      <c r="ODK82" s="798"/>
      <c r="ODL82" s="798"/>
      <c r="ODM82" s="798"/>
      <c r="ODN82" s="798"/>
      <c r="ODO82" s="798"/>
      <c r="ODP82" s="798"/>
      <c r="ODQ82" s="798"/>
      <c r="ODR82" s="798"/>
      <c r="ODS82" s="798"/>
      <c r="ODT82" s="798"/>
      <c r="ODU82" s="798"/>
      <c r="ODV82" s="798"/>
      <c r="ODW82" s="798"/>
      <c r="ODX82" s="798"/>
      <c r="ODY82" s="798"/>
      <c r="ODZ82" s="798"/>
      <c r="OEA82" s="798"/>
      <c r="OEB82" s="798"/>
      <c r="OEC82" s="798"/>
      <c r="OED82" s="798"/>
      <c r="OEE82" s="798"/>
      <c r="OEF82" s="798"/>
      <c r="OEG82" s="798"/>
      <c r="OEH82" s="798"/>
      <c r="OEI82" s="798"/>
      <c r="OEJ82" s="798"/>
      <c r="OEK82" s="798"/>
      <c r="OEL82" s="798"/>
      <c r="OEM82" s="798"/>
      <c r="OEN82" s="798"/>
      <c r="OEO82" s="798"/>
      <c r="OEP82" s="798"/>
      <c r="OEQ82" s="798"/>
      <c r="OER82" s="798"/>
      <c r="OES82" s="798"/>
      <c r="OET82" s="798"/>
      <c r="OEU82" s="798"/>
      <c r="OEV82" s="798"/>
      <c r="OEW82" s="798"/>
      <c r="OEX82" s="798"/>
      <c r="OEY82" s="798"/>
      <c r="OEZ82" s="798"/>
      <c r="OFA82" s="798"/>
      <c r="OFB82" s="798"/>
      <c r="OFC82" s="798"/>
      <c r="OFD82" s="798"/>
      <c r="OFE82" s="798"/>
      <c r="OFF82" s="798"/>
      <c r="OFG82" s="798"/>
      <c r="OFH82" s="798"/>
      <c r="OFI82" s="798"/>
      <c r="OFJ82" s="798"/>
      <c r="OFK82" s="798"/>
      <c r="OFL82" s="798"/>
      <c r="OFM82" s="798"/>
      <c r="OFN82" s="798"/>
      <c r="OFO82" s="798"/>
      <c r="OFP82" s="798"/>
      <c r="OFQ82" s="798"/>
      <c r="OFR82" s="798"/>
      <c r="OFS82" s="798"/>
      <c r="OFT82" s="798"/>
      <c r="OFU82" s="798"/>
      <c r="OFV82" s="798"/>
      <c r="OFW82" s="798"/>
      <c r="OFX82" s="798"/>
      <c r="OFY82" s="798"/>
      <c r="OFZ82" s="798"/>
      <c r="OGA82" s="798"/>
      <c r="OGB82" s="798"/>
      <c r="OGC82" s="798"/>
      <c r="OGD82" s="798"/>
      <c r="OGE82" s="798"/>
      <c r="OGF82" s="798"/>
      <c r="OGG82" s="798"/>
      <c r="OGH82" s="798"/>
      <c r="OGI82" s="798"/>
      <c r="OGJ82" s="798"/>
      <c r="OGK82" s="798"/>
      <c r="OGL82" s="798"/>
      <c r="OGM82" s="798"/>
      <c r="OGN82" s="798"/>
      <c r="OGO82" s="798"/>
      <c r="OGP82" s="798"/>
      <c r="OGQ82" s="798"/>
      <c r="OGR82" s="798"/>
      <c r="OGS82" s="798"/>
      <c r="OGT82" s="798"/>
      <c r="OGU82" s="798"/>
      <c r="OGV82" s="798"/>
      <c r="OGW82" s="798"/>
      <c r="OGX82" s="798"/>
      <c r="OGY82" s="798"/>
      <c r="OGZ82" s="798"/>
      <c r="OHA82" s="798"/>
      <c r="OHB82" s="798"/>
      <c r="OHC82" s="798"/>
      <c r="OHD82" s="798"/>
      <c r="OHE82" s="798"/>
      <c r="OHF82" s="798"/>
      <c r="OHG82" s="798"/>
      <c r="OHH82" s="798"/>
      <c r="OHI82" s="798"/>
      <c r="OHJ82" s="798"/>
      <c r="OHK82" s="798"/>
      <c r="OHL82" s="798"/>
      <c r="OHM82" s="798"/>
      <c r="OHN82" s="798"/>
      <c r="OHO82" s="798"/>
      <c r="OHP82" s="798"/>
      <c r="OHQ82" s="798"/>
      <c r="OHR82" s="798"/>
      <c r="OHS82" s="798"/>
      <c r="OHT82" s="798"/>
      <c r="OHU82" s="798"/>
      <c r="OHV82" s="798"/>
      <c r="OHW82" s="798"/>
      <c r="OHX82" s="798"/>
      <c r="OHY82" s="798"/>
      <c r="OHZ82" s="798"/>
      <c r="OIA82" s="798"/>
      <c r="OIB82" s="798"/>
      <c r="OIC82" s="798"/>
      <c r="OID82" s="798"/>
      <c r="OIE82" s="798"/>
      <c r="OIF82" s="798"/>
      <c r="OIG82" s="798"/>
      <c r="OIH82" s="798"/>
      <c r="OII82" s="798"/>
      <c r="OIJ82" s="798"/>
      <c r="OIK82" s="798"/>
      <c r="OIL82" s="798"/>
      <c r="OIM82" s="798"/>
      <c r="OIN82" s="798"/>
      <c r="OIO82" s="798"/>
      <c r="OIP82" s="798"/>
      <c r="OIQ82" s="798"/>
      <c r="OIR82" s="798"/>
      <c r="OIS82" s="798"/>
      <c r="OIT82" s="798"/>
      <c r="OIU82" s="798"/>
      <c r="OIV82" s="798"/>
      <c r="OIW82" s="798"/>
      <c r="OIX82" s="798"/>
      <c r="OIY82" s="798"/>
      <c r="OIZ82" s="798"/>
      <c r="OJA82" s="798"/>
      <c r="OJB82" s="798"/>
      <c r="OJC82" s="798"/>
      <c r="OJD82" s="798"/>
      <c r="OJE82" s="798"/>
      <c r="OJF82" s="798"/>
      <c r="OJG82" s="798"/>
      <c r="OJH82" s="798"/>
      <c r="OJI82" s="798"/>
      <c r="OJJ82" s="798"/>
      <c r="OJK82" s="798"/>
      <c r="OJL82" s="798"/>
      <c r="OJM82" s="798"/>
      <c r="OJN82" s="798"/>
      <c r="OJO82" s="798"/>
      <c r="OJP82" s="798"/>
      <c r="OJQ82" s="798"/>
      <c r="OJR82" s="798"/>
      <c r="OJS82" s="798"/>
      <c r="OJT82" s="798"/>
      <c r="OJU82" s="798"/>
      <c r="OJV82" s="798"/>
      <c r="OJW82" s="798"/>
      <c r="OJX82" s="798"/>
      <c r="OJY82" s="798"/>
      <c r="OJZ82" s="798"/>
      <c r="OKA82" s="798"/>
      <c r="OKB82" s="798"/>
      <c r="OKC82" s="798"/>
      <c r="OKD82" s="798"/>
      <c r="OKE82" s="798"/>
      <c r="OKF82" s="798"/>
      <c r="OKG82" s="798"/>
      <c r="OKH82" s="798"/>
      <c r="OKI82" s="798"/>
      <c r="OKJ82" s="798"/>
      <c r="OKK82" s="798"/>
      <c r="OKL82" s="798"/>
      <c r="OKM82" s="798"/>
      <c r="OKN82" s="798"/>
      <c r="OKO82" s="798"/>
      <c r="OKP82" s="798"/>
      <c r="OKQ82" s="798"/>
      <c r="OKR82" s="798"/>
      <c r="OKS82" s="798"/>
      <c r="OKT82" s="798"/>
      <c r="OKU82" s="798"/>
      <c r="OKV82" s="798"/>
      <c r="OKW82" s="798"/>
      <c r="OKX82" s="798"/>
      <c r="OKY82" s="798"/>
      <c r="OKZ82" s="798"/>
      <c r="OLA82" s="798"/>
      <c r="OLB82" s="798"/>
      <c r="OLC82" s="798"/>
      <c r="OLD82" s="798"/>
      <c r="OLE82" s="798"/>
      <c r="OLF82" s="798"/>
      <c r="OLG82" s="798"/>
      <c r="OLH82" s="798"/>
      <c r="OLI82" s="798"/>
      <c r="OLJ82" s="798"/>
      <c r="OLK82" s="798"/>
      <c r="OLL82" s="798"/>
      <c r="OLM82" s="798"/>
      <c r="OLN82" s="798"/>
      <c r="OLO82" s="798"/>
      <c r="OLP82" s="798"/>
      <c r="OLQ82" s="798"/>
      <c r="OLR82" s="798"/>
      <c r="OLS82" s="798"/>
      <c r="OLT82" s="798"/>
      <c r="OLU82" s="798"/>
      <c r="OLV82" s="798"/>
      <c r="OLW82" s="798"/>
      <c r="OLX82" s="798"/>
      <c r="OLY82" s="798"/>
      <c r="OLZ82" s="798"/>
      <c r="OMA82" s="798"/>
      <c r="OMB82" s="798"/>
      <c r="OMC82" s="798"/>
      <c r="OMD82" s="798"/>
      <c r="OME82" s="798"/>
      <c r="OMF82" s="798"/>
      <c r="OMG82" s="798"/>
      <c r="OMH82" s="798"/>
      <c r="OMI82" s="798"/>
      <c r="OMJ82" s="798"/>
      <c r="OMK82" s="798"/>
      <c r="OML82" s="798"/>
      <c r="OMM82" s="798"/>
      <c r="OMN82" s="798"/>
      <c r="OMO82" s="798"/>
      <c r="OMP82" s="798"/>
      <c r="OMQ82" s="798"/>
      <c r="OMR82" s="798"/>
      <c r="OMS82" s="798"/>
      <c r="OMT82" s="798"/>
      <c r="OMU82" s="798"/>
      <c r="OMV82" s="798"/>
      <c r="OMW82" s="798"/>
      <c r="OMX82" s="798"/>
      <c r="OMY82" s="798"/>
      <c r="OMZ82" s="798"/>
      <c r="ONA82" s="798"/>
      <c r="ONB82" s="798"/>
      <c r="ONC82" s="798"/>
      <c r="OND82" s="798"/>
      <c r="ONE82" s="798"/>
      <c r="ONF82" s="798"/>
      <c r="ONG82" s="798"/>
      <c r="ONH82" s="798"/>
      <c r="ONI82" s="798"/>
      <c r="ONJ82" s="798"/>
      <c r="ONK82" s="798"/>
      <c r="ONL82" s="798"/>
      <c r="ONM82" s="798"/>
      <c r="ONN82" s="798"/>
      <c r="ONO82" s="798"/>
      <c r="ONP82" s="798"/>
      <c r="ONQ82" s="798"/>
      <c r="ONR82" s="798"/>
      <c r="ONS82" s="798"/>
      <c r="ONT82" s="798"/>
      <c r="ONU82" s="798"/>
      <c r="ONV82" s="798"/>
      <c r="ONW82" s="798"/>
      <c r="ONX82" s="798"/>
      <c r="ONY82" s="798"/>
      <c r="ONZ82" s="798"/>
      <c r="OOA82" s="798"/>
      <c r="OOB82" s="798"/>
      <c r="OOC82" s="798"/>
      <c r="OOD82" s="798"/>
      <c r="OOE82" s="798"/>
      <c r="OOF82" s="798"/>
      <c r="OOG82" s="798"/>
      <c r="OOH82" s="798"/>
      <c r="OOI82" s="798"/>
      <c r="OOJ82" s="798"/>
      <c r="OOK82" s="798"/>
      <c r="OOL82" s="798"/>
      <c r="OOM82" s="798"/>
      <c r="OON82" s="798"/>
      <c r="OOO82" s="798"/>
      <c r="OOP82" s="798"/>
      <c r="OOQ82" s="798"/>
      <c r="OOR82" s="798"/>
      <c r="OOS82" s="798"/>
      <c r="OOT82" s="798"/>
      <c r="OOU82" s="798"/>
      <c r="OOV82" s="798"/>
      <c r="OOW82" s="798"/>
      <c r="OOX82" s="798"/>
      <c r="OOY82" s="798"/>
      <c r="OOZ82" s="798"/>
      <c r="OPA82" s="798"/>
      <c r="OPB82" s="798"/>
      <c r="OPC82" s="798"/>
      <c r="OPD82" s="798"/>
      <c r="OPE82" s="798"/>
      <c r="OPF82" s="798"/>
      <c r="OPG82" s="798"/>
      <c r="OPH82" s="798"/>
      <c r="OPI82" s="798"/>
      <c r="OPJ82" s="798"/>
      <c r="OPK82" s="798"/>
      <c r="OPL82" s="798"/>
      <c r="OPM82" s="798"/>
      <c r="OPN82" s="798"/>
      <c r="OPO82" s="798"/>
      <c r="OPP82" s="798"/>
      <c r="OPQ82" s="798"/>
      <c r="OPR82" s="798"/>
      <c r="OPS82" s="798"/>
      <c r="OPT82" s="798"/>
      <c r="OPU82" s="798"/>
      <c r="OPV82" s="798"/>
      <c r="OPW82" s="798"/>
      <c r="OPX82" s="798"/>
      <c r="OPY82" s="798"/>
      <c r="OPZ82" s="798"/>
      <c r="OQA82" s="798"/>
      <c r="OQB82" s="798"/>
      <c r="OQC82" s="798"/>
      <c r="OQD82" s="798"/>
      <c r="OQE82" s="798"/>
      <c r="OQF82" s="798"/>
      <c r="OQG82" s="798"/>
      <c r="OQH82" s="798"/>
      <c r="OQI82" s="798"/>
      <c r="OQJ82" s="798"/>
      <c r="OQK82" s="798"/>
      <c r="OQL82" s="798"/>
      <c r="OQM82" s="798"/>
      <c r="OQN82" s="798"/>
      <c r="OQO82" s="798"/>
      <c r="OQP82" s="798"/>
      <c r="OQQ82" s="798"/>
      <c r="OQR82" s="798"/>
      <c r="OQS82" s="798"/>
      <c r="OQT82" s="798"/>
      <c r="OQU82" s="798"/>
      <c r="OQV82" s="798"/>
      <c r="OQW82" s="798"/>
      <c r="OQX82" s="798"/>
      <c r="OQY82" s="798"/>
      <c r="OQZ82" s="798"/>
      <c r="ORA82" s="798"/>
      <c r="ORB82" s="798"/>
      <c r="ORC82" s="798"/>
      <c r="ORD82" s="798"/>
      <c r="ORE82" s="798"/>
      <c r="ORF82" s="798"/>
      <c r="ORG82" s="798"/>
      <c r="ORH82" s="798"/>
      <c r="ORI82" s="798"/>
      <c r="ORJ82" s="798"/>
      <c r="ORK82" s="798"/>
      <c r="ORL82" s="798"/>
      <c r="ORM82" s="798"/>
      <c r="ORN82" s="798"/>
      <c r="ORO82" s="798"/>
      <c r="ORP82" s="798"/>
      <c r="ORQ82" s="798"/>
      <c r="ORR82" s="798"/>
      <c r="ORS82" s="798"/>
      <c r="ORT82" s="798"/>
      <c r="ORU82" s="798"/>
      <c r="ORV82" s="798"/>
      <c r="ORW82" s="798"/>
      <c r="ORX82" s="798"/>
      <c r="ORY82" s="798"/>
      <c r="ORZ82" s="798"/>
      <c r="OSA82" s="798"/>
      <c r="OSB82" s="798"/>
      <c r="OSC82" s="798"/>
      <c r="OSD82" s="798"/>
      <c r="OSE82" s="798"/>
      <c r="OSF82" s="798"/>
      <c r="OSG82" s="798"/>
      <c r="OSH82" s="798"/>
      <c r="OSI82" s="798"/>
      <c r="OSJ82" s="798"/>
      <c r="OSK82" s="798"/>
      <c r="OSL82" s="798"/>
      <c r="OSM82" s="798"/>
      <c r="OSN82" s="798"/>
      <c r="OSO82" s="798"/>
      <c r="OSP82" s="798"/>
      <c r="OSQ82" s="798"/>
      <c r="OSR82" s="798"/>
      <c r="OSS82" s="798"/>
      <c r="OST82" s="798"/>
      <c r="OSU82" s="798"/>
      <c r="OSV82" s="798"/>
      <c r="OSW82" s="798"/>
      <c r="OSX82" s="798"/>
      <c r="OSY82" s="798"/>
      <c r="OSZ82" s="798"/>
      <c r="OTA82" s="798"/>
      <c r="OTB82" s="798"/>
      <c r="OTC82" s="798"/>
      <c r="OTD82" s="798"/>
      <c r="OTE82" s="798"/>
      <c r="OTF82" s="798"/>
      <c r="OTG82" s="798"/>
      <c r="OTH82" s="798"/>
      <c r="OTI82" s="798"/>
      <c r="OTJ82" s="798"/>
      <c r="OTK82" s="798"/>
      <c r="OTL82" s="798"/>
      <c r="OTM82" s="798"/>
      <c r="OTN82" s="798"/>
      <c r="OTO82" s="798"/>
      <c r="OTP82" s="798"/>
      <c r="OTQ82" s="798"/>
      <c r="OTR82" s="798"/>
      <c r="OTS82" s="798"/>
      <c r="OTT82" s="798"/>
      <c r="OTU82" s="798"/>
      <c r="OTV82" s="798"/>
      <c r="OTW82" s="798"/>
      <c r="OTX82" s="798"/>
      <c r="OTY82" s="798"/>
      <c r="OTZ82" s="798"/>
      <c r="OUA82" s="798"/>
      <c r="OUB82" s="798"/>
      <c r="OUC82" s="798"/>
      <c r="OUD82" s="798"/>
      <c r="OUE82" s="798"/>
      <c r="OUF82" s="798"/>
      <c r="OUG82" s="798"/>
      <c r="OUH82" s="798"/>
      <c r="OUI82" s="798"/>
      <c r="OUJ82" s="798"/>
      <c r="OUK82" s="798"/>
      <c r="OUL82" s="798"/>
      <c r="OUM82" s="798"/>
      <c r="OUN82" s="798"/>
      <c r="OUO82" s="798"/>
      <c r="OUP82" s="798"/>
      <c r="OUQ82" s="798"/>
      <c r="OUR82" s="798"/>
      <c r="OUS82" s="798"/>
      <c r="OUT82" s="798"/>
      <c r="OUU82" s="798"/>
      <c r="OUV82" s="798"/>
      <c r="OUW82" s="798"/>
      <c r="OUX82" s="798"/>
      <c r="OUY82" s="798"/>
      <c r="OUZ82" s="798"/>
      <c r="OVA82" s="798"/>
      <c r="OVB82" s="798"/>
      <c r="OVC82" s="798"/>
      <c r="OVD82" s="798"/>
      <c r="OVE82" s="798"/>
      <c r="OVF82" s="798"/>
      <c r="OVG82" s="798"/>
      <c r="OVH82" s="798"/>
      <c r="OVI82" s="798"/>
      <c r="OVJ82" s="798"/>
      <c r="OVK82" s="798"/>
      <c r="OVL82" s="798"/>
      <c r="OVM82" s="798"/>
      <c r="OVN82" s="798"/>
      <c r="OVO82" s="798"/>
      <c r="OVP82" s="798"/>
      <c r="OVQ82" s="798"/>
      <c r="OVR82" s="798"/>
      <c r="OVS82" s="798"/>
      <c r="OVT82" s="798"/>
      <c r="OVU82" s="798"/>
      <c r="OVV82" s="798"/>
      <c r="OVW82" s="798"/>
      <c r="OVX82" s="798"/>
      <c r="OVY82" s="798"/>
      <c r="OVZ82" s="798"/>
      <c r="OWA82" s="798"/>
      <c r="OWB82" s="798"/>
      <c r="OWC82" s="798"/>
      <c r="OWD82" s="798"/>
      <c r="OWE82" s="798"/>
      <c r="OWF82" s="798"/>
      <c r="OWG82" s="798"/>
      <c r="OWH82" s="798"/>
      <c r="OWI82" s="798"/>
      <c r="OWJ82" s="798"/>
      <c r="OWK82" s="798"/>
      <c r="OWL82" s="798"/>
      <c r="OWM82" s="798"/>
      <c r="OWN82" s="798"/>
      <c r="OWO82" s="798"/>
      <c r="OWP82" s="798"/>
      <c r="OWQ82" s="798"/>
      <c r="OWR82" s="798"/>
      <c r="OWS82" s="798"/>
      <c r="OWT82" s="798"/>
      <c r="OWU82" s="798"/>
      <c r="OWV82" s="798"/>
      <c r="OWW82" s="798"/>
      <c r="OWX82" s="798"/>
      <c r="OWY82" s="798"/>
      <c r="OWZ82" s="798"/>
      <c r="OXA82" s="798"/>
      <c r="OXB82" s="798"/>
      <c r="OXC82" s="798"/>
      <c r="OXD82" s="798"/>
      <c r="OXE82" s="798"/>
      <c r="OXF82" s="798"/>
      <c r="OXG82" s="798"/>
      <c r="OXH82" s="798"/>
      <c r="OXI82" s="798"/>
      <c r="OXJ82" s="798"/>
      <c r="OXK82" s="798"/>
      <c r="OXL82" s="798"/>
      <c r="OXM82" s="798"/>
      <c r="OXN82" s="798"/>
      <c r="OXO82" s="798"/>
      <c r="OXP82" s="798"/>
      <c r="OXQ82" s="798"/>
      <c r="OXR82" s="798"/>
      <c r="OXS82" s="798"/>
      <c r="OXT82" s="798"/>
      <c r="OXU82" s="798"/>
      <c r="OXV82" s="798"/>
      <c r="OXW82" s="798"/>
      <c r="OXX82" s="798"/>
      <c r="OXY82" s="798"/>
      <c r="OXZ82" s="798"/>
      <c r="OYA82" s="798"/>
      <c r="OYB82" s="798"/>
      <c r="OYC82" s="798"/>
      <c r="OYD82" s="798"/>
      <c r="OYE82" s="798"/>
      <c r="OYF82" s="798"/>
      <c r="OYG82" s="798"/>
      <c r="OYH82" s="798"/>
      <c r="OYI82" s="798"/>
      <c r="OYJ82" s="798"/>
      <c r="OYK82" s="798"/>
      <c r="OYL82" s="798"/>
      <c r="OYM82" s="798"/>
      <c r="OYN82" s="798"/>
      <c r="OYO82" s="798"/>
      <c r="OYP82" s="798"/>
      <c r="OYQ82" s="798"/>
      <c r="OYR82" s="798"/>
      <c r="OYS82" s="798"/>
      <c r="OYT82" s="798"/>
      <c r="OYU82" s="798"/>
      <c r="OYV82" s="798"/>
      <c r="OYW82" s="798"/>
      <c r="OYX82" s="798"/>
      <c r="OYY82" s="798"/>
      <c r="OYZ82" s="798"/>
      <c r="OZA82" s="798"/>
      <c r="OZB82" s="798"/>
      <c r="OZC82" s="798"/>
      <c r="OZD82" s="798"/>
      <c r="OZE82" s="798"/>
      <c r="OZF82" s="798"/>
      <c r="OZG82" s="798"/>
      <c r="OZH82" s="798"/>
      <c r="OZI82" s="798"/>
      <c r="OZJ82" s="798"/>
      <c r="OZK82" s="798"/>
      <c r="OZL82" s="798"/>
      <c r="OZM82" s="798"/>
      <c r="OZN82" s="798"/>
      <c r="OZO82" s="798"/>
      <c r="OZP82" s="798"/>
      <c r="OZQ82" s="798"/>
      <c r="OZR82" s="798"/>
      <c r="OZS82" s="798"/>
      <c r="OZT82" s="798"/>
      <c r="OZU82" s="798"/>
      <c r="OZV82" s="798"/>
      <c r="OZW82" s="798"/>
      <c r="OZX82" s="798"/>
      <c r="OZY82" s="798"/>
      <c r="OZZ82" s="798"/>
      <c r="PAA82" s="798"/>
      <c r="PAB82" s="798"/>
      <c r="PAC82" s="798"/>
      <c r="PAD82" s="798"/>
      <c r="PAE82" s="798"/>
      <c r="PAF82" s="798"/>
      <c r="PAG82" s="798"/>
      <c r="PAH82" s="798"/>
      <c r="PAI82" s="798"/>
      <c r="PAJ82" s="798"/>
      <c r="PAK82" s="798"/>
      <c r="PAL82" s="798"/>
      <c r="PAM82" s="798"/>
      <c r="PAN82" s="798"/>
      <c r="PAO82" s="798"/>
      <c r="PAP82" s="798"/>
      <c r="PAQ82" s="798"/>
      <c r="PAR82" s="798"/>
      <c r="PAS82" s="798"/>
      <c r="PAT82" s="798"/>
      <c r="PAU82" s="798"/>
      <c r="PAV82" s="798"/>
      <c r="PAW82" s="798"/>
      <c r="PAX82" s="798"/>
      <c r="PAY82" s="798"/>
      <c r="PAZ82" s="798"/>
      <c r="PBA82" s="798"/>
      <c r="PBB82" s="798"/>
      <c r="PBC82" s="798"/>
      <c r="PBD82" s="798"/>
      <c r="PBE82" s="798"/>
      <c r="PBF82" s="798"/>
      <c r="PBG82" s="798"/>
      <c r="PBH82" s="798"/>
      <c r="PBI82" s="798"/>
      <c r="PBJ82" s="798"/>
      <c r="PBK82" s="798"/>
      <c r="PBL82" s="798"/>
      <c r="PBM82" s="798"/>
      <c r="PBN82" s="798"/>
      <c r="PBO82" s="798"/>
      <c r="PBP82" s="798"/>
      <c r="PBQ82" s="798"/>
      <c r="PBR82" s="798"/>
      <c r="PBS82" s="798"/>
      <c r="PBT82" s="798"/>
      <c r="PBU82" s="798"/>
      <c r="PBV82" s="798"/>
      <c r="PBW82" s="798"/>
      <c r="PBX82" s="798"/>
      <c r="PBY82" s="798"/>
      <c r="PBZ82" s="798"/>
      <c r="PCA82" s="798"/>
      <c r="PCB82" s="798"/>
      <c r="PCC82" s="798"/>
      <c r="PCD82" s="798"/>
      <c r="PCE82" s="798"/>
      <c r="PCF82" s="798"/>
      <c r="PCG82" s="798"/>
      <c r="PCH82" s="798"/>
      <c r="PCI82" s="798"/>
      <c r="PCJ82" s="798"/>
      <c r="PCK82" s="798"/>
      <c r="PCL82" s="798"/>
      <c r="PCM82" s="798"/>
      <c r="PCN82" s="798"/>
      <c r="PCO82" s="798"/>
      <c r="PCP82" s="798"/>
      <c r="PCQ82" s="798"/>
      <c r="PCR82" s="798"/>
      <c r="PCS82" s="798"/>
      <c r="PCT82" s="798"/>
      <c r="PCU82" s="798"/>
      <c r="PCV82" s="798"/>
      <c r="PCW82" s="798"/>
      <c r="PCX82" s="798"/>
      <c r="PCY82" s="798"/>
      <c r="PCZ82" s="798"/>
      <c r="PDA82" s="798"/>
      <c r="PDB82" s="798"/>
      <c r="PDC82" s="798"/>
      <c r="PDD82" s="798"/>
      <c r="PDE82" s="798"/>
      <c r="PDF82" s="798"/>
      <c r="PDG82" s="798"/>
      <c r="PDH82" s="798"/>
      <c r="PDI82" s="798"/>
      <c r="PDJ82" s="798"/>
      <c r="PDK82" s="798"/>
      <c r="PDL82" s="798"/>
      <c r="PDM82" s="798"/>
      <c r="PDN82" s="798"/>
      <c r="PDO82" s="798"/>
      <c r="PDP82" s="798"/>
      <c r="PDQ82" s="798"/>
      <c r="PDR82" s="798"/>
      <c r="PDS82" s="798"/>
      <c r="PDT82" s="798"/>
      <c r="PDU82" s="798"/>
      <c r="PDV82" s="798"/>
      <c r="PDW82" s="798"/>
      <c r="PDX82" s="798"/>
      <c r="PDY82" s="798"/>
      <c r="PDZ82" s="798"/>
      <c r="PEA82" s="798"/>
      <c r="PEB82" s="798"/>
      <c r="PEC82" s="798"/>
      <c r="PED82" s="798"/>
      <c r="PEE82" s="798"/>
      <c r="PEF82" s="798"/>
      <c r="PEG82" s="798"/>
      <c r="PEH82" s="798"/>
      <c r="PEI82" s="798"/>
      <c r="PEJ82" s="798"/>
      <c r="PEK82" s="798"/>
      <c r="PEL82" s="798"/>
      <c r="PEM82" s="798"/>
      <c r="PEN82" s="798"/>
      <c r="PEO82" s="798"/>
      <c r="PEP82" s="798"/>
      <c r="PEQ82" s="798"/>
      <c r="PER82" s="798"/>
      <c r="PES82" s="798"/>
      <c r="PET82" s="798"/>
      <c r="PEU82" s="798"/>
      <c r="PEV82" s="798"/>
      <c r="PEW82" s="798"/>
      <c r="PEX82" s="798"/>
      <c r="PEY82" s="798"/>
      <c r="PEZ82" s="798"/>
      <c r="PFA82" s="798"/>
      <c r="PFB82" s="798"/>
      <c r="PFC82" s="798"/>
      <c r="PFD82" s="798"/>
      <c r="PFE82" s="798"/>
      <c r="PFF82" s="798"/>
      <c r="PFG82" s="798"/>
      <c r="PFH82" s="798"/>
      <c r="PFI82" s="798"/>
      <c r="PFJ82" s="798"/>
      <c r="PFK82" s="798"/>
      <c r="PFL82" s="798"/>
      <c r="PFM82" s="798"/>
      <c r="PFN82" s="798"/>
      <c r="PFO82" s="798"/>
      <c r="PFP82" s="798"/>
      <c r="PFQ82" s="798"/>
      <c r="PFR82" s="798"/>
      <c r="PFS82" s="798"/>
      <c r="PFT82" s="798"/>
      <c r="PFU82" s="798"/>
      <c r="PFV82" s="798"/>
      <c r="PFW82" s="798"/>
      <c r="PFX82" s="798"/>
      <c r="PFY82" s="798"/>
      <c r="PFZ82" s="798"/>
      <c r="PGA82" s="798"/>
      <c r="PGB82" s="798"/>
      <c r="PGC82" s="798"/>
      <c r="PGD82" s="798"/>
      <c r="PGE82" s="798"/>
      <c r="PGF82" s="798"/>
      <c r="PGG82" s="798"/>
      <c r="PGH82" s="798"/>
      <c r="PGI82" s="798"/>
      <c r="PGJ82" s="798"/>
      <c r="PGK82" s="798"/>
      <c r="PGL82" s="798"/>
      <c r="PGM82" s="798"/>
      <c r="PGN82" s="798"/>
      <c r="PGO82" s="798"/>
      <c r="PGP82" s="798"/>
      <c r="PGQ82" s="798"/>
      <c r="PGR82" s="798"/>
      <c r="PGS82" s="798"/>
      <c r="PGT82" s="798"/>
      <c r="PGU82" s="798"/>
      <c r="PGV82" s="798"/>
      <c r="PGW82" s="798"/>
      <c r="PGX82" s="798"/>
      <c r="PGY82" s="798"/>
      <c r="PGZ82" s="798"/>
      <c r="PHA82" s="798"/>
      <c r="PHB82" s="798"/>
      <c r="PHC82" s="798"/>
      <c r="PHD82" s="798"/>
      <c r="PHE82" s="798"/>
      <c r="PHF82" s="798"/>
      <c r="PHG82" s="798"/>
      <c r="PHH82" s="798"/>
      <c r="PHI82" s="798"/>
      <c r="PHJ82" s="798"/>
      <c r="PHK82" s="798"/>
      <c r="PHL82" s="798"/>
      <c r="PHM82" s="798"/>
      <c r="PHN82" s="798"/>
      <c r="PHO82" s="798"/>
      <c r="PHP82" s="798"/>
      <c r="PHQ82" s="798"/>
      <c r="PHR82" s="798"/>
      <c r="PHS82" s="798"/>
      <c r="PHT82" s="798"/>
      <c r="PHU82" s="798"/>
      <c r="PHV82" s="798"/>
      <c r="PHW82" s="798"/>
      <c r="PHX82" s="798"/>
      <c r="PHY82" s="798"/>
      <c r="PHZ82" s="798"/>
      <c r="PIA82" s="798"/>
      <c r="PIB82" s="798"/>
      <c r="PIC82" s="798"/>
      <c r="PID82" s="798"/>
      <c r="PIE82" s="798"/>
      <c r="PIF82" s="798"/>
      <c r="PIG82" s="798"/>
      <c r="PIH82" s="798"/>
      <c r="PII82" s="798"/>
      <c r="PIJ82" s="798"/>
      <c r="PIK82" s="798"/>
      <c r="PIL82" s="798"/>
      <c r="PIM82" s="798"/>
      <c r="PIN82" s="798"/>
      <c r="PIO82" s="798"/>
      <c r="PIP82" s="798"/>
      <c r="PIQ82" s="798"/>
      <c r="PIR82" s="798"/>
      <c r="PIS82" s="798"/>
      <c r="PIT82" s="798"/>
      <c r="PIU82" s="798"/>
      <c r="PIV82" s="798"/>
      <c r="PIW82" s="798"/>
      <c r="PIX82" s="798"/>
      <c r="PIY82" s="798"/>
      <c r="PIZ82" s="798"/>
      <c r="PJA82" s="798"/>
      <c r="PJB82" s="798"/>
      <c r="PJC82" s="798"/>
      <c r="PJD82" s="798"/>
      <c r="PJE82" s="798"/>
      <c r="PJF82" s="798"/>
      <c r="PJG82" s="798"/>
      <c r="PJH82" s="798"/>
      <c r="PJI82" s="798"/>
      <c r="PJJ82" s="798"/>
      <c r="PJK82" s="798"/>
      <c r="PJL82" s="798"/>
      <c r="PJM82" s="798"/>
      <c r="PJN82" s="798"/>
      <c r="PJO82" s="798"/>
      <c r="PJP82" s="798"/>
      <c r="PJQ82" s="798"/>
      <c r="PJR82" s="798"/>
      <c r="PJS82" s="798"/>
      <c r="PJT82" s="798"/>
      <c r="PJU82" s="798"/>
      <c r="PJV82" s="798"/>
      <c r="PJW82" s="798"/>
      <c r="PJX82" s="798"/>
      <c r="PJY82" s="798"/>
      <c r="PJZ82" s="798"/>
      <c r="PKA82" s="798"/>
      <c r="PKB82" s="798"/>
      <c r="PKC82" s="798"/>
      <c r="PKD82" s="798"/>
      <c r="PKE82" s="798"/>
      <c r="PKF82" s="798"/>
      <c r="PKG82" s="798"/>
      <c r="PKH82" s="798"/>
      <c r="PKI82" s="798"/>
      <c r="PKJ82" s="798"/>
      <c r="PKK82" s="798"/>
      <c r="PKL82" s="798"/>
      <c r="PKM82" s="798"/>
      <c r="PKN82" s="798"/>
      <c r="PKO82" s="798"/>
      <c r="PKP82" s="798"/>
      <c r="PKQ82" s="798"/>
      <c r="PKR82" s="798"/>
      <c r="PKS82" s="798"/>
      <c r="PKT82" s="798"/>
      <c r="PKU82" s="798"/>
      <c r="PKV82" s="798"/>
      <c r="PKW82" s="798"/>
      <c r="PKX82" s="798"/>
      <c r="PKY82" s="798"/>
      <c r="PKZ82" s="798"/>
      <c r="PLA82" s="798"/>
      <c r="PLB82" s="798"/>
      <c r="PLC82" s="798"/>
      <c r="PLD82" s="798"/>
      <c r="PLE82" s="798"/>
      <c r="PLF82" s="798"/>
      <c r="PLG82" s="798"/>
      <c r="PLH82" s="798"/>
      <c r="PLI82" s="798"/>
      <c r="PLJ82" s="798"/>
      <c r="PLK82" s="798"/>
      <c r="PLL82" s="798"/>
      <c r="PLM82" s="798"/>
      <c r="PLN82" s="798"/>
      <c r="PLO82" s="798"/>
      <c r="PLP82" s="798"/>
      <c r="PLQ82" s="798"/>
      <c r="PLR82" s="798"/>
      <c r="PLS82" s="798"/>
      <c r="PLT82" s="798"/>
      <c r="PLU82" s="798"/>
      <c r="PLV82" s="798"/>
      <c r="PLW82" s="798"/>
      <c r="PLX82" s="798"/>
      <c r="PLY82" s="798"/>
      <c r="PLZ82" s="798"/>
      <c r="PMA82" s="798"/>
      <c r="PMB82" s="798"/>
      <c r="PMC82" s="798"/>
      <c r="PMD82" s="798"/>
      <c r="PME82" s="798"/>
      <c r="PMF82" s="798"/>
      <c r="PMG82" s="798"/>
      <c r="PMH82" s="798"/>
      <c r="PMI82" s="798"/>
      <c r="PMJ82" s="798"/>
      <c r="PMK82" s="798"/>
      <c r="PML82" s="798"/>
      <c r="PMM82" s="798"/>
      <c r="PMN82" s="798"/>
      <c r="PMO82" s="798"/>
      <c r="PMP82" s="798"/>
      <c r="PMQ82" s="798"/>
      <c r="PMR82" s="798"/>
      <c r="PMS82" s="798"/>
      <c r="PMT82" s="798"/>
      <c r="PMU82" s="798"/>
      <c r="PMV82" s="798"/>
      <c r="PMW82" s="798"/>
      <c r="PMX82" s="798"/>
      <c r="PMY82" s="798"/>
      <c r="PMZ82" s="798"/>
      <c r="PNA82" s="798"/>
      <c r="PNB82" s="798"/>
      <c r="PNC82" s="798"/>
      <c r="PND82" s="798"/>
      <c r="PNE82" s="798"/>
      <c r="PNF82" s="798"/>
      <c r="PNG82" s="798"/>
      <c r="PNH82" s="798"/>
      <c r="PNI82" s="798"/>
      <c r="PNJ82" s="798"/>
      <c r="PNK82" s="798"/>
      <c r="PNL82" s="798"/>
      <c r="PNM82" s="798"/>
      <c r="PNN82" s="798"/>
      <c r="PNO82" s="798"/>
      <c r="PNP82" s="798"/>
      <c r="PNQ82" s="798"/>
      <c r="PNR82" s="798"/>
      <c r="PNS82" s="798"/>
      <c r="PNT82" s="798"/>
      <c r="PNU82" s="798"/>
      <c r="PNV82" s="798"/>
      <c r="PNW82" s="798"/>
      <c r="PNX82" s="798"/>
      <c r="PNY82" s="798"/>
      <c r="PNZ82" s="798"/>
      <c r="POA82" s="798"/>
      <c r="POB82" s="798"/>
      <c r="POC82" s="798"/>
      <c r="POD82" s="798"/>
      <c r="POE82" s="798"/>
      <c r="POF82" s="798"/>
      <c r="POG82" s="798"/>
      <c r="POH82" s="798"/>
      <c r="POI82" s="798"/>
      <c r="POJ82" s="798"/>
      <c r="POK82" s="798"/>
      <c r="POL82" s="798"/>
      <c r="POM82" s="798"/>
      <c r="PON82" s="798"/>
      <c r="POO82" s="798"/>
      <c r="POP82" s="798"/>
      <c r="POQ82" s="798"/>
      <c r="POR82" s="798"/>
      <c r="POS82" s="798"/>
      <c r="POT82" s="798"/>
      <c r="POU82" s="798"/>
      <c r="POV82" s="798"/>
      <c r="POW82" s="798"/>
      <c r="POX82" s="798"/>
      <c r="POY82" s="798"/>
      <c r="POZ82" s="798"/>
      <c r="PPA82" s="798"/>
      <c r="PPB82" s="798"/>
      <c r="PPC82" s="798"/>
      <c r="PPD82" s="798"/>
      <c r="PPE82" s="798"/>
      <c r="PPF82" s="798"/>
      <c r="PPG82" s="798"/>
      <c r="PPH82" s="798"/>
      <c r="PPI82" s="798"/>
      <c r="PPJ82" s="798"/>
      <c r="PPK82" s="798"/>
      <c r="PPL82" s="798"/>
      <c r="PPM82" s="798"/>
      <c r="PPN82" s="798"/>
      <c r="PPO82" s="798"/>
      <c r="PPP82" s="798"/>
      <c r="PPQ82" s="798"/>
      <c r="PPR82" s="798"/>
      <c r="PPS82" s="798"/>
      <c r="PPT82" s="798"/>
      <c r="PPU82" s="798"/>
      <c r="PPV82" s="798"/>
      <c r="PPW82" s="798"/>
      <c r="PPX82" s="798"/>
      <c r="PPY82" s="798"/>
      <c r="PPZ82" s="798"/>
      <c r="PQA82" s="798"/>
      <c r="PQB82" s="798"/>
      <c r="PQC82" s="798"/>
      <c r="PQD82" s="798"/>
      <c r="PQE82" s="798"/>
      <c r="PQF82" s="798"/>
      <c r="PQG82" s="798"/>
      <c r="PQH82" s="798"/>
      <c r="PQI82" s="798"/>
      <c r="PQJ82" s="798"/>
      <c r="PQK82" s="798"/>
      <c r="PQL82" s="798"/>
      <c r="PQM82" s="798"/>
      <c r="PQN82" s="798"/>
      <c r="PQO82" s="798"/>
      <c r="PQP82" s="798"/>
      <c r="PQQ82" s="798"/>
      <c r="PQR82" s="798"/>
      <c r="PQS82" s="798"/>
      <c r="PQT82" s="798"/>
      <c r="PQU82" s="798"/>
      <c r="PQV82" s="798"/>
      <c r="PQW82" s="798"/>
      <c r="PQX82" s="798"/>
      <c r="PQY82" s="798"/>
      <c r="PQZ82" s="798"/>
      <c r="PRA82" s="798"/>
      <c r="PRB82" s="798"/>
      <c r="PRC82" s="798"/>
      <c r="PRD82" s="798"/>
      <c r="PRE82" s="798"/>
      <c r="PRF82" s="798"/>
      <c r="PRG82" s="798"/>
      <c r="PRH82" s="798"/>
      <c r="PRI82" s="798"/>
      <c r="PRJ82" s="798"/>
      <c r="PRK82" s="798"/>
      <c r="PRL82" s="798"/>
      <c r="PRM82" s="798"/>
      <c r="PRN82" s="798"/>
      <c r="PRO82" s="798"/>
      <c r="PRP82" s="798"/>
      <c r="PRQ82" s="798"/>
      <c r="PRR82" s="798"/>
      <c r="PRS82" s="798"/>
      <c r="PRT82" s="798"/>
      <c r="PRU82" s="798"/>
      <c r="PRV82" s="798"/>
      <c r="PRW82" s="798"/>
      <c r="PRX82" s="798"/>
      <c r="PRY82" s="798"/>
      <c r="PRZ82" s="798"/>
      <c r="PSA82" s="798"/>
      <c r="PSB82" s="798"/>
      <c r="PSC82" s="798"/>
      <c r="PSD82" s="798"/>
      <c r="PSE82" s="798"/>
      <c r="PSF82" s="798"/>
      <c r="PSG82" s="798"/>
      <c r="PSH82" s="798"/>
      <c r="PSI82" s="798"/>
      <c r="PSJ82" s="798"/>
      <c r="PSK82" s="798"/>
      <c r="PSL82" s="798"/>
      <c r="PSM82" s="798"/>
      <c r="PSN82" s="798"/>
      <c r="PSO82" s="798"/>
      <c r="PSP82" s="798"/>
      <c r="PSQ82" s="798"/>
      <c r="PSR82" s="798"/>
      <c r="PSS82" s="798"/>
      <c r="PST82" s="798"/>
      <c r="PSU82" s="798"/>
      <c r="PSV82" s="798"/>
      <c r="PSW82" s="798"/>
      <c r="PSX82" s="798"/>
      <c r="PSY82" s="798"/>
      <c r="PSZ82" s="798"/>
      <c r="PTA82" s="798"/>
      <c r="PTB82" s="798"/>
      <c r="PTC82" s="798"/>
      <c r="PTD82" s="798"/>
      <c r="PTE82" s="798"/>
      <c r="PTF82" s="798"/>
      <c r="PTG82" s="798"/>
      <c r="PTH82" s="798"/>
      <c r="PTI82" s="798"/>
      <c r="PTJ82" s="798"/>
      <c r="PTK82" s="798"/>
      <c r="PTL82" s="798"/>
      <c r="PTM82" s="798"/>
      <c r="PTN82" s="798"/>
      <c r="PTO82" s="798"/>
      <c r="PTP82" s="798"/>
      <c r="PTQ82" s="798"/>
      <c r="PTR82" s="798"/>
      <c r="PTS82" s="798"/>
      <c r="PTT82" s="798"/>
      <c r="PTU82" s="798"/>
      <c r="PTV82" s="798"/>
      <c r="PTW82" s="798"/>
      <c r="PTX82" s="798"/>
      <c r="PTY82" s="798"/>
      <c r="PTZ82" s="798"/>
      <c r="PUA82" s="798"/>
      <c r="PUB82" s="798"/>
      <c r="PUC82" s="798"/>
      <c r="PUD82" s="798"/>
      <c r="PUE82" s="798"/>
      <c r="PUF82" s="798"/>
      <c r="PUG82" s="798"/>
      <c r="PUH82" s="798"/>
      <c r="PUI82" s="798"/>
      <c r="PUJ82" s="798"/>
      <c r="PUK82" s="798"/>
      <c r="PUL82" s="798"/>
      <c r="PUM82" s="798"/>
      <c r="PUN82" s="798"/>
      <c r="PUO82" s="798"/>
      <c r="PUP82" s="798"/>
      <c r="PUQ82" s="798"/>
      <c r="PUR82" s="798"/>
      <c r="PUS82" s="798"/>
      <c r="PUT82" s="798"/>
      <c r="PUU82" s="798"/>
      <c r="PUV82" s="798"/>
      <c r="PUW82" s="798"/>
      <c r="PUX82" s="798"/>
      <c r="PUY82" s="798"/>
      <c r="PUZ82" s="798"/>
      <c r="PVA82" s="798"/>
      <c r="PVB82" s="798"/>
      <c r="PVC82" s="798"/>
      <c r="PVD82" s="798"/>
      <c r="PVE82" s="798"/>
      <c r="PVF82" s="798"/>
      <c r="PVG82" s="798"/>
      <c r="PVH82" s="798"/>
      <c r="PVI82" s="798"/>
      <c r="PVJ82" s="798"/>
      <c r="PVK82" s="798"/>
      <c r="PVL82" s="798"/>
      <c r="PVM82" s="798"/>
      <c r="PVN82" s="798"/>
      <c r="PVO82" s="798"/>
      <c r="PVP82" s="798"/>
      <c r="PVQ82" s="798"/>
      <c r="PVR82" s="798"/>
      <c r="PVS82" s="798"/>
      <c r="PVT82" s="798"/>
      <c r="PVU82" s="798"/>
      <c r="PVV82" s="798"/>
      <c r="PVW82" s="798"/>
      <c r="PVX82" s="798"/>
      <c r="PVY82" s="798"/>
      <c r="PVZ82" s="798"/>
      <c r="PWA82" s="798"/>
      <c r="PWB82" s="798"/>
      <c r="PWC82" s="798"/>
      <c r="PWD82" s="798"/>
      <c r="PWE82" s="798"/>
      <c r="PWF82" s="798"/>
      <c r="PWG82" s="798"/>
      <c r="PWH82" s="798"/>
      <c r="PWI82" s="798"/>
      <c r="PWJ82" s="798"/>
      <c r="PWK82" s="798"/>
      <c r="PWL82" s="798"/>
      <c r="PWM82" s="798"/>
      <c r="PWN82" s="798"/>
      <c r="PWO82" s="798"/>
      <c r="PWP82" s="798"/>
      <c r="PWQ82" s="798"/>
      <c r="PWR82" s="798"/>
      <c r="PWS82" s="798"/>
      <c r="PWT82" s="798"/>
      <c r="PWU82" s="798"/>
      <c r="PWV82" s="798"/>
      <c r="PWW82" s="798"/>
      <c r="PWX82" s="798"/>
      <c r="PWY82" s="798"/>
      <c r="PWZ82" s="798"/>
      <c r="PXA82" s="798"/>
      <c r="PXB82" s="798"/>
      <c r="PXC82" s="798"/>
      <c r="PXD82" s="798"/>
      <c r="PXE82" s="798"/>
      <c r="PXF82" s="798"/>
      <c r="PXG82" s="798"/>
      <c r="PXH82" s="798"/>
      <c r="PXI82" s="798"/>
      <c r="PXJ82" s="798"/>
      <c r="PXK82" s="798"/>
      <c r="PXL82" s="798"/>
      <c r="PXM82" s="798"/>
      <c r="PXN82" s="798"/>
      <c r="PXO82" s="798"/>
      <c r="PXP82" s="798"/>
      <c r="PXQ82" s="798"/>
      <c r="PXR82" s="798"/>
      <c r="PXS82" s="798"/>
      <c r="PXT82" s="798"/>
      <c r="PXU82" s="798"/>
      <c r="PXV82" s="798"/>
      <c r="PXW82" s="798"/>
      <c r="PXX82" s="798"/>
      <c r="PXY82" s="798"/>
      <c r="PXZ82" s="798"/>
      <c r="PYA82" s="798"/>
      <c r="PYB82" s="798"/>
      <c r="PYC82" s="798"/>
      <c r="PYD82" s="798"/>
      <c r="PYE82" s="798"/>
      <c r="PYF82" s="798"/>
      <c r="PYG82" s="798"/>
      <c r="PYH82" s="798"/>
      <c r="PYI82" s="798"/>
      <c r="PYJ82" s="798"/>
      <c r="PYK82" s="798"/>
      <c r="PYL82" s="798"/>
      <c r="PYM82" s="798"/>
      <c r="PYN82" s="798"/>
      <c r="PYO82" s="798"/>
      <c r="PYP82" s="798"/>
      <c r="PYQ82" s="798"/>
      <c r="PYR82" s="798"/>
      <c r="PYS82" s="798"/>
      <c r="PYT82" s="798"/>
      <c r="PYU82" s="798"/>
      <c r="PYV82" s="798"/>
      <c r="PYW82" s="798"/>
      <c r="PYX82" s="798"/>
      <c r="PYY82" s="798"/>
      <c r="PYZ82" s="798"/>
      <c r="PZA82" s="798"/>
      <c r="PZB82" s="798"/>
      <c r="PZC82" s="798"/>
      <c r="PZD82" s="798"/>
      <c r="PZE82" s="798"/>
      <c r="PZF82" s="798"/>
      <c r="PZG82" s="798"/>
      <c r="PZH82" s="798"/>
      <c r="PZI82" s="798"/>
      <c r="PZJ82" s="798"/>
      <c r="PZK82" s="798"/>
      <c r="PZL82" s="798"/>
      <c r="PZM82" s="798"/>
      <c r="PZN82" s="798"/>
      <c r="PZO82" s="798"/>
      <c r="PZP82" s="798"/>
      <c r="PZQ82" s="798"/>
      <c r="PZR82" s="798"/>
      <c r="PZS82" s="798"/>
      <c r="PZT82" s="798"/>
      <c r="PZU82" s="798"/>
      <c r="PZV82" s="798"/>
      <c r="PZW82" s="798"/>
      <c r="PZX82" s="798"/>
      <c r="PZY82" s="798"/>
      <c r="PZZ82" s="798"/>
      <c r="QAA82" s="798"/>
      <c r="QAB82" s="798"/>
      <c r="QAC82" s="798"/>
      <c r="QAD82" s="798"/>
      <c r="QAE82" s="798"/>
      <c r="QAF82" s="798"/>
      <c r="QAG82" s="798"/>
      <c r="QAH82" s="798"/>
      <c r="QAI82" s="798"/>
      <c r="QAJ82" s="798"/>
      <c r="QAK82" s="798"/>
      <c r="QAL82" s="798"/>
      <c r="QAM82" s="798"/>
      <c r="QAN82" s="798"/>
      <c r="QAO82" s="798"/>
      <c r="QAP82" s="798"/>
      <c r="QAQ82" s="798"/>
      <c r="QAR82" s="798"/>
      <c r="QAS82" s="798"/>
      <c r="QAT82" s="798"/>
      <c r="QAU82" s="798"/>
      <c r="QAV82" s="798"/>
      <c r="QAW82" s="798"/>
      <c r="QAX82" s="798"/>
      <c r="QAY82" s="798"/>
      <c r="QAZ82" s="798"/>
      <c r="QBA82" s="798"/>
      <c r="QBB82" s="798"/>
      <c r="QBC82" s="798"/>
      <c r="QBD82" s="798"/>
      <c r="QBE82" s="798"/>
      <c r="QBF82" s="798"/>
      <c r="QBG82" s="798"/>
      <c r="QBH82" s="798"/>
      <c r="QBI82" s="798"/>
      <c r="QBJ82" s="798"/>
      <c r="QBK82" s="798"/>
      <c r="QBL82" s="798"/>
      <c r="QBM82" s="798"/>
      <c r="QBN82" s="798"/>
      <c r="QBO82" s="798"/>
      <c r="QBP82" s="798"/>
      <c r="QBQ82" s="798"/>
      <c r="QBR82" s="798"/>
      <c r="QBS82" s="798"/>
      <c r="QBT82" s="798"/>
      <c r="QBU82" s="798"/>
      <c r="QBV82" s="798"/>
      <c r="QBW82" s="798"/>
      <c r="QBX82" s="798"/>
      <c r="QBY82" s="798"/>
      <c r="QBZ82" s="798"/>
      <c r="QCA82" s="798"/>
      <c r="QCB82" s="798"/>
      <c r="QCC82" s="798"/>
      <c r="QCD82" s="798"/>
      <c r="QCE82" s="798"/>
      <c r="QCF82" s="798"/>
      <c r="QCG82" s="798"/>
      <c r="QCH82" s="798"/>
      <c r="QCI82" s="798"/>
      <c r="QCJ82" s="798"/>
      <c r="QCK82" s="798"/>
      <c r="QCL82" s="798"/>
      <c r="QCM82" s="798"/>
      <c r="QCN82" s="798"/>
      <c r="QCO82" s="798"/>
      <c r="QCP82" s="798"/>
      <c r="QCQ82" s="798"/>
      <c r="QCR82" s="798"/>
      <c r="QCS82" s="798"/>
      <c r="QCT82" s="798"/>
      <c r="QCU82" s="798"/>
      <c r="QCV82" s="798"/>
      <c r="QCW82" s="798"/>
      <c r="QCX82" s="798"/>
      <c r="QCY82" s="798"/>
      <c r="QCZ82" s="798"/>
      <c r="QDA82" s="798"/>
      <c r="QDB82" s="798"/>
      <c r="QDC82" s="798"/>
      <c r="QDD82" s="798"/>
      <c r="QDE82" s="798"/>
      <c r="QDF82" s="798"/>
      <c r="QDG82" s="798"/>
      <c r="QDH82" s="798"/>
      <c r="QDI82" s="798"/>
      <c r="QDJ82" s="798"/>
      <c r="QDK82" s="798"/>
      <c r="QDL82" s="798"/>
      <c r="QDM82" s="798"/>
      <c r="QDN82" s="798"/>
      <c r="QDO82" s="798"/>
      <c r="QDP82" s="798"/>
      <c r="QDQ82" s="798"/>
      <c r="QDR82" s="798"/>
      <c r="QDS82" s="798"/>
      <c r="QDT82" s="798"/>
      <c r="QDU82" s="798"/>
      <c r="QDV82" s="798"/>
      <c r="QDW82" s="798"/>
      <c r="QDX82" s="798"/>
      <c r="QDY82" s="798"/>
      <c r="QDZ82" s="798"/>
      <c r="QEA82" s="798"/>
      <c r="QEB82" s="798"/>
      <c r="QEC82" s="798"/>
      <c r="QED82" s="798"/>
      <c r="QEE82" s="798"/>
      <c r="QEF82" s="798"/>
      <c r="QEG82" s="798"/>
      <c r="QEH82" s="798"/>
      <c r="QEI82" s="798"/>
      <c r="QEJ82" s="798"/>
      <c r="QEK82" s="798"/>
      <c r="QEL82" s="798"/>
      <c r="QEM82" s="798"/>
      <c r="QEN82" s="798"/>
      <c r="QEO82" s="798"/>
      <c r="QEP82" s="798"/>
      <c r="QEQ82" s="798"/>
      <c r="QER82" s="798"/>
      <c r="QES82" s="798"/>
      <c r="QET82" s="798"/>
      <c r="QEU82" s="798"/>
      <c r="QEV82" s="798"/>
      <c r="QEW82" s="798"/>
      <c r="QEX82" s="798"/>
      <c r="QEY82" s="798"/>
      <c r="QEZ82" s="798"/>
      <c r="QFA82" s="798"/>
      <c r="QFB82" s="798"/>
      <c r="QFC82" s="798"/>
      <c r="QFD82" s="798"/>
      <c r="QFE82" s="798"/>
      <c r="QFF82" s="798"/>
      <c r="QFG82" s="798"/>
      <c r="QFH82" s="798"/>
      <c r="QFI82" s="798"/>
      <c r="QFJ82" s="798"/>
      <c r="QFK82" s="798"/>
      <c r="QFL82" s="798"/>
      <c r="QFM82" s="798"/>
      <c r="QFN82" s="798"/>
      <c r="QFO82" s="798"/>
      <c r="QFP82" s="798"/>
      <c r="QFQ82" s="798"/>
      <c r="QFR82" s="798"/>
      <c r="QFS82" s="798"/>
      <c r="QFT82" s="798"/>
      <c r="QFU82" s="798"/>
      <c r="QFV82" s="798"/>
      <c r="QFW82" s="798"/>
      <c r="QFX82" s="798"/>
      <c r="QFY82" s="798"/>
      <c r="QFZ82" s="798"/>
      <c r="QGA82" s="798"/>
      <c r="QGB82" s="798"/>
      <c r="QGC82" s="798"/>
      <c r="QGD82" s="798"/>
      <c r="QGE82" s="798"/>
      <c r="QGF82" s="798"/>
      <c r="QGG82" s="798"/>
      <c r="QGH82" s="798"/>
      <c r="QGI82" s="798"/>
      <c r="QGJ82" s="798"/>
      <c r="QGK82" s="798"/>
      <c r="QGL82" s="798"/>
      <c r="QGM82" s="798"/>
      <c r="QGN82" s="798"/>
      <c r="QGO82" s="798"/>
      <c r="QGP82" s="798"/>
      <c r="QGQ82" s="798"/>
      <c r="QGR82" s="798"/>
      <c r="QGS82" s="798"/>
      <c r="QGT82" s="798"/>
      <c r="QGU82" s="798"/>
      <c r="QGV82" s="798"/>
      <c r="QGW82" s="798"/>
      <c r="QGX82" s="798"/>
      <c r="QGY82" s="798"/>
      <c r="QGZ82" s="798"/>
      <c r="QHA82" s="798"/>
      <c r="QHB82" s="798"/>
      <c r="QHC82" s="798"/>
      <c r="QHD82" s="798"/>
      <c r="QHE82" s="798"/>
      <c r="QHF82" s="798"/>
      <c r="QHG82" s="798"/>
      <c r="QHH82" s="798"/>
      <c r="QHI82" s="798"/>
      <c r="QHJ82" s="798"/>
      <c r="QHK82" s="798"/>
      <c r="QHL82" s="798"/>
      <c r="QHM82" s="798"/>
      <c r="QHN82" s="798"/>
      <c r="QHO82" s="798"/>
      <c r="QHP82" s="798"/>
      <c r="QHQ82" s="798"/>
      <c r="QHR82" s="798"/>
      <c r="QHS82" s="798"/>
      <c r="QHT82" s="798"/>
      <c r="QHU82" s="798"/>
      <c r="QHV82" s="798"/>
      <c r="QHW82" s="798"/>
      <c r="QHX82" s="798"/>
      <c r="QHY82" s="798"/>
      <c r="QHZ82" s="798"/>
      <c r="QIA82" s="798"/>
      <c r="QIB82" s="798"/>
      <c r="QIC82" s="798"/>
      <c r="QID82" s="798"/>
      <c r="QIE82" s="798"/>
      <c r="QIF82" s="798"/>
      <c r="QIG82" s="798"/>
      <c r="QIH82" s="798"/>
      <c r="QII82" s="798"/>
      <c r="QIJ82" s="798"/>
      <c r="QIK82" s="798"/>
      <c r="QIL82" s="798"/>
      <c r="QIM82" s="798"/>
      <c r="QIN82" s="798"/>
      <c r="QIO82" s="798"/>
      <c r="QIP82" s="798"/>
      <c r="QIQ82" s="798"/>
      <c r="QIR82" s="798"/>
      <c r="QIS82" s="798"/>
      <c r="QIT82" s="798"/>
      <c r="QIU82" s="798"/>
      <c r="QIV82" s="798"/>
      <c r="QIW82" s="798"/>
      <c r="QIX82" s="798"/>
      <c r="QIY82" s="798"/>
      <c r="QIZ82" s="798"/>
      <c r="QJA82" s="798"/>
      <c r="QJB82" s="798"/>
      <c r="QJC82" s="798"/>
      <c r="QJD82" s="798"/>
      <c r="QJE82" s="798"/>
      <c r="QJF82" s="798"/>
      <c r="QJG82" s="798"/>
      <c r="QJH82" s="798"/>
      <c r="QJI82" s="798"/>
      <c r="QJJ82" s="798"/>
      <c r="QJK82" s="798"/>
      <c r="QJL82" s="798"/>
      <c r="QJM82" s="798"/>
      <c r="QJN82" s="798"/>
      <c r="QJO82" s="798"/>
      <c r="QJP82" s="798"/>
      <c r="QJQ82" s="798"/>
      <c r="QJR82" s="798"/>
      <c r="QJS82" s="798"/>
      <c r="QJT82" s="798"/>
      <c r="QJU82" s="798"/>
      <c r="QJV82" s="798"/>
      <c r="QJW82" s="798"/>
      <c r="QJX82" s="798"/>
      <c r="QJY82" s="798"/>
      <c r="QJZ82" s="798"/>
      <c r="QKA82" s="798"/>
      <c r="QKB82" s="798"/>
      <c r="QKC82" s="798"/>
      <c r="QKD82" s="798"/>
      <c r="QKE82" s="798"/>
      <c r="QKF82" s="798"/>
      <c r="QKG82" s="798"/>
      <c r="QKH82" s="798"/>
      <c r="QKI82" s="798"/>
      <c r="QKJ82" s="798"/>
      <c r="QKK82" s="798"/>
      <c r="QKL82" s="798"/>
      <c r="QKM82" s="798"/>
      <c r="QKN82" s="798"/>
      <c r="QKO82" s="798"/>
      <c r="QKP82" s="798"/>
      <c r="QKQ82" s="798"/>
      <c r="QKR82" s="798"/>
      <c r="QKS82" s="798"/>
      <c r="QKT82" s="798"/>
      <c r="QKU82" s="798"/>
      <c r="QKV82" s="798"/>
      <c r="QKW82" s="798"/>
      <c r="QKX82" s="798"/>
      <c r="QKY82" s="798"/>
      <c r="QKZ82" s="798"/>
      <c r="QLA82" s="798"/>
      <c r="QLB82" s="798"/>
      <c r="QLC82" s="798"/>
      <c r="QLD82" s="798"/>
      <c r="QLE82" s="798"/>
      <c r="QLF82" s="798"/>
      <c r="QLG82" s="798"/>
      <c r="QLH82" s="798"/>
      <c r="QLI82" s="798"/>
      <c r="QLJ82" s="798"/>
      <c r="QLK82" s="798"/>
      <c r="QLL82" s="798"/>
      <c r="QLM82" s="798"/>
      <c r="QLN82" s="798"/>
      <c r="QLO82" s="798"/>
      <c r="QLP82" s="798"/>
      <c r="QLQ82" s="798"/>
      <c r="QLR82" s="798"/>
      <c r="QLS82" s="798"/>
      <c r="QLT82" s="798"/>
      <c r="QLU82" s="798"/>
      <c r="QLV82" s="798"/>
      <c r="QLW82" s="798"/>
      <c r="QLX82" s="798"/>
      <c r="QLY82" s="798"/>
      <c r="QLZ82" s="798"/>
      <c r="QMA82" s="798"/>
      <c r="QMB82" s="798"/>
      <c r="QMC82" s="798"/>
      <c r="QMD82" s="798"/>
      <c r="QME82" s="798"/>
      <c r="QMF82" s="798"/>
      <c r="QMG82" s="798"/>
      <c r="QMH82" s="798"/>
      <c r="QMI82" s="798"/>
      <c r="QMJ82" s="798"/>
      <c r="QMK82" s="798"/>
      <c r="QML82" s="798"/>
      <c r="QMM82" s="798"/>
      <c r="QMN82" s="798"/>
      <c r="QMO82" s="798"/>
      <c r="QMP82" s="798"/>
      <c r="QMQ82" s="798"/>
      <c r="QMR82" s="798"/>
      <c r="QMS82" s="798"/>
      <c r="QMT82" s="798"/>
      <c r="QMU82" s="798"/>
      <c r="QMV82" s="798"/>
      <c r="QMW82" s="798"/>
      <c r="QMX82" s="798"/>
      <c r="QMY82" s="798"/>
      <c r="QMZ82" s="798"/>
      <c r="QNA82" s="798"/>
      <c r="QNB82" s="798"/>
      <c r="QNC82" s="798"/>
      <c r="QND82" s="798"/>
      <c r="QNE82" s="798"/>
      <c r="QNF82" s="798"/>
      <c r="QNG82" s="798"/>
      <c r="QNH82" s="798"/>
      <c r="QNI82" s="798"/>
      <c r="QNJ82" s="798"/>
      <c r="QNK82" s="798"/>
      <c r="QNL82" s="798"/>
      <c r="QNM82" s="798"/>
      <c r="QNN82" s="798"/>
      <c r="QNO82" s="798"/>
      <c r="QNP82" s="798"/>
      <c r="QNQ82" s="798"/>
      <c r="QNR82" s="798"/>
      <c r="QNS82" s="798"/>
      <c r="QNT82" s="798"/>
      <c r="QNU82" s="798"/>
      <c r="QNV82" s="798"/>
      <c r="QNW82" s="798"/>
      <c r="QNX82" s="798"/>
      <c r="QNY82" s="798"/>
      <c r="QNZ82" s="798"/>
      <c r="QOA82" s="798"/>
      <c r="QOB82" s="798"/>
      <c r="QOC82" s="798"/>
      <c r="QOD82" s="798"/>
      <c r="QOE82" s="798"/>
      <c r="QOF82" s="798"/>
      <c r="QOG82" s="798"/>
      <c r="QOH82" s="798"/>
      <c r="QOI82" s="798"/>
      <c r="QOJ82" s="798"/>
      <c r="QOK82" s="798"/>
      <c r="QOL82" s="798"/>
      <c r="QOM82" s="798"/>
      <c r="QON82" s="798"/>
      <c r="QOO82" s="798"/>
      <c r="QOP82" s="798"/>
      <c r="QOQ82" s="798"/>
      <c r="QOR82" s="798"/>
      <c r="QOS82" s="798"/>
      <c r="QOT82" s="798"/>
      <c r="QOU82" s="798"/>
      <c r="QOV82" s="798"/>
      <c r="QOW82" s="798"/>
      <c r="QOX82" s="798"/>
      <c r="QOY82" s="798"/>
      <c r="QOZ82" s="798"/>
      <c r="QPA82" s="798"/>
      <c r="QPB82" s="798"/>
      <c r="QPC82" s="798"/>
      <c r="QPD82" s="798"/>
      <c r="QPE82" s="798"/>
      <c r="QPF82" s="798"/>
      <c r="QPG82" s="798"/>
      <c r="QPH82" s="798"/>
      <c r="QPI82" s="798"/>
      <c r="QPJ82" s="798"/>
      <c r="QPK82" s="798"/>
      <c r="QPL82" s="798"/>
      <c r="QPM82" s="798"/>
      <c r="QPN82" s="798"/>
      <c r="QPO82" s="798"/>
      <c r="QPP82" s="798"/>
      <c r="QPQ82" s="798"/>
      <c r="QPR82" s="798"/>
      <c r="QPS82" s="798"/>
      <c r="QPT82" s="798"/>
      <c r="QPU82" s="798"/>
      <c r="QPV82" s="798"/>
      <c r="QPW82" s="798"/>
      <c r="QPX82" s="798"/>
      <c r="QPY82" s="798"/>
      <c r="QPZ82" s="798"/>
      <c r="QQA82" s="798"/>
      <c r="QQB82" s="798"/>
      <c r="QQC82" s="798"/>
      <c r="QQD82" s="798"/>
      <c r="QQE82" s="798"/>
      <c r="QQF82" s="798"/>
      <c r="QQG82" s="798"/>
      <c r="QQH82" s="798"/>
      <c r="QQI82" s="798"/>
      <c r="QQJ82" s="798"/>
      <c r="QQK82" s="798"/>
      <c r="QQL82" s="798"/>
      <c r="QQM82" s="798"/>
      <c r="QQN82" s="798"/>
      <c r="QQO82" s="798"/>
      <c r="QQP82" s="798"/>
      <c r="QQQ82" s="798"/>
      <c r="QQR82" s="798"/>
      <c r="QQS82" s="798"/>
      <c r="QQT82" s="798"/>
      <c r="QQU82" s="798"/>
      <c r="QQV82" s="798"/>
      <c r="QQW82" s="798"/>
      <c r="QQX82" s="798"/>
      <c r="QQY82" s="798"/>
      <c r="QQZ82" s="798"/>
      <c r="QRA82" s="798"/>
      <c r="QRB82" s="798"/>
      <c r="QRC82" s="798"/>
      <c r="QRD82" s="798"/>
      <c r="QRE82" s="798"/>
      <c r="QRF82" s="798"/>
      <c r="QRG82" s="798"/>
      <c r="QRH82" s="798"/>
      <c r="QRI82" s="798"/>
      <c r="QRJ82" s="798"/>
      <c r="QRK82" s="798"/>
      <c r="QRL82" s="798"/>
      <c r="QRM82" s="798"/>
      <c r="QRN82" s="798"/>
      <c r="QRO82" s="798"/>
      <c r="QRP82" s="798"/>
      <c r="QRQ82" s="798"/>
      <c r="QRR82" s="798"/>
      <c r="QRS82" s="798"/>
      <c r="QRT82" s="798"/>
      <c r="QRU82" s="798"/>
      <c r="QRV82" s="798"/>
      <c r="QRW82" s="798"/>
      <c r="QRX82" s="798"/>
      <c r="QRY82" s="798"/>
      <c r="QRZ82" s="798"/>
      <c r="QSA82" s="798"/>
      <c r="QSB82" s="798"/>
      <c r="QSC82" s="798"/>
      <c r="QSD82" s="798"/>
      <c r="QSE82" s="798"/>
      <c r="QSF82" s="798"/>
      <c r="QSG82" s="798"/>
      <c r="QSH82" s="798"/>
      <c r="QSI82" s="798"/>
      <c r="QSJ82" s="798"/>
      <c r="QSK82" s="798"/>
      <c r="QSL82" s="798"/>
      <c r="QSM82" s="798"/>
      <c r="QSN82" s="798"/>
      <c r="QSO82" s="798"/>
      <c r="QSP82" s="798"/>
      <c r="QSQ82" s="798"/>
      <c r="QSR82" s="798"/>
      <c r="QSS82" s="798"/>
      <c r="QST82" s="798"/>
      <c r="QSU82" s="798"/>
      <c r="QSV82" s="798"/>
      <c r="QSW82" s="798"/>
      <c r="QSX82" s="798"/>
      <c r="QSY82" s="798"/>
      <c r="QSZ82" s="798"/>
      <c r="QTA82" s="798"/>
      <c r="QTB82" s="798"/>
      <c r="QTC82" s="798"/>
      <c r="QTD82" s="798"/>
      <c r="QTE82" s="798"/>
      <c r="QTF82" s="798"/>
      <c r="QTG82" s="798"/>
      <c r="QTH82" s="798"/>
      <c r="QTI82" s="798"/>
      <c r="QTJ82" s="798"/>
      <c r="QTK82" s="798"/>
      <c r="QTL82" s="798"/>
      <c r="QTM82" s="798"/>
      <c r="QTN82" s="798"/>
      <c r="QTO82" s="798"/>
      <c r="QTP82" s="798"/>
      <c r="QTQ82" s="798"/>
      <c r="QTR82" s="798"/>
      <c r="QTS82" s="798"/>
      <c r="QTT82" s="798"/>
      <c r="QTU82" s="798"/>
      <c r="QTV82" s="798"/>
      <c r="QTW82" s="798"/>
      <c r="QTX82" s="798"/>
      <c r="QTY82" s="798"/>
      <c r="QTZ82" s="798"/>
      <c r="QUA82" s="798"/>
      <c r="QUB82" s="798"/>
      <c r="QUC82" s="798"/>
      <c r="QUD82" s="798"/>
      <c r="QUE82" s="798"/>
      <c r="QUF82" s="798"/>
      <c r="QUG82" s="798"/>
      <c r="QUH82" s="798"/>
      <c r="QUI82" s="798"/>
      <c r="QUJ82" s="798"/>
      <c r="QUK82" s="798"/>
      <c r="QUL82" s="798"/>
      <c r="QUM82" s="798"/>
      <c r="QUN82" s="798"/>
      <c r="QUO82" s="798"/>
      <c r="QUP82" s="798"/>
      <c r="QUQ82" s="798"/>
      <c r="QUR82" s="798"/>
      <c r="QUS82" s="798"/>
      <c r="QUT82" s="798"/>
      <c r="QUU82" s="798"/>
      <c r="QUV82" s="798"/>
      <c r="QUW82" s="798"/>
      <c r="QUX82" s="798"/>
      <c r="QUY82" s="798"/>
      <c r="QUZ82" s="798"/>
      <c r="QVA82" s="798"/>
      <c r="QVB82" s="798"/>
      <c r="QVC82" s="798"/>
      <c r="QVD82" s="798"/>
      <c r="QVE82" s="798"/>
      <c r="QVF82" s="798"/>
      <c r="QVG82" s="798"/>
      <c r="QVH82" s="798"/>
      <c r="QVI82" s="798"/>
      <c r="QVJ82" s="798"/>
      <c r="QVK82" s="798"/>
      <c r="QVL82" s="798"/>
      <c r="QVM82" s="798"/>
      <c r="QVN82" s="798"/>
      <c r="QVO82" s="798"/>
      <c r="QVP82" s="798"/>
      <c r="QVQ82" s="798"/>
      <c r="QVR82" s="798"/>
      <c r="QVS82" s="798"/>
      <c r="QVT82" s="798"/>
      <c r="QVU82" s="798"/>
      <c r="QVV82" s="798"/>
      <c r="QVW82" s="798"/>
      <c r="QVX82" s="798"/>
      <c r="QVY82" s="798"/>
      <c r="QVZ82" s="798"/>
      <c r="QWA82" s="798"/>
      <c r="QWB82" s="798"/>
      <c r="QWC82" s="798"/>
      <c r="QWD82" s="798"/>
      <c r="QWE82" s="798"/>
      <c r="QWF82" s="798"/>
      <c r="QWG82" s="798"/>
      <c r="QWH82" s="798"/>
      <c r="QWI82" s="798"/>
      <c r="QWJ82" s="798"/>
      <c r="QWK82" s="798"/>
      <c r="QWL82" s="798"/>
      <c r="QWM82" s="798"/>
      <c r="QWN82" s="798"/>
      <c r="QWO82" s="798"/>
      <c r="QWP82" s="798"/>
      <c r="QWQ82" s="798"/>
      <c r="QWR82" s="798"/>
      <c r="QWS82" s="798"/>
      <c r="QWT82" s="798"/>
      <c r="QWU82" s="798"/>
      <c r="QWV82" s="798"/>
      <c r="QWW82" s="798"/>
      <c r="QWX82" s="798"/>
      <c r="QWY82" s="798"/>
      <c r="QWZ82" s="798"/>
      <c r="QXA82" s="798"/>
      <c r="QXB82" s="798"/>
      <c r="QXC82" s="798"/>
      <c r="QXD82" s="798"/>
      <c r="QXE82" s="798"/>
      <c r="QXF82" s="798"/>
      <c r="QXG82" s="798"/>
      <c r="QXH82" s="798"/>
      <c r="QXI82" s="798"/>
      <c r="QXJ82" s="798"/>
      <c r="QXK82" s="798"/>
      <c r="QXL82" s="798"/>
      <c r="QXM82" s="798"/>
      <c r="QXN82" s="798"/>
      <c r="QXO82" s="798"/>
      <c r="QXP82" s="798"/>
      <c r="QXQ82" s="798"/>
      <c r="QXR82" s="798"/>
      <c r="QXS82" s="798"/>
      <c r="QXT82" s="798"/>
      <c r="QXU82" s="798"/>
      <c r="QXV82" s="798"/>
      <c r="QXW82" s="798"/>
      <c r="QXX82" s="798"/>
      <c r="QXY82" s="798"/>
      <c r="QXZ82" s="798"/>
      <c r="QYA82" s="798"/>
      <c r="QYB82" s="798"/>
      <c r="QYC82" s="798"/>
      <c r="QYD82" s="798"/>
      <c r="QYE82" s="798"/>
      <c r="QYF82" s="798"/>
      <c r="QYG82" s="798"/>
      <c r="QYH82" s="798"/>
      <c r="QYI82" s="798"/>
      <c r="QYJ82" s="798"/>
      <c r="QYK82" s="798"/>
      <c r="QYL82" s="798"/>
      <c r="QYM82" s="798"/>
      <c r="QYN82" s="798"/>
      <c r="QYO82" s="798"/>
      <c r="QYP82" s="798"/>
      <c r="QYQ82" s="798"/>
      <c r="QYR82" s="798"/>
      <c r="QYS82" s="798"/>
      <c r="QYT82" s="798"/>
      <c r="QYU82" s="798"/>
      <c r="QYV82" s="798"/>
      <c r="QYW82" s="798"/>
      <c r="QYX82" s="798"/>
      <c r="QYY82" s="798"/>
      <c r="QYZ82" s="798"/>
      <c r="QZA82" s="798"/>
      <c r="QZB82" s="798"/>
      <c r="QZC82" s="798"/>
      <c r="QZD82" s="798"/>
      <c r="QZE82" s="798"/>
      <c r="QZF82" s="798"/>
      <c r="QZG82" s="798"/>
      <c r="QZH82" s="798"/>
      <c r="QZI82" s="798"/>
      <c r="QZJ82" s="798"/>
      <c r="QZK82" s="798"/>
      <c r="QZL82" s="798"/>
      <c r="QZM82" s="798"/>
      <c r="QZN82" s="798"/>
      <c r="QZO82" s="798"/>
      <c r="QZP82" s="798"/>
      <c r="QZQ82" s="798"/>
      <c r="QZR82" s="798"/>
      <c r="QZS82" s="798"/>
      <c r="QZT82" s="798"/>
      <c r="QZU82" s="798"/>
      <c r="QZV82" s="798"/>
      <c r="QZW82" s="798"/>
      <c r="QZX82" s="798"/>
      <c r="QZY82" s="798"/>
      <c r="QZZ82" s="798"/>
      <c r="RAA82" s="798"/>
      <c r="RAB82" s="798"/>
      <c r="RAC82" s="798"/>
      <c r="RAD82" s="798"/>
      <c r="RAE82" s="798"/>
      <c r="RAF82" s="798"/>
      <c r="RAG82" s="798"/>
      <c r="RAH82" s="798"/>
      <c r="RAI82" s="798"/>
      <c r="RAJ82" s="798"/>
      <c r="RAK82" s="798"/>
      <c r="RAL82" s="798"/>
      <c r="RAM82" s="798"/>
      <c r="RAN82" s="798"/>
      <c r="RAO82" s="798"/>
      <c r="RAP82" s="798"/>
      <c r="RAQ82" s="798"/>
      <c r="RAR82" s="798"/>
      <c r="RAS82" s="798"/>
      <c r="RAT82" s="798"/>
      <c r="RAU82" s="798"/>
      <c r="RAV82" s="798"/>
      <c r="RAW82" s="798"/>
      <c r="RAX82" s="798"/>
      <c r="RAY82" s="798"/>
      <c r="RAZ82" s="798"/>
      <c r="RBA82" s="798"/>
      <c r="RBB82" s="798"/>
      <c r="RBC82" s="798"/>
      <c r="RBD82" s="798"/>
      <c r="RBE82" s="798"/>
      <c r="RBF82" s="798"/>
      <c r="RBG82" s="798"/>
      <c r="RBH82" s="798"/>
      <c r="RBI82" s="798"/>
      <c r="RBJ82" s="798"/>
      <c r="RBK82" s="798"/>
      <c r="RBL82" s="798"/>
      <c r="RBM82" s="798"/>
      <c r="RBN82" s="798"/>
      <c r="RBO82" s="798"/>
      <c r="RBP82" s="798"/>
      <c r="RBQ82" s="798"/>
      <c r="RBR82" s="798"/>
      <c r="RBS82" s="798"/>
      <c r="RBT82" s="798"/>
      <c r="RBU82" s="798"/>
      <c r="RBV82" s="798"/>
      <c r="RBW82" s="798"/>
      <c r="RBX82" s="798"/>
      <c r="RBY82" s="798"/>
      <c r="RBZ82" s="798"/>
      <c r="RCA82" s="798"/>
      <c r="RCB82" s="798"/>
      <c r="RCC82" s="798"/>
      <c r="RCD82" s="798"/>
      <c r="RCE82" s="798"/>
      <c r="RCF82" s="798"/>
      <c r="RCG82" s="798"/>
      <c r="RCH82" s="798"/>
      <c r="RCI82" s="798"/>
      <c r="RCJ82" s="798"/>
      <c r="RCK82" s="798"/>
      <c r="RCL82" s="798"/>
      <c r="RCM82" s="798"/>
      <c r="RCN82" s="798"/>
      <c r="RCO82" s="798"/>
      <c r="RCP82" s="798"/>
      <c r="RCQ82" s="798"/>
      <c r="RCR82" s="798"/>
      <c r="RCS82" s="798"/>
      <c r="RCT82" s="798"/>
      <c r="RCU82" s="798"/>
      <c r="RCV82" s="798"/>
      <c r="RCW82" s="798"/>
      <c r="RCX82" s="798"/>
      <c r="RCY82" s="798"/>
      <c r="RCZ82" s="798"/>
      <c r="RDA82" s="798"/>
      <c r="RDB82" s="798"/>
      <c r="RDC82" s="798"/>
      <c r="RDD82" s="798"/>
      <c r="RDE82" s="798"/>
      <c r="RDF82" s="798"/>
      <c r="RDG82" s="798"/>
      <c r="RDH82" s="798"/>
      <c r="RDI82" s="798"/>
      <c r="RDJ82" s="798"/>
      <c r="RDK82" s="798"/>
      <c r="RDL82" s="798"/>
      <c r="RDM82" s="798"/>
      <c r="RDN82" s="798"/>
      <c r="RDO82" s="798"/>
      <c r="RDP82" s="798"/>
      <c r="RDQ82" s="798"/>
      <c r="RDR82" s="798"/>
      <c r="RDS82" s="798"/>
      <c r="RDT82" s="798"/>
      <c r="RDU82" s="798"/>
      <c r="RDV82" s="798"/>
      <c r="RDW82" s="798"/>
      <c r="RDX82" s="798"/>
      <c r="RDY82" s="798"/>
      <c r="RDZ82" s="798"/>
      <c r="REA82" s="798"/>
      <c r="REB82" s="798"/>
      <c r="REC82" s="798"/>
      <c r="RED82" s="798"/>
      <c r="REE82" s="798"/>
      <c r="REF82" s="798"/>
      <c r="REG82" s="798"/>
      <c r="REH82" s="798"/>
      <c r="REI82" s="798"/>
      <c r="REJ82" s="798"/>
      <c r="REK82" s="798"/>
      <c r="REL82" s="798"/>
      <c r="REM82" s="798"/>
      <c r="REN82" s="798"/>
      <c r="REO82" s="798"/>
      <c r="REP82" s="798"/>
      <c r="REQ82" s="798"/>
      <c r="RER82" s="798"/>
      <c r="RES82" s="798"/>
      <c r="RET82" s="798"/>
      <c r="REU82" s="798"/>
      <c r="REV82" s="798"/>
      <c r="REW82" s="798"/>
      <c r="REX82" s="798"/>
      <c r="REY82" s="798"/>
      <c r="REZ82" s="798"/>
      <c r="RFA82" s="798"/>
      <c r="RFB82" s="798"/>
      <c r="RFC82" s="798"/>
      <c r="RFD82" s="798"/>
      <c r="RFE82" s="798"/>
      <c r="RFF82" s="798"/>
      <c r="RFG82" s="798"/>
      <c r="RFH82" s="798"/>
      <c r="RFI82" s="798"/>
      <c r="RFJ82" s="798"/>
      <c r="RFK82" s="798"/>
      <c r="RFL82" s="798"/>
      <c r="RFM82" s="798"/>
      <c r="RFN82" s="798"/>
      <c r="RFO82" s="798"/>
      <c r="RFP82" s="798"/>
      <c r="RFQ82" s="798"/>
      <c r="RFR82" s="798"/>
      <c r="RFS82" s="798"/>
      <c r="RFT82" s="798"/>
      <c r="RFU82" s="798"/>
      <c r="RFV82" s="798"/>
      <c r="RFW82" s="798"/>
      <c r="RFX82" s="798"/>
      <c r="RFY82" s="798"/>
      <c r="RFZ82" s="798"/>
      <c r="RGA82" s="798"/>
      <c r="RGB82" s="798"/>
      <c r="RGC82" s="798"/>
      <c r="RGD82" s="798"/>
      <c r="RGE82" s="798"/>
      <c r="RGF82" s="798"/>
      <c r="RGG82" s="798"/>
      <c r="RGH82" s="798"/>
      <c r="RGI82" s="798"/>
      <c r="RGJ82" s="798"/>
      <c r="RGK82" s="798"/>
      <c r="RGL82" s="798"/>
      <c r="RGM82" s="798"/>
      <c r="RGN82" s="798"/>
      <c r="RGO82" s="798"/>
      <c r="RGP82" s="798"/>
      <c r="RGQ82" s="798"/>
      <c r="RGR82" s="798"/>
      <c r="RGS82" s="798"/>
      <c r="RGT82" s="798"/>
      <c r="RGU82" s="798"/>
      <c r="RGV82" s="798"/>
      <c r="RGW82" s="798"/>
      <c r="RGX82" s="798"/>
      <c r="RGY82" s="798"/>
      <c r="RGZ82" s="798"/>
      <c r="RHA82" s="798"/>
      <c r="RHB82" s="798"/>
      <c r="RHC82" s="798"/>
      <c r="RHD82" s="798"/>
      <c r="RHE82" s="798"/>
      <c r="RHF82" s="798"/>
      <c r="RHG82" s="798"/>
      <c r="RHH82" s="798"/>
      <c r="RHI82" s="798"/>
      <c r="RHJ82" s="798"/>
      <c r="RHK82" s="798"/>
      <c r="RHL82" s="798"/>
      <c r="RHM82" s="798"/>
      <c r="RHN82" s="798"/>
      <c r="RHO82" s="798"/>
      <c r="RHP82" s="798"/>
      <c r="RHQ82" s="798"/>
      <c r="RHR82" s="798"/>
      <c r="RHS82" s="798"/>
      <c r="RHT82" s="798"/>
      <c r="RHU82" s="798"/>
      <c r="RHV82" s="798"/>
      <c r="RHW82" s="798"/>
      <c r="RHX82" s="798"/>
      <c r="RHY82" s="798"/>
      <c r="RHZ82" s="798"/>
      <c r="RIA82" s="798"/>
      <c r="RIB82" s="798"/>
      <c r="RIC82" s="798"/>
      <c r="RID82" s="798"/>
      <c r="RIE82" s="798"/>
      <c r="RIF82" s="798"/>
      <c r="RIG82" s="798"/>
      <c r="RIH82" s="798"/>
      <c r="RII82" s="798"/>
      <c r="RIJ82" s="798"/>
      <c r="RIK82" s="798"/>
      <c r="RIL82" s="798"/>
      <c r="RIM82" s="798"/>
      <c r="RIN82" s="798"/>
      <c r="RIO82" s="798"/>
      <c r="RIP82" s="798"/>
      <c r="RIQ82" s="798"/>
      <c r="RIR82" s="798"/>
      <c r="RIS82" s="798"/>
      <c r="RIT82" s="798"/>
      <c r="RIU82" s="798"/>
      <c r="RIV82" s="798"/>
      <c r="RIW82" s="798"/>
      <c r="RIX82" s="798"/>
      <c r="RIY82" s="798"/>
      <c r="RIZ82" s="798"/>
      <c r="RJA82" s="798"/>
      <c r="RJB82" s="798"/>
      <c r="RJC82" s="798"/>
      <c r="RJD82" s="798"/>
      <c r="RJE82" s="798"/>
      <c r="RJF82" s="798"/>
      <c r="RJG82" s="798"/>
      <c r="RJH82" s="798"/>
      <c r="RJI82" s="798"/>
      <c r="RJJ82" s="798"/>
      <c r="RJK82" s="798"/>
      <c r="RJL82" s="798"/>
      <c r="RJM82" s="798"/>
      <c r="RJN82" s="798"/>
      <c r="RJO82" s="798"/>
      <c r="RJP82" s="798"/>
      <c r="RJQ82" s="798"/>
      <c r="RJR82" s="798"/>
      <c r="RJS82" s="798"/>
      <c r="RJT82" s="798"/>
      <c r="RJU82" s="798"/>
      <c r="RJV82" s="798"/>
      <c r="RJW82" s="798"/>
      <c r="RJX82" s="798"/>
      <c r="RJY82" s="798"/>
      <c r="RJZ82" s="798"/>
      <c r="RKA82" s="798"/>
      <c r="RKB82" s="798"/>
      <c r="RKC82" s="798"/>
      <c r="RKD82" s="798"/>
      <c r="RKE82" s="798"/>
      <c r="RKF82" s="798"/>
      <c r="RKG82" s="798"/>
      <c r="RKH82" s="798"/>
      <c r="RKI82" s="798"/>
      <c r="RKJ82" s="798"/>
      <c r="RKK82" s="798"/>
      <c r="RKL82" s="798"/>
      <c r="RKM82" s="798"/>
      <c r="RKN82" s="798"/>
      <c r="RKO82" s="798"/>
      <c r="RKP82" s="798"/>
      <c r="RKQ82" s="798"/>
      <c r="RKR82" s="798"/>
      <c r="RKS82" s="798"/>
      <c r="RKT82" s="798"/>
      <c r="RKU82" s="798"/>
      <c r="RKV82" s="798"/>
      <c r="RKW82" s="798"/>
      <c r="RKX82" s="798"/>
      <c r="RKY82" s="798"/>
      <c r="RKZ82" s="798"/>
      <c r="RLA82" s="798"/>
      <c r="RLB82" s="798"/>
      <c r="RLC82" s="798"/>
      <c r="RLD82" s="798"/>
      <c r="RLE82" s="798"/>
      <c r="RLF82" s="798"/>
      <c r="RLG82" s="798"/>
      <c r="RLH82" s="798"/>
      <c r="RLI82" s="798"/>
      <c r="RLJ82" s="798"/>
      <c r="RLK82" s="798"/>
      <c r="RLL82" s="798"/>
      <c r="RLM82" s="798"/>
      <c r="RLN82" s="798"/>
      <c r="RLO82" s="798"/>
      <c r="RLP82" s="798"/>
      <c r="RLQ82" s="798"/>
      <c r="RLR82" s="798"/>
      <c r="RLS82" s="798"/>
      <c r="RLT82" s="798"/>
      <c r="RLU82" s="798"/>
      <c r="RLV82" s="798"/>
      <c r="RLW82" s="798"/>
      <c r="RLX82" s="798"/>
      <c r="RLY82" s="798"/>
      <c r="RLZ82" s="798"/>
      <c r="RMA82" s="798"/>
      <c r="RMB82" s="798"/>
      <c r="RMC82" s="798"/>
      <c r="RMD82" s="798"/>
      <c r="RME82" s="798"/>
      <c r="RMF82" s="798"/>
      <c r="RMG82" s="798"/>
      <c r="RMH82" s="798"/>
      <c r="RMI82" s="798"/>
      <c r="RMJ82" s="798"/>
      <c r="RMK82" s="798"/>
      <c r="RML82" s="798"/>
      <c r="RMM82" s="798"/>
      <c r="RMN82" s="798"/>
      <c r="RMO82" s="798"/>
      <c r="RMP82" s="798"/>
      <c r="RMQ82" s="798"/>
      <c r="RMR82" s="798"/>
      <c r="RMS82" s="798"/>
      <c r="RMT82" s="798"/>
      <c r="RMU82" s="798"/>
      <c r="RMV82" s="798"/>
      <c r="RMW82" s="798"/>
      <c r="RMX82" s="798"/>
      <c r="RMY82" s="798"/>
      <c r="RMZ82" s="798"/>
      <c r="RNA82" s="798"/>
      <c r="RNB82" s="798"/>
      <c r="RNC82" s="798"/>
      <c r="RND82" s="798"/>
      <c r="RNE82" s="798"/>
      <c r="RNF82" s="798"/>
      <c r="RNG82" s="798"/>
      <c r="RNH82" s="798"/>
      <c r="RNI82" s="798"/>
      <c r="RNJ82" s="798"/>
      <c r="RNK82" s="798"/>
      <c r="RNL82" s="798"/>
      <c r="RNM82" s="798"/>
      <c r="RNN82" s="798"/>
      <c r="RNO82" s="798"/>
      <c r="RNP82" s="798"/>
      <c r="RNQ82" s="798"/>
      <c r="RNR82" s="798"/>
      <c r="RNS82" s="798"/>
      <c r="RNT82" s="798"/>
      <c r="RNU82" s="798"/>
      <c r="RNV82" s="798"/>
      <c r="RNW82" s="798"/>
      <c r="RNX82" s="798"/>
      <c r="RNY82" s="798"/>
      <c r="RNZ82" s="798"/>
      <c r="ROA82" s="798"/>
      <c r="ROB82" s="798"/>
      <c r="ROC82" s="798"/>
      <c r="ROD82" s="798"/>
      <c r="ROE82" s="798"/>
      <c r="ROF82" s="798"/>
      <c r="ROG82" s="798"/>
      <c r="ROH82" s="798"/>
      <c r="ROI82" s="798"/>
      <c r="ROJ82" s="798"/>
      <c r="ROK82" s="798"/>
      <c r="ROL82" s="798"/>
      <c r="ROM82" s="798"/>
      <c r="RON82" s="798"/>
      <c r="ROO82" s="798"/>
      <c r="ROP82" s="798"/>
      <c r="ROQ82" s="798"/>
      <c r="ROR82" s="798"/>
      <c r="ROS82" s="798"/>
      <c r="ROT82" s="798"/>
      <c r="ROU82" s="798"/>
      <c r="ROV82" s="798"/>
      <c r="ROW82" s="798"/>
      <c r="ROX82" s="798"/>
      <c r="ROY82" s="798"/>
      <c r="ROZ82" s="798"/>
      <c r="RPA82" s="798"/>
      <c r="RPB82" s="798"/>
      <c r="RPC82" s="798"/>
      <c r="RPD82" s="798"/>
      <c r="RPE82" s="798"/>
      <c r="RPF82" s="798"/>
      <c r="RPG82" s="798"/>
      <c r="RPH82" s="798"/>
      <c r="RPI82" s="798"/>
      <c r="RPJ82" s="798"/>
      <c r="RPK82" s="798"/>
      <c r="RPL82" s="798"/>
      <c r="RPM82" s="798"/>
      <c r="RPN82" s="798"/>
      <c r="RPO82" s="798"/>
      <c r="RPP82" s="798"/>
      <c r="RPQ82" s="798"/>
      <c r="RPR82" s="798"/>
      <c r="RPS82" s="798"/>
      <c r="RPT82" s="798"/>
      <c r="RPU82" s="798"/>
      <c r="RPV82" s="798"/>
      <c r="RPW82" s="798"/>
      <c r="RPX82" s="798"/>
      <c r="RPY82" s="798"/>
      <c r="RPZ82" s="798"/>
      <c r="RQA82" s="798"/>
      <c r="RQB82" s="798"/>
      <c r="RQC82" s="798"/>
      <c r="RQD82" s="798"/>
      <c r="RQE82" s="798"/>
      <c r="RQF82" s="798"/>
      <c r="RQG82" s="798"/>
      <c r="RQH82" s="798"/>
      <c r="RQI82" s="798"/>
      <c r="RQJ82" s="798"/>
      <c r="RQK82" s="798"/>
      <c r="RQL82" s="798"/>
      <c r="RQM82" s="798"/>
      <c r="RQN82" s="798"/>
      <c r="RQO82" s="798"/>
      <c r="RQP82" s="798"/>
      <c r="RQQ82" s="798"/>
      <c r="RQR82" s="798"/>
      <c r="RQS82" s="798"/>
      <c r="RQT82" s="798"/>
      <c r="RQU82" s="798"/>
      <c r="RQV82" s="798"/>
      <c r="RQW82" s="798"/>
      <c r="RQX82" s="798"/>
      <c r="RQY82" s="798"/>
      <c r="RQZ82" s="798"/>
      <c r="RRA82" s="798"/>
      <c r="RRB82" s="798"/>
      <c r="RRC82" s="798"/>
      <c r="RRD82" s="798"/>
      <c r="RRE82" s="798"/>
      <c r="RRF82" s="798"/>
      <c r="RRG82" s="798"/>
      <c r="RRH82" s="798"/>
      <c r="RRI82" s="798"/>
      <c r="RRJ82" s="798"/>
      <c r="RRK82" s="798"/>
      <c r="RRL82" s="798"/>
      <c r="RRM82" s="798"/>
      <c r="RRN82" s="798"/>
      <c r="RRO82" s="798"/>
      <c r="RRP82" s="798"/>
      <c r="RRQ82" s="798"/>
      <c r="RRR82" s="798"/>
      <c r="RRS82" s="798"/>
      <c r="RRT82" s="798"/>
      <c r="RRU82" s="798"/>
      <c r="RRV82" s="798"/>
      <c r="RRW82" s="798"/>
      <c r="RRX82" s="798"/>
      <c r="RRY82" s="798"/>
      <c r="RRZ82" s="798"/>
      <c r="RSA82" s="798"/>
      <c r="RSB82" s="798"/>
      <c r="RSC82" s="798"/>
      <c r="RSD82" s="798"/>
      <c r="RSE82" s="798"/>
      <c r="RSF82" s="798"/>
      <c r="RSG82" s="798"/>
      <c r="RSH82" s="798"/>
      <c r="RSI82" s="798"/>
      <c r="RSJ82" s="798"/>
      <c r="RSK82" s="798"/>
      <c r="RSL82" s="798"/>
      <c r="RSM82" s="798"/>
      <c r="RSN82" s="798"/>
      <c r="RSO82" s="798"/>
      <c r="RSP82" s="798"/>
      <c r="RSQ82" s="798"/>
      <c r="RSR82" s="798"/>
      <c r="RSS82" s="798"/>
      <c r="RST82" s="798"/>
      <c r="RSU82" s="798"/>
      <c r="RSV82" s="798"/>
      <c r="RSW82" s="798"/>
      <c r="RSX82" s="798"/>
      <c r="RSY82" s="798"/>
      <c r="RSZ82" s="798"/>
      <c r="RTA82" s="798"/>
      <c r="RTB82" s="798"/>
      <c r="RTC82" s="798"/>
      <c r="RTD82" s="798"/>
      <c r="RTE82" s="798"/>
      <c r="RTF82" s="798"/>
      <c r="RTG82" s="798"/>
      <c r="RTH82" s="798"/>
      <c r="RTI82" s="798"/>
      <c r="RTJ82" s="798"/>
      <c r="RTK82" s="798"/>
      <c r="RTL82" s="798"/>
      <c r="RTM82" s="798"/>
      <c r="RTN82" s="798"/>
      <c r="RTO82" s="798"/>
      <c r="RTP82" s="798"/>
      <c r="RTQ82" s="798"/>
      <c r="RTR82" s="798"/>
      <c r="RTS82" s="798"/>
      <c r="RTT82" s="798"/>
      <c r="RTU82" s="798"/>
      <c r="RTV82" s="798"/>
      <c r="RTW82" s="798"/>
      <c r="RTX82" s="798"/>
      <c r="RTY82" s="798"/>
      <c r="RTZ82" s="798"/>
      <c r="RUA82" s="798"/>
      <c r="RUB82" s="798"/>
      <c r="RUC82" s="798"/>
      <c r="RUD82" s="798"/>
      <c r="RUE82" s="798"/>
      <c r="RUF82" s="798"/>
      <c r="RUG82" s="798"/>
      <c r="RUH82" s="798"/>
      <c r="RUI82" s="798"/>
      <c r="RUJ82" s="798"/>
      <c r="RUK82" s="798"/>
      <c r="RUL82" s="798"/>
      <c r="RUM82" s="798"/>
      <c r="RUN82" s="798"/>
      <c r="RUO82" s="798"/>
      <c r="RUP82" s="798"/>
      <c r="RUQ82" s="798"/>
      <c r="RUR82" s="798"/>
      <c r="RUS82" s="798"/>
      <c r="RUT82" s="798"/>
      <c r="RUU82" s="798"/>
      <c r="RUV82" s="798"/>
      <c r="RUW82" s="798"/>
      <c r="RUX82" s="798"/>
      <c r="RUY82" s="798"/>
      <c r="RUZ82" s="798"/>
      <c r="RVA82" s="798"/>
      <c r="RVB82" s="798"/>
      <c r="RVC82" s="798"/>
      <c r="RVD82" s="798"/>
      <c r="RVE82" s="798"/>
      <c r="RVF82" s="798"/>
      <c r="RVG82" s="798"/>
      <c r="RVH82" s="798"/>
      <c r="RVI82" s="798"/>
      <c r="RVJ82" s="798"/>
      <c r="RVK82" s="798"/>
      <c r="RVL82" s="798"/>
      <c r="RVM82" s="798"/>
      <c r="RVN82" s="798"/>
      <c r="RVO82" s="798"/>
      <c r="RVP82" s="798"/>
      <c r="RVQ82" s="798"/>
      <c r="RVR82" s="798"/>
      <c r="RVS82" s="798"/>
      <c r="RVT82" s="798"/>
      <c r="RVU82" s="798"/>
      <c r="RVV82" s="798"/>
      <c r="RVW82" s="798"/>
      <c r="RVX82" s="798"/>
      <c r="RVY82" s="798"/>
      <c r="RVZ82" s="798"/>
      <c r="RWA82" s="798"/>
      <c r="RWB82" s="798"/>
      <c r="RWC82" s="798"/>
      <c r="RWD82" s="798"/>
      <c r="RWE82" s="798"/>
      <c r="RWF82" s="798"/>
      <c r="RWG82" s="798"/>
      <c r="RWH82" s="798"/>
      <c r="RWI82" s="798"/>
      <c r="RWJ82" s="798"/>
      <c r="RWK82" s="798"/>
      <c r="RWL82" s="798"/>
      <c r="RWM82" s="798"/>
      <c r="RWN82" s="798"/>
      <c r="RWO82" s="798"/>
      <c r="RWP82" s="798"/>
      <c r="RWQ82" s="798"/>
      <c r="RWR82" s="798"/>
      <c r="RWS82" s="798"/>
      <c r="RWT82" s="798"/>
      <c r="RWU82" s="798"/>
      <c r="RWV82" s="798"/>
      <c r="RWW82" s="798"/>
      <c r="RWX82" s="798"/>
      <c r="RWY82" s="798"/>
      <c r="RWZ82" s="798"/>
      <c r="RXA82" s="798"/>
      <c r="RXB82" s="798"/>
      <c r="RXC82" s="798"/>
      <c r="RXD82" s="798"/>
      <c r="RXE82" s="798"/>
      <c r="RXF82" s="798"/>
      <c r="RXG82" s="798"/>
      <c r="RXH82" s="798"/>
      <c r="RXI82" s="798"/>
      <c r="RXJ82" s="798"/>
      <c r="RXK82" s="798"/>
      <c r="RXL82" s="798"/>
      <c r="RXM82" s="798"/>
      <c r="RXN82" s="798"/>
      <c r="RXO82" s="798"/>
      <c r="RXP82" s="798"/>
      <c r="RXQ82" s="798"/>
      <c r="RXR82" s="798"/>
      <c r="RXS82" s="798"/>
      <c r="RXT82" s="798"/>
      <c r="RXU82" s="798"/>
      <c r="RXV82" s="798"/>
      <c r="RXW82" s="798"/>
      <c r="RXX82" s="798"/>
      <c r="RXY82" s="798"/>
      <c r="RXZ82" s="798"/>
      <c r="RYA82" s="798"/>
      <c r="RYB82" s="798"/>
      <c r="RYC82" s="798"/>
      <c r="RYD82" s="798"/>
      <c r="RYE82" s="798"/>
      <c r="RYF82" s="798"/>
      <c r="RYG82" s="798"/>
      <c r="RYH82" s="798"/>
      <c r="RYI82" s="798"/>
      <c r="RYJ82" s="798"/>
      <c r="RYK82" s="798"/>
      <c r="RYL82" s="798"/>
      <c r="RYM82" s="798"/>
      <c r="RYN82" s="798"/>
      <c r="RYO82" s="798"/>
      <c r="RYP82" s="798"/>
      <c r="RYQ82" s="798"/>
      <c r="RYR82" s="798"/>
      <c r="RYS82" s="798"/>
      <c r="RYT82" s="798"/>
      <c r="RYU82" s="798"/>
      <c r="RYV82" s="798"/>
      <c r="RYW82" s="798"/>
      <c r="RYX82" s="798"/>
      <c r="RYY82" s="798"/>
      <c r="RYZ82" s="798"/>
      <c r="RZA82" s="798"/>
      <c r="RZB82" s="798"/>
      <c r="RZC82" s="798"/>
      <c r="RZD82" s="798"/>
      <c r="RZE82" s="798"/>
      <c r="RZF82" s="798"/>
      <c r="RZG82" s="798"/>
      <c r="RZH82" s="798"/>
      <c r="RZI82" s="798"/>
      <c r="RZJ82" s="798"/>
      <c r="RZK82" s="798"/>
      <c r="RZL82" s="798"/>
      <c r="RZM82" s="798"/>
      <c r="RZN82" s="798"/>
      <c r="RZO82" s="798"/>
      <c r="RZP82" s="798"/>
      <c r="RZQ82" s="798"/>
      <c r="RZR82" s="798"/>
      <c r="RZS82" s="798"/>
      <c r="RZT82" s="798"/>
      <c r="RZU82" s="798"/>
      <c r="RZV82" s="798"/>
      <c r="RZW82" s="798"/>
      <c r="RZX82" s="798"/>
      <c r="RZY82" s="798"/>
      <c r="RZZ82" s="798"/>
      <c r="SAA82" s="798"/>
      <c r="SAB82" s="798"/>
      <c r="SAC82" s="798"/>
      <c r="SAD82" s="798"/>
      <c r="SAE82" s="798"/>
      <c r="SAF82" s="798"/>
      <c r="SAG82" s="798"/>
      <c r="SAH82" s="798"/>
      <c r="SAI82" s="798"/>
      <c r="SAJ82" s="798"/>
      <c r="SAK82" s="798"/>
      <c r="SAL82" s="798"/>
      <c r="SAM82" s="798"/>
      <c r="SAN82" s="798"/>
      <c r="SAO82" s="798"/>
      <c r="SAP82" s="798"/>
      <c r="SAQ82" s="798"/>
      <c r="SAR82" s="798"/>
      <c r="SAS82" s="798"/>
      <c r="SAT82" s="798"/>
      <c r="SAU82" s="798"/>
      <c r="SAV82" s="798"/>
      <c r="SAW82" s="798"/>
      <c r="SAX82" s="798"/>
      <c r="SAY82" s="798"/>
      <c r="SAZ82" s="798"/>
      <c r="SBA82" s="798"/>
      <c r="SBB82" s="798"/>
      <c r="SBC82" s="798"/>
      <c r="SBD82" s="798"/>
      <c r="SBE82" s="798"/>
      <c r="SBF82" s="798"/>
      <c r="SBG82" s="798"/>
      <c r="SBH82" s="798"/>
      <c r="SBI82" s="798"/>
      <c r="SBJ82" s="798"/>
      <c r="SBK82" s="798"/>
      <c r="SBL82" s="798"/>
      <c r="SBM82" s="798"/>
      <c r="SBN82" s="798"/>
      <c r="SBO82" s="798"/>
      <c r="SBP82" s="798"/>
      <c r="SBQ82" s="798"/>
      <c r="SBR82" s="798"/>
      <c r="SBS82" s="798"/>
      <c r="SBT82" s="798"/>
      <c r="SBU82" s="798"/>
      <c r="SBV82" s="798"/>
      <c r="SBW82" s="798"/>
      <c r="SBX82" s="798"/>
      <c r="SBY82" s="798"/>
      <c r="SBZ82" s="798"/>
      <c r="SCA82" s="798"/>
      <c r="SCB82" s="798"/>
      <c r="SCC82" s="798"/>
      <c r="SCD82" s="798"/>
      <c r="SCE82" s="798"/>
      <c r="SCF82" s="798"/>
      <c r="SCG82" s="798"/>
      <c r="SCH82" s="798"/>
      <c r="SCI82" s="798"/>
      <c r="SCJ82" s="798"/>
      <c r="SCK82" s="798"/>
      <c r="SCL82" s="798"/>
      <c r="SCM82" s="798"/>
      <c r="SCN82" s="798"/>
      <c r="SCO82" s="798"/>
      <c r="SCP82" s="798"/>
      <c r="SCQ82" s="798"/>
      <c r="SCR82" s="798"/>
      <c r="SCS82" s="798"/>
      <c r="SCT82" s="798"/>
      <c r="SCU82" s="798"/>
      <c r="SCV82" s="798"/>
      <c r="SCW82" s="798"/>
      <c r="SCX82" s="798"/>
      <c r="SCY82" s="798"/>
      <c r="SCZ82" s="798"/>
      <c r="SDA82" s="798"/>
      <c r="SDB82" s="798"/>
      <c r="SDC82" s="798"/>
      <c r="SDD82" s="798"/>
      <c r="SDE82" s="798"/>
      <c r="SDF82" s="798"/>
      <c r="SDG82" s="798"/>
      <c r="SDH82" s="798"/>
      <c r="SDI82" s="798"/>
      <c r="SDJ82" s="798"/>
      <c r="SDK82" s="798"/>
      <c r="SDL82" s="798"/>
      <c r="SDM82" s="798"/>
      <c r="SDN82" s="798"/>
      <c r="SDO82" s="798"/>
      <c r="SDP82" s="798"/>
      <c r="SDQ82" s="798"/>
      <c r="SDR82" s="798"/>
      <c r="SDS82" s="798"/>
      <c r="SDT82" s="798"/>
      <c r="SDU82" s="798"/>
      <c r="SDV82" s="798"/>
      <c r="SDW82" s="798"/>
      <c r="SDX82" s="798"/>
      <c r="SDY82" s="798"/>
      <c r="SDZ82" s="798"/>
      <c r="SEA82" s="798"/>
      <c r="SEB82" s="798"/>
      <c r="SEC82" s="798"/>
      <c r="SED82" s="798"/>
      <c r="SEE82" s="798"/>
      <c r="SEF82" s="798"/>
      <c r="SEG82" s="798"/>
      <c r="SEH82" s="798"/>
      <c r="SEI82" s="798"/>
      <c r="SEJ82" s="798"/>
      <c r="SEK82" s="798"/>
      <c r="SEL82" s="798"/>
      <c r="SEM82" s="798"/>
      <c r="SEN82" s="798"/>
      <c r="SEO82" s="798"/>
      <c r="SEP82" s="798"/>
      <c r="SEQ82" s="798"/>
      <c r="SER82" s="798"/>
      <c r="SES82" s="798"/>
      <c r="SET82" s="798"/>
      <c r="SEU82" s="798"/>
      <c r="SEV82" s="798"/>
      <c r="SEW82" s="798"/>
      <c r="SEX82" s="798"/>
      <c r="SEY82" s="798"/>
      <c r="SEZ82" s="798"/>
      <c r="SFA82" s="798"/>
      <c r="SFB82" s="798"/>
      <c r="SFC82" s="798"/>
      <c r="SFD82" s="798"/>
      <c r="SFE82" s="798"/>
      <c r="SFF82" s="798"/>
      <c r="SFG82" s="798"/>
      <c r="SFH82" s="798"/>
      <c r="SFI82" s="798"/>
      <c r="SFJ82" s="798"/>
      <c r="SFK82" s="798"/>
      <c r="SFL82" s="798"/>
      <c r="SFM82" s="798"/>
      <c r="SFN82" s="798"/>
      <c r="SFO82" s="798"/>
      <c r="SFP82" s="798"/>
      <c r="SFQ82" s="798"/>
      <c r="SFR82" s="798"/>
      <c r="SFS82" s="798"/>
      <c r="SFT82" s="798"/>
      <c r="SFU82" s="798"/>
      <c r="SFV82" s="798"/>
      <c r="SFW82" s="798"/>
      <c r="SFX82" s="798"/>
      <c r="SFY82" s="798"/>
      <c r="SFZ82" s="798"/>
      <c r="SGA82" s="798"/>
      <c r="SGB82" s="798"/>
      <c r="SGC82" s="798"/>
      <c r="SGD82" s="798"/>
      <c r="SGE82" s="798"/>
      <c r="SGF82" s="798"/>
      <c r="SGG82" s="798"/>
      <c r="SGH82" s="798"/>
      <c r="SGI82" s="798"/>
      <c r="SGJ82" s="798"/>
      <c r="SGK82" s="798"/>
      <c r="SGL82" s="798"/>
      <c r="SGM82" s="798"/>
      <c r="SGN82" s="798"/>
      <c r="SGO82" s="798"/>
      <c r="SGP82" s="798"/>
      <c r="SGQ82" s="798"/>
      <c r="SGR82" s="798"/>
      <c r="SGS82" s="798"/>
      <c r="SGT82" s="798"/>
      <c r="SGU82" s="798"/>
      <c r="SGV82" s="798"/>
      <c r="SGW82" s="798"/>
      <c r="SGX82" s="798"/>
      <c r="SGY82" s="798"/>
      <c r="SGZ82" s="798"/>
      <c r="SHA82" s="798"/>
      <c r="SHB82" s="798"/>
      <c r="SHC82" s="798"/>
      <c r="SHD82" s="798"/>
      <c r="SHE82" s="798"/>
      <c r="SHF82" s="798"/>
      <c r="SHG82" s="798"/>
      <c r="SHH82" s="798"/>
      <c r="SHI82" s="798"/>
      <c r="SHJ82" s="798"/>
      <c r="SHK82" s="798"/>
      <c r="SHL82" s="798"/>
      <c r="SHM82" s="798"/>
      <c r="SHN82" s="798"/>
      <c r="SHO82" s="798"/>
      <c r="SHP82" s="798"/>
      <c r="SHQ82" s="798"/>
      <c r="SHR82" s="798"/>
      <c r="SHS82" s="798"/>
      <c r="SHT82" s="798"/>
      <c r="SHU82" s="798"/>
      <c r="SHV82" s="798"/>
      <c r="SHW82" s="798"/>
      <c r="SHX82" s="798"/>
      <c r="SHY82" s="798"/>
      <c r="SHZ82" s="798"/>
      <c r="SIA82" s="798"/>
      <c r="SIB82" s="798"/>
      <c r="SIC82" s="798"/>
      <c r="SID82" s="798"/>
      <c r="SIE82" s="798"/>
      <c r="SIF82" s="798"/>
      <c r="SIG82" s="798"/>
      <c r="SIH82" s="798"/>
      <c r="SII82" s="798"/>
      <c r="SIJ82" s="798"/>
      <c r="SIK82" s="798"/>
      <c r="SIL82" s="798"/>
      <c r="SIM82" s="798"/>
      <c r="SIN82" s="798"/>
      <c r="SIO82" s="798"/>
      <c r="SIP82" s="798"/>
      <c r="SIQ82" s="798"/>
      <c r="SIR82" s="798"/>
      <c r="SIS82" s="798"/>
      <c r="SIT82" s="798"/>
      <c r="SIU82" s="798"/>
      <c r="SIV82" s="798"/>
      <c r="SIW82" s="798"/>
      <c r="SIX82" s="798"/>
      <c r="SIY82" s="798"/>
      <c r="SIZ82" s="798"/>
      <c r="SJA82" s="798"/>
      <c r="SJB82" s="798"/>
      <c r="SJC82" s="798"/>
      <c r="SJD82" s="798"/>
      <c r="SJE82" s="798"/>
      <c r="SJF82" s="798"/>
      <c r="SJG82" s="798"/>
      <c r="SJH82" s="798"/>
      <c r="SJI82" s="798"/>
      <c r="SJJ82" s="798"/>
      <c r="SJK82" s="798"/>
      <c r="SJL82" s="798"/>
      <c r="SJM82" s="798"/>
      <c r="SJN82" s="798"/>
      <c r="SJO82" s="798"/>
      <c r="SJP82" s="798"/>
      <c r="SJQ82" s="798"/>
      <c r="SJR82" s="798"/>
      <c r="SJS82" s="798"/>
      <c r="SJT82" s="798"/>
      <c r="SJU82" s="798"/>
      <c r="SJV82" s="798"/>
      <c r="SJW82" s="798"/>
      <c r="SJX82" s="798"/>
      <c r="SJY82" s="798"/>
      <c r="SJZ82" s="798"/>
      <c r="SKA82" s="798"/>
      <c r="SKB82" s="798"/>
      <c r="SKC82" s="798"/>
      <c r="SKD82" s="798"/>
      <c r="SKE82" s="798"/>
      <c r="SKF82" s="798"/>
      <c r="SKG82" s="798"/>
      <c r="SKH82" s="798"/>
      <c r="SKI82" s="798"/>
      <c r="SKJ82" s="798"/>
      <c r="SKK82" s="798"/>
      <c r="SKL82" s="798"/>
      <c r="SKM82" s="798"/>
      <c r="SKN82" s="798"/>
      <c r="SKO82" s="798"/>
      <c r="SKP82" s="798"/>
      <c r="SKQ82" s="798"/>
      <c r="SKR82" s="798"/>
      <c r="SKS82" s="798"/>
      <c r="SKT82" s="798"/>
      <c r="SKU82" s="798"/>
      <c r="SKV82" s="798"/>
      <c r="SKW82" s="798"/>
      <c r="SKX82" s="798"/>
      <c r="SKY82" s="798"/>
      <c r="SKZ82" s="798"/>
      <c r="SLA82" s="798"/>
      <c r="SLB82" s="798"/>
      <c r="SLC82" s="798"/>
      <c r="SLD82" s="798"/>
      <c r="SLE82" s="798"/>
      <c r="SLF82" s="798"/>
      <c r="SLG82" s="798"/>
      <c r="SLH82" s="798"/>
      <c r="SLI82" s="798"/>
      <c r="SLJ82" s="798"/>
      <c r="SLK82" s="798"/>
      <c r="SLL82" s="798"/>
      <c r="SLM82" s="798"/>
      <c r="SLN82" s="798"/>
      <c r="SLO82" s="798"/>
      <c r="SLP82" s="798"/>
      <c r="SLQ82" s="798"/>
      <c r="SLR82" s="798"/>
      <c r="SLS82" s="798"/>
      <c r="SLT82" s="798"/>
      <c r="SLU82" s="798"/>
      <c r="SLV82" s="798"/>
      <c r="SLW82" s="798"/>
      <c r="SLX82" s="798"/>
      <c r="SLY82" s="798"/>
      <c r="SLZ82" s="798"/>
      <c r="SMA82" s="798"/>
      <c r="SMB82" s="798"/>
      <c r="SMC82" s="798"/>
      <c r="SMD82" s="798"/>
      <c r="SME82" s="798"/>
      <c r="SMF82" s="798"/>
      <c r="SMG82" s="798"/>
      <c r="SMH82" s="798"/>
      <c r="SMI82" s="798"/>
      <c r="SMJ82" s="798"/>
      <c r="SMK82" s="798"/>
      <c r="SML82" s="798"/>
      <c r="SMM82" s="798"/>
      <c r="SMN82" s="798"/>
      <c r="SMO82" s="798"/>
      <c r="SMP82" s="798"/>
      <c r="SMQ82" s="798"/>
      <c r="SMR82" s="798"/>
      <c r="SMS82" s="798"/>
      <c r="SMT82" s="798"/>
      <c r="SMU82" s="798"/>
      <c r="SMV82" s="798"/>
      <c r="SMW82" s="798"/>
      <c r="SMX82" s="798"/>
      <c r="SMY82" s="798"/>
      <c r="SMZ82" s="798"/>
      <c r="SNA82" s="798"/>
      <c r="SNB82" s="798"/>
      <c r="SNC82" s="798"/>
      <c r="SND82" s="798"/>
      <c r="SNE82" s="798"/>
      <c r="SNF82" s="798"/>
      <c r="SNG82" s="798"/>
      <c r="SNH82" s="798"/>
      <c r="SNI82" s="798"/>
      <c r="SNJ82" s="798"/>
      <c r="SNK82" s="798"/>
      <c r="SNL82" s="798"/>
      <c r="SNM82" s="798"/>
      <c r="SNN82" s="798"/>
      <c r="SNO82" s="798"/>
      <c r="SNP82" s="798"/>
      <c r="SNQ82" s="798"/>
      <c r="SNR82" s="798"/>
      <c r="SNS82" s="798"/>
      <c r="SNT82" s="798"/>
      <c r="SNU82" s="798"/>
      <c r="SNV82" s="798"/>
      <c r="SNW82" s="798"/>
      <c r="SNX82" s="798"/>
      <c r="SNY82" s="798"/>
      <c r="SNZ82" s="798"/>
      <c r="SOA82" s="798"/>
      <c r="SOB82" s="798"/>
      <c r="SOC82" s="798"/>
      <c r="SOD82" s="798"/>
      <c r="SOE82" s="798"/>
      <c r="SOF82" s="798"/>
      <c r="SOG82" s="798"/>
      <c r="SOH82" s="798"/>
      <c r="SOI82" s="798"/>
      <c r="SOJ82" s="798"/>
      <c r="SOK82" s="798"/>
      <c r="SOL82" s="798"/>
      <c r="SOM82" s="798"/>
      <c r="SON82" s="798"/>
      <c r="SOO82" s="798"/>
      <c r="SOP82" s="798"/>
      <c r="SOQ82" s="798"/>
      <c r="SOR82" s="798"/>
      <c r="SOS82" s="798"/>
      <c r="SOT82" s="798"/>
      <c r="SOU82" s="798"/>
      <c r="SOV82" s="798"/>
      <c r="SOW82" s="798"/>
      <c r="SOX82" s="798"/>
      <c r="SOY82" s="798"/>
      <c r="SOZ82" s="798"/>
      <c r="SPA82" s="798"/>
      <c r="SPB82" s="798"/>
      <c r="SPC82" s="798"/>
      <c r="SPD82" s="798"/>
      <c r="SPE82" s="798"/>
      <c r="SPF82" s="798"/>
      <c r="SPG82" s="798"/>
      <c r="SPH82" s="798"/>
      <c r="SPI82" s="798"/>
      <c r="SPJ82" s="798"/>
      <c r="SPK82" s="798"/>
      <c r="SPL82" s="798"/>
      <c r="SPM82" s="798"/>
      <c r="SPN82" s="798"/>
      <c r="SPO82" s="798"/>
      <c r="SPP82" s="798"/>
      <c r="SPQ82" s="798"/>
      <c r="SPR82" s="798"/>
      <c r="SPS82" s="798"/>
      <c r="SPT82" s="798"/>
      <c r="SPU82" s="798"/>
      <c r="SPV82" s="798"/>
      <c r="SPW82" s="798"/>
      <c r="SPX82" s="798"/>
      <c r="SPY82" s="798"/>
      <c r="SPZ82" s="798"/>
      <c r="SQA82" s="798"/>
      <c r="SQB82" s="798"/>
      <c r="SQC82" s="798"/>
      <c r="SQD82" s="798"/>
      <c r="SQE82" s="798"/>
      <c r="SQF82" s="798"/>
      <c r="SQG82" s="798"/>
      <c r="SQH82" s="798"/>
      <c r="SQI82" s="798"/>
      <c r="SQJ82" s="798"/>
      <c r="SQK82" s="798"/>
      <c r="SQL82" s="798"/>
      <c r="SQM82" s="798"/>
      <c r="SQN82" s="798"/>
      <c r="SQO82" s="798"/>
      <c r="SQP82" s="798"/>
      <c r="SQQ82" s="798"/>
      <c r="SQR82" s="798"/>
      <c r="SQS82" s="798"/>
      <c r="SQT82" s="798"/>
      <c r="SQU82" s="798"/>
      <c r="SQV82" s="798"/>
      <c r="SQW82" s="798"/>
      <c r="SQX82" s="798"/>
      <c r="SQY82" s="798"/>
      <c r="SQZ82" s="798"/>
      <c r="SRA82" s="798"/>
      <c r="SRB82" s="798"/>
      <c r="SRC82" s="798"/>
      <c r="SRD82" s="798"/>
      <c r="SRE82" s="798"/>
      <c r="SRF82" s="798"/>
      <c r="SRG82" s="798"/>
      <c r="SRH82" s="798"/>
      <c r="SRI82" s="798"/>
      <c r="SRJ82" s="798"/>
      <c r="SRK82" s="798"/>
      <c r="SRL82" s="798"/>
      <c r="SRM82" s="798"/>
      <c r="SRN82" s="798"/>
      <c r="SRO82" s="798"/>
      <c r="SRP82" s="798"/>
      <c r="SRQ82" s="798"/>
      <c r="SRR82" s="798"/>
      <c r="SRS82" s="798"/>
      <c r="SRT82" s="798"/>
      <c r="SRU82" s="798"/>
      <c r="SRV82" s="798"/>
      <c r="SRW82" s="798"/>
      <c r="SRX82" s="798"/>
      <c r="SRY82" s="798"/>
      <c r="SRZ82" s="798"/>
      <c r="SSA82" s="798"/>
      <c r="SSB82" s="798"/>
      <c r="SSC82" s="798"/>
      <c r="SSD82" s="798"/>
      <c r="SSE82" s="798"/>
      <c r="SSF82" s="798"/>
      <c r="SSG82" s="798"/>
      <c r="SSH82" s="798"/>
      <c r="SSI82" s="798"/>
      <c r="SSJ82" s="798"/>
      <c r="SSK82" s="798"/>
      <c r="SSL82" s="798"/>
      <c r="SSM82" s="798"/>
      <c r="SSN82" s="798"/>
      <c r="SSO82" s="798"/>
      <c r="SSP82" s="798"/>
      <c r="SSQ82" s="798"/>
      <c r="SSR82" s="798"/>
      <c r="SSS82" s="798"/>
      <c r="SST82" s="798"/>
      <c r="SSU82" s="798"/>
      <c r="SSV82" s="798"/>
      <c r="SSW82" s="798"/>
      <c r="SSX82" s="798"/>
      <c r="SSY82" s="798"/>
      <c r="SSZ82" s="798"/>
      <c r="STA82" s="798"/>
      <c r="STB82" s="798"/>
      <c r="STC82" s="798"/>
      <c r="STD82" s="798"/>
      <c r="STE82" s="798"/>
      <c r="STF82" s="798"/>
      <c r="STG82" s="798"/>
      <c r="STH82" s="798"/>
      <c r="STI82" s="798"/>
      <c r="STJ82" s="798"/>
      <c r="STK82" s="798"/>
      <c r="STL82" s="798"/>
      <c r="STM82" s="798"/>
      <c r="STN82" s="798"/>
      <c r="STO82" s="798"/>
      <c r="STP82" s="798"/>
      <c r="STQ82" s="798"/>
      <c r="STR82" s="798"/>
      <c r="STS82" s="798"/>
      <c r="STT82" s="798"/>
      <c r="STU82" s="798"/>
      <c r="STV82" s="798"/>
      <c r="STW82" s="798"/>
      <c r="STX82" s="798"/>
      <c r="STY82" s="798"/>
      <c r="STZ82" s="798"/>
      <c r="SUA82" s="798"/>
      <c r="SUB82" s="798"/>
      <c r="SUC82" s="798"/>
      <c r="SUD82" s="798"/>
      <c r="SUE82" s="798"/>
      <c r="SUF82" s="798"/>
      <c r="SUG82" s="798"/>
      <c r="SUH82" s="798"/>
      <c r="SUI82" s="798"/>
      <c r="SUJ82" s="798"/>
      <c r="SUK82" s="798"/>
      <c r="SUL82" s="798"/>
      <c r="SUM82" s="798"/>
      <c r="SUN82" s="798"/>
      <c r="SUO82" s="798"/>
      <c r="SUP82" s="798"/>
      <c r="SUQ82" s="798"/>
      <c r="SUR82" s="798"/>
      <c r="SUS82" s="798"/>
      <c r="SUT82" s="798"/>
      <c r="SUU82" s="798"/>
      <c r="SUV82" s="798"/>
      <c r="SUW82" s="798"/>
      <c r="SUX82" s="798"/>
      <c r="SUY82" s="798"/>
      <c r="SUZ82" s="798"/>
      <c r="SVA82" s="798"/>
      <c r="SVB82" s="798"/>
      <c r="SVC82" s="798"/>
      <c r="SVD82" s="798"/>
      <c r="SVE82" s="798"/>
      <c r="SVF82" s="798"/>
      <c r="SVG82" s="798"/>
      <c r="SVH82" s="798"/>
      <c r="SVI82" s="798"/>
      <c r="SVJ82" s="798"/>
      <c r="SVK82" s="798"/>
      <c r="SVL82" s="798"/>
      <c r="SVM82" s="798"/>
      <c r="SVN82" s="798"/>
      <c r="SVO82" s="798"/>
      <c r="SVP82" s="798"/>
      <c r="SVQ82" s="798"/>
      <c r="SVR82" s="798"/>
      <c r="SVS82" s="798"/>
      <c r="SVT82" s="798"/>
      <c r="SVU82" s="798"/>
      <c r="SVV82" s="798"/>
      <c r="SVW82" s="798"/>
      <c r="SVX82" s="798"/>
      <c r="SVY82" s="798"/>
      <c r="SVZ82" s="798"/>
      <c r="SWA82" s="798"/>
      <c r="SWB82" s="798"/>
      <c r="SWC82" s="798"/>
      <c r="SWD82" s="798"/>
      <c r="SWE82" s="798"/>
      <c r="SWF82" s="798"/>
      <c r="SWG82" s="798"/>
      <c r="SWH82" s="798"/>
      <c r="SWI82" s="798"/>
      <c r="SWJ82" s="798"/>
      <c r="SWK82" s="798"/>
      <c r="SWL82" s="798"/>
      <c r="SWM82" s="798"/>
      <c r="SWN82" s="798"/>
      <c r="SWO82" s="798"/>
      <c r="SWP82" s="798"/>
      <c r="SWQ82" s="798"/>
      <c r="SWR82" s="798"/>
      <c r="SWS82" s="798"/>
      <c r="SWT82" s="798"/>
      <c r="SWU82" s="798"/>
      <c r="SWV82" s="798"/>
      <c r="SWW82" s="798"/>
      <c r="SWX82" s="798"/>
      <c r="SWY82" s="798"/>
      <c r="SWZ82" s="798"/>
      <c r="SXA82" s="798"/>
      <c r="SXB82" s="798"/>
      <c r="SXC82" s="798"/>
      <c r="SXD82" s="798"/>
      <c r="SXE82" s="798"/>
      <c r="SXF82" s="798"/>
      <c r="SXG82" s="798"/>
      <c r="SXH82" s="798"/>
      <c r="SXI82" s="798"/>
      <c r="SXJ82" s="798"/>
      <c r="SXK82" s="798"/>
      <c r="SXL82" s="798"/>
      <c r="SXM82" s="798"/>
      <c r="SXN82" s="798"/>
      <c r="SXO82" s="798"/>
      <c r="SXP82" s="798"/>
      <c r="SXQ82" s="798"/>
      <c r="SXR82" s="798"/>
      <c r="SXS82" s="798"/>
      <c r="SXT82" s="798"/>
      <c r="SXU82" s="798"/>
      <c r="SXV82" s="798"/>
      <c r="SXW82" s="798"/>
      <c r="SXX82" s="798"/>
      <c r="SXY82" s="798"/>
      <c r="SXZ82" s="798"/>
      <c r="SYA82" s="798"/>
      <c r="SYB82" s="798"/>
      <c r="SYC82" s="798"/>
      <c r="SYD82" s="798"/>
      <c r="SYE82" s="798"/>
      <c r="SYF82" s="798"/>
      <c r="SYG82" s="798"/>
      <c r="SYH82" s="798"/>
      <c r="SYI82" s="798"/>
      <c r="SYJ82" s="798"/>
      <c r="SYK82" s="798"/>
      <c r="SYL82" s="798"/>
      <c r="SYM82" s="798"/>
      <c r="SYN82" s="798"/>
      <c r="SYO82" s="798"/>
      <c r="SYP82" s="798"/>
      <c r="SYQ82" s="798"/>
      <c r="SYR82" s="798"/>
      <c r="SYS82" s="798"/>
      <c r="SYT82" s="798"/>
      <c r="SYU82" s="798"/>
      <c r="SYV82" s="798"/>
      <c r="SYW82" s="798"/>
      <c r="SYX82" s="798"/>
      <c r="SYY82" s="798"/>
      <c r="SYZ82" s="798"/>
      <c r="SZA82" s="798"/>
      <c r="SZB82" s="798"/>
      <c r="SZC82" s="798"/>
      <c r="SZD82" s="798"/>
      <c r="SZE82" s="798"/>
      <c r="SZF82" s="798"/>
      <c r="SZG82" s="798"/>
      <c r="SZH82" s="798"/>
      <c r="SZI82" s="798"/>
      <c r="SZJ82" s="798"/>
      <c r="SZK82" s="798"/>
      <c r="SZL82" s="798"/>
      <c r="SZM82" s="798"/>
      <c r="SZN82" s="798"/>
      <c r="SZO82" s="798"/>
      <c r="SZP82" s="798"/>
      <c r="SZQ82" s="798"/>
      <c r="SZR82" s="798"/>
      <c r="SZS82" s="798"/>
      <c r="SZT82" s="798"/>
      <c r="SZU82" s="798"/>
      <c r="SZV82" s="798"/>
      <c r="SZW82" s="798"/>
      <c r="SZX82" s="798"/>
      <c r="SZY82" s="798"/>
      <c r="SZZ82" s="798"/>
      <c r="TAA82" s="798"/>
      <c r="TAB82" s="798"/>
      <c r="TAC82" s="798"/>
      <c r="TAD82" s="798"/>
      <c r="TAE82" s="798"/>
      <c r="TAF82" s="798"/>
      <c r="TAG82" s="798"/>
      <c r="TAH82" s="798"/>
      <c r="TAI82" s="798"/>
      <c r="TAJ82" s="798"/>
      <c r="TAK82" s="798"/>
      <c r="TAL82" s="798"/>
      <c r="TAM82" s="798"/>
      <c r="TAN82" s="798"/>
      <c r="TAO82" s="798"/>
      <c r="TAP82" s="798"/>
      <c r="TAQ82" s="798"/>
      <c r="TAR82" s="798"/>
      <c r="TAS82" s="798"/>
      <c r="TAT82" s="798"/>
      <c r="TAU82" s="798"/>
      <c r="TAV82" s="798"/>
      <c r="TAW82" s="798"/>
      <c r="TAX82" s="798"/>
      <c r="TAY82" s="798"/>
      <c r="TAZ82" s="798"/>
      <c r="TBA82" s="798"/>
      <c r="TBB82" s="798"/>
      <c r="TBC82" s="798"/>
      <c r="TBD82" s="798"/>
      <c r="TBE82" s="798"/>
      <c r="TBF82" s="798"/>
      <c r="TBG82" s="798"/>
      <c r="TBH82" s="798"/>
      <c r="TBI82" s="798"/>
      <c r="TBJ82" s="798"/>
      <c r="TBK82" s="798"/>
      <c r="TBL82" s="798"/>
      <c r="TBM82" s="798"/>
      <c r="TBN82" s="798"/>
      <c r="TBO82" s="798"/>
      <c r="TBP82" s="798"/>
      <c r="TBQ82" s="798"/>
      <c r="TBR82" s="798"/>
      <c r="TBS82" s="798"/>
      <c r="TBT82" s="798"/>
      <c r="TBU82" s="798"/>
      <c r="TBV82" s="798"/>
      <c r="TBW82" s="798"/>
      <c r="TBX82" s="798"/>
      <c r="TBY82" s="798"/>
      <c r="TBZ82" s="798"/>
      <c r="TCA82" s="798"/>
      <c r="TCB82" s="798"/>
      <c r="TCC82" s="798"/>
      <c r="TCD82" s="798"/>
      <c r="TCE82" s="798"/>
      <c r="TCF82" s="798"/>
      <c r="TCG82" s="798"/>
      <c r="TCH82" s="798"/>
      <c r="TCI82" s="798"/>
      <c r="TCJ82" s="798"/>
      <c r="TCK82" s="798"/>
      <c r="TCL82" s="798"/>
      <c r="TCM82" s="798"/>
      <c r="TCN82" s="798"/>
      <c r="TCO82" s="798"/>
      <c r="TCP82" s="798"/>
      <c r="TCQ82" s="798"/>
      <c r="TCR82" s="798"/>
      <c r="TCS82" s="798"/>
      <c r="TCT82" s="798"/>
      <c r="TCU82" s="798"/>
      <c r="TCV82" s="798"/>
      <c r="TCW82" s="798"/>
      <c r="TCX82" s="798"/>
      <c r="TCY82" s="798"/>
      <c r="TCZ82" s="798"/>
      <c r="TDA82" s="798"/>
      <c r="TDB82" s="798"/>
      <c r="TDC82" s="798"/>
      <c r="TDD82" s="798"/>
      <c r="TDE82" s="798"/>
      <c r="TDF82" s="798"/>
      <c r="TDG82" s="798"/>
      <c r="TDH82" s="798"/>
      <c r="TDI82" s="798"/>
      <c r="TDJ82" s="798"/>
      <c r="TDK82" s="798"/>
      <c r="TDL82" s="798"/>
      <c r="TDM82" s="798"/>
      <c r="TDN82" s="798"/>
      <c r="TDO82" s="798"/>
      <c r="TDP82" s="798"/>
      <c r="TDQ82" s="798"/>
      <c r="TDR82" s="798"/>
      <c r="TDS82" s="798"/>
      <c r="TDT82" s="798"/>
      <c r="TDU82" s="798"/>
      <c r="TDV82" s="798"/>
      <c r="TDW82" s="798"/>
      <c r="TDX82" s="798"/>
      <c r="TDY82" s="798"/>
      <c r="TDZ82" s="798"/>
      <c r="TEA82" s="798"/>
      <c r="TEB82" s="798"/>
      <c r="TEC82" s="798"/>
      <c r="TED82" s="798"/>
      <c r="TEE82" s="798"/>
      <c r="TEF82" s="798"/>
      <c r="TEG82" s="798"/>
      <c r="TEH82" s="798"/>
      <c r="TEI82" s="798"/>
      <c r="TEJ82" s="798"/>
      <c r="TEK82" s="798"/>
      <c r="TEL82" s="798"/>
      <c r="TEM82" s="798"/>
      <c r="TEN82" s="798"/>
      <c r="TEO82" s="798"/>
      <c r="TEP82" s="798"/>
      <c r="TEQ82" s="798"/>
      <c r="TER82" s="798"/>
      <c r="TES82" s="798"/>
      <c r="TET82" s="798"/>
      <c r="TEU82" s="798"/>
      <c r="TEV82" s="798"/>
      <c r="TEW82" s="798"/>
      <c r="TEX82" s="798"/>
      <c r="TEY82" s="798"/>
      <c r="TEZ82" s="798"/>
      <c r="TFA82" s="798"/>
      <c r="TFB82" s="798"/>
      <c r="TFC82" s="798"/>
      <c r="TFD82" s="798"/>
      <c r="TFE82" s="798"/>
      <c r="TFF82" s="798"/>
      <c r="TFG82" s="798"/>
      <c r="TFH82" s="798"/>
      <c r="TFI82" s="798"/>
      <c r="TFJ82" s="798"/>
      <c r="TFK82" s="798"/>
      <c r="TFL82" s="798"/>
      <c r="TFM82" s="798"/>
      <c r="TFN82" s="798"/>
      <c r="TFO82" s="798"/>
      <c r="TFP82" s="798"/>
      <c r="TFQ82" s="798"/>
      <c r="TFR82" s="798"/>
      <c r="TFS82" s="798"/>
      <c r="TFT82" s="798"/>
      <c r="TFU82" s="798"/>
      <c r="TFV82" s="798"/>
      <c r="TFW82" s="798"/>
      <c r="TFX82" s="798"/>
      <c r="TFY82" s="798"/>
      <c r="TFZ82" s="798"/>
      <c r="TGA82" s="798"/>
      <c r="TGB82" s="798"/>
      <c r="TGC82" s="798"/>
      <c r="TGD82" s="798"/>
      <c r="TGE82" s="798"/>
      <c r="TGF82" s="798"/>
      <c r="TGG82" s="798"/>
      <c r="TGH82" s="798"/>
      <c r="TGI82" s="798"/>
      <c r="TGJ82" s="798"/>
      <c r="TGK82" s="798"/>
      <c r="TGL82" s="798"/>
      <c r="TGM82" s="798"/>
      <c r="TGN82" s="798"/>
      <c r="TGO82" s="798"/>
      <c r="TGP82" s="798"/>
      <c r="TGQ82" s="798"/>
      <c r="TGR82" s="798"/>
      <c r="TGS82" s="798"/>
      <c r="TGT82" s="798"/>
      <c r="TGU82" s="798"/>
      <c r="TGV82" s="798"/>
      <c r="TGW82" s="798"/>
      <c r="TGX82" s="798"/>
      <c r="TGY82" s="798"/>
      <c r="TGZ82" s="798"/>
      <c r="THA82" s="798"/>
      <c r="THB82" s="798"/>
      <c r="THC82" s="798"/>
      <c r="THD82" s="798"/>
      <c r="THE82" s="798"/>
      <c r="THF82" s="798"/>
      <c r="THG82" s="798"/>
      <c r="THH82" s="798"/>
      <c r="THI82" s="798"/>
      <c r="THJ82" s="798"/>
      <c r="THK82" s="798"/>
      <c r="THL82" s="798"/>
      <c r="THM82" s="798"/>
      <c r="THN82" s="798"/>
      <c r="THO82" s="798"/>
      <c r="THP82" s="798"/>
      <c r="THQ82" s="798"/>
      <c r="THR82" s="798"/>
      <c r="THS82" s="798"/>
      <c r="THT82" s="798"/>
      <c r="THU82" s="798"/>
      <c r="THV82" s="798"/>
      <c r="THW82" s="798"/>
      <c r="THX82" s="798"/>
      <c r="THY82" s="798"/>
      <c r="THZ82" s="798"/>
      <c r="TIA82" s="798"/>
      <c r="TIB82" s="798"/>
      <c r="TIC82" s="798"/>
      <c r="TID82" s="798"/>
      <c r="TIE82" s="798"/>
      <c r="TIF82" s="798"/>
      <c r="TIG82" s="798"/>
      <c r="TIH82" s="798"/>
      <c r="TII82" s="798"/>
      <c r="TIJ82" s="798"/>
      <c r="TIK82" s="798"/>
      <c r="TIL82" s="798"/>
      <c r="TIM82" s="798"/>
      <c r="TIN82" s="798"/>
      <c r="TIO82" s="798"/>
      <c r="TIP82" s="798"/>
      <c r="TIQ82" s="798"/>
      <c r="TIR82" s="798"/>
      <c r="TIS82" s="798"/>
      <c r="TIT82" s="798"/>
      <c r="TIU82" s="798"/>
      <c r="TIV82" s="798"/>
      <c r="TIW82" s="798"/>
      <c r="TIX82" s="798"/>
      <c r="TIY82" s="798"/>
      <c r="TIZ82" s="798"/>
      <c r="TJA82" s="798"/>
      <c r="TJB82" s="798"/>
      <c r="TJC82" s="798"/>
      <c r="TJD82" s="798"/>
      <c r="TJE82" s="798"/>
      <c r="TJF82" s="798"/>
      <c r="TJG82" s="798"/>
      <c r="TJH82" s="798"/>
      <c r="TJI82" s="798"/>
      <c r="TJJ82" s="798"/>
      <c r="TJK82" s="798"/>
      <c r="TJL82" s="798"/>
      <c r="TJM82" s="798"/>
      <c r="TJN82" s="798"/>
      <c r="TJO82" s="798"/>
      <c r="TJP82" s="798"/>
      <c r="TJQ82" s="798"/>
      <c r="TJR82" s="798"/>
      <c r="TJS82" s="798"/>
      <c r="TJT82" s="798"/>
      <c r="TJU82" s="798"/>
      <c r="TJV82" s="798"/>
      <c r="TJW82" s="798"/>
      <c r="TJX82" s="798"/>
      <c r="TJY82" s="798"/>
      <c r="TJZ82" s="798"/>
      <c r="TKA82" s="798"/>
      <c r="TKB82" s="798"/>
      <c r="TKC82" s="798"/>
      <c r="TKD82" s="798"/>
      <c r="TKE82" s="798"/>
      <c r="TKF82" s="798"/>
      <c r="TKG82" s="798"/>
      <c r="TKH82" s="798"/>
      <c r="TKI82" s="798"/>
      <c r="TKJ82" s="798"/>
      <c r="TKK82" s="798"/>
      <c r="TKL82" s="798"/>
      <c r="TKM82" s="798"/>
      <c r="TKN82" s="798"/>
      <c r="TKO82" s="798"/>
      <c r="TKP82" s="798"/>
      <c r="TKQ82" s="798"/>
      <c r="TKR82" s="798"/>
      <c r="TKS82" s="798"/>
      <c r="TKT82" s="798"/>
      <c r="TKU82" s="798"/>
      <c r="TKV82" s="798"/>
      <c r="TKW82" s="798"/>
      <c r="TKX82" s="798"/>
      <c r="TKY82" s="798"/>
      <c r="TKZ82" s="798"/>
      <c r="TLA82" s="798"/>
      <c r="TLB82" s="798"/>
      <c r="TLC82" s="798"/>
      <c r="TLD82" s="798"/>
      <c r="TLE82" s="798"/>
      <c r="TLF82" s="798"/>
      <c r="TLG82" s="798"/>
      <c r="TLH82" s="798"/>
      <c r="TLI82" s="798"/>
      <c r="TLJ82" s="798"/>
      <c r="TLK82" s="798"/>
      <c r="TLL82" s="798"/>
      <c r="TLM82" s="798"/>
      <c r="TLN82" s="798"/>
      <c r="TLO82" s="798"/>
      <c r="TLP82" s="798"/>
      <c r="TLQ82" s="798"/>
      <c r="TLR82" s="798"/>
      <c r="TLS82" s="798"/>
      <c r="TLT82" s="798"/>
      <c r="TLU82" s="798"/>
      <c r="TLV82" s="798"/>
      <c r="TLW82" s="798"/>
      <c r="TLX82" s="798"/>
      <c r="TLY82" s="798"/>
      <c r="TLZ82" s="798"/>
      <c r="TMA82" s="798"/>
      <c r="TMB82" s="798"/>
      <c r="TMC82" s="798"/>
      <c r="TMD82" s="798"/>
      <c r="TME82" s="798"/>
      <c r="TMF82" s="798"/>
      <c r="TMG82" s="798"/>
      <c r="TMH82" s="798"/>
      <c r="TMI82" s="798"/>
      <c r="TMJ82" s="798"/>
      <c r="TMK82" s="798"/>
      <c r="TML82" s="798"/>
      <c r="TMM82" s="798"/>
      <c r="TMN82" s="798"/>
      <c r="TMO82" s="798"/>
      <c r="TMP82" s="798"/>
      <c r="TMQ82" s="798"/>
      <c r="TMR82" s="798"/>
      <c r="TMS82" s="798"/>
      <c r="TMT82" s="798"/>
      <c r="TMU82" s="798"/>
      <c r="TMV82" s="798"/>
      <c r="TMW82" s="798"/>
      <c r="TMX82" s="798"/>
      <c r="TMY82" s="798"/>
      <c r="TMZ82" s="798"/>
      <c r="TNA82" s="798"/>
      <c r="TNB82" s="798"/>
      <c r="TNC82" s="798"/>
      <c r="TND82" s="798"/>
      <c r="TNE82" s="798"/>
      <c r="TNF82" s="798"/>
      <c r="TNG82" s="798"/>
      <c r="TNH82" s="798"/>
      <c r="TNI82" s="798"/>
      <c r="TNJ82" s="798"/>
      <c r="TNK82" s="798"/>
      <c r="TNL82" s="798"/>
      <c r="TNM82" s="798"/>
      <c r="TNN82" s="798"/>
      <c r="TNO82" s="798"/>
      <c r="TNP82" s="798"/>
      <c r="TNQ82" s="798"/>
      <c r="TNR82" s="798"/>
      <c r="TNS82" s="798"/>
      <c r="TNT82" s="798"/>
      <c r="TNU82" s="798"/>
      <c r="TNV82" s="798"/>
      <c r="TNW82" s="798"/>
      <c r="TNX82" s="798"/>
      <c r="TNY82" s="798"/>
      <c r="TNZ82" s="798"/>
      <c r="TOA82" s="798"/>
      <c r="TOB82" s="798"/>
      <c r="TOC82" s="798"/>
      <c r="TOD82" s="798"/>
      <c r="TOE82" s="798"/>
      <c r="TOF82" s="798"/>
      <c r="TOG82" s="798"/>
      <c r="TOH82" s="798"/>
      <c r="TOI82" s="798"/>
      <c r="TOJ82" s="798"/>
      <c r="TOK82" s="798"/>
      <c r="TOL82" s="798"/>
      <c r="TOM82" s="798"/>
      <c r="TON82" s="798"/>
      <c r="TOO82" s="798"/>
      <c r="TOP82" s="798"/>
      <c r="TOQ82" s="798"/>
      <c r="TOR82" s="798"/>
      <c r="TOS82" s="798"/>
      <c r="TOT82" s="798"/>
      <c r="TOU82" s="798"/>
      <c r="TOV82" s="798"/>
      <c r="TOW82" s="798"/>
      <c r="TOX82" s="798"/>
      <c r="TOY82" s="798"/>
      <c r="TOZ82" s="798"/>
      <c r="TPA82" s="798"/>
      <c r="TPB82" s="798"/>
      <c r="TPC82" s="798"/>
      <c r="TPD82" s="798"/>
      <c r="TPE82" s="798"/>
      <c r="TPF82" s="798"/>
      <c r="TPG82" s="798"/>
      <c r="TPH82" s="798"/>
      <c r="TPI82" s="798"/>
      <c r="TPJ82" s="798"/>
      <c r="TPK82" s="798"/>
      <c r="TPL82" s="798"/>
      <c r="TPM82" s="798"/>
      <c r="TPN82" s="798"/>
      <c r="TPO82" s="798"/>
      <c r="TPP82" s="798"/>
      <c r="TPQ82" s="798"/>
      <c r="TPR82" s="798"/>
      <c r="TPS82" s="798"/>
      <c r="TPT82" s="798"/>
      <c r="TPU82" s="798"/>
      <c r="TPV82" s="798"/>
      <c r="TPW82" s="798"/>
      <c r="TPX82" s="798"/>
      <c r="TPY82" s="798"/>
      <c r="TPZ82" s="798"/>
      <c r="TQA82" s="798"/>
      <c r="TQB82" s="798"/>
      <c r="TQC82" s="798"/>
      <c r="TQD82" s="798"/>
      <c r="TQE82" s="798"/>
      <c r="TQF82" s="798"/>
      <c r="TQG82" s="798"/>
      <c r="TQH82" s="798"/>
      <c r="TQI82" s="798"/>
      <c r="TQJ82" s="798"/>
      <c r="TQK82" s="798"/>
      <c r="TQL82" s="798"/>
      <c r="TQM82" s="798"/>
      <c r="TQN82" s="798"/>
      <c r="TQO82" s="798"/>
      <c r="TQP82" s="798"/>
      <c r="TQQ82" s="798"/>
      <c r="TQR82" s="798"/>
      <c r="TQS82" s="798"/>
      <c r="TQT82" s="798"/>
      <c r="TQU82" s="798"/>
      <c r="TQV82" s="798"/>
      <c r="TQW82" s="798"/>
      <c r="TQX82" s="798"/>
      <c r="TQY82" s="798"/>
      <c r="TQZ82" s="798"/>
      <c r="TRA82" s="798"/>
      <c r="TRB82" s="798"/>
      <c r="TRC82" s="798"/>
      <c r="TRD82" s="798"/>
      <c r="TRE82" s="798"/>
      <c r="TRF82" s="798"/>
      <c r="TRG82" s="798"/>
      <c r="TRH82" s="798"/>
      <c r="TRI82" s="798"/>
      <c r="TRJ82" s="798"/>
      <c r="TRK82" s="798"/>
      <c r="TRL82" s="798"/>
      <c r="TRM82" s="798"/>
      <c r="TRN82" s="798"/>
      <c r="TRO82" s="798"/>
      <c r="TRP82" s="798"/>
      <c r="TRQ82" s="798"/>
      <c r="TRR82" s="798"/>
      <c r="TRS82" s="798"/>
      <c r="TRT82" s="798"/>
      <c r="TRU82" s="798"/>
      <c r="TRV82" s="798"/>
      <c r="TRW82" s="798"/>
      <c r="TRX82" s="798"/>
      <c r="TRY82" s="798"/>
      <c r="TRZ82" s="798"/>
      <c r="TSA82" s="798"/>
      <c r="TSB82" s="798"/>
      <c r="TSC82" s="798"/>
      <c r="TSD82" s="798"/>
      <c r="TSE82" s="798"/>
      <c r="TSF82" s="798"/>
      <c r="TSG82" s="798"/>
      <c r="TSH82" s="798"/>
      <c r="TSI82" s="798"/>
      <c r="TSJ82" s="798"/>
      <c r="TSK82" s="798"/>
      <c r="TSL82" s="798"/>
      <c r="TSM82" s="798"/>
      <c r="TSN82" s="798"/>
      <c r="TSO82" s="798"/>
      <c r="TSP82" s="798"/>
      <c r="TSQ82" s="798"/>
      <c r="TSR82" s="798"/>
      <c r="TSS82" s="798"/>
      <c r="TST82" s="798"/>
      <c r="TSU82" s="798"/>
      <c r="TSV82" s="798"/>
      <c r="TSW82" s="798"/>
      <c r="TSX82" s="798"/>
      <c r="TSY82" s="798"/>
      <c r="TSZ82" s="798"/>
      <c r="TTA82" s="798"/>
      <c r="TTB82" s="798"/>
      <c r="TTC82" s="798"/>
      <c r="TTD82" s="798"/>
      <c r="TTE82" s="798"/>
      <c r="TTF82" s="798"/>
      <c r="TTG82" s="798"/>
      <c r="TTH82" s="798"/>
      <c r="TTI82" s="798"/>
      <c r="TTJ82" s="798"/>
      <c r="TTK82" s="798"/>
      <c r="TTL82" s="798"/>
      <c r="TTM82" s="798"/>
      <c r="TTN82" s="798"/>
      <c r="TTO82" s="798"/>
      <c r="TTP82" s="798"/>
      <c r="TTQ82" s="798"/>
      <c r="TTR82" s="798"/>
      <c r="TTS82" s="798"/>
      <c r="TTT82" s="798"/>
      <c r="TTU82" s="798"/>
      <c r="TTV82" s="798"/>
      <c r="TTW82" s="798"/>
      <c r="TTX82" s="798"/>
      <c r="TTY82" s="798"/>
      <c r="TTZ82" s="798"/>
      <c r="TUA82" s="798"/>
      <c r="TUB82" s="798"/>
      <c r="TUC82" s="798"/>
      <c r="TUD82" s="798"/>
      <c r="TUE82" s="798"/>
      <c r="TUF82" s="798"/>
      <c r="TUG82" s="798"/>
      <c r="TUH82" s="798"/>
      <c r="TUI82" s="798"/>
      <c r="TUJ82" s="798"/>
      <c r="TUK82" s="798"/>
      <c r="TUL82" s="798"/>
      <c r="TUM82" s="798"/>
      <c r="TUN82" s="798"/>
      <c r="TUO82" s="798"/>
      <c r="TUP82" s="798"/>
      <c r="TUQ82" s="798"/>
      <c r="TUR82" s="798"/>
      <c r="TUS82" s="798"/>
      <c r="TUT82" s="798"/>
      <c r="TUU82" s="798"/>
      <c r="TUV82" s="798"/>
      <c r="TUW82" s="798"/>
      <c r="TUX82" s="798"/>
      <c r="TUY82" s="798"/>
      <c r="TUZ82" s="798"/>
      <c r="TVA82" s="798"/>
      <c r="TVB82" s="798"/>
      <c r="TVC82" s="798"/>
      <c r="TVD82" s="798"/>
      <c r="TVE82" s="798"/>
      <c r="TVF82" s="798"/>
      <c r="TVG82" s="798"/>
      <c r="TVH82" s="798"/>
      <c r="TVI82" s="798"/>
      <c r="TVJ82" s="798"/>
      <c r="TVK82" s="798"/>
      <c r="TVL82" s="798"/>
      <c r="TVM82" s="798"/>
      <c r="TVN82" s="798"/>
      <c r="TVO82" s="798"/>
      <c r="TVP82" s="798"/>
      <c r="TVQ82" s="798"/>
      <c r="TVR82" s="798"/>
      <c r="TVS82" s="798"/>
      <c r="TVT82" s="798"/>
      <c r="TVU82" s="798"/>
      <c r="TVV82" s="798"/>
      <c r="TVW82" s="798"/>
      <c r="TVX82" s="798"/>
      <c r="TVY82" s="798"/>
      <c r="TVZ82" s="798"/>
      <c r="TWA82" s="798"/>
      <c r="TWB82" s="798"/>
      <c r="TWC82" s="798"/>
      <c r="TWD82" s="798"/>
      <c r="TWE82" s="798"/>
      <c r="TWF82" s="798"/>
      <c r="TWG82" s="798"/>
      <c r="TWH82" s="798"/>
      <c r="TWI82" s="798"/>
      <c r="TWJ82" s="798"/>
      <c r="TWK82" s="798"/>
      <c r="TWL82" s="798"/>
      <c r="TWM82" s="798"/>
      <c r="TWN82" s="798"/>
      <c r="TWO82" s="798"/>
      <c r="TWP82" s="798"/>
      <c r="TWQ82" s="798"/>
      <c r="TWR82" s="798"/>
      <c r="TWS82" s="798"/>
      <c r="TWT82" s="798"/>
      <c r="TWU82" s="798"/>
      <c r="TWV82" s="798"/>
      <c r="TWW82" s="798"/>
      <c r="TWX82" s="798"/>
      <c r="TWY82" s="798"/>
      <c r="TWZ82" s="798"/>
      <c r="TXA82" s="798"/>
      <c r="TXB82" s="798"/>
      <c r="TXC82" s="798"/>
      <c r="TXD82" s="798"/>
      <c r="TXE82" s="798"/>
      <c r="TXF82" s="798"/>
      <c r="TXG82" s="798"/>
      <c r="TXH82" s="798"/>
      <c r="TXI82" s="798"/>
      <c r="TXJ82" s="798"/>
      <c r="TXK82" s="798"/>
      <c r="TXL82" s="798"/>
      <c r="TXM82" s="798"/>
      <c r="TXN82" s="798"/>
      <c r="TXO82" s="798"/>
      <c r="TXP82" s="798"/>
      <c r="TXQ82" s="798"/>
      <c r="TXR82" s="798"/>
      <c r="TXS82" s="798"/>
      <c r="TXT82" s="798"/>
      <c r="TXU82" s="798"/>
      <c r="TXV82" s="798"/>
      <c r="TXW82" s="798"/>
      <c r="TXX82" s="798"/>
      <c r="TXY82" s="798"/>
      <c r="TXZ82" s="798"/>
      <c r="TYA82" s="798"/>
      <c r="TYB82" s="798"/>
      <c r="TYC82" s="798"/>
      <c r="TYD82" s="798"/>
      <c r="TYE82" s="798"/>
      <c r="TYF82" s="798"/>
      <c r="TYG82" s="798"/>
      <c r="TYH82" s="798"/>
      <c r="TYI82" s="798"/>
      <c r="TYJ82" s="798"/>
      <c r="TYK82" s="798"/>
      <c r="TYL82" s="798"/>
      <c r="TYM82" s="798"/>
      <c r="TYN82" s="798"/>
      <c r="TYO82" s="798"/>
      <c r="TYP82" s="798"/>
      <c r="TYQ82" s="798"/>
      <c r="TYR82" s="798"/>
      <c r="TYS82" s="798"/>
      <c r="TYT82" s="798"/>
      <c r="TYU82" s="798"/>
      <c r="TYV82" s="798"/>
      <c r="TYW82" s="798"/>
      <c r="TYX82" s="798"/>
      <c r="TYY82" s="798"/>
      <c r="TYZ82" s="798"/>
      <c r="TZA82" s="798"/>
      <c r="TZB82" s="798"/>
      <c r="TZC82" s="798"/>
      <c r="TZD82" s="798"/>
      <c r="TZE82" s="798"/>
      <c r="TZF82" s="798"/>
      <c r="TZG82" s="798"/>
      <c r="TZH82" s="798"/>
      <c r="TZI82" s="798"/>
      <c r="TZJ82" s="798"/>
      <c r="TZK82" s="798"/>
      <c r="TZL82" s="798"/>
      <c r="TZM82" s="798"/>
      <c r="TZN82" s="798"/>
      <c r="TZO82" s="798"/>
      <c r="TZP82" s="798"/>
      <c r="TZQ82" s="798"/>
      <c r="TZR82" s="798"/>
      <c r="TZS82" s="798"/>
      <c r="TZT82" s="798"/>
      <c r="TZU82" s="798"/>
      <c r="TZV82" s="798"/>
      <c r="TZW82" s="798"/>
      <c r="TZX82" s="798"/>
      <c r="TZY82" s="798"/>
      <c r="TZZ82" s="798"/>
      <c r="UAA82" s="798"/>
      <c r="UAB82" s="798"/>
      <c r="UAC82" s="798"/>
      <c r="UAD82" s="798"/>
      <c r="UAE82" s="798"/>
      <c r="UAF82" s="798"/>
      <c r="UAG82" s="798"/>
      <c r="UAH82" s="798"/>
      <c r="UAI82" s="798"/>
      <c r="UAJ82" s="798"/>
      <c r="UAK82" s="798"/>
      <c r="UAL82" s="798"/>
      <c r="UAM82" s="798"/>
      <c r="UAN82" s="798"/>
      <c r="UAO82" s="798"/>
      <c r="UAP82" s="798"/>
      <c r="UAQ82" s="798"/>
      <c r="UAR82" s="798"/>
      <c r="UAS82" s="798"/>
      <c r="UAT82" s="798"/>
      <c r="UAU82" s="798"/>
      <c r="UAV82" s="798"/>
      <c r="UAW82" s="798"/>
      <c r="UAX82" s="798"/>
      <c r="UAY82" s="798"/>
      <c r="UAZ82" s="798"/>
      <c r="UBA82" s="798"/>
      <c r="UBB82" s="798"/>
      <c r="UBC82" s="798"/>
      <c r="UBD82" s="798"/>
      <c r="UBE82" s="798"/>
      <c r="UBF82" s="798"/>
      <c r="UBG82" s="798"/>
      <c r="UBH82" s="798"/>
      <c r="UBI82" s="798"/>
      <c r="UBJ82" s="798"/>
      <c r="UBK82" s="798"/>
      <c r="UBL82" s="798"/>
      <c r="UBM82" s="798"/>
      <c r="UBN82" s="798"/>
      <c r="UBO82" s="798"/>
      <c r="UBP82" s="798"/>
      <c r="UBQ82" s="798"/>
      <c r="UBR82" s="798"/>
      <c r="UBS82" s="798"/>
      <c r="UBT82" s="798"/>
      <c r="UBU82" s="798"/>
      <c r="UBV82" s="798"/>
      <c r="UBW82" s="798"/>
      <c r="UBX82" s="798"/>
      <c r="UBY82" s="798"/>
      <c r="UBZ82" s="798"/>
      <c r="UCA82" s="798"/>
      <c r="UCB82" s="798"/>
      <c r="UCC82" s="798"/>
      <c r="UCD82" s="798"/>
      <c r="UCE82" s="798"/>
      <c r="UCF82" s="798"/>
      <c r="UCG82" s="798"/>
      <c r="UCH82" s="798"/>
      <c r="UCI82" s="798"/>
      <c r="UCJ82" s="798"/>
      <c r="UCK82" s="798"/>
      <c r="UCL82" s="798"/>
      <c r="UCM82" s="798"/>
      <c r="UCN82" s="798"/>
      <c r="UCO82" s="798"/>
      <c r="UCP82" s="798"/>
      <c r="UCQ82" s="798"/>
      <c r="UCR82" s="798"/>
      <c r="UCS82" s="798"/>
      <c r="UCT82" s="798"/>
      <c r="UCU82" s="798"/>
      <c r="UCV82" s="798"/>
      <c r="UCW82" s="798"/>
      <c r="UCX82" s="798"/>
      <c r="UCY82" s="798"/>
      <c r="UCZ82" s="798"/>
      <c r="UDA82" s="798"/>
      <c r="UDB82" s="798"/>
      <c r="UDC82" s="798"/>
      <c r="UDD82" s="798"/>
      <c r="UDE82" s="798"/>
      <c r="UDF82" s="798"/>
      <c r="UDG82" s="798"/>
      <c r="UDH82" s="798"/>
      <c r="UDI82" s="798"/>
      <c r="UDJ82" s="798"/>
      <c r="UDK82" s="798"/>
      <c r="UDL82" s="798"/>
      <c r="UDM82" s="798"/>
      <c r="UDN82" s="798"/>
      <c r="UDO82" s="798"/>
      <c r="UDP82" s="798"/>
      <c r="UDQ82" s="798"/>
      <c r="UDR82" s="798"/>
      <c r="UDS82" s="798"/>
      <c r="UDT82" s="798"/>
      <c r="UDU82" s="798"/>
      <c r="UDV82" s="798"/>
      <c r="UDW82" s="798"/>
      <c r="UDX82" s="798"/>
      <c r="UDY82" s="798"/>
      <c r="UDZ82" s="798"/>
      <c r="UEA82" s="798"/>
      <c r="UEB82" s="798"/>
      <c r="UEC82" s="798"/>
      <c r="UED82" s="798"/>
      <c r="UEE82" s="798"/>
      <c r="UEF82" s="798"/>
      <c r="UEG82" s="798"/>
      <c r="UEH82" s="798"/>
      <c r="UEI82" s="798"/>
      <c r="UEJ82" s="798"/>
      <c r="UEK82" s="798"/>
      <c r="UEL82" s="798"/>
      <c r="UEM82" s="798"/>
      <c r="UEN82" s="798"/>
      <c r="UEO82" s="798"/>
      <c r="UEP82" s="798"/>
      <c r="UEQ82" s="798"/>
      <c r="UER82" s="798"/>
      <c r="UES82" s="798"/>
      <c r="UET82" s="798"/>
      <c r="UEU82" s="798"/>
      <c r="UEV82" s="798"/>
      <c r="UEW82" s="798"/>
      <c r="UEX82" s="798"/>
      <c r="UEY82" s="798"/>
      <c r="UEZ82" s="798"/>
      <c r="UFA82" s="798"/>
      <c r="UFB82" s="798"/>
      <c r="UFC82" s="798"/>
      <c r="UFD82" s="798"/>
      <c r="UFE82" s="798"/>
      <c r="UFF82" s="798"/>
      <c r="UFG82" s="798"/>
      <c r="UFH82" s="798"/>
      <c r="UFI82" s="798"/>
      <c r="UFJ82" s="798"/>
      <c r="UFK82" s="798"/>
      <c r="UFL82" s="798"/>
      <c r="UFM82" s="798"/>
      <c r="UFN82" s="798"/>
      <c r="UFO82" s="798"/>
      <c r="UFP82" s="798"/>
      <c r="UFQ82" s="798"/>
      <c r="UFR82" s="798"/>
      <c r="UFS82" s="798"/>
      <c r="UFT82" s="798"/>
      <c r="UFU82" s="798"/>
      <c r="UFV82" s="798"/>
      <c r="UFW82" s="798"/>
      <c r="UFX82" s="798"/>
      <c r="UFY82" s="798"/>
      <c r="UFZ82" s="798"/>
      <c r="UGA82" s="798"/>
      <c r="UGB82" s="798"/>
      <c r="UGC82" s="798"/>
      <c r="UGD82" s="798"/>
      <c r="UGE82" s="798"/>
      <c r="UGF82" s="798"/>
      <c r="UGG82" s="798"/>
      <c r="UGH82" s="798"/>
      <c r="UGI82" s="798"/>
      <c r="UGJ82" s="798"/>
      <c r="UGK82" s="798"/>
      <c r="UGL82" s="798"/>
      <c r="UGM82" s="798"/>
      <c r="UGN82" s="798"/>
      <c r="UGO82" s="798"/>
      <c r="UGP82" s="798"/>
      <c r="UGQ82" s="798"/>
      <c r="UGR82" s="798"/>
      <c r="UGS82" s="798"/>
      <c r="UGT82" s="798"/>
      <c r="UGU82" s="798"/>
      <c r="UGV82" s="798"/>
      <c r="UGW82" s="798"/>
      <c r="UGX82" s="798"/>
      <c r="UGY82" s="798"/>
      <c r="UGZ82" s="798"/>
      <c r="UHA82" s="798"/>
      <c r="UHB82" s="798"/>
      <c r="UHC82" s="798"/>
      <c r="UHD82" s="798"/>
      <c r="UHE82" s="798"/>
      <c r="UHF82" s="798"/>
      <c r="UHG82" s="798"/>
      <c r="UHH82" s="798"/>
      <c r="UHI82" s="798"/>
      <c r="UHJ82" s="798"/>
      <c r="UHK82" s="798"/>
      <c r="UHL82" s="798"/>
      <c r="UHM82" s="798"/>
      <c r="UHN82" s="798"/>
      <c r="UHO82" s="798"/>
      <c r="UHP82" s="798"/>
      <c r="UHQ82" s="798"/>
      <c r="UHR82" s="798"/>
      <c r="UHS82" s="798"/>
      <c r="UHT82" s="798"/>
      <c r="UHU82" s="798"/>
      <c r="UHV82" s="798"/>
      <c r="UHW82" s="798"/>
      <c r="UHX82" s="798"/>
      <c r="UHY82" s="798"/>
      <c r="UHZ82" s="798"/>
      <c r="UIA82" s="798"/>
      <c r="UIB82" s="798"/>
      <c r="UIC82" s="798"/>
      <c r="UID82" s="798"/>
      <c r="UIE82" s="798"/>
      <c r="UIF82" s="798"/>
      <c r="UIG82" s="798"/>
      <c r="UIH82" s="798"/>
      <c r="UII82" s="798"/>
      <c r="UIJ82" s="798"/>
      <c r="UIK82" s="798"/>
      <c r="UIL82" s="798"/>
      <c r="UIM82" s="798"/>
      <c r="UIN82" s="798"/>
      <c r="UIO82" s="798"/>
      <c r="UIP82" s="798"/>
      <c r="UIQ82" s="798"/>
      <c r="UIR82" s="798"/>
      <c r="UIS82" s="798"/>
      <c r="UIT82" s="798"/>
      <c r="UIU82" s="798"/>
      <c r="UIV82" s="798"/>
      <c r="UIW82" s="798"/>
      <c r="UIX82" s="798"/>
      <c r="UIY82" s="798"/>
      <c r="UIZ82" s="798"/>
      <c r="UJA82" s="798"/>
      <c r="UJB82" s="798"/>
      <c r="UJC82" s="798"/>
      <c r="UJD82" s="798"/>
      <c r="UJE82" s="798"/>
      <c r="UJF82" s="798"/>
      <c r="UJG82" s="798"/>
      <c r="UJH82" s="798"/>
      <c r="UJI82" s="798"/>
      <c r="UJJ82" s="798"/>
      <c r="UJK82" s="798"/>
      <c r="UJL82" s="798"/>
      <c r="UJM82" s="798"/>
      <c r="UJN82" s="798"/>
      <c r="UJO82" s="798"/>
      <c r="UJP82" s="798"/>
      <c r="UJQ82" s="798"/>
      <c r="UJR82" s="798"/>
      <c r="UJS82" s="798"/>
      <c r="UJT82" s="798"/>
      <c r="UJU82" s="798"/>
      <c r="UJV82" s="798"/>
      <c r="UJW82" s="798"/>
      <c r="UJX82" s="798"/>
      <c r="UJY82" s="798"/>
      <c r="UJZ82" s="798"/>
      <c r="UKA82" s="798"/>
      <c r="UKB82" s="798"/>
      <c r="UKC82" s="798"/>
      <c r="UKD82" s="798"/>
      <c r="UKE82" s="798"/>
      <c r="UKF82" s="798"/>
      <c r="UKG82" s="798"/>
      <c r="UKH82" s="798"/>
      <c r="UKI82" s="798"/>
      <c r="UKJ82" s="798"/>
      <c r="UKK82" s="798"/>
      <c r="UKL82" s="798"/>
      <c r="UKM82" s="798"/>
      <c r="UKN82" s="798"/>
      <c r="UKO82" s="798"/>
      <c r="UKP82" s="798"/>
      <c r="UKQ82" s="798"/>
      <c r="UKR82" s="798"/>
      <c r="UKS82" s="798"/>
      <c r="UKT82" s="798"/>
      <c r="UKU82" s="798"/>
      <c r="UKV82" s="798"/>
      <c r="UKW82" s="798"/>
      <c r="UKX82" s="798"/>
      <c r="UKY82" s="798"/>
      <c r="UKZ82" s="798"/>
      <c r="ULA82" s="798"/>
      <c r="ULB82" s="798"/>
      <c r="ULC82" s="798"/>
      <c r="ULD82" s="798"/>
      <c r="ULE82" s="798"/>
      <c r="ULF82" s="798"/>
      <c r="ULG82" s="798"/>
      <c r="ULH82" s="798"/>
      <c r="ULI82" s="798"/>
      <c r="ULJ82" s="798"/>
      <c r="ULK82" s="798"/>
      <c r="ULL82" s="798"/>
      <c r="ULM82" s="798"/>
      <c r="ULN82" s="798"/>
      <c r="ULO82" s="798"/>
      <c r="ULP82" s="798"/>
      <c r="ULQ82" s="798"/>
      <c r="ULR82" s="798"/>
      <c r="ULS82" s="798"/>
      <c r="ULT82" s="798"/>
      <c r="ULU82" s="798"/>
      <c r="ULV82" s="798"/>
      <c r="ULW82" s="798"/>
      <c r="ULX82" s="798"/>
      <c r="ULY82" s="798"/>
      <c r="ULZ82" s="798"/>
      <c r="UMA82" s="798"/>
      <c r="UMB82" s="798"/>
      <c r="UMC82" s="798"/>
      <c r="UMD82" s="798"/>
      <c r="UME82" s="798"/>
      <c r="UMF82" s="798"/>
      <c r="UMG82" s="798"/>
      <c r="UMH82" s="798"/>
      <c r="UMI82" s="798"/>
      <c r="UMJ82" s="798"/>
      <c r="UMK82" s="798"/>
      <c r="UML82" s="798"/>
      <c r="UMM82" s="798"/>
      <c r="UMN82" s="798"/>
      <c r="UMO82" s="798"/>
      <c r="UMP82" s="798"/>
      <c r="UMQ82" s="798"/>
      <c r="UMR82" s="798"/>
      <c r="UMS82" s="798"/>
      <c r="UMT82" s="798"/>
      <c r="UMU82" s="798"/>
      <c r="UMV82" s="798"/>
      <c r="UMW82" s="798"/>
      <c r="UMX82" s="798"/>
      <c r="UMY82" s="798"/>
      <c r="UMZ82" s="798"/>
      <c r="UNA82" s="798"/>
      <c r="UNB82" s="798"/>
      <c r="UNC82" s="798"/>
      <c r="UND82" s="798"/>
      <c r="UNE82" s="798"/>
      <c r="UNF82" s="798"/>
      <c r="UNG82" s="798"/>
      <c r="UNH82" s="798"/>
      <c r="UNI82" s="798"/>
      <c r="UNJ82" s="798"/>
      <c r="UNK82" s="798"/>
      <c r="UNL82" s="798"/>
      <c r="UNM82" s="798"/>
      <c r="UNN82" s="798"/>
      <c r="UNO82" s="798"/>
      <c r="UNP82" s="798"/>
      <c r="UNQ82" s="798"/>
      <c r="UNR82" s="798"/>
      <c r="UNS82" s="798"/>
      <c r="UNT82" s="798"/>
      <c r="UNU82" s="798"/>
      <c r="UNV82" s="798"/>
      <c r="UNW82" s="798"/>
      <c r="UNX82" s="798"/>
      <c r="UNY82" s="798"/>
      <c r="UNZ82" s="798"/>
      <c r="UOA82" s="798"/>
      <c r="UOB82" s="798"/>
      <c r="UOC82" s="798"/>
      <c r="UOD82" s="798"/>
      <c r="UOE82" s="798"/>
      <c r="UOF82" s="798"/>
      <c r="UOG82" s="798"/>
      <c r="UOH82" s="798"/>
      <c r="UOI82" s="798"/>
      <c r="UOJ82" s="798"/>
      <c r="UOK82" s="798"/>
      <c r="UOL82" s="798"/>
      <c r="UOM82" s="798"/>
      <c r="UON82" s="798"/>
      <c r="UOO82" s="798"/>
      <c r="UOP82" s="798"/>
      <c r="UOQ82" s="798"/>
      <c r="UOR82" s="798"/>
      <c r="UOS82" s="798"/>
      <c r="UOT82" s="798"/>
      <c r="UOU82" s="798"/>
      <c r="UOV82" s="798"/>
      <c r="UOW82" s="798"/>
      <c r="UOX82" s="798"/>
      <c r="UOY82" s="798"/>
      <c r="UOZ82" s="798"/>
      <c r="UPA82" s="798"/>
      <c r="UPB82" s="798"/>
      <c r="UPC82" s="798"/>
      <c r="UPD82" s="798"/>
      <c r="UPE82" s="798"/>
      <c r="UPF82" s="798"/>
      <c r="UPG82" s="798"/>
      <c r="UPH82" s="798"/>
      <c r="UPI82" s="798"/>
      <c r="UPJ82" s="798"/>
      <c r="UPK82" s="798"/>
      <c r="UPL82" s="798"/>
      <c r="UPM82" s="798"/>
      <c r="UPN82" s="798"/>
      <c r="UPO82" s="798"/>
      <c r="UPP82" s="798"/>
      <c r="UPQ82" s="798"/>
      <c r="UPR82" s="798"/>
      <c r="UPS82" s="798"/>
      <c r="UPT82" s="798"/>
      <c r="UPU82" s="798"/>
      <c r="UPV82" s="798"/>
      <c r="UPW82" s="798"/>
      <c r="UPX82" s="798"/>
      <c r="UPY82" s="798"/>
      <c r="UPZ82" s="798"/>
      <c r="UQA82" s="798"/>
      <c r="UQB82" s="798"/>
      <c r="UQC82" s="798"/>
      <c r="UQD82" s="798"/>
      <c r="UQE82" s="798"/>
      <c r="UQF82" s="798"/>
      <c r="UQG82" s="798"/>
      <c r="UQH82" s="798"/>
      <c r="UQI82" s="798"/>
      <c r="UQJ82" s="798"/>
      <c r="UQK82" s="798"/>
      <c r="UQL82" s="798"/>
      <c r="UQM82" s="798"/>
      <c r="UQN82" s="798"/>
      <c r="UQO82" s="798"/>
      <c r="UQP82" s="798"/>
      <c r="UQQ82" s="798"/>
      <c r="UQR82" s="798"/>
      <c r="UQS82" s="798"/>
      <c r="UQT82" s="798"/>
      <c r="UQU82" s="798"/>
      <c r="UQV82" s="798"/>
      <c r="UQW82" s="798"/>
      <c r="UQX82" s="798"/>
      <c r="UQY82" s="798"/>
      <c r="UQZ82" s="798"/>
      <c r="URA82" s="798"/>
      <c r="URB82" s="798"/>
      <c r="URC82" s="798"/>
      <c r="URD82" s="798"/>
      <c r="URE82" s="798"/>
      <c r="URF82" s="798"/>
      <c r="URG82" s="798"/>
      <c r="URH82" s="798"/>
      <c r="URI82" s="798"/>
      <c r="URJ82" s="798"/>
      <c r="URK82" s="798"/>
      <c r="URL82" s="798"/>
      <c r="URM82" s="798"/>
      <c r="URN82" s="798"/>
      <c r="URO82" s="798"/>
      <c r="URP82" s="798"/>
      <c r="URQ82" s="798"/>
      <c r="URR82" s="798"/>
      <c r="URS82" s="798"/>
      <c r="URT82" s="798"/>
      <c r="URU82" s="798"/>
      <c r="URV82" s="798"/>
      <c r="URW82" s="798"/>
      <c r="URX82" s="798"/>
      <c r="URY82" s="798"/>
      <c r="URZ82" s="798"/>
      <c r="USA82" s="798"/>
      <c r="USB82" s="798"/>
      <c r="USC82" s="798"/>
      <c r="USD82" s="798"/>
      <c r="USE82" s="798"/>
      <c r="USF82" s="798"/>
      <c r="USG82" s="798"/>
      <c r="USH82" s="798"/>
      <c r="USI82" s="798"/>
      <c r="USJ82" s="798"/>
      <c r="USK82" s="798"/>
      <c r="USL82" s="798"/>
      <c r="USM82" s="798"/>
      <c r="USN82" s="798"/>
      <c r="USO82" s="798"/>
      <c r="USP82" s="798"/>
      <c r="USQ82" s="798"/>
      <c r="USR82" s="798"/>
      <c r="USS82" s="798"/>
      <c r="UST82" s="798"/>
      <c r="USU82" s="798"/>
      <c r="USV82" s="798"/>
      <c r="USW82" s="798"/>
      <c r="USX82" s="798"/>
      <c r="USY82" s="798"/>
      <c r="USZ82" s="798"/>
      <c r="UTA82" s="798"/>
      <c r="UTB82" s="798"/>
      <c r="UTC82" s="798"/>
      <c r="UTD82" s="798"/>
      <c r="UTE82" s="798"/>
      <c r="UTF82" s="798"/>
      <c r="UTG82" s="798"/>
      <c r="UTH82" s="798"/>
      <c r="UTI82" s="798"/>
      <c r="UTJ82" s="798"/>
      <c r="UTK82" s="798"/>
      <c r="UTL82" s="798"/>
      <c r="UTM82" s="798"/>
      <c r="UTN82" s="798"/>
      <c r="UTO82" s="798"/>
      <c r="UTP82" s="798"/>
      <c r="UTQ82" s="798"/>
      <c r="UTR82" s="798"/>
      <c r="UTS82" s="798"/>
      <c r="UTT82" s="798"/>
      <c r="UTU82" s="798"/>
      <c r="UTV82" s="798"/>
      <c r="UTW82" s="798"/>
      <c r="UTX82" s="798"/>
      <c r="UTY82" s="798"/>
      <c r="UTZ82" s="798"/>
      <c r="UUA82" s="798"/>
      <c r="UUB82" s="798"/>
      <c r="UUC82" s="798"/>
      <c r="UUD82" s="798"/>
      <c r="UUE82" s="798"/>
      <c r="UUF82" s="798"/>
      <c r="UUG82" s="798"/>
      <c r="UUH82" s="798"/>
      <c r="UUI82" s="798"/>
      <c r="UUJ82" s="798"/>
      <c r="UUK82" s="798"/>
      <c r="UUL82" s="798"/>
      <c r="UUM82" s="798"/>
      <c r="UUN82" s="798"/>
      <c r="UUO82" s="798"/>
      <c r="UUP82" s="798"/>
      <c r="UUQ82" s="798"/>
      <c r="UUR82" s="798"/>
      <c r="UUS82" s="798"/>
      <c r="UUT82" s="798"/>
      <c r="UUU82" s="798"/>
      <c r="UUV82" s="798"/>
      <c r="UUW82" s="798"/>
      <c r="UUX82" s="798"/>
      <c r="UUY82" s="798"/>
      <c r="UUZ82" s="798"/>
      <c r="UVA82" s="798"/>
      <c r="UVB82" s="798"/>
      <c r="UVC82" s="798"/>
      <c r="UVD82" s="798"/>
      <c r="UVE82" s="798"/>
      <c r="UVF82" s="798"/>
      <c r="UVG82" s="798"/>
      <c r="UVH82" s="798"/>
      <c r="UVI82" s="798"/>
      <c r="UVJ82" s="798"/>
      <c r="UVK82" s="798"/>
      <c r="UVL82" s="798"/>
      <c r="UVM82" s="798"/>
      <c r="UVN82" s="798"/>
      <c r="UVO82" s="798"/>
      <c r="UVP82" s="798"/>
      <c r="UVQ82" s="798"/>
      <c r="UVR82" s="798"/>
      <c r="UVS82" s="798"/>
      <c r="UVT82" s="798"/>
      <c r="UVU82" s="798"/>
      <c r="UVV82" s="798"/>
      <c r="UVW82" s="798"/>
      <c r="UVX82" s="798"/>
      <c r="UVY82" s="798"/>
      <c r="UVZ82" s="798"/>
      <c r="UWA82" s="798"/>
      <c r="UWB82" s="798"/>
      <c r="UWC82" s="798"/>
      <c r="UWD82" s="798"/>
      <c r="UWE82" s="798"/>
      <c r="UWF82" s="798"/>
      <c r="UWG82" s="798"/>
      <c r="UWH82" s="798"/>
      <c r="UWI82" s="798"/>
      <c r="UWJ82" s="798"/>
      <c r="UWK82" s="798"/>
      <c r="UWL82" s="798"/>
      <c r="UWM82" s="798"/>
      <c r="UWN82" s="798"/>
      <c r="UWO82" s="798"/>
      <c r="UWP82" s="798"/>
      <c r="UWQ82" s="798"/>
      <c r="UWR82" s="798"/>
      <c r="UWS82" s="798"/>
      <c r="UWT82" s="798"/>
      <c r="UWU82" s="798"/>
      <c r="UWV82" s="798"/>
      <c r="UWW82" s="798"/>
      <c r="UWX82" s="798"/>
      <c r="UWY82" s="798"/>
      <c r="UWZ82" s="798"/>
      <c r="UXA82" s="798"/>
      <c r="UXB82" s="798"/>
      <c r="UXC82" s="798"/>
      <c r="UXD82" s="798"/>
      <c r="UXE82" s="798"/>
      <c r="UXF82" s="798"/>
      <c r="UXG82" s="798"/>
      <c r="UXH82" s="798"/>
      <c r="UXI82" s="798"/>
      <c r="UXJ82" s="798"/>
      <c r="UXK82" s="798"/>
      <c r="UXL82" s="798"/>
      <c r="UXM82" s="798"/>
      <c r="UXN82" s="798"/>
      <c r="UXO82" s="798"/>
      <c r="UXP82" s="798"/>
      <c r="UXQ82" s="798"/>
      <c r="UXR82" s="798"/>
      <c r="UXS82" s="798"/>
      <c r="UXT82" s="798"/>
      <c r="UXU82" s="798"/>
      <c r="UXV82" s="798"/>
      <c r="UXW82" s="798"/>
      <c r="UXX82" s="798"/>
      <c r="UXY82" s="798"/>
      <c r="UXZ82" s="798"/>
      <c r="UYA82" s="798"/>
      <c r="UYB82" s="798"/>
      <c r="UYC82" s="798"/>
      <c r="UYD82" s="798"/>
      <c r="UYE82" s="798"/>
      <c r="UYF82" s="798"/>
      <c r="UYG82" s="798"/>
      <c r="UYH82" s="798"/>
      <c r="UYI82" s="798"/>
      <c r="UYJ82" s="798"/>
      <c r="UYK82" s="798"/>
      <c r="UYL82" s="798"/>
      <c r="UYM82" s="798"/>
      <c r="UYN82" s="798"/>
      <c r="UYO82" s="798"/>
      <c r="UYP82" s="798"/>
      <c r="UYQ82" s="798"/>
      <c r="UYR82" s="798"/>
      <c r="UYS82" s="798"/>
      <c r="UYT82" s="798"/>
      <c r="UYU82" s="798"/>
      <c r="UYV82" s="798"/>
      <c r="UYW82" s="798"/>
      <c r="UYX82" s="798"/>
      <c r="UYY82" s="798"/>
      <c r="UYZ82" s="798"/>
      <c r="UZA82" s="798"/>
      <c r="UZB82" s="798"/>
      <c r="UZC82" s="798"/>
      <c r="UZD82" s="798"/>
      <c r="UZE82" s="798"/>
      <c r="UZF82" s="798"/>
      <c r="UZG82" s="798"/>
      <c r="UZH82" s="798"/>
      <c r="UZI82" s="798"/>
      <c r="UZJ82" s="798"/>
      <c r="UZK82" s="798"/>
      <c r="UZL82" s="798"/>
      <c r="UZM82" s="798"/>
      <c r="UZN82" s="798"/>
      <c r="UZO82" s="798"/>
      <c r="UZP82" s="798"/>
      <c r="UZQ82" s="798"/>
      <c r="UZR82" s="798"/>
      <c r="UZS82" s="798"/>
      <c r="UZT82" s="798"/>
      <c r="UZU82" s="798"/>
      <c r="UZV82" s="798"/>
      <c r="UZW82" s="798"/>
      <c r="UZX82" s="798"/>
      <c r="UZY82" s="798"/>
      <c r="UZZ82" s="798"/>
      <c r="VAA82" s="798"/>
      <c r="VAB82" s="798"/>
      <c r="VAC82" s="798"/>
      <c r="VAD82" s="798"/>
      <c r="VAE82" s="798"/>
      <c r="VAF82" s="798"/>
      <c r="VAG82" s="798"/>
      <c r="VAH82" s="798"/>
      <c r="VAI82" s="798"/>
      <c r="VAJ82" s="798"/>
      <c r="VAK82" s="798"/>
      <c r="VAL82" s="798"/>
      <c r="VAM82" s="798"/>
      <c r="VAN82" s="798"/>
      <c r="VAO82" s="798"/>
      <c r="VAP82" s="798"/>
      <c r="VAQ82" s="798"/>
      <c r="VAR82" s="798"/>
      <c r="VAS82" s="798"/>
      <c r="VAT82" s="798"/>
      <c r="VAU82" s="798"/>
      <c r="VAV82" s="798"/>
      <c r="VAW82" s="798"/>
      <c r="VAX82" s="798"/>
      <c r="VAY82" s="798"/>
      <c r="VAZ82" s="798"/>
      <c r="VBA82" s="798"/>
      <c r="VBB82" s="798"/>
      <c r="VBC82" s="798"/>
      <c r="VBD82" s="798"/>
      <c r="VBE82" s="798"/>
      <c r="VBF82" s="798"/>
      <c r="VBG82" s="798"/>
      <c r="VBH82" s="798"/>
      <c r="VBI82" s="798"/>
      <c r="VBJ82" s="798"/>
      <c r="VBK82" s="798"/>
      <c r="VBL82" s="798"/>
      <c r="VBM82" s="798"/>
      <c r="VBN82" s="798"/>
      <c r="VBO82" s="798"/>
      <c r="VBP82" s="798"/>
      <c r="VBQ82" s="798"/>
      <c r="VBR82" s="798"/>
      <c r="VBS82" s="798"/>
      <c r="VBT82" s="798"/>
      <c r="VBU82" s="798"/>
      <c r="VBV82" s="798"/>
      <c r="VBW82" s="798"/>
      <c r="VBX82" s="798"/>
      <c r="VBY82" s="798"/>
      <c r="VBZ82" s="798"/>
      <c r="VCA82" s="798"/>
      <c r="VCB82" s="798"/>
      <c r="VCC82" s="798"/>
      <c r="VCD82" s="798"/>
      <c r="VCE82" s="798"/>
      <c r="VCF82" s="798"/>
      <c r="VCG82" s="798"/>
      <c r="VCH82" s="798"/>
      <c r="VCI82" s="798"/>
      <c r="VCJ82" s="798"/>
      <c r="VCK82" s="798"/>
      <c r="VCL82" s="798"/>
      <c r="VCM82" s="798"/>
      <c r="VCN82" s="798"/>
      <c r="VCO82" s="798"/>
      <c r="VCP82" s="798"/>
      <c r="VCQ82" s="798"/>
      <c r="VCR82" s="798"/>
      <c r="VCS82" s="798"/>
      <c r="VCT82" s="798"/>
      <c r="VCU82" s="798"/>
      <c r="VCV82" s="798"/>
      <c r="VCW82" s="798"/>
      <c r="VCX82" s="798"/>
      <c r="VCY82" s="798"/>
      <c r="VCZ82" s="798"/>
      <c r="VDA82" s="798"/>
      <c r="VDB82" s="798"/>
      <c r="VDC82" s="798"/>
      <c r="VDD82" s="798"/>
      <c r="VDE82" s="798"/>
      <c r="VDF82" s="798"/>
      <c r="VDG82" s="798"/>
      <c r="VDH82" s="798"/>
      <c r="VDI82" s="798"/>
      <c r="VDJ82" s="798"/>
      <c r="VDK82" s="798"/>
      <c r="VDL82" s="798"/>
      <c r="VDM82" s="798"/>
      <c r="VDN82" s="798"/>
      <c r="VDO82" s="798"/>
      <c r="VDP82" s="798"/>
      <c r="VDQ82" s="798"/>
      <c r="VDR82" s="798"/>
      <c r="VDS82" s="798"/>
      <c r="VDT82" s="798"/>
      <c r="VDU82" s="798"/>
      <c r="VDV82" s="798"/>
      <c r="VDW82" s="798"/>
      <c r="VDX82" s="798"/>
      <c r="VDY82" s="798"/>
      <c r="VDZ82" s="798"/>
      <c r="VEA82" s="798"/>
      <c r="VEB82" s="798"/>
      <c r="VEC82" s="798"/>
      <c r="VED82" s="798"/>
      <c r="VEE82" s="798"/>
      <c r="VEF82" s="798"/>
      <c r="VEG82" s="798"/>
      <c r="VEH82" s="798"/>
      <c r="VEI82" s="798"/>
      <c r="VEJ82" s="798"/>
      <c r="VEK82" s="798"/>
      <c r="VEL82" s="798"/>
      <c r="VEM82" s="798"/>
      <c r="VEN82" s="798"/>
      <c r="VEO82" s="798"/>
      <c r="VEP82" s="798"/>
      <c r="VEQ82" s="798"/>
      <c r="VER82" s="798"/>
      <c r="VES82" s="798"/>
      <c r="VET82" s="798"/>
      <c r="VEU82" s="798"/>
      <c r="VEV82" s="798"/>
      <c r="VEW82" s="798"/>
      <c r="VEX82" s="798"/>
      <c r="VEY82" s="798"/>
      <c r="VEZ82" s="798"/>
      <c r="VFA82" s="798"/>
      <c r="VFB82" s="798"/>
      <c r="VFC82" s="798"/>
      <c r="VFD82" s="798"/>
      <c r="VFE82" s="798"/>
      <c r="VFF82" s="798"/>
      <c r="VFG82" s="798"/>
      <c r="VFH82" s="798"/>
      <c r="VFI82" s="798"/>
      <c r="VFJ82" s="798"/>
      <c r="VFK82" s="798"/>
      <c r="VFL82" s="798"/>
      <c r="VFM82" s="798"/>
      <c r="VFN82" s="798"/>
      <c r="VFO82" s="798"/>
      <c r="VFP82" s="798"/>
      <c r="VFQ82" s="798"/>
      <c r="VFR82" s="798"/>
      <c r="VFS82" s="798"/>
      <c r="VFT82" s="798"/>
      <c r="VFU82" s="798"/>
      <c r="VFV82" s="798"/>
      <c r="VFW82" s="798"/>
      <c r="VFX82" s="798"/>
      <c r="VFY82" s="798"/>
      <c r="VFZ82" s="798"/>
      <c r="VGA82" s="798"/>
      <c r="VGB82" s="798"/>
      <c r="VGC82" s="798"/>
      <c r="VGD82" s="798"/>
      <c r="VGE82" s="798"/>
      <c r="VGF82" s="798"/>
      <c r="VGG82" s="798"/>
      <c r="VGH82" s="798"/>
      <c r="VGI82" s="798"/>
      <c r="VGJ82" s="798"/>
      <c r="VGK82" s="798"/>
      <c r="VGL82" s="798"/>
      <c r="VGM82" s="798"/>
      <c r="VGN82" s="798"/>
      <c r="VGO82" s="798"/>
      <c r="VGP82" s="798"/>
      <c r="VGQ82" s="798"/>
      <c r="VGR82" s="798"/>
      <c r="VGS82" s="798"/>
      <c r="VGT82" s="798"/>
      <c r="VGU82" s="798"/>
      <c r="VGV82" s="798"/>
      <c r="VGW82" s="798"/>
      <c r="VGX82" s="798"/>
      <c r="VGY82" s="798"/>
      <c r="VGZ82" s="798"/>
      <c r="VHA82" s="798"/>
      <c r="VHB82" s="798"/>
      <c r="VHC82" s="798"/>
      <c r="VHD82" s="798"/>
      <c r="VHE82" s="798"/>
      <c r="VHF82" s="798"/>
      <c r="VHG82" s="798"/>
      <c r="VHH82" s="798"/>
      <c r="VHI82" s="798"/>
      <c r="VHJ82" s="798"/>
      <c r="VHK82" s="798"/>
      <c r="VHL82" s="798"/>
      <c r="VHM82" s="798"/>
      <c r="VHN82" s="798"/>
      <c r="VHO82" s="798"/>
      <c r="VHP82" s="798"/>
      <c r="VHQ82" s="798"/>
      <c r="VHR82" s="798"/>
      <c r="VHS82" s="798"/>
      <c r="VHT82" s="798"/>
      <c r="VHU82" s="798"/>
      <c r="VHV82" s="798"/>
      <c r="VHW82" s="798"/>
      <c r="VHX82" s="798"/>
      <c r="VHY82" s="798"/>
      <c r="VHZ82" s="798"/>
      <c r="VIA82" s="798"/>
      <c r="VIB82" s="798"/>
      <c r="VIC82" s="798"/>
      <c r="VID82" s="798"/>
      <c r="VIE82" s="798"/>
      <c r="VIF82" s="798"/>
      <c r="VIG82" s="798"/>
      <c r="VIH82" s="798"/>
      <c r="VII82" s="798"/>
      <c r="VIJ82" s="798"/>
      <c r="VIK82" s="798"/>
      <c r="VIL82" s="798"/>
      <c r="VIM82" s="798"/>
      <c r="VIN82" s="798"/>
      <c r="VIO82" s="798"/>
      <c r="VIP82" s="798"/>
      <c r="VIQ82" s="798"/>
      <c r="VIR82" s="798"/>
      <c r="VIS82" s="798"/>
      <c r="VIT82" s="798"/>
      <c r="VIU82" s="798"/>
      <c r="VIV82" s="798"/>
      <c r="VIW82" s="798"/>
      <c r="VIX82" s="798"/>
      <c r="VIY82" s="798"/>
      <c r="VIZ82" s="798"/>
      <c r="VJA82" s="798"/>
      <c r="VJB82" s="798"/>
      <c r="VJC82" s="798"/>
      <c r="VJD82" s="798"/>
      <c r="VJE82" s="798"/>
      <c r="VJF82" s="798"/>
      <c r="VJG82" s="798"/>
      <c r="VJH82" s="798"/>
      <c r="VJI82" s="798"/>
      <c r="VJJ82" s="798"/>
      <c r="VJK82" s="798"/>
      <c r="VJL82" s="798"/>
      <c r="VJM82" s="798"/>
      <c r="VJN82" s="798"/>
      <c r="VJO82" s="798"/>
      <c r="VJP82" s="798"/>
      <c r="VJQ82" s="798"/>
      <c r="VJR82" s="798"/>
      <c r="VJS82" s="798"/>
      <c r="VJT82" s="798"/>
      <c r="VJU82" s="798"/>
      <c r="VJV82" s="798"/>
      <c r="VJW82" s="798"/>
      <c r="VJX82" s="798"/>
      <c r="VJY82" s="798"/>
      <c r="VJZ82" s="798"/>
      <c r="VKA82" s="798"/>
      <c r="VKB82" s="798"/>
      <c r="VKC82" s="798"/>
      <c r="VKD82" s="798"/>
      <c r="VKE82" s="798"/>
      <c r="VKF82" s="798"/>
      <c r="VKG82" s="798"/>
      <c r="VKH82" s="798"/>
      <c r="VKI82" s="798"/>
      <c r="VKJ82" s="798"/>
      <c r="VKK82" s="798"/>
      <c r="VKL82" s="798"/>
      <c r="VKM82" s="798"/>
      <c r="VKN82" s="798"/>
      <c r="VKO82" s="798"/>
      <c r="VKP82" s="798"/>
      <c r="VKQ82" s="798"/>
      <c r="VKR82" s="798"/>
      <c r="VKS82" s="798"/>
      <c r="VKT82" s="798"/>
      <c r="VKU82" s="798"/>
      <c r="VKV82" s="798"/>
      <c r="VKW82" s="798"/>
      <c r="VKX82" s="798"/>
      <c r="VKY82" s="798"/>
      <c r="VKZ82" s="798"/>
      <c r="VLA82" s="798"/>
      <c r="VLB82" s="798"/>
      <c r="VLC82" s="798"/>
      <c r="VLD82" s="798"/>
      <c r="VLE82" s="798"/>
      <c r="VLF82" s="798"/>
      <c r="VLG82" s="798"/>
      <c r="VLH82" s="798"/>
      <c r="VLI82" s="798"/>
      <c r="VLJ82" s="798"/>
      <c r="VLK82" s="798"/>
      <c r="VLL82" s="798"/>
      <c r="VLM82" s="798"/>
      <c r="VLN82" s="798"/>
      <c r="VLO82" s="798"/>
      <c r="VLP82" s="798"/>
      <c r="VLQ82" s="798"/>
      <c r="VLR82" s="798"/>
      <c r="VLS82" s="798"/>
      <c r="VLT82" s="798"/>
      <c r="VLU82" s="798"/>
      <c r="VLV82" s="798"/>
      <c r="VLW82" s="798"/>
      <c r="VLX82" s="798"/>
      <c r="VLY82" s="798"/>
      <c r="VLZ82" s="798"/>
      <c r="VMA82" s="798"/>
      <c r="VMB82" s="798"/>
      <c r="VMC82" s="798"/>
      <c r="VMD82" s="798"/>
      <c r="VME82" s="798"/>
      <c r="VMF82" s="798"/>
      <c r="VMG82" s="798"/>
      <c r="VMH82" s="798"/>
      <c r="VMI82" s="798"/>
      <c r="VMJ82" s="798"/>
      <c r="VMK82" s="798"/>
      <c r="VML82" s="798"/>
      <c r="VMM82" s="798"/>
      <c r="VMN82" s="798"/>
      <c r="VMO82" s="798"/>
      <c r="VMP82" s="798"/>
      <c r="VMQ82" s="798"/>
      <c r="VMR82" s="798"/>
      <c r="VMS82" s="798"/>
      <c r="VMT82" s="798"/>
      <c r="VMU82" s="798"/>
      <c r="VMV82" s="798"/>
      <c r="VMW82" s="798"/>
      <c r="VMX82" s="798"/>
      <c r="VMY82" s="798"/>
      <c r="VMZ82" s="798"/>
      <c r="VNA82" s="798"/>
      <c r="VNB82" s="798"/>
      <c r="VNC82" s="798"/>
      <c r="VND82" s="798"/>
      <c r="VNE82" s="798"/>
      <c r="VNF82" s="798"/>
      <c r="VNG82" s="798"/>
      <c r="VNH82" s="798"/>
      <c r="VNI82" s="798"/>
      <c r="VNJ82" s="798"/>
      <c r="VNK82" s="798"/>
      <c r="VNL82" s="798"/>
      <c r="VNM82" s="798"/>
      <c r="VNN82" s="798"/>
      <c r="VNO82" s="798"/>
      <c r="VNP82" s="798"/>
      <c r="VNQ82" s="798"/>
      <c r="VNR82" s="798"/>
      <c r="VNS82" s="798"/>
      <c r="VNT82" s="798"/>
      <c r="VNU82" s="798"/>
      <c r="VNV82" s="798"/>
      <c r="VNW82" s="798"/>
      <c r="VNX82" s="798"/>
      <c r="VNY82" s="798"/>
      <c r="VNZ82" s="798"/>
      <c r="VOA82" s="798"/>
      <c r="VOB82" s="798"/>
      <c r="VOC82" s="798"/>
      <c r="VOD82" s="798"/>
      <c r="VOE82" s="798"/>
      <c r="VOF82" s="798"/>
      <c r="VOG82" s="798"/>
      <c r="VOH82" s="798"/>
      <c r="VOI82" s="798"/>
      <c r="VOJ82" s="798"/>
      <c r="VOK82" s="798"/>
      <c r="VOL82" s="798"/>
      <c r="VOM82" s="798"/>
      <c r="VON82" s="798"/>
      <c r="VOO82" s="798"/>
      <c r="VOP82" s="798"/>
      <c r="VOQ82" s="798"/>
      <c r="VOR82" s="798"/>
      <c r="VOS82" s="798"/>
      <c r="VOT82" s="798"/>
      <c r="VOU82" s="798"/>
      <c r="VOV82" s="798"/>
      <c r="VOW82" s="798"/>
      <c r="VOX82" s="798"/>
      <c r="VOY82" s="798"/>
      <c r="VOZ82" s="798"/>
      <c r="VPA82" s="798"/>
      <c r="VPB82" s="798"/>
      <c r="VPC82" s="798"/>
      <c r="VPD82" s="798"/>
      <c r="VPE82" s="798"/>
      <c r="VPF82" s="798"/>
      <c r="VPG82" s="798"/>
      <c r="VPH82" s="798"/>
      <c r="VPI82" s="798"/>
      <c r="VPJ82" s="798"/>
      <c r="VPK82" s="798"/>
      <c r="VPL82" s="798"/>
      <c r="VPM82" s="798"/>
      <c r="VPN82" s="798"/>
      <c r="VPO82" s="798"/>
      <c r="VPP82" s="798"/>
      <c r="VPQ82" s="798"/>
      <c r="VPR82" s="798"/>
      <c r="VPS82" s="798"/>
      <c r="VPT82" s="798"/>
      <c r="VPU82" s="798"/>
      <c r="VPV82" s="798"/>
      <c r="VPW82" s="798"/>
      <c r="VPX82" s="798"/>
      <c r="VPY82" s="798"/>
      <c r="VPZ82" s="798"/>
      <c r="VQA82" s="798"/>
      <c r="VQB82" s="798"/>
      <c r="VQC82" s="798"/>
      <c r="VQD82" s="798"/>
      <c r="VQE82" s="798"/>
      <c r="VQF82" s="798"/>
      <c r="VQG82" s="798"/>
      <c r="VQH82" s="798"/>
      <c r="VQI82" s="798"/>
      <c r="VQJ82" s="798"/>
      <c r="VQK82" s="798"/>
      <c r="VQL82" s="798"/>
      <c r="VQM82" s="798"/>
      <c r="VQN82" s="798"/>
      <c r="VQO82" s="798"/>
      <c r="VQP82" s="798"/>
      <c r="VQQ82" s="798"/>
      <c r="VQR82" s="798"/>
      <c r="VQS82" s="798"/>
      <c r="VQT82" s="798"/>
      <c r="VQU82" s="798"/>
      <c r="VQV82" s="798"/>
      <c r="VQW82" s="798"/>
      <c r="VQX82" s="798"/>
      <c r="VQY82" s="798"/>
      <c r="VQZ82" s="798"/>
      <c r="VRA82" s="798"/>
      <c r="VRB82" s="798"/>
      <c r="VRC82" s="798"/>
      <c r="VRD82" s="798"/>
      <c r="VRE82" s="798"/>
      <c r="VRF82" s="798"/>
      <c r="VRG82" s="798"/>
      <c r="VRH82" s="798"/>
      <c r="VRI82" s="798"/>
      <c r="VRJ82" s="798"/>
      <c r="VRK82" s="798"/>
      <c r="VRL82" s="798"/>
      <c r="VRM82" s="798"/>
      <c r="VRN82" s="798"/>
      <c r="VRO82" s="798"/>
      <c r="VRP82" s="798"/>
      <c r="VRQ82" s="798"/>
      <c r="VRR82" s="798"/>
      <c r="VRS82" s="798"/>
      <c r="VRT82" s="798"/>
      <c r="VRU82" s="798"/>
      <c r="VRV82" s="798"/>
      <c r="VRW82" s="798"/>
      <c r="VRX82" s="798"/>
      <c r="VRY82" s="798"/>
      <c r="VRZ82" s="798"/>
      <c r="VSA82" s="798"/>
      <c r="VSB82" s="798"/>
      <c r="VSC82" s="798"/>
      <c r="VSD82" s="798"/>
      <c r="VSE82" s="798"/>
      <c r="VSF82" s="798"/>
      <c r="VSG82" s="798"/>
      <c r="VSH82" s="798"/>
      <c r="VSI82" s="798"/>
      <c r="VSJ82" s="798"/>
      <c r="VSK82" s="798"/>
      <c r="VSL82" s="798"/>
      <c r="VSM82" s="798"/>
      <c r="VSN82" s="798"/>
      <c r="VSO82" s="798"/>
      <c r="VSP82" s="798"/>
      <c r="VSQ82" s="798"/>
      <c r="VSR82" s="798"/>
      <c r="VSS82" s="798"/>
      <c r="VST82" s="798"/>
      <c r="VSU82" s="798"/>
      <c r="VSV82" s="798"/>
      <c r="VSW82" s="798"/>
      <c r="VSX82" s="798"/>
      <c r="VSY82" s="798"/>
      <c r="VSZ82" s="798"/>
      <c r="VTA82" s="798"/>
      <c r="VTB82" s="798"/>
      <c r="VTC82" s="798"/>
      <c r="VTD82" s="798"/>
      <c r="VTE82" s="798"/>
      <c r="VTF82" s="798"/>
      <c r="VTG82" s="798"/>
      <c r="VTH82" s="798"/>
      <c r="VTI82" s="798"/>
      <c r="VTJ82" s="798"/>
      <c r="VTK82" s="798"/>
      <c r="VTL82" s="798"/>
      <c r="VTM82" s="798"/>
      <c r="VTN82" s="798"/>
      <c r="VTO82" s="798"/>
      <c r="VTP82" s="798"/>
      <c r="VTQ82" s="798"/>
      <c r="VTR82" s="798"/>
      <c r="VTS82" s="798"/>
      <c r="VTT82" s="798"/>
      <c r="VTU82" s="798"/>
      <c r="VTV82" s="798"/>
      <c r="VTW82" s="798"/>
      <c r="VTX82" s="798"/>
      <c r="VTY82" s="798"/>
      <c r="VTZ82" s="798"/>
      <c r="VUA82" s="798"/>
      <c r="VUB82" s="798"/>
      <c r="VUC82" s="798"/>
      <c r="VUD82" s="798"/>
      <c r="VUE82" s="798"/>
      <c r="VUF82" s="798"/>
      <c r="VUG82" s="798"/>
      <c r="VUH82" s="798"/>
      <c r="VUI82" s="798"/>
      <c r="VUJ82" s="798"/>
      <c r="VUK82" s="798"/>
      <c r="VUL82" s="798"/>
      <c r="VUM82" s="798"/>
      <c r="VUN82" s="798"/>
      <c r="VUO82" s="798"/>
      <c r="VUP82" s="798"/>
      <c r="VUQ82" s="798"/>
      <c r="VUR82" s="798"/>
      <c r="VUS82" s="798"/>
      <c r="VUT82" s="798"/>
      <c r="VUU82" s="798"/>
      <c r="VUV82" s="798"/>
      <c r="VUW82" s="798"/>
      <c r="VUX82" s="798"/>
      <c r="VUY82" s="798"/>
      <c r="VUZ82" s="798"/>
      <c r="VVA82" s="798"/>
      <c r="VVB82" s="798"/>
      <c r="VVC82" s="798"/>
      <c r="VVD82" s="798"/>
      <c r="VVE82" s="798"/>
      <c r="VVF82" s="798"/>
      <c r="VVG82" s="798"/>
      <c r="VVH82" s="798"/>
      <c r="VVI82" s="798"/>
      <c r="VVJ82" s="798"/>
      <c r="VVK82" s="798"/>
      <c r="VVL82" s="798"/>
      <c r="VVM82" s="798"/>
      <c r="VVN82" s="798"/>
      <c r="VVO82" s="798"/>
      <c r="VVP82" s="798"/>
      <c r="VVQ82" s="798"/>
      <c r="VVR82" s="798"/>
      <c r="VVS82" s="798"/>
      <c r="VVT82" s="798"/>
      <c r="VVU82" s="798"/>
      <c r="VVV82" s="798"/>
      <c r="VVW82" s="798"/>
      <c r="VVX82" s="798"/>
      <c r="VVY82" s="798"/>
      <c r="VVZ82" s="798"/>
      <c r="VWA82" s="798"/>
      <c r="VWB82" s="798"/>
      <c r="VWC82" s="798"/>
      <c r="VWD82" s="798"/>
      <c r="VWE82" s="798"/>
      <c r="VWF82" s="798"/>
      <c r="VWG82" s="798"/>
      <c r="VWH82" s="798"/>
      <c r="VWI82" s="798"/>
      <c r="VWJ82" s="798"/>
      <c r="VWK82" s="798"/>
      <c r="VWL82" s="798"/>
      <c r="VWM82" s="798"/>
      <c r="VWN82" s="798"/>
      <c r="VWO82" s="798"/>
      <c r="VWP82" s="798"/>
      <c r="VWQ82" s="798"/>
      <c r="VWR82" s="798"/>
      <c r="VWS82" s="798"/>
      <c r="VWT82" s="798"/>
      <c r="VWU82" s="798"/>
      <c r="VWV82" s="798"/>
      <c r="VWW82" s="798"/>
      <c r="VWX82" s="798"/>
      <c r="VWY82" s="798"/>
      <c r="VWZ82" s="798"/>
      <c r="VXA82" s="798"/>
      <c r="VXB82" s="798"/>
      <c r="VXC82" s="798"/>
      <c r="VXD82" s="798"/>
      <c r="VXE82" s="798"/>
      <c r="VXF82" s="798"/>
      <c r="VXG82" s="798"/>
      <c r="VXH82" s="798"/>
      <c r="VXI82" s="798"/>
      <c r="VXJ82" s="798"/>
      <c r="VXK82" s="798"/>
      <c r="VXL82" s="798"/>
      <c r="VXM82" s="798"/>
      <c r="VXN82" s="798"/>
      <c r="VXO82" s="798"/>
      <c r="VXP82" s="798"/>
      <c r="VXQ82" s="798"/>
      <c r="VXR82" s="798"/>
      <c r="VXS82" s="798"/>
      <c r="VXT82" s="798"/>
      <c r="VXU82" s="798"/>
      <c r="VXV82" s="798"/>
      <c r="VXW82" s="798"/>
      <c r="VXX82" s="798"/>
      <c r="VXY82" s="798"/>
      <c r="VXZ82" s="798"/>
      <c r="VYA82" s="798"/>
      <c r="VYB82" s="798"/>
      <c r="VYC82" s="798"/>
      <c r="VYD82" s="798"/>
      <c r="VYE82" s="798"/>
      <c r="VYF82" s="798"/>
      <c r="VYG82" s="798"/>
      <c r="VYH82" s="798"/>
      <c r="VYI82" s="798"/>
      <c r="VYJ82" s="798"/>
      <c r="VYK82" s="798"/>
      <c r="VYL82" s="798"/>
      <c r="VYM82" s="798"/>
      <c r="VYN82" s="798"/>
      <c r="VYO82" s="798"/>
      <c r="VYP82" s="798"/>
      <c r="VYQ82" s="798"/>
      <c r="VYR82" s="798"/>
      <c r="VYS82" s="798"/>
      <c r="VYT82" s="798"/>
      <c r="VYU82" s="798"/>
      <c r="VYV82" s="798"/>
      <c r="VYW82" s="798"/>
      <c r="VYX82" s="798"/>
      <c r="VYY82" s="798"/>
      <c r="VYZ82" s="798"/>
      <c r="VZA82" s="798"/>
      <c r="VZB82" s="798"/>
      <c r="VZC82" s="798"/>
      <c r="VZD82" s="798"/>
      <c r="VZE82" s="798"/>
      <c r="VZF82" s="798"/>
      <c r="VZG82" s="798"/>
      <c r="VZH82" s="798"/>
      <c r="VZI82" s="798"/>
      <c r="VZJ82" s="798"/>
      <c r="VZK82" s="798"/>
      <c r="VZL82" s="798"/>
      <c r="VZM82" s="798"/>
      <c r="VZN82" s="798"/>
      <c r="VZO82" s="798"/>
      <c r="VZP82" s="798"/>
      <c r="VZQ82" s="798"/>
      <c r="VZR82" s="798"/>
      <c r="VZS82" s="798"/>
      <c r="VZT82" s="798"/>
      <c r="VZU82" s="798"/>
      <c r="VZV82" s="798"/>
      <c r="VZW82" s="798"/>
      <c r="VZX82" s="798"/>
      <c r="VZY82" s="798"/>
      <c r="VZZ82" s="798"/>
      <c r="WAA82" s="798"/>
      <c r="WAB82" s="798"/>
      <c r="WAC82" s="798"/>
      <c r="WAD82" s="798"/>
      <c r="WAE82" s="798"/>
      <c r="WAF82" s="798"/>
      <c r="WAG82" s="798"/>
      <c r="WAH82" s="798"/>
      <c r="WAI82" s="798"/>
      <c r="WAJ82" s="798"/>
      <c r="WAK82" s="798"/>
      <c r="WAL82" s="798"/>
      <c r="WAM82" s="798"/>
      <c r="WAN82" s="798"/>
      <c r="WAO82" s="798"/>
      <c r="WAP82" s="798"/>
      <c r="WAQ82" s="798"/>
      <c r="WAR82" s="798"/>
      <c r="WAS82" s="798"/>
      <c r="WAT82" s="798"/>
      <c r="WAU82" s="798"/>
      <c r="WAV82" s="798"/>
      <c r="WAW82" s="798"/>
      <c r="WAX82" s="798"/>
      <c r="WAY82" s="798"/>
      <c r="WAZ82" s="798"/>
      <c r="WBA82" s="798"/>
      <c r="WBB82" s="798"/>
      <c r="WBC82" s="798"/>
      <c r="WBD82" s="798"/>
      <c r="WBE82" s="798"/>
      <c r="WBF82" s="798"/>
      <c r="WBG82" s="798"/>
      <c r="WBH82" s="798"/>
      <c r="WBI82" s="798"/>
      <c r="WBJ82" s="798"/>
      <c r="WBK82" s="798"/>
      <c r="WBL82" s="798"/>
      <c r="WBM82" s="798"/>
      <c r="WBN82" s="798"/>
      <c r="WBO82" s="798"/>
      <c r="WBP82" s="798"/>
      <c r="WBQ82" s="798"/>
      <c r="WBR82" s="798"/>
      <c r="WBS82" s="798"/>
      <c r="WBT82" s="798"/>
      <c r="WBU82" s="798"/>
      <c r="WBV82" s="798"/>
      <c r="WBW82" s="798"/>
      <c r="WBX82" s="798"/>
      <c r="WBY82" s="798"/>
      <c r="WBZ82" s="798"/>
      <c r="WCA82" s="798"/>
      <c r="WCB82" s="798"/>
      <c r="WCC82" s="798"/>
      <c r="WCD82" s="798"/>
      <c r="WCE82" s="798"/>
      <c r="WCF82" s="798"/>
      <c r="WCG82" s="798"/>
      <c r="WCH82" s="798"/>
      <c r="WCI82" s="798"/>
      <c r="WCJ82" s="798"/>
      <c r="WCK82" s="798"/>
      <c r="WCL82" s="798"/>
      <c r="WCM82" s="798"/>
      <c r="WCN82" s="798"/>
      <c r="WCO82" s="798"/>
      <c r="WCP82" s="798"/>
      <c r="WCQ82" s="798"/>
      <c r="WCR82" s="798"/>
      <c r="WCS82" s="798"/>
      <c r="WCT82" s="798"/>
      <c r="WCU82" s="798"/>
      <c r="WCV82" s="798"/>
      <c r="WCW82" s="798"/>
      <c r="WCX82" s="798"/>
      <c r="WCY82" s="798"/>
      <c r="WCZ82" s="798"/>
      <c r="WDA82" s="798"/>
      <c r="WDB82" s="798"/>
      <c r="WDC82" s="798"/>
      <c r="WDD82" s="798"/>
      <c r="WDE82" s="798"/>
      <c r="WDF82" s="798"/>
      <c r="WDG82" s="798"/>
      <c r="WDH82" s="798"/>
      <c r="WDI82" s="798"/>
      <c r="WDJ82" s="798"/>
      <c r="WDK82" s="798"/>
      <c r="WDL82" s="798"/>
      <c r="WDM82" s="798"/>
      <c r="WDN82" s="798"/>
      <c r="WDO82" s="798"/>
      <c r="WDP82" s="798"/>
      <c r="WDQ82" s="798"/>
      <c r="WDR82" s="798"/>
      <c r="WDS82" s="798"/>
      <c r="WDT82" s="798"/>
      <c r="WDU82" s="798"/>
      <c r="WDV82" s="798"/>
      <c r="WDW82" s="798"/>
      <c r="WDX82" s="798"/>
      <c r="WDY82" s="798"/>
      <c r="WDZ82" s="798"/>
      <c r="WEA82" s="798"/>
      <c r="WEB82" s="798"/>
      <c r="WEC82" s="798"/>
      <c r="WED82" s="798"/>
      <c r="WEE82" s="798"/>
      <c r="WEF82" s="798"/>
      <c r="WEG82" s="798"/>
      <c r="WEH82" s="798"/>
      <c r="WEI82" s="798"/>
      <c r="WEJ82" s="798"/>
      <c r="WEK82" s="798"/>
      <c r="WEL82" s="798"/>
      <c r="WEM82" s="798"/>
      <c r="WEN82" s="798"/>
      <c r="WEO82" s="798"/>
      <c r="WEP82" s="798"/>
      <c r="WEQ82" s="798"/>
      <c r="WER82" s="798"/>
      <c r="WES82" s="798"/>
      <c r="WET82" s="798"/>
      <c r="WEU82" s="798"/>
      <c r="WEV82" s="798"/>
      <c r="WEW82" s="798"/>
      <c r="WEX82" s="798"/>
      <c r="WEY82" s="798"/>
      <c r="WEZ82" s="798"/>
      <c r="WFA82" s="798"/>
      <c r="WFB82" s="798"/>
      <c r="WFC82" s="798"/>
      <c r="WFD82" s="798"/>
      <c r="WFE82" s="798"/>
      <c r="WFF82" s="798"/>
      <c r="WFG82" s="798"/>
      <c r="WFH82" s="798"/>
      <c r="WFI82" s="798"/>
      <c r="WFJ82" s="798"/>
      <c r="WFK82" s="798"/>
      <c r="WFL82" s="798"/>
      <c r="WFM82" s="798"/>
      <c r="WFN82" s="798"/>
      <c r="WFO82" s="798"/>
      <c r="WFP82" s="798"/>
      <c r="WFQ82" s="798"/>
      <c r="WFR82" s="798"/>
      <c r="WFS82" s="798"/>
      <c r="WFT82" s="798"/>
      <c r="WFU82" s="798"/>
      <c r="WFV82" s="798"/>
      <c r="WFW82" s="798"/>
      <c r="WFX82" s="798"/>
      <c r="WFY82" s="798"/>
      <c r="WFZ82" s="798"/>
      <c r="WGA82" s="798"/>
      <c r="WGB82" s="798"/>
      <c r="WGC82" s="798"/>
      <c r="WGD82" s="798"/>
      <c r="WGE82" s="798"/>
      <c r="WGF82" s="798"/>
      <c r="WGG82" s="798"/>
      <c r="WGH82" s="798"/>
      <c r="WGI82" s="798"/>
      <c r="WGJ82" s="798"/>
      <c r="WGK82" s="798"/>
      <c r="WGL82" s="798"/>
      <c r="WGM82" s="798"/>
      <c r="WGN82" s="798"/>
      <c r="WGO82" s="798"/>
      <c r="WGP82" s="798"/>
      <c r="WGQ82" s="798"/>
      <c r="WGR82" s="798"/>
      <c r="WGS82" s="798"/>
      <c r="WGT82" s="798"/>
      <c r="WGU82" s="798"/>
      <c r="WGV82" s="798"/>
      <c r="WGW82" s="798"/>
      <c r="WGX82" s="798"/>
      <c r="WGY82" s="798"/>
      <c r="WGZ82" s="798"/>
      <c r="WHA82" s="798"/>
      <c r="WHB82" s="798"/>
      <c r="WHC82" s="798"/>
      <c r="WHD82" s="798"/>
      <c r="WHE82" s="798"/>
      <c r="WHF82" s="798"/>
      <c r="WHG82" s="798"/>
      <c r="WHH82" s="798"/>
      <c r="WHI82" s="798"/>
      <c r="WHJ82" s="798"/>
      <c r="WHK82" s="798"/>
      <c r="WHL82" s="798"/>
      <c r="WHM82" s="798"/>
      <c r="WHN82" s="798"/>
      <c r="WHO82" s="798"/>
      <c r="WHP82" s="798"/>
      <c r="WHQ82" s="798"/>
      <c r="WHR82" s="798"/>
      <c r="WHS82" s="798"/>
      <c r="WHT82" s="798"/>
      <c r="WHU82" s="798"/>
      <c r="WHV82" s="798"/>
      <c r="WHW82" s="798"/>
      <c r="WHX82" s="798"/>
      <c r="WHY82" s="798"/>
      <c r="WHZ82" s="798"/>
      <c r="WIA82" s="798"/>
      <c r="WIB82" s="798"/>
      <c r="WIC82" s="798"/>
      <c r="WID82" s="798"/>
      <c r="WIE82" s="798"/>
      <c r="WIF82" s="798"/>
      <c r="WIG82" s="798"/>
      <c r="WIH82" s="798"/>
      <c r="WII82" s="798"/>
      <c r="WIJ82" s="798"/>
      <c r="WIK82" s="798"/>
      <c r="WIL82" s="798"/>
      <c r="WIM82" s="798"/>
      <c r="WIN82" s="798"/>
      <c r="WIO82" s="798"/>
      <c r="WIP82" s="798"/>
      <c r="WIQ82" s="798"/>
      <c r="WIR82" s="798"/>
      <c r="WIS82" s="798"/>
      <c r="WIT82" s="798"/>
      <c r="WIU82" s="798"/>
      <c r="WIV82" s="798"/>
      <c r="WIW82" s="798"/>
      <c r="WIX82" s="798"/>
      <c r="WIY82" s="798"/>
      <c r="WIZ82" s="798"/>
      <c r="WJA82" s="798"/>
      <c r="WJB82" s="798"/>
      <c r="WJC82" s="798"/>
      <c r="WJD82" s="798"/>
      <c r="WJE82" s="798"/>
      <c r="WJF82" s="798"/>
      <c r="WJG82" s="798"/>
      <c r="WJH82" s="798"/>
      <c r="WJI82" s="798"/>
      <c r="WJJ82" s="798"/>
      <c r="WJK82" s="798"/>
      <c r="WJL82" s="798"/>
      <c r="WJM82" s="798"/>
      <c r="WJN82" s="798"/>
      <c r="WJO82" s="798"/>
      <c r="WJP82" s="798"/>
      <c r="WJQ82" s="798"/>
      <c r="WJR82" s="798"/>
      <c r="WJS82" s="798"/>
      <c r="WJT82" s="798"/>
      <c r="WJU82" s="798"/>
      <c r="WJV82" s="798"/>
      <c r="WJW82" s="798"/>
      <c r="WJX82" s="798"/>
      <c r="WJY82" s="798"/>
      <c r="WJZ82" s="798"/>
      <c r="WKA82" s="798"/>
      <c r="WKB82" s="798"/>
      <c r="WKC82" s="798"/>
      <c r="WKD82" s="798"/>
      <c r="WKE82" s="798"/>
      <c r="WKF82" s="798"/>
      <c r="WKG82" s="798"/>
      <c r="WKH82" s="798"/>
      <c r="WKI82" s="798"/>
      <c r="WKJ82" s="798"/>
      <c r="WKK82" s="798"/>
      <c r="WKL82" s="798"/>
      <c r="WKM82" s="798"/>
      <c r="WKN82" s="798"/>
      <c r="WKO82" s="798"/>
      <c r="WKP82" s="798"/>
      <c r="WKQ82" s="798"/>
      <c r="WKR82" s="798"/>
      <c r="WKS82" s="798"/>
      <c r="WKT82" s="798"/>
      <c r="WKU82" s="798"/>
      <c r="WKV82" s="798"/>
      <c r="WKW82" s="798"/>
      <c r="WKX82" s="798"/>
      <c r="WKY82" s="798"/>
      <c r="WKZ82" s="798"/>
      <c r="WLA82" s="798"/>
      <c r="WLB82" s="798"/>
      <c r="WLC82" s="798"/>
      <c r="WLD82" s="798"/>
      <c r="WLE82" s="798"/>
      <c r="WLF82" s="798"/>
      <c r="WLG82" s="798"/>
      <c r="WLH82" s="798"/>
      <c r="WLI82" s="798"/>
      <c r="WLJ82" s="798"/>
      <c r="WLK82" s="798"/>
      <c r="WLL82" s="798"/>
      <c r="WLM82" s="798"/>
      <c r="WLN82" s="798"/>
      <c r="WLO82" s="798"/>
      <c r="WLP82" s="798"/>
      <c r="WLQ82" s="798"/>
      <c r="WLR82" s="798"/>
      <c r="WLS82" s="798"/>
      <c r="WLT82" s="798"/>
      <c r="WLU82" s="798"/>
      <c r="WLV82" s="798"/>
      <c r="WLW82" s="798"/>
      <c r="WLX82" s="798"/>
      <c r="WLY82" s="798"/>
      <c r="WLZ82" s="798"/>
      <c r="WMA82" s="798"/>
      <c r="WMB82" s="798"/>
      <c r="WMC82" s="798"/>
      <c r="WMD82" s="798"/>
      <c r="WME82" s="798"/>
      <c r="WMF82" s="798"/>
      <c r="WMG82" s="798"/>
      <c r="WMH82" s="798"/>
      <c r="WMI82" s="798"/>
      <c r="WMJ82" s="798"/>
      <c r="WMK82" s="798"/>
      <c r="WML82" s="798"/>
      <c r="WMM82" s="798"/>
      <c r="WMN82" s="798"/>
      <c r="WMO82" s="798"/>
      <c r="WMP82" s="798"/>
      <c r="WMQ82" s="798"/>
      <c r="WMR82" s="798"/>
      <c r="WMS82" s="798"/>
      <c r="WMT82" s="798"/>
      <c r="WMU82" s="798"/>
      <c r="WMV82" s="798"/>
      <c r="WMW82" s="798"/>
      <c r="WMX82" s="798"/>
      <c r="WMY82" s="798"/>
      <c r="WMZ82" s="798"/>
      <c r="WNA82" s="798"/>
      <c r="WNB82" s="798"/>
      <c r="WNC82" s="798"/>
      <c r="WND82" s="798"/>
      <c r="WNE82" s="798"/>
      <c r="WNF82" s="798"/>
      <c r="WNG82" s="798"/>
      <c r="WNH82" s="798"/>
      <c r="WNI82" s="798"/>
      <c r="WNJ82" s="798"/>
      <c r="WNK82" s="798"/>
      <c r="WNL82" s="798"/>
      <c r="WNM82" s="798"/>
      <c r="WNN82" s="798"/>
      <c r="WNO82" s="798"/>
      <c r="WNP82" s="798"/>
      <c r="WNQ82" s="798"/>
      <c r="WNR82" s="798"/>
      <c r="WNS82" s="798"/>
      <c r="WNT82" s="798"/>
      <c r="WNU82" s="798"/>
      <c r="WNV82" s="798"/>
      <c r="WNW82" s="798"/>
      <c r="WNX82" s="798"/>
      <c r="WNY82" s="798"/>
      <c r="WNZ82" s="798"/>
      <c r="WOA82" s="798"/>
      <c r="WOB82" s="798"/>
      <c r="WOC82" s="798"/>
      <c r="WOD82" s="798"/>
      <c r="WOE82" s="798"/>
      <c r="WOF82" s="798"/>
      <c r="WOG82" s="798"/>
      <c r="WOH82" s="798"/>
      <c r="WOI82" s="798"/>
      <c r="WOJ82" s="798"/>
      <c r="WOK82" s="798"/>
      <c r="WOL82" s="798"/>
      <c r="WOM82" s="798"/>
      <c r="WON82" s="798"/>
      <c r="WOO82" s="798"/>
      <c r="WOP82" s="798"/>
      <c r="WOQ82" s="798"/>
      <c r="WOR82" s="798"/>
      <c r="WOS82" s="798"/>
      <c r="WOT82" s="798"/>
      <c r="WOU82" s="798"/>
      <c r="WOV82" s="798"/>
      <c r="WOW82" s="798"/>
      <c r="WOX82" s="798"/>
      <c r="WOY82" s="798"/>
      <c r="WOZ82" s="798"/>
      <c r="WPA82" s="798"/>
      <c r="WPB82" s="798"/>
      <c r="WPC82" s="798"/>
      <c r="WPD82" s="798"/>
      <c r="WPE82" s="798"/>
      <c r="WPF82" s="798"/>
      <c r="WPG82" s="798"/>
      <c r="WPH82" s="798"/>
      <c r="WPI82" s="798"/>
      <c r="WPJ82" s="798"/>
      <c r="WPK82" s="798"/>
      <c r="WPL82" s="798"/>
      <c r="WPM82" s="798"/>
      <c r="WPN82" s="798"/>
      <c r="WPO82" s="798"/>
      <c r="WPP82" s="798"/>
      <c r="WPQ82" s="798"/>
      <c r="WPR82" s="798"/>
      <c r="WPS82" s="798"/>
      <c r="WPT82" s="798"/>
      <c r="WPU82" s="798"/>
      <c r="WPV82" s="798"/>
      <c r="WPW82" s="798"/>
      <c r="WPX82" s="798"/>
      <c r="WPY82" s="798"/>
      <c r="WPZ82" s="798"/>
      <c r="WQA82" s="798"/>
      <c r="WQB82" s="798"/>
      <c r="WQC82" s="798"/>
      <c r="WQD82" s="798"/>
      <c r="WQE82" s="798"/>
      <c r="WQF82" s="798"/>
      <c r="WQG82" s="798"/>
      <c r="WQH82" s="798"/>
      <c r="WQI82" s="798"/>
      <c r="WQJ82" s="798"/>
      <c r="WQK82" s="798"/>
      <c r="WQL82" s="798"/>
      <c r="WQM82" s="798"/>
      <c r="WQN82" s="798"/>
      <c r="WQO82" s="798"/>
      <c r="WQP82" s="798"/>
      <c r="WQQ82" s="798"/>
      <c r="WQR82" s="798"/>
      <c r="WQS82" s="798"/>
      <c r="WQT82" s="798"/>
      <c r="WQU82" s="798"/>
      <c r="WQV82" s="798"/>
      <c r="WQW82" s="798"/>
      <c r="WQX82" s="798"/>
      <c r="WQY82" s="798"/>
      <c r="WQZ82" s="798"/>
      <c r="WRA82" s="798"/>
      <c r="WRB82" s="798"/>
      <c r="WRC82" s="798"/>
      <c r="WRD82" s="798"/>
      <c r="WRE82" s="798"/>
      <c r="WRF82" s="798"/>
      <c r="WRG82" s="798"/>
      <c r="WRH82" s="798"/>
      <c r="WRI82" s="798"/>
      <c r="WRJ82" s="798"/>
      <c r="WRK82" s="798"/>
      <c r="WRL82" s="798"/>
      <c r="WRM82" s="798"/>
      <c r="WRN82" s="798"/>
      <c r="WRO82" s="798"/>
      <c r="WRP82" s="798"/>
      <c r="WRQ82" s="798"/>
      <c r="WRR82" s="798"/>
      <c r="WRS82" s="798"/>
      <c r="WRT82" s="798"/>
      <c r="WRU82" s="798"/>
      <c r="WRV82" s="798"/>
      <c r="WRW82" s="798"/>
      <c r="WRX82" s="798"/>
      <c r="WRY82" s="798"/>
      <c r="WRZ82" s="798"/>
      <c r="WSA82" s="798"/>
      <c r="WSB82" s="798"/>
      <c r="WSC82" s="798"/>
      <c r="WSD82" s="798"/>
      <c r="WSE82" s="798"/>
      <c r="WSF82" s="798"/>
      <c r="WSG82" s="798"/>
      <c r="WSH82" s="798"/>
      <c r="WSI82" s="798"/>
      <c r="WSJ82" s="798"/>
      <c r="WSK82" s="798"/>
      <c r="WSL82" s="798"/>
      <c r="WSM82" s="798"/>
      <c r="WSN82" s="798"/>
      <c r="WSO82" s="798"/>
      <c r="WSP82" s="798"/>
      <c r="WSQ82" s="798"/>
      <c r="WSR82" s="798"/>
      <c r="WSS82" s="798"/>
      <c r="WST82" s="798"/>
      <c r="WSU82" s="798"/>
      <c r="WSV82" s="798"/>
      <c r="WSW82" s="798"/>
      <c r="WSX82" s="798"/>
      <c r="WSY82" s="798"/>
      <c r="WSZ82" s="798"/>
      <c r="WTA82" s="798"/>
      <c r="WTB82" s="798"/>
      <c r="WTC82" s="798"/>
      <c r="WTD82" s="798"/>
      <c r="WTE82" s="798"/>
      <c r="WTF82" s="798"/>
      <c r="WTG82" s="798"/>
      <c r="WTH82" s="798"/>
      <c r="WTI82" s="798"/>
      <c r="WTJ82" s="798"/>
      <c r="WTK82" s="798"/>
      <c r="WTL82" s="798"/>
      <c r="WTM82" s="798"/>
      <c r="WTN82" s="798"/>
      <c r="WTO82" s="798"/>
      <c r="WTP82" s="798"/>
      <c r="WTQ82" s="798"/>
      <c r="WTR82" s="798"/>
      <c r="WTS82" s="798"/>
      <c r="WTT82" s="798"/>
      <c r="WTU82" s="798"/>
      <c r="WTV82" s="798"/>
      <c r="WTW82" s="798"/>
      <c r="WTX82" s="798"/>
      <c r="WTY82" s="798"/>
      <c r="WTZ82" s="798"/>
      <c r="WUA82" s="798"/>
      <c r="WUB82" s="798"/>
      <c r="WUC82" s="798"/>
      <c r="WUD82" s="798"/>
      <c r="WUE82" s="798"/>
      <c r="WUF82" s="798"/>
      <c r="WUG82" s="798"/>
      <c r="WUH82" s="798"/>
      <c r="WUI82" s="798"/>
      <c r="WUJ82" s="798"/>
      <c r="WUK82" s="798"/>
      <c r="WUL82" s="798"/>
      <c r="WUM82" s="798"/>
      <c r="WUN82" s="798"/>
      <c r="WUO82" s="798"/>
      <c r="WUP82" s="798"/>
      <c r="WUQ82" s="798"/>
      <c r="WUR82" s="798"/>
      <c r="WUS82" s="798"/>
      <c r="WUT82" s="798"/>
      <c r="WUU82" s="798"/>
      <c r="WUV82" s="798"/>
      <c r="WUW82" s="798"/>
      <c r="WUX82" s="798"/>
      <c r="WUY82" s="798"/>
      <c r="WUZ82" s="798"/>
      <c r="WVA82" s="798"/>
      <c r="WVB82" s="798"/>
      <c r="WVC82" s="798"/>
      <c r="WVD82" s="798"/>
      <c r="WVE82" s="798"/>
      <c r="WVF82" s="798"/>
      <c r="WVG82" s="798"/>
      <c r="WVH82" s="798"/>
      <c r="WVI82" s="798"/>
      <c r="WVJ82" s="798"/>
      <c r="WVK82" s="798"/>
      <c r="WVL82" s="798"/>
      <c r="WVM82" s="798"/>
      <c r="WVN82" s="798"/>
      <c r="WVO82" s="798"/>
      <c r="WVP82" s="798"/>
      <c r="WVQ82" s="798"/>
      <c r="WVR82" s="798"/>
      <c r="WVS82" s="798"/>
      <c r="WVT82" s="798"/>
      <c r="WVU82" s="798"/>
      <c r="WVV82" s="798"/>
      <c r="WVW82" s="798"/>
      <c r="WVX82" s="798"/>
      <c r="WVY82" s="798"/>
      <c r="WVZ82" s="798"/>
      <c r="WWA82" s="798"/>
      <c r="WWB82" s="798"/>
      <c r="WWC82" s="798"/>
      <c r="WWD82" s="798"/>
      <c r="WWE82" s="798"/>
      <c r="WWF82" s="798"/>
      <c r="WWG82" s="798"/>
      <c r="WWH82" s="798"/>
      <c r="WWI82" s="798"/>
      <c r="WWJ82" s="798"/>
      <c r="WWK82" s="798"/>
      <c r="WWL82" s="798"/>
      <c r="WWM82" s="798"/>
      <c r="WWN82" s="798"/>
      <c r="WWO82" s="798"/>
      <c r="WWP82" s="798"/>
      <c r="WWQ82" s="798"/>
      <c r="WWR82" s="798"/>
      <c r="WWS82" s="798"/>
      <c r="WWT82" s="798"/>
      <c r="WWU82" s="798"/>
      <c r="WWV82" s="798"/>
      <c r="WWW82" s="798"/>
      <c r="WWX82" s="798"/>
      <c r="WWY82" s="798"/>
      <c r="WWZ82" s="798"/>
      <c r="WXA82" s="798"/>
      <c r="WXB82" s="798"/>
      <c r="WXC82" s="798"/>
      <c r="WXD82" s="798"/>
      <c r="WXE82" s="798"/>
      <c r="WXF82" s="798"/>
      <c r="WXG82" s="798"/>
      <c r="WXH82" s="798"/>
      <c r="WXI82" s="798"/>
      <c r="WXJ82" s="798"/>
      <c r="WXK82" s="798"/>
      <c r="WXL82" s="798"/>
      <c r="WXM82" s="798"/>
      <c r="WXN82" s="798"/>
      <c r="WXO82" s="798"/>
      <c r="WXP82" s="798"/>
      <c r="WXQ82" s="798"/>
      <c r="WXR82" s="798"/>
      <c r="WXS82" s="798"/>
      <c r="WXT82" s="798"/>
      <c r="WXU82" s="798"/>
      <c r="WXV82" s="798"/>
      <c r="WXW82" s="798"/>
      <c r="WXX82" s="798"/>
      <c r="WXY82" s="798"/>
      <c r="WXZ82" s="798"/>
      <c r="WYA82" s="798"/>
      <c r="WYB82" s="798"/>
      <c r="WYC82" s="798"/>
      <c r="WYD82" s="798"/>
      <c r="WYE82" s="798"/>
      <c r="WYF82" s="798"/>
      <c r="WYG82" s="798"/>
      <c r="WYH82" s="798"/>
      <c r="WYI82" s="798"/>
      <c r="WYJ82" s="798"/>
      <c r="WYK82" s="798"/>
      <c r="WYL82" s="798"/>
      <c r="WYM82" s="798"/>
      <c r="WYN82" s="798"/>
      <c r="WYO82" s="798"/>
      <c r="WYP82" s="798"/>
      <c r="WYQ82" s="798"/>
      <c r="WYR82" s="798"/>
      <c r="WYS82" s="798"/>
      <c r="WYT82" s="798"/>
      <c r="WYU82" s="798"/>
      <c r="WYV82" s="798"/>
      <c r="WYW82" s="798"/>
      <c r="WYX82" s="798"/>
      <c r="WYY82" s="798"/>
      <c r="WYZ82" s="798"/>
      <c r="WZA82" s="798"/>
      <c r="WZB82" s="798"/>
      <c r="WZC82" s="798"/>
      <c r="WZD82" s="798"/>
      <c r="WZE82" s="798"/>
      <c r="WZF82" s="798"/>
      <c r="WZG82" s="798"/>
      <c r="WZH82" s="798"/>
      <c r="WZI82" s="798"/>
      <c r="WZJ82" s="798"/>
      <c r="WZK82" s="798"/>
      <c r="WZL82" s="798"/>
      <c r="WZM82" s="798"/>
      <c r="WZN82" s="798"/>
      <c r="WZO82" s="798"/>
      <c r="WZP82" s="798"/>
      <c r="WZQ82" s="798"/>
      <c r="WZR82" s="798"/>
      <c r="WZS82" s="798"/>
      <c r="WZT82" s="798"/>
      <c r="WZU82" s="798"/>
      <c r="WZV82" s="798"/>
      <c r="WZW82" s="798"/>
      <c r="WZX82" s="798"/>
      <c r="WZY82" s="798"/>
      <c r="WZZ82" s="798"/>
      <c r="XAA82" s="798"/>
      <c r="XAB82" s="798"/>
      <c r="XAC82" s="798"/>
      <c r="XAD82" s="798"/>
      <c r="XAE82" s="798"/>
      <c r="XAF82" s="798"/>
      <c r="XAG82" s="798"/>
      <c r="XAH82" s="798"/>
      <c r="XAI82" s="798"/>
      <c r="XAJ82" s="798"/>
      <c r="XAK82" s="798"/>
      <c r="XAL82" s="798"/>
      <c r="XAM82" s="798"/>
      <c r="XAN82" s="798"/>
      <c r="XAO82" s="798"/>
      <c r="XAP82" s="798"/>
      <c r="XAQ82" s="798"/>
      <c r="XAR82" s="798"/>
      <c r="XAS82" s="798"/>
      <c r="XAT82" s="798"/>
      <c r="XAU82" s="798"/>
      <c r="XAV82" s="798"/>
      <c r="XAW82" s="798"/>
      <c r="XAX82" s="798"/>
      <c r="XAY82" s="798"/>
      <c r="XAZ82" s="798"/>
      <c r="XBA82" s="798"/>
      <c r="XBB82" s="798"/>
      <c r="XBC82" s="798"/>
      <c r="XBD82" s="798"/>
    </row>
    <row r="83" spans="1:16280" ht="28.8" x14ac:dyDescent="0.3">
      <c r="A83" s="212">
        <v>80</v>
      </c>
      <c r="B83" s="212"/>
      <c r="C83" s="212" t="s">
        <v>417</v>
      </c>
      <c r="D83" s="212" t="s">
        <v>639</v>
      </c>
      <c r="E83" s="212" t="s">
        <v>677</v>
      </c>
      <c r="F83" s="489" t="s">
        <v>973</v>
      </c>
      <c r="G83" s="212" t="s">
        <v>941</v>
      </c>
      <c r="H83" s="276" t="s">
        <v>35</v>
      </c>
      <c r="I83" s="276" t="s">
        <v>414</v>
      </c>
      <c r="J83" s="276" t="s">
        <v>615</v>
      </c>
      <c r="K83" s="277" t="s">
        <v>642</v>
      </c>
      <c r="L83" s="277"/>
      <c r="M83" s="277"/>
      <c r="N83" s="374" t="s">
        <v>635</v>
      </c>
      <c r="O83" s="281"/>
      <c r="P83" s="277" t="s">
        <v>757</v>
      </c>
      <c r="Q83" s="192"/>
      <c r="R83" s="192"/>
      <c r="S83" s="192"/>
      <c r="T83" s="190"/>
      <c r="U83" s="190"/>
      <c r="V83" s="190"/>
      <c r="W83" s="190"/>
      <c r="X83" s="190"/>
      <c r="Y83" s="190"/>
      <c r="Z83" s="190"/>
      <c r="AA83" s="190"/>
      <c r="AB83" s="190"/>
      <c r="AC83" s="798"/>
      <c r="AD83" s="798"/>
      <c r="AE83" s="798"/>
      <c r="AF83" s="798"/>
      <c r="AG83" s="798"/>
      <c r="AH83" s="798"/>
      <c r="AI83" s="798"/>
      <c r="AJ83" s="798"/>
      <c r="AK83" s="798"/>
      <c r="AL83" s="798"/>
      <c r="AM83" s="798"/>
      <c r="AN83" s="798"/>
      <c r="AO83" s="798"/>
      <c r="AP83" s="798"/>
      <c r="AQ83" s="798"/>
      <c r="AR83" s="798"/>
      <c r="AS83" s="798"/>
      <c r="AT83" s="798"/>
      <c r="AU83" s="798"/>
      <c r="AV83" s="798"/>
      <c r="AW83" s="798"/>
      <c r="AX83" s="798"/>
      <c r="AY83" s="798"/>
      <c r="AZ83" s="798"/>
      <c r="BA83" s="798"/>
      <c r="BB83" s="798"/>
      <c r="BC83" s="798"/>
      <c r="BD83" s="798"/>
      <c r="BE83" s="798"/>
      <c r="BF83" s="798"/>
      <c r="BG83" s="798"/>
      <c r="BH83" s="798"/>
      <c r="BI83" s="798"/>
      <c r="BJ83" s="798"/>
      <c r="BK83" s="798"/>
      <c r="BL83" s="798"/>
      <c r="BM83" s="798"/>
      <c r="BN83" s="798"/>
      <c r="BO83" s="798"/>
      <c r="BP83" s="798"/>
      <c r="BQ83" s="798"/>
      <c r="BR83" s="798"/>
      <c r="BS83" s="798"/>
      <c r="BT83" s="798"/>
      <c r="BU83" s="798"/>
      <c r="BV83" s="798"/>
      <c r="BW83" s="798"/>
      <c r="BX83" s="798"/>
      <c r="BY83" s="798"/>
      <c r="BZ83" s="798"/>
      <c r="CA83" s="798"/>
      <c r="CB83" s="798"/>
      <c r="CC83" s="798"/>
      <c r="CD83" s="798"/>
      <c r="CE83" s="798"/>
      <c r="CF83" s="798"/>
      <c r="CG83" s="798"/>
      <c r="CH83" s="798"/>
      <c r="CI83" s="798"/>
      <c r="CJ83" s="798"/>
      <c r="CK83" s="798"/>
      <c r="CL83" s="798"/>
      <c r="CM83" s="798"/>
      <c r="CN83" s="798"/>
      <c r="CO83" s="798"/>
      <c r="CP83" s="798"/>
      <c r="CQ83" s="798"/>
      <c r="CR83" s="798"/>
      <c r="CS83" s="798"/>
      <c r="CT83" s="798"/>
      <c r="CU83" s="798"/>
      <c r="CV83" s="798"/>
      <c r="CW83" s="798"/>
      <c r="CX83" s="798"/>
      <c r="CY83" s="798"/>
      <c r="CZ83" s="798"/>
      <c r="DA83" s="798"/>
      <c r="DB83" s="798"/>
      <c r="DC83" s="798"/>
      <c r="DD83" s="798"/>
      <c r="DE83" s="798"/>
      <c r="DF83" s="798"/>
      <c r="DG83" s="798"/>
      <c r="DH83" s="798"/>
      <c r="DI83" s="798"/>
      <c r="DJ83" s="798"/>
      <c r="DK83" s="798"/>
      <c r="DL83" s="798"/>
      <c r="DM83" s="798"/>
      <c r="DN83" s="798"/>
      <c r="DO83" s="798"/>
      <c r="DP83" s="798"/>
      <c r="DQ83" s="798"/>
      <c r="DR83" s="798"/>
      <c r="DS83" s="798"/>
      <c r="DT83" s="798"/>
      <c r="DU83" s="798"/>
      <c r="DV83" s="798"/>
      <c r="DW83" s="798"/>
      <c r="DX83" s="798"/>
      <c r="DY83" s="798"/>
      <c r="DZ83" s="798"/>
      <c r="EA83" s="798"/>
      <c r="EB83" s="798"/>
      <c r="EC83" s="798"/>
      <c r="ED83" s="798"/>
      <c r="EE83" s="798"/>
      <c r="EF83" s="798"/>
      <c r="EG83" s="798"/>
      <c r="EH83" s="798"/>
      <c r="EI83" s="798"/>
      <c r="EJ83" s="798"/>
      <c r="EK83" s="798"/>
      <c r="EL83" s="798"/>
      <c r="EM83" s="798"/>
      <c r="EN83" s="798"/>
      <c r="EO83" s="798"/>
      <c r="EP83" s="798"/>
      <c r="EQ83" s="798"/>
      <c r="ER83" s="798"/>
      <c r="ES83" s="798"/>
      <c r="ET83" s="798"/>
      <c r="EU83" s="798"/>
      <c r="EV83" s="798"/>
      <c r="EW83" s="798"/>
      <c r="EX83" s="798"/>
      <c r="EY83" s="798"/>
      <c r="EZ83" s="798"/>
      <c r="FA83" s="798"/>
      <c r="FB83" s="798"/>
      <c r="FC83" s="798"/>
      <c r="FD83" s="798"/>
      <c r="FE83" s="798"/>
      <c r="FF83" s="798"/>
      <c r="FG83" s="798"/>
      <c r="FH83" s="798"/>
      <c r="FI83" s="798"/>
      <c r="FJ83" s="798"/>
      <c r="FK83" s="798"/>
      <c r="FL83" s="798"/>
      <c r="FM83" s="798"/>
      <c r="FN83" s="798"/>
      <c r="FO83" s="798"/>
      <c r="FP83" s="798"/>
      <c r="FQ83" s="798"/>
      <c r="FR83" s="798"/>
      <c r="FS83" s="798"/>
      <c r="FT83" s="798"/>
      <c r="FU83" s="798"/>
      <c r="FV83" s="798"/>
      <c r="FW83" s="798"/>
      <c r="FX83" s="798"/>
      <c r="FY83" s="798"/>
      <c r="FZ83" s="798"/>
      <c r="GA83" s="798"/>
      <c r="GB83" s="798"/>
      <c r="GC83" s="798"/>
      <c r="GD83" s="798"/>
      <c r="GE83" s="798"/>
      <c r="GF83" s="798"/>
      <c r="GG83" s="798"/>
      <c r="GH83" s="798"/>
      <c r="GI83" s="798"/>
      <c r="GJ83" s="798"/>
      <c r="GK83" s="798"/>
      <c r="GL83" s="798"/>
      <c r="GM83" s="798"/>
      <c r="GN83" s="798"/>
      <c r="GO83" s="798"/>
      <c r="GP83" s="798"/>
      <c r="GQ83" s="798"/>
      <c r="GR83" s="798"/>
      <c r="GS83" s="798"/>
      <c r="GT83" s="798"/>
      <c r="GU83" s="798"/>
      <c r="GV83" s="798"/>
      <c r="GW83" s="798"/>
      <c r="GX83" s="798"/>
      <c r="GY83" s="798"/>
      <c r="GZ83" s="798"/>
      <c r="HA83" s="798"/>
      <c r="HB83" s="798"/>
      <c r="HC83" s="798"/>
      <c r="HD83" s="798"/>
      <c r="HE83" s="798"/>
      <c r="HF83" s="798"/>
      <c r="HG83" s="798"/>
      <c r="HH83" s="798"/>
      <c r="HI83" s="798"/>
      <c r="HJ83" s="798"/>
      <c r="HK83" s="798"/>
      <c r="HL83" s="798"/>
      <c r="HM83" s="798"/>
      <c r="HN83" s="798"/>
      <c r="HO83" s="798"/>
      <c r="HP83" s="798"/>
      <c r="HQ83" s="798"/>
      <c r="HR83" s="798"/>
      <c r="HS83" s="798"/>
      <c r="HT83" s="798"/>
      <c r="HU83" s="798"/>
      <c r="HV83" s="798"/>
      <c r="HW83" s="798"/>
      <c r="HX83" s="798"/>
      <c r="HY83" s="798"/>
      <c r="HZ83" s="798"/>
      <c r="IA83" s="798"/>
      <c r="IB83" s="798"/>
      <c r="IC83" s="798"/>
      <c r="ID83" s="798"/>
      <c r="IE83" s="798"/>
      <c r="IF83" s="798"/>
      <c r="IG83" s="798"/>
      <c r="IH83" s="798"/>
      <c r="II83" s="798"/>
      <c r="IJ83" s="798"/>
      <c r="IK83" s="798"/>
      <c r="IL83" s="798"/>
      <c r="IM83" s="798"/>
      <c r="IN83" s="798"/>
      <c r="IO83" s="798"/>
      <c r="IP83" s="798"/>
      <c r="IQ83" s="798"/>
      <c r="IR83" s="798"/>
      <c r="IS83" s="798"/>
      <c r="IT83" s="798"/>
      <c r="IU83" s="798"/>
      <c r="IV83" s="798"/>
      <c r="IW83" s="798"/>
      <c r="IX83" s="798"/>
      <c r="IY83" s="798"/>
      <c r="IZ83" s="798"/>
      <c r="JA83" s="798"/>
      <c r="JB83" s="798"/>
      <c r="JC83" s="798"/>
      <c r="JD83" s="798"/>
      <c r="JE83" s="798"/>
      <c r="JF83" s="798"/>
      <c r="JG83" s="798"/>
      <c r="JH83" s="798"/>
      <c r="JI83" s="798"/>
      <c r="JJ83" s="798"/>
      <c r="JK83" s="798"/>
      <c r="JL83" s="798"/>
      <c r="JM83" s="798"/>
      <c r="JN83" s="798"/>
      <c r="JO83" s="798"/>
      <c r="JP83" s="798"/>
      <c r="JQ83" s="798"/>
      <c r="JR83" s="798"/>
      <c r="JS83" s="798"/>
      <c r="JT83" s="798"/>
      <c r="JU83" s="798"/>
      <c r="JV83" s="798"/>
      <c r="JW83" s="798"/>
      <c r="JX83" s="798"/>
      <c r="JY83" s="798"/>
      <c r="JZ83" s="798"/>
      <c r="KA83" s="798"/>
      <c r="KB83" s="798"/>
      <c r="KC83" s="798"/>
      <c r="KD83" s="798"/>
      <c r="KE83" s="798"/>
      <c r="KF83" s="798"/>
      <c r="KG83" s="798"/>
      <c r="KH83" s="798"/>
      <c r="KI83" s="798"/>
      <c r="KJ83" s="798"/>
      <c r="KK83" s="798"/>
      <c r="KL83" s="798"/>
      <c r="KM83" s="798"/>
      <c r="KN83" s="798"/>
      <c r="KO83" s="798"/>
      <c r="KP83" s="798"/>
      <c r="KQ83" s="798"/>
      <c r="KR83" s="798"/>
      <c r="KS83" s="798"/>
      <c r="KT83" s="798"/>
      <c r="KU83" s="798"/>
      <c r="KV83" s="798"/>
      <c r="KW83" s="798"/>
      <c r="KX83" s="798"/>
      <c r="KY83" s="798"/>
      <c r="KZ83" s="798"/>
      <c r="LA83" s="798"/>
      <c r="LB83" s="798"/>
      <c r="LC83" s="798"/>
      <c r="LD83" s="798"/>
      <c r="LE83" s="798"/>
      <c r="LF83" s="798"/>
      <c r="LG83" s="798"/>
      <c r="LH83" s="798"/>
      <c r="LI83" s="798"/>
      <c r="LJ83" s="798"/>
      <c r="LK83" s="798"/>
      <c r="LL83" s="798"/>
      <c r="LM83" s="798"/>
      <c r="LN83" s="798"/>
      <c r="LO83" s="798"/>
      <c r="LP83" s="798"/>
      <c r="LQ83" s="798"/>
      <c r="LR83" s="798"/>
      <c r="LS83" s="798"/>
      <c r="LT83" s="798"/>
      <c r="LU83" s="798"/>
      <c r="LV83" s="798"/>
      <c r="LW83" s="798"/>
      <c r="LX83" s="798"/>
      <c r="LY83" s="798"/>
      <c r="LZ83" s="798"/>
      <c r="MA83" s="798"/>
      <c r="MB83" s="798"/>
      <c r="MC83" s="798"/>
      <c r="MD83" s="798"/>
      <c r="ME83" s="798"/>
      <c r="MF83" s="798"/>
      <c r="MG83" s="798"/>
      <c r="MH83" s="798"/>
      <c r="MI83" s="798"/>
      <c r="MJ83" s="798"/>
      <c r="MK83" s="798"/>
      <c r="ML83" s="798"/>
      <c r="MM83" s="798"/>
      <c r="MN83" s="798"/>
      <c r="MO83" s="798"/>
      <c r="MP83" s="798"/>
      <c r="MQ83" s="798"/>
      <c r="MR83" s="798"/>
      <c r="MS83" s="798"/>
      <c r="MT83" s="798"/>
      <c r="MU83" s="798"/>
      <c r="MV83" s="798"/>
      <c r="MW83" s="798"/>
      <c r="MX83" s="798"/>
      <c r="MY83" s="798"/>
      <c r="MZ83" s="798"/>
      <c r="NA83" s="798"/>
      <c r="NB83" s="798"/>
      <c r="NC83" s="798"/>
      <c r="ND83" s="798"/>
      <c r="NE83" s="798"/>
      <c r="NF83" s="798"/>
      <c r="NG83" s="798"/>
      <c r="NH83" s="798"/>
      <c r="NI83" s="798"/>
      <c r="NJ83" s="798"/>
      <c r="NK83" s="798"/>
      <c r="NL83" s="798"/>
      <c r="NM83" s="798"/>
      <c r="NN83" s="798"/>
      <c r="NO83" s="798"/>
      <c r="NP83" s="798"/>
      <c r="NQ83" s="798"/>
      <c r="NR83" s="798"/>
      <c r="NS83" s="798"/>
      <c r="NT83" s="798"/>
      <c r="NU83" s="798"/>
      <c r="NV83" s="798"/>
      <c r="NW83" s="798"/>
      <c r="NX83" s="798"/>
      <c r="NY83" s="798"/>
      <c r="NZ83" s="798"/>
      <c r="OA83" s="798"/>
      <c r="OB83" s="798"/>
      <c r="OC83" s="798"/>
      <c r="OD83" s="798"/>
      <c r="OE83" s="798"/>
      <c r="OF83" s="798"/>
      <c r="OG83" s="798"/>
      <c r="OH83" s="798"/>
      <c r="OI83" s="798"/>
      <c r="OJ83" s="798"/>
      <c r="OK83" s="798"/>
      <c r="OL83" s="798"/>
      <c r="OM83" s="798"/>
      <c r="ON83" s="798"/>
      <c r="OO83" s="798"/>
      <c r="OP83" s="798"/>
      <c r="OQ83" s="798"/>
      <c r="OR83" s="798"/>
      <c r="OS83" s="798"/>
      <c r="OT83" s="798"/>
      <c r="OU83" s="798"/>
      <c r="OV83" s="798"/>
      <c r="OW83" s="798"/>
      <c r="OX83" s="798"/>
      <c r="OY83" s="798"/>
      <c r="OZ83" s="798"/>
      <c r="PA83" s="798"/>
      <c r="PB83" s="798"/>
      <c r="PC83" s="798"/>
      <c r="PD83" s="798"/>
      <c r="PE83" s="798"/>
      <c r="PF83" s="798"/>
      <c r="PG83" s="798"/>
      <c r="PH83" s="798"/>
      <c r="PI83" s="798"/>
      <c r="PJ83" s="798"/>
      <c r="PK83" s="798"/>
      <c r="PL83" s="798"/>
      <c r="PM83" s="798"/>
      <c r="PN83" s="798"/>
      <c r="PO83" s="798"/>
      <c r="PP83" s="798"/>
      <c r="PQ83" s="798"/>
      <c r="PR83" s="798"/>
      <c r="PS83" s="798"/>
      <c r="PT83" s="798"/>
      <c r="PU83" s="798"/>
      <c r="PV83" s="798"/>
      <c r="PW83" s="798"/>
      <c r="PX83" s="798"/>
      <c r="PY83" s="798"/>
      <c r="PZ83" s="798"/>
      <c r="QA83" s="798"/>
      <c r="QB83" s="798"/>
      <c r="QC83" s="798"/>
      <c r="QD83" s="798"/>
      <c r="QE83" s="798"/>
      <c r="QF83" s="798"/>
      <c r="QG83" s="798"/>
      <c r="QH83" s="798"/>
      <c r="QI83" s="798"/>
      <c r="QJ83" s="798"/>
      <c r="QK83" s="798"/>
      <c r="QL83" s="798"/>
      <c r="QM83" s="798"/>
      <c r="QN83" s="798"/>
      <c r="QO83" s="798"/>
      <c r="QP83" s="798"/>
      <c r="QQ83" s="798"/>
      <c r="QR83" s="798"/>
      <c r="QS83" s="798"/>
      <c r="QT83" s="798"/>
      <c r="QU83" s="798"/>
      <c r="QV83" s="798"/>
      <c r="QW83" s="798"/>
      <c r="QX83" s="798"/>
      <c r="QY83" s="798"/>
      <c r="QZ83" s="798"/>
      <c r="RA83" s="798"/>
      <c r="RB83" s="798"/>
      <c r="RC83" s="798"/>
      <c r="RD83" s="798"/>
      <c r="RE83" s="798"/>
      <c r="RF83" s="798"/>
      <c r="RG83" s="798"/>
      <c r="RH83" s="798"/>
      <c r="RI83" s="798"/>
      <c r="RJ83" s="798"/>
      <c r="RK83" s="798"/>
      <c r="RL83" s="798"/>
      <c r="RM83" s="798"/>
      <c r="RN83" s="798"/>
      <c r="RO83" s="798"/>
      <c r="RP83" s="798"/>
      <c r="RQ83" s="798"/>
      <c r="RR83" s="798"/>
      <c r="RS83" s="798"/>
      <c r="RT83" s="798"/>
      <c r="RU83" s="798"/>
      <c r="RV83" s="798"/>
      <c r="RW83" s="798"/>
      <c r="RX83" s="798"/>
      <c r="RY83" s="798"/>
      <c r="RZ83" s="798"/>
      <c r="SA83" s="798"/>
      <c r="SB83" s="798"/>
      <c r="SC83" s="798"/>
      <c r="SD83" s="798"/>
      <c r="SE83" s="798"/>
      <c r="SF83" s="798"/>
      <c r="SG83" s="798"/>
      <c r="SH83" s="798"/>
      <c r="SI83" s="798"/>
      <c r="SJ83" s="798"/>
      <c r="SK83" s="798"/>
      <c r="SL83" s="798"/>
      <c r="SM83" s="798"/>
      <c r="SN83" s="798"/>
      <c r="SO83" s="798"/>
      <c r="SP83" s="798"/>
      <c r="SQ83" s="798"/>
      <c r="SR83" s="798"/>
      <c r="SS83" s="798"/>
      <c r="ST83" s="798"/>
      <c r="SU83" s="798"/>
      <c r="SV83" s="798"/>
      <c r="SW83" s="798"/>
      <c r="SX83" s="798"/>
      <c r="SY83" s="798"/>
      <c r="SZ83" s="798"/>
      <c r="TA83" s="798"/>
      <c r="TB83" s="798"/>
      <c r="TC83" s="798"/>
      <c r="TD83" s="798"/>
      <c r="TE83" s="798"/>
      <c r="TF83" s="798"/>
      <c r="TG83" s="798"/>
      <c r="TH83" s="798"/>
      <c r="TI83" s="798"/>
      <c r="TJ83" s="798"/>
      <c r="TK83" s="798"/>
      <c r="TL83" s="798"/>
      <c r="TM83" s="798"/>
      <c r="TN83" s="798"/>
      <c r="TO83" s="798"/>
      <c r="TP83" s="798"/>
      <c r="TQ83" s="798"/>
      <c r="TR83" s="798"/>
      <c r="TS83" s="798"/>
      <c r="TT83" s="798"/>
      <c r="TU83" s="798"/>
      <c r="TV83" s="798"/>
      <c r="TW83" s="798"/>
      <c r="TX83" s="798"/>
      <c r="TY83" s="798"/>
      <c r="TZ83" s="798"/>
      <c r="UA83" s="798"/>
      <c r="UB83" s="798"/>
      <c r="UC83" s="798"/>
      <c r="UD83" s="798"/>
      <c r="UE83" s="798"/>
      <c r="UF83" s="798"/>
      <c r="UG83" s="798"/>
      <c r="UH83" s="798"/>
      <c r="UI83" s="798"/>
      <c r="UJ83" s="798"/>
      <c r="UK83" s="798"/>
      <c r="UL83" s="798"/>
      <c r="UM83" s="798"/>
      <c r="UN83" s="798"/>
      <c r="UO83" s="798"/>
      <c r="UP83" s="798"/>
      <c r="UQ83" s="798"/>
      <c r="UR83" s="798"/>
      <c r="US83" s="798"/>
      <c r="UT83" s="798"/>
      <c r="UU83" s="798"/>
      <c r="UV83" s="798"/>
      <c r="UW83" s="798"/>
      <c r="UX83" s="798"/>
      <c r="UY83" s="798"/>
      <c r="UZ83" s="798"/>
      <c r="VA83" s="798"/>
      <c r="VB83" s="798"/>
      <c r="VC83" s="798"/>
      <c r="VD83" s="798"/>
      <c r="VE83" s="798"/>
      <c r="VF83" s="798"/>
      <c r="VG83" s="798"/>
      <c r="VH83" s="798"/>
      <c r="VI83" s="798"/>
      <c r="VJ83" s="798"/>
      <c r="VK83" s="798"/>
      <c r="VL83" s="798"/>
      <c r="VM83" s="798"/>
      <c r="VN83" s="798"/>
      <c r="VO83" s="798"/>
      <c r="VP83" s="798"/>
      <c r="VQ83" s="798"/>
      <c r="VR83" s="798"/>
      <c r="VS83" s="798"/>
      <c r="VT83" s="798"/>
      <c r="VU83" s="798"/>
      <c r="VV83" s="798"/>
      <c r="VW83" s="798"/>
      <c r="VX83" s="798"/>
      <c r="VY83" s="798"/>
      <c r="VZ83" s="798"/>
      <c r="WA83" s="798"/>
      <c r="WB83" s="798"/>
      <c r="WC83" s="798"/>
      <c r="WD83" s="798"/>
      <c r="WE83" s="798"/>
      <c r="WF83" s="798"/>
      <c r="WG83" s="798"/>
      <c r="WH83" s="798"/>
      <c r="WI83" s="798"/>
      <c r="WJ83" s="798"/>
      <c r="WK83" s="798"/>
      <c r="WL83" s="798"/>
      <c r="WM83" s="798"/>
      <c r="WN83" s="798"/>
      <c r="WO83" s="798"/>
      <c r="WP83" s="798"/>
      <c r="WQ83" s="798"/>
      <c r="WR83" s="798"/>
      <c r="WS83" s="798"/>
      <c r="WT83" s="798"/>
      <c r="WU83" s="798"/>
      <c r="WV83" s="798"/>
      <c r="WW83" s="798"/>
      <c r="WX83" s="798"/>
      <c r="WY83" s="798"/>
      <c r="WZ83" s="798"/>
      <c r="XA83" s="798"/>
      <c r="XB83" s="798"/>
      <c r="XC83" s="798"/>
      <c r="XD83" s="798"/>
      <c r="XE83" s="798"/>
      <c r="XF83" s="798"/>
      <c r="XG83" s="798"/>
      <c r="XH83" s="798"/>
      <c r="XI83" s="798"/>
      <c r="XJ83" s="798"/>
      <c r="XK83" s="798"/>
      <c r="XL83" s="798"/>
      <c r="XM83" s="798"/>
      <c r="XN83" s="798"/>
      <c r="XO83" s="798"/>
      <c r="XP83" s="798"/>
      <c r="XQ83" s="798"/>
      <c r="XR83" s="798"/>
      <c r="XS83" s="798"/>
      <c r="XT83" s="798"/>
      <c r="XU83" s="798"/>
      <c r="XV83" s="798"/>
      <c r="XW83" s="798"/>
      <c r="XX83" s="798"/>
      <c r="XY83" s="798"/>
      <c r="XZ83" s="798"/>
      <c r="YA83" s="798"/>
      <c r="YB83" s="798"/>
      <c r="YC83" s="798"/>
      <c r="YD83" s="798"/>
      <c r="YE83" s="798"/>
      <c r="YF83" s="798"/>
      <c r="YG83" s="798"/>
      <c r="YH83" s="798"/>
      <c r="YI83" s="798"/>
      <c r="YJ83" s="798"/>
      <c r="YK83" s="798"/>
      <c r="YL83" s="798"/>
      <c r="YM83" s="798"/>
      <c r="YN83" s="798"/>
      <c r="YO83" s="798"/>
      <c r="YP83" s="798"/>
      <c r="YQ83" s="798"/>
      <c r="YR83" s="798"/>
      <c r="YS83" s="798"/>
      <c r="YT83" s="798"/>
      <c r="YU83" s="798"/>
      <c r="YV83" s="798"/>
      <c r="YW83" s="798"/>
      <c r="YX83" s="798"/>
      <c r="YY83" s="798"/>
      <c r="YZ83" s="798"/>
      <c r="ZA83" s="798"/>
      <c r="ZB83" s="798"/>
      <c r="ZC83" s="798"/>
      <c r="ZD83" s="798"/>
      <c r="ZE83" s="798"/>
      <c r="ZF83" s="798"/>
      <c r="ZG83" s="798"/>
      <c r="ZH83" s="798"/>
      <c r="ZI83" s="798"/>
      <c r="ZJ83" s="798"/>
      <c r="ZK83" s="798"/>
      <c r="ZL83" s="798"/>
      <c r="ZM83" s="798"/>
      <c r="ZN83" s="798"/>
      <c r="ZO83" s="798"/>
      <c r="ZP83" s="798"/>
      <c r="ZQ83" s="798"/>
      <c r="ZR83" s="798"/>
      <c r="ZS83" s="798"/>
      <c r="ZT83" s="798"/>
      <c r="ZU83" s="798"/>
      <c r="ZV83" s="798"/>
      <c r="ZW83" s="798"/>
      <c r="ZX83" s="798"/>
      <c r="ZY83" s="798"/>
      <c r="ZZ83" s="798"/>
      <c r="AAA83" s="798"/>
      <c r="AAB83" s="798"/>
      <c r="AAC83" s="798"/>
      <c r="AAD83" s="798"/>
      <c r="AAE83" s="798"/>
      <c r="AAF83" s="798"/>
      <c r="AAG83" s="798"/>
      <c r="AAH83" s="798"/>
      <c r="AAI83" s="798"/>
      <c r="AAJ83" s="798"/>
      <c r="AAK83" s="798"/>
      <c r="AAL83" s="798"/>
      <c r="AAM83" s="798"/>
      <c r="AAN83" s="798"/>
      <c r="AAO83" s="798"/>
      <c r="AAP83" s="798"/>
      <c r="AAQ83" s="798"/>
      <c r="AAR83" s="798"/>
      <c r="AAS83" s="798"/>
      <c r="AAT83" s="798"/>
      <c r="AAU83" s="798"/>
      <c r="AAV83" s="798"/>
      <c r="AAW83" s="798"/>
      <c r="AAX83" s="798"/>
      <c r="AAY83" s="798"/>
      <c r="AAZ83" s="798"/>
      <c r="ABA83" s="798"/>
      <c r="ABB83" s="798"/>
      <c r="ABC83" s="798"/>
      <c r="ABD83" s="798"/>
      <c r="ABE83" s="798"/>
      <c r="ABF83" s="798"/>
      <c r="ABG83" s="798"/>
      <c r="ABH83" s="798"/>
      <c r="ABI83" s="798"/>
      <c r="ABJ83" s="798"/>
      <c r="ABK83" s="798"/>
      <c r="ABL83" s="798"/>
      <c r="ABM83" s="798"/>
      <c r="ABN83" s="798"/>
      <c r="ABO83" s="798"/>
      <c r="ABP83" s="798"/>
      <c r="ABQ83" s="798"/>
      <c r="ABR83" s="798"/>
      <c r="ABS83" s="798"/>
      <c r="ABT83" s="798"/>
      <c r="ABU83" s="798"/>
      <c r="ABV83" s="798"/>
      <c r="ABW83" s="798"/>
      <c r="ABX83" s="798"/>
      <c r="ABY83" s="798"/>
      <c r="ABZ83" s="798"/>
      <c r="ACA83" s="798"/>
      <c r="ACB83" s="798"/>
      <c r="ACC83" s="798"/>
      <c r="ACD83" s="798"/>
      <c r="ACE83" s="798"/>
      <c r="ACF83" s="798"/>
      <c r="ACG83" s="798"/>
      <c r="ACH83" s="798"/>
      <c r="ACI83" s="798"/>
      <c r="ACJ83" s="798"/>
      <c r="ACK83" s="798"/>
      <c r="ACL83" s="798"/>
      <c r="ACM83" s="798"/>
      <c r="ACN83" s="798"/>
      <c r="ACO83" s="798"/>
      <c r="ACP83" s="798"/>
      <c r="ACQ83" s="798"/>
      <c r="ACR83" s="798"/>
      <c r="ACS83" s="798"/>
      <c r="ACT83" s="798"/>
      <c r="ACU83" s="798"/>
      <c r="ACV83" s="798"/>
      <c r="ACW83" s="798"/>
      <c r="ACX83" s="798"/>
      <c r="ACY83" s="798"/>
      <c r="ACZ83" s="798"/>
      <c r="ADA83" s="798"/>
      <c r="ADB83" s="798"/>
      <c r="ADC83" s="798"/>
      <c r="ADD83" s="798"/>
      <c r="ADE83" s="798"/>
      <c r="ADF83" s="798"/>
      <c r="ADG83" s="798"/>
      <c r="ADH83" s="798"/>
      <c r="ADI83" s="798"/>
      <c r="ADJ83" s="798"/>
      <c r="ADK83" s="798"/>
      <c r="ADL83" s="798"/>
      <c r="ADM83" s="798"/>
      <c r="ADN83" s="798"/>
      <c r="ADO83" s="798"/>
      <c r="ADP83" s="798"/>
      <c r="ADQ83" s="798"/>
      <c r="ADR83" s="798"/>
      <c r="ADS83" s="798"/>
      <c r="ADT83" s="798"/>
      <c r="ADU83" s="798"/>
      <c r="ADV83" s="798"/>
      <c r="ADW83" s="798"/>
      <c r="ADX83" s="798"/>
      <c r="ADY83" s="798"/>
      <c r="ADZ83" s="798"/>
      <c r="AEA83" s="798"/>
      <c r="AEB83" s="798"/>
      <c r="AEC83" s="798"/>
      <c r="AED83" s="798"/>
      <c r="AEE83" s="798"/>
      <c r="AEF83" s="798"/>
      <c r="AEG83" s="798"/>
      <c r="AEH83" s="798"/>
      <c r="AEI83" s="798"/>
      <c r="AEJ83" s="798"/>
      <c r="AEK83" s="798"/>
      <c r="AEL83" s="798"/>
      <c r="AEM83" s="798"/>
      <c r="AEN83" s="798"/>
      <c r="AEO83" s="798"/>
      <c r="AEP83" s="798"/>
      <c r="AEQ83" s="798"/>
      <c r="AER83" s="798"/>
      <c r="AES83" s="798"/>
      <c r="AET83" s="798"/>
      <c r="AEU83" s="798"/>
      <c r="AEV83" s="798"/>
      <c r="AEW83" s="798"/>
      <c r="AEX83" s="798"/>
      <c r="AEY83" s="798"/>
      <c r="AEZ83" s="798"/>
      <c r="AFA83" s="798"/>
      <c r="AFB83" s="798"/>
      <c r="AFC83" s="798"/>
      <c r="AFD83" s="798"/>
      <c r="AFE83" s="798"/>
      <c r="AFF83" s="798"/>
      <c r="AFG83" s="798"/>
      <c r="AFH83" s="798"/>
      <c r="AFI83" s="798"/>
      <c r="AFJ83" s="798"/>
      <c r="AFK83" s="798"/>
      <c r="AFL83" s="798"/>
      <c r="AFM83" s="798"/>
      <c r="AFN83" s="798"/>
      <c r="AFO83" s="798"/>
      <c r="AFP83" s="798"/>
      <c r="AFQ83" s="798"/>
      <c r="AFR83" s="798"/>
      <c r="AFS83" s="798"/>
      <c r="AFT83" s="798"/>
      <c r="AFU83" s="798"/>
      <c r="AFV83" s="798"/>
      <c r="AFW83" s="798"/>
      <c r="AFX83" s="798"/>
      <c r="AFY83" s="798"/>
      <c r="AFZ83" s="798"/>
      <c r="AGA83" s="798"/>
      <c r="AGB83" s="798"/>
      <c r="AGC83" s="798"/>
      <c r="AGD83" s="798"/>
      <c r="AGE83" s="798"/>
      <c r="AGF83" s="798"/>
      <c r="AGG83" s="798"/>
      <c r="AGH83" s="798"/>
      <c r="AGI83" s="798"/>
      <c r="AGJ83" s="798"/>
      <c r="AGK83" s="798"/>
      <c r="AGL83" s="798"/>
      <c r="AGM83" s="798"/>
      <c r="AGN83" s="798"/>
      <c r="AGO83" s="798"/>
      <c r="AGP83" s="798"/>
      <c r="AGQ83" s="798"/>
      <c r="AGR83" s="798"/>
      <c r="AGS83" s="798"/>
      <c r="AGT83" s="798"/>
      <c r="AGU83" s="798"/>
      <c r="AGV83" s="798"/>
      <c r="AGW83" s="798"/>
      <c r="AGX83" s="798"/>
      <c r="AGY83" s="798"/>
      <c r="AGZ83" s="798"/>
      <c r="AHA83" s="798"/>
      <c r="AHB83" s="798"/>
      <c r="AHC83" s="798"/>
      <c r="AHD83" s="798"/>
      <c r="AHE83" s="798"/>
      <c r="AHF83" s="798"/>
      <c r="AHG83" s="798"/>
      <c r="AHH83" s="798"/>
      <c r="AHI83" s="798"/>
      <c r="AHJ83" s="798"/>
      <c r="AHK83" s="798"/>
      <c r="AHL83" s="798"/>
      <c r="AHM83" s="798"/>
      <c r="AHN83" s="798"/>
      <c r="AHO83" s="798"/>
      <c r="AHP83" s="798"/>
      <c r="AHQ83" s="798"/>
      <c r="AHR83" s="798"/>
      <c r="AHS83" s="798"/>
      <c r="AHT83" s="798"/>
      <c r="AHU83" s="798"/>
      <c r="AHV83" s="798"/>
      <c r="AHW83" s="798"/>
      <c r="AHX83" s="798"/>
      <c r="AHY83" s="798"/>
      <c r="AHZ83" s="798"/>
      <c r="AIA83" s="798"/>
      <c r="AIB83" s="798"/>
      <c r="AIC83" s="798"/>
      <c r="AID83" s="798"/>
      <c r="AIE83" s="798"/>
      <c r="AIF83" s="798"/>
      <c r="AIG83" s="798"/>
      <c r="AIH83" s="798"/>
      <c r="AII83" s="798"/>
      <c r="AIJ83" s="798"/>
      <c r="AIK83" s="798"/>
      <c r="AIL83" s="798"/>
      <c r="AIM83" s="798"/>
      <c r="AIN83" s="798"/>
      <c r="AIO83" s="798"/>
      <c r="AIP83" s="798"/>
      <c r="AIQ83" s="798"/>
      <c r="AIR83" s="798"/>
      <c r="AIS83" s="798"/>
      <c r="AIT83" s="798"/>
      <c r="AIU83" s="798"/>
      <c r="AIV83" s="798"/>
      <c r="AIW83" s="798"/>
      <c r="AIX83" s="798"/>
      <c r="AIY83" s="798"/>
      <c r="AIZ83" s="798"/>
      <c r="AJA83" s="798"/>
      <c r="AJB83" s="798"/>
      <c r="AJC83" s="798"/>
      <c r="AJD83" s="798"/>
      <c r="AJE83" s="798"/>
      <c r="AJF83" s="798"/>
      <c r="AJG83" s="798"/>
      <c r="AJH83" s="798"/>
      <c r="AJI83" s="798"/>
      <c r="AJJ83" s="798"/>
      <c r="AJK83" s="798"/>
      <c r="AJL83" s="798"/>
      <c r="AJM83" s="798"/>
      <c r="AJN83" s="798"/>
      <c r="AJO83" s="798"/>
      <c r="AJP83" s="798"/>
      <c r="AJQ83" s="798"/>
      <c r="AJR83" s="798"/>
      <c r="AJS83" s="798"/>
      <c r="AJT83" s="798"/>
      <c r="AJU83" s="798"/>
      <c r="AJV83" s="798"/>
      <c r="AJW83" s="798"/>
      <c r="AJX83" s="798"/>
      <c r="AJY83" s="798"/>
      <c r="AJZ83" s="798"/>
      <c r="AKA83" s="798"/>
      <c r="AKB83" s="798"/>
      <c r="AKC83" s="798"/>
      <c r="AKD83" s="798"/>
      <c r="AKE83" s="798"/>
      <c r="AKF83" s="798"/>
      <c r="AKG83" s="798"/>
      <c r="AKH83" s="798"/>
      <c r="AKI83" s="798"/>
      <c r="AKJ83" s="798"/>
      <c r="AKK83" s="798"/>
      <c r="AKL83" s="798"/>
      <c r="AKM83" s="798"/>
      <c r="AKN83" s="798"/>
      <c r="AKO83" s="798"/>
      <c r="AKP83" s="798"/>
      <c r="AKQ83" s="798"/>
      <c r="AKR83" s="798"/>
      <c r="AKS83" s="798"/>
      <c r="AKT83" s="798"/>
      <c r="AKU83" s="798"/>
      <c r="AKV83" s="798"/>
      <c r="AKW83" s="798"/>
      <c r="AKX83" s="798"/>
      <c r="AKY83" s="798"/>
      <c r="AKZ83" s="798"/>
      <c r="ALA83" s="798"/>
      <c r="ALB83" s="798"/>
      <c r="ALC83" s="798"/>
      <c r="ALD83" s="798"/>
      <c r="ALE83" s="798"/>
      <c r="ALF83" s="798"/>
      <c r="ALG83" s="798"/>
      <c r="ALH83" s="798"/>
      <c r="ALI83" s="798"/>
      <c r="ALJ83" s="798"/>
      <c r="ALK83" s="798"/>
      <c r="ALL83" s="798"/>
      <c r="ALM83" s="798"/>
      <c r="ALN83" s="798"/>
      <c r="ALO83" s="798"/>
      <c r="ALP83" s="798"/>
      <c r="ALQ83" s="798"/>
      <c r="ALR83" s="798"/>
      <c r="ALS83" s="798"/>
      <c r="ALT83" s="798"/>
      <c r="ALU83" s="798"/>
      <c r="ALV83" s="798"/>
      <c r="ALW83" s="798"/>
      <c r="ALX83" s="798"/>
      <c r="ALY83" s="798"/>
      <c r="ALZ83" s="798"/>
      <c r="AMA83" s="798"/>
      <c r="AMB83" s="798"/>
      <c r="AMC83" s="798"/>
      <c r="AMD83" s="798"/>
      <c r="AME83" s="798"/>
      <c r="AMF83" s="798"/>
      <c r="AMG83" s="798"/>
      <c r="AMH83" s="798"/>
      <c r="AMI83" s="798"/>
      <c r="AMJ83" s="798"/>
      <c r="AMK83" s="798"/>
      <c r="AML83" s="798"/>
      <c r="AMM83" s="798"/>
      <c r="AMN83" s="798"/>
      <c r="AMO83" s="798"/>
      <c r="AMP83" s="798"/>
      <c r="AMQ83" s="798"/>
      <c r="AMR83" s="798"/>
      <c r="AMS83" s="798"/>
      <c r="AMT83" s="798"/>
      <c r="AMU83" s="798"/>
      <c r="AMV83" s="798"/>
      <c r="AMW83" s="798"/>
      <c r="AMX83" s="798"/>
      <c r="AMY83" s="798"/>
      <c r="AMZ83" s="798"/>
      <c r="ANA83" s="798"/>
      <c r="ANB83" s="798"/>
      <c r="ANC83" s="798"/>
      <c r="AND83" s="798"/>
      <c r="ANE83" s="798"/>
      <c r="ANF83" s="798"/>
      <c r="ANG83" s="798"/>
      <c r="ANH83" s="798"/>
      <c r="ANI83" s="798"/>
      <c r="ANJ83" s="798"/>
      <c r="ANK83" s="798"/>
      <c r="ANL83" s="798"/>
      <c r="ANM83" s="798"/>
      <c r="ANN83" s="798"/>
      <c r="ANO83" s="798"/>
      <c r="ANP83" s="798"/>
      <c r="ANQ83" s="798"/>
      <c r="ANR83" s="798"/>
      <c r="ANS83" s="798"/>
      <c r="ANT83" s="798"/>
      <c r="ANU83" s="798"/>
      <c r="ANV83" s="798"/>
      <c r="ANW83" s="798"/>
      <c r="ANX83" s="798"/>
      <c r="ANY83" s="798"/>
      <c r="ANZ83" s="798"/>
      <c r="AOA83" s="798"/>
      <c r="AOB83" s="798"/>
      <c r="AOC83" s="798"/>
      <c r="AOD83" s="798"/>
      <c r="AOE83" s="798"/>
      <c r="AOF83" s="798"/>
      <c r="AOG83" s="798"/>
      <c r="AOH83" s="798"/>
      <c r="AOI83" s="798"/>
      <c r="AOJ83" s="798"/>
      <c r="AOK83" s="798"/>
      <c r="AOL83" s="798"/>
      <c r="AOM83" s="798"/>
      <c r="AON83" s="798"/>
      <c r="AOO83" s="798"/>
      <c r="AOP83" s="798"/>
      <c r="AOQ83" s="798"/>
      <c r="AOR83" s="798"/>
      <c r="AOS83" s="798"/>
      <c r="AOT83" s="798"/>
      <c r="AOU83" s="798"/>
      <c r="AOV83" s="798"/>
      <c r="AOW83" s="798"/>
      <c r="AOX83" s="798"/>
      <c r="AOY83" s="798"/>
      <c r="AOZ83" s="798"/>
      <c r="APA83" s="798"/>
      <c r="APB83" s="798"/>
      <c r="APC83" s="798"/>
      <c r="APD83" s="798"/>
      <c r="APE83" s="798"/>
      <c r="APF83" s="798"/>
      <c r="APG83" s="798"/>
      <c r="APH83" s="798"/>
      <c r="API83" s="798"/>
      <c r="APJ83" s="798"/>
      <c r="APK83" s="798"/>
      <c r="APL83" s="798"/>
      <c r="APM83" s="798"/>
      <c r="APN83" s="798"/>
      <c r="APO83" s="798"/>
      <c r="APP83" s="798"/>
      <c r="APQ83" s="798"/>
      <c r="APR83" s="798"/>
      <c r="APS83" s="798"/>
      <c r="APT83" s="798"/>
      <c r="APU83" s="798"/>
      <c r="APV83" s="798"/>
      <c r="APW83" s="798"/>
      <c r="APX83" s="798"/>
      <c r="APY83" s="798"/>
      <c r="APZ83" s="798"/>
      <c r="AQA83" s="798"/>
      <c r="AQB83" s="798"/>
      <c r="AQC83" s="798"/>
      <c r="AQD83" s="798"/>
      <c r="AQE83" s="798"/>
      <c r="AQF83" s="798"/>
      <c r="AQG83" s="798"/>
      <c r="AQH83" s="798"/>
      <c r="AQI83" s="798"/>
      <c r="AQJ83" s="798"/>
      <c r="AQK83" s="798"/>
      <c r="AQL83" s="798"/>
      <c r="AQM83" s="798"/>
      <c r="AQN83" s="798"/>
      <c r="AQO83" s="798"/>
      <c r="AQP83" s="798"/>
      <c r="AQQ83" s="798"/>
      <c r="AQR83" s="798"/>
      <c r="AQS83" s="798"/>
      <c r="AQT83" s="798"/>
      <c r="AQU83" s="798"/>
      <c r="AQV83" s="798"/>
      <c r="AQW83" s="798"/>
      <c r="AQX83" s="798"/>
      <c r="AQY83" s="798"/>
      <c r="AQZ83" s="798"/>
      <c r="ARA83" s="798"/>
      <c r="ARB83" s="798"/>
      <c r="ARC83" s="798"/>
      <c r="ARD83" s="798"/>
      <c r="ARE83" s="798"/>
      <c r="ARF83" s="798"/>
      <c r="ARG83" s="798"/>
      <c r="ARH83" s="798"/>
      <c r="ARI83" s="798"/>
      <c r="ARJ83" s="798"/>
      <c r="ARK83" s="798"/>
      <c r="ARL83" s="798"/>
      <c r="ARM83" s="798"/>
      <c r="ARN83" s="798"/>
      <c r="ARO83" s="798"/>
      <c r="ARP83" s="798"/>
      <c r="ARQ83" s="798"/>
      <c r="ARR83" s="798"/>
      <c r="ARS83" s="798"/>
      <c r="ART83" s="798"/>
      <c r="ARU83" s="798"/>
      <c r="ARV83" s="798"/>
      <c r="ARW83" s="798"/>
      <c r="ARX83" s="798"/>
      <c r="ARY83" s="798"/>
      <c r="ARZ83" s="798"/>
      <c r="ASA83" s="798"/>
      <c r="ASB83" s="798"/>
      <c r="ASC83" s="798"/>
      <c r="ASD83" s="798"/>
      <c r="ASE83" s="798"/>
      <c r="ASF83" s="798"/>
      <c r="ASG83" s="798"/>
      <c r="ASH83" s="798"/>
      <c r="ASI83" s="798"/>
      <c r="ASJ83" s="798"/>
      <c r="ASK83" s="798"/>
      <c r="ASL83" s="798"/>
      <c r="ASM83" s="798"/>
      <c r="ASN83" s="798"/>
      <c r="ASO83" s="798"/>
      <c r="ASP83" s="798"/>
      <c r="ASQ83" s="798"/>
      <c r="ASR83" s="798"/>
      <c r="ASS83" s="798"/>
      <c r="AST83" s="798"/>
      <c r="ASU83" s="798"/>
      <c r="ASV83" s="798"/>
      <c r="ASW83" s="798"/>
      <c r="ASX83" s="798"/>
      <c r="ASY83" s="798"/>
      <c r="ASZ83" s="798"/>
      <c r="ATA83" s="798"/>
      <c r="ATB83" s="798"/>
      <c r="ATC83" s="798"/>
      <c r="ATD83" s="798"/>
      <c r="ATE83" s="798"/>
      <c r="ATF83" s="798"/>
      <c r="ATG83" s="798"/>
      <c r="ATH83" s="798"/>
      <c r="ATI83" s="798"/>
      <c r="ATJ83" s="798"/>
      <c r="ATK83" s="798"/>
      <c r="ATL83" s="798"/>
      <c r="ATM83" s="798"/>
      <c r="ATN83" s="798"/>
      <c r="ATO83" s="798"/>
      <c r="ATP83" s="798"/>
      <c r="ATQ83" s="798"/>
      <c r="ATR83" s="798"/>
      <c r="ATS83" s="798"/>
      <c r="ATT83" s="798"/>
      <c r="ATU83" s="798"/>
      <c r="ATV83" s="798"/>
      <c r="ATW83" s="798"/>
      <c r="ATX83" s="798"/>
      <c r="ATY83" s="798"/>
      <c r="ATZ83" s="798"/>
      <c r="AUA83" s="798"/>
      <c r="AUB83" s="798"/>
      <c r="AUC83" s="798"/>
      <c r="AUD83" s="798"/>
      <c r="AUE83" s="798"/>
      <c r="AUF83" s="798"/>
      <c r="AUG83" s="798"/>
      <c r="AUH83" s="798"/>
      <c r="AUI83" s="798"/>
      <c r="AUJ83" s="798"/>
      <c r="AUK83" s="798"/>
      <c r="AUL83" s="798"/>
      <c r="AUM83" s="798"/>
      <c r="AUN83" s="798"/>
      <c r="AUO83" s="798"/>
      <c r="AUP83" s="798"/>
      <c r="AUQ83" s="798"/>
      <c r="AUR83" s="798"/>
      <c r="AUS83" s="798"/>
      <c r="AUT83" s="798"/>
      <c r="AUU83" s="798"/>
      <c r="AUV83" s="798"/>
      <c r="AUW83" s="798"/>
      <c r="AUX83" s="798"/>
      <c r="AUY83" s="798"/>
      <c r="AUZ83" s="798"/>
      <c r="AVA83" s="798"/>
      <c r="AVB83" s="798"/>
      <c r="AVC83" s="798"/>
      <c r="AVD83" s="798"/>
      <c r="AVE83" s="798"/>
      <c r="AVF83" s="798"/>
      <c r="AVG83" s="798"/>
      <c r="AVH83" s="798"/>
      <c r="AVI83" s="798"/>
      <c r="AVJ83" s="798"/>
      <c r="AVK83" s="798"/>
      <c r="AVL83" s="798"/>
      <c r="AVM83" s="798"/>
      <c r="AVN83" s="798"/>
      <c r="AVO83" s="798"/>
      <c r="AVP83" s="798"/>
      <c r="AVQ83" s="798"/>
      <c r="AVR83" s="798"/>
      <c r="AVS83" s="798"/>
      <c r="AVT83" s="798"/>
      <c r="AVU83" s="798"/>
      <c r="AVV83" s="798"/>
      <c r="AVW83" s="798"/>
      <c r="AVX83" s="798"/>
      <c r="AVY83" s="798"/>
      <c r="AVZ83" s="798"/>
      <c r="AWA83" s="798"/>
      <c r="AWB83" s="798"/>
      <c r="AWC83" s="798"/>
      <c r="AWD83" s="798"/>
      <c r="AWE83" s="798"/>
      <c r="AWF83" s="798"/>
      <c r="AWG83" s="798"/>
      <c r="AWH83" s="798"/>
      <c r="AWI83" s="798"/>
      <c r="AWJ83" s="798"/>
      <c r="AWK83" s="798"/>
      <c r="AWL83" s="798"/>
      <c r="AWM83" s="798"/>
      <c r="AWN83" s="798"/>
      <c r="AWO83" s="798"/>
      <c r="AWP83" s="798"/>
      <c r="AWQ83" s="798"/>
      <c r="AWR83" s="798"/>
      <c r="AWS83" s="798"/>
      <c r="AWT83" s="798"/>
      <c r="AWU83" s="798"/>
      <c r="AWV83" s="798"/>
      <c r="AWW83" s="798"/>
      <c r="AWX83" s="798"/>
      <c r="AWY83" s="798"/>
      <c r="AWZ83" s="798"/>
      <c r="AXA83" s="798"/>
      <c r="AXB83" s="798"/>
      <c r="AXC83" s="798"/>
      <c r="AXD83" s="798"/>
      <c r="AXE83" s="798"/>
      <c r="AXF83" s="798"/>
      <c r="AXG83" s="798"/>
      <c r="AXH83" s="798"/>
      <c r="AXI83" s="798"/>
      <c r="AXJ83" s="798"/>
      <c r="AXK83" s="798"/>
      <c r="AXL83" s="798"/>
      <c r="AXM83" s="798"/>
      <c r="AXN83" s="798"/>
      <c r="AXO83" s="798"/>
      <c r="AXP83" s="798"/>
      <c r="AXQ83" s="798"/>
      <c r="AXR83" s="798"/>
      <c r="AXS83" s="798"/>
      <c r="AXT83" s="798"/>
      <c r="AXU83" s="798"/>
      <c r="AXV83" s="798"/>
      <c r="AXW83" s="798"/>
      <c r="AXX83" s="798"/>
      <c r="AXY83" s="798"/>
      <c r="AXZ83" s="798"/>
      <c r="AYA83" s="798"/>
      <c r="AYB83" s="798"/>
      <c r="AYC83" s="798"/>
      <c r="AYD83" s="798"/>
      <c r="AYE83" s="798"/>
      <c r="AYF83" s="798"/>
      <c r="AYG83" s="798"/>
      <c r="AYH83" s="798"/>
      <c r="AYI83" s="798"/>
      <c r="AYJ83" s="798"/>
      <c r="AYK83" s="798"/>
      <c r="AYL83" s="798"/>
      <c r="AYM83" s="798"/>
      <c r="AYN83" s="798"/>
      <c r="AYO83" s="798"/>
      <c r="AYP83" s="798"/>
      <c r="AYQ83" s="798"/>
      <c r="AYR83" s="798"/>
      <c r="AYS83" s="798"/>
      <c r="AYT83" s="798"/>
      <c r="AYU83" s="798"/>
      <c r="AYV83" s="798"/>
      <c r="AYW83" s="798"/>
      <c r="AYX83" s="798"/>
      <c r="AYY83" s="798"/>
      <c r="AYZ83" s="798"/>
      <c r="AZA83" s="798"/>
      <c r="AZB83" s="798"/>
      <c r="AZC83" s="798"/>
      <c r="AZD83" s="798"/>
      <c r="AZE83" s="798"/>
      <c r="AZF83" s="798"/>
      <c r="AZG83" s="798"/>
      <c r="AZH83" s="798"/>
      <c r="AZI83" s="798"/>
      <c r="AZJ83" s="798"/>
      <c r="AZK83" s="798"/>
      <c r="AZL83" s="798"/>
      <c r="AZM83" s="798"/>
      <c r="AZN83" s="798"/>
      <c r="AZO83" s="798"/>
      <c r="AZP83" s="798"/>
      <c r="AZQ83" s="798"/>
      <c r="AZR83" s="798"/>
      <c r="AZS83" s="798"/>
      <c r="AZT83" s="798"/>
      <c r="AZU83" s="798"/>
      <c r="AZV83" s="798"/>
      <c r="AZW83" s="798"/>
      <c r="AZX83" s="798"/>
      <c r="AZY83" s="798"/>
      <c r="AZZ83" s="798"/>
      <c r="BAA83" s="798"/>
      <c r="BAB83" s="798"/>
      <c r="BAC83" s="798"/>
      <c r="BAD83" s="798"/>
      <c r="BAE83" s="798"/>
      <c r="BAF83" s="798"/>
      <c r="BAG83" s="798"/>
      <c r="BAH83" s="798"/>
      <c r="BAI83" s="798"/>
      <c r="BAJ83" s="798"/>
      <c r="BAK83" s="798"/>
      <c r="BAL83" s="798"/>
      <c r="BAM83" s="798"/>
      <c r="BAN83" s="798"/>
      <c r="BAO83" s="798"/>
      <c r="BAP83" s="798"/>
      <c r="BAQ83" s="798"/>
      <c r="BAR83" s="798"/>
      <c r="BAS83" s="798"/>
      <c r="BAT83" s="798"/>
      <c r="BAU83" s="798"/>
      <c r="BAV83" s="798"/>
      <c r="BAW83" s="798"/>
      <c r="BAX83" s="798"/>
      <c r="BAY83" s="798"/>
      <c r="BAZ83" s="798"/>
      <c r="BBA83" s="798"/>
      <c r="BBB83" s="798"/>
      <c r="BBC83" s="798"/>
      <c r="BBD83" s="798"/>
      <c r="BBE83" s="798"/>
      <c r="BBF83" s="798"/>
      <c r="BBG83" s="798"/>
      <c r="BBH83" s="798"/>
      <c r="BBI83" s="798"/>
      <c r="BBJ83" s="798"/>
      <c r="BBK83" s="798"/>
      <c r="BBL83" s="798"/>
      <c r="BBM83" s="798"/>
      <c r="BBN83" s="798"/>
      <c r="BBO83" s="798"/>
      <c r="BBP83" s="798"/>
      <c r="BBQ83" s="798"/>
      <c r="BBR83" s="798"/>
      <c r="BBS83" s="798"/>
      <c r="BBT83" s="798"/>
      <c r="BBU83" s="798"/>
      <c r="BBV83" s="798"/>
      <c r="BBW83" s="798"/>
      <c r="BBX83" s="798"/>
      <c r="BBY83" s="798"/>
      <c r="BBZ83" s="798"/>
      <c r="BCA83" s="798"/>
      <c r="BCB83" s="798"/>
      <c r="BCC83" s="798"/>
      <c r="BCD83" s="798"/>
      <c r="BCE83" s="798"/>
      <c r="BCF83" s="798"/>
      <c r="BCG83" s="798"/>
      <c r="BCH83" s="798"/>
      <c r="BCI83" s="798"/>
      <c r="BCJ83" s="798"/>
      <c r="BCK83" s="798"/>
      <c r="BCL83" s="798"/>
      <c r="BCM83" s="798"/>
      <c r="BCN83" s="798"/>
      <c r="BCO83" s="798"/>
      <c r="BCP83" s="798"/>
      <c r="BCQ83" s="798"/>
      <c r="BCR83" s="798"/>
      <c r="BCS83" s="798"/>
      <c r="BCT83" s="798"/>
      <c r="BCU83" s="798"/>
      <c r="BCV83" s="798"/>
      <c r="BCW83" s="798"/>
      <c r="BCX83" s="798"/>
      <c r="BCY83" s="798"/>
      <c r="BCZ83" s="798"/>
      <c r="BDA83" s="798"/>
      <c r="BDB83" s="798"/>
      <c r="BDC83" s="798"/>
      <c r="BDD83" s="798"/>
      <c r="BDE83" s="798"/>
      <c r="BDF83" s="798"/>
      <c r="BDG83" s="798"/>
      <c r="BDH83" s="798"/>
      <c r="BDI83" s="798"/>
      <c r="BDJ83" s="798"/>
      <c r="BDK83" s="798"/>
      <c r="BDL83" s="798"/>
      <c r="BDM83" s="798"/>
      <c r="BDN83" s="798"/>
      <c r="BDO83" s="798"/>
      <c r="BDP83" s="798"/>
      <c r="BDQ83" s="798"/>
      <c r="BDR83" s="798"/>
      <c r="BDS83" s="798"/>
      <c r="BDT83" s="798"/>
      <c r="BDU83" s="798"/>
      <c r="BDV83" s="798"/>
      <c r="BDW83" s="798"/>
      <c r="BDX83" s="798"/>
      <c r="BDY83" s="798"/>
      <c r="BDZ83" s="798"/>
      <c r="BEA83" s="798"/>
      <c r="BEB83" s="798"/>
      <c r="BEC83" s="798"/>
      <c r="BED83" s="798"/>
      <c r="BEE83" s="798"/>
      <c r="BEF83" s="798"/>
      <c r="BEG83" s="798"/>
      <c r="BEH83" s="798"/>
      <c r="BEI83" s="798"/>
      <c r="BEJ83" s="798"/>
      <c r="BEK83" s="798"/>
      <c r="BEL83" s="798"/>
      <c r="BEM83" s="798"/>
      <c r="BEN83" s="798"/>
      <c r="BEO83" s="798"/>
      <c r="BEP83" s="798"/>
      <c r="BEQ83" s="798"/>
      <c r="BER83" s="798"/>
      <c r="BES83" s="798"/>
      <c r="BET83" s="798"/>
      <c r="BEU83" s="798"/>
      <c r="BEV83" s="798"/>
      <c r="BEW83" s="798"/>
      <c r="BEX83" s="798"/>
      <c r="BEY83" s="798"/>
      <c r="BEZ83" s="798"/>
      <c r="BFA83" s="798"/>
      <c r="BFB83" s="798"/>
      <c r="BFC83" s="798"/>
      <c r="BFD83" s="798"/>
      <c r="BFE83" s="798"/>
      <c r="BFF83" s="798"/>
      <c r="BFG83" s="798"/>
      <c r="BFH83" s="798"/>
      <c r="BFI83" s="798"/>
      <c r="BFJ83" s="798"/>
      <c r="BFK83" s="798"/>
      <c r="BFL83" s="798"/>
      <c r="BFM83" s="798"/>
      <c r="BFN83" s="798"/>
      <c r="BFO83" s="798"/>
      <c r="BFP83" s="798"/>
      <c r="BFQ83" s="798"/>
      <c r="BFR83" s="798"/>
      <c r="BFS83" s="798"/>
      <c r="BFT83" s="798"/>
      <c r="BFU83" s="798"/>
      <c r="BFV83" s="798"/>
      <c r="BFW83" s="798"/>
      <c r="BFX83" s="798"/>
      <c r="BFY83" s="798"/>
      <c r="BFZ83" s="798"/>
      <c r="BGA83" s="798"/>
      <c r="BGB83" s="798"/>
      <c r="BGC83" s="798"/>
      <c r="BGD83" s="798"/>
      <c r="BGE83" s="798"/>
      <c r="BGF83" s="798"/>
      <c r="BGG83" s="798"/>
      <c r="BGH83" s="798"/>
      <c r="BGI83" s="798"/>
      <c r="BGJ83" s="798"/>
      <c r="BGK83" s="798"/>
      <c r="BGL83" s="798"/>
      <c r="BGM83" s="798"/>
      <c r="BGN83" s="798"/>
      <c r="BGO83" s="798"/>
      <c r="BGP83" s="798"/>
      <c r="BGQ83" s="798"/>
      <c r="BGR83" s="798"/>
      <c r="BGS83" s="798"/>
      <c r="BGT83" s="798"/>
      <c r="BGU83" s="798"/>
      <c r="BGV83" s="798"/>
      <c r="BGW83" s="798"/>
      <c r="BGX83" s="798"/>
      <c r="BGY83" s="798"/>
      <c r="BGZ83" s="798"/>
      <c r="BHA83" s="798"/>
      <c r="BHB83" s="798"/>
      <c r="BHC83" s="798"/>
      <c r="BHD83" s="798"/>
      <c r="BHE83" s="798"/>
      <c r="BHF83" s="798"/>
      <c r="BHG83" s="798"/>
      <c r="BHH83" s="798"/>
      <c r="BHI83" s="798"/>
      <c r="BHJ83" s="798"/>
      <c r="BHK83" s="798"/>
      <c r="BHL83" s="798"/>
      <c r="BHM83" s="798"/>
      <c r="BHN83" s="798"/>
      <c r="BHO83" s="798"/>
      <c r="BHP83" s="798"/>
      <c r="BHQ83" s="798"/>
      <c r="BHR83" s="798"/>
      <c r="BHS83" s="798"/>
      <c r="BHT83" s="798"/>
      <c r="BHU83" s="798"/>
      <c r="BHV83" s="798"/>
      <c r="BHW83" s="798"/>
      <c r="BHX83" s="798"/>
      <c r="BHY83" s="798"/>
      <c r="BHZ83" s="798"/>
      <c r="BIA83" s="798"/>
      <c r="BIB83" s="798"/>
      <c r="BIC83" s="798"/>
      <c r="BID83" s="798"/>
      <c r="BIE83" s="798"/>
      <c r="BIF83" s="798"/>
      <c r="BIG83" s="798"/>
      <c r="BIH83" s="798"/>
      <c r="BII83" s="798"/>
      <c r="BIJ83" s="798"/>
      <c r="BIK83" s="798"/>
      <c r="BIL83" s="798"/>
      <c r="BIM83" s="798"/>
      <c r="BIN83" s="798"/>
      <c r="BIO83" s="798"/>
      <c r="BIP83" s="798"/>
      <c r="BIQ83" s="798"/>
      <c r="BIR83" s="798"/>
      <c r="BIS83" s="798"/>
      <c r="BIT83" s="798"/>
      <c r="BIU83" s="798"/>
      <c r="BIV83" s="798"/>
      <c r="BIW83" s="798"/>
      <c r="BIX83" s="798"/>
      <c r="BIY83" s="798"/>
      <c r="BIZ83" s="798"/>
      <c r="BJA83" s="798"/>
      <c r="BJB83" s="798"/>
      <c r="BJC83" s="798"/>
      <c r="BJD83" s="798"/>
      <c r="BJE83" s="798"/>
      <c r="BJF83" s="798"/>
      <c r="BJG83" s="798"/>
      <c r="BJH83" s="798"/>
      <c r="BJI83" s="798"/>
      <c r="BJJ83" s="798"/>
      <c r="BJK83" s="798"/>
      <c r="BJL83" s="798"/>
      <c r="BJM83" s="798"/>
      <c r="BJN83" s="798"/>
      <c r="BJO83" s="798"/>
      <c r="BJP83" s="798"/>
      <c r="BJQ83" s="798"/>
      <c r="BJR83" s="798"/>
      <c r="BJS83" s="798"/>
      <c r="BJT83" s="798"/>
      <c r="BJU83" s="798"/>
      <c r="BJV83" s="798"/>
      <c r="BJW83" s="798"/>
      <c r="BJX83" s="798"/>
      <c r="BJY83" s="798"/>
      <c r="BJZ83" s="798"/>
      <c r="BKA83" s="798"/>
      <c r="BKB83" s="798"/>
      <c r="BKC83" s="798"/>
      <c r="BKD83" s="798"/>
      <c r="BKE83" s="798"/>
      <c r="BKF83" s="798"/>
      <c r="BKG83" s="798"/>
      <c r="BKH83" s="798"/>
      <c r="BKI83" s="798"/>
      <c r="BKJ83" s="798"/>
      <c r="BKK83" s="798"/>
      <c r="BKL83" s="798"/>
      <c r="BKM83" s="798"/>
      <c r="BKN83" s="798"/>
      <c r="BKO83" s="798"/>
      <c r="BKP83" s="798"/>
      <c r="BKQ83" s="798"/>
      <c r="BKR83" s="798"/>
      <c r="BKS83" s="798"/>
      <c r="BKT83" s="798"/>
      <c r="BKU83" s="798"/>
      <c r="BKV83" s="798"/>
      <c r="BKW83" s="798"/>
      <c r="BKX83" s="798"/>
      <c r="BKY83" s="798"/>
      <c r="BKZ83" s="798"/>
      <c r="BLA83" s="798"/>
      <c r="BLB83" s="798"/>
      <c r="BLC83" s="798"/>
      <c r="BLD83" s="798"/>
      <c r="BLE83" s="798"/>
      <c r="BLF83" s="798"/>
      <c r="BLG83" s="798"/>
      <c r="BLH83" s="798"/>
      <c r="BLI83" s="798"/>
      <c r="BLJ83" s="798"/>
      <c r="BLK83" s="798"/>
      <c r="BLL83" s="798"/>
      <c r="BLM83" s="798"/>
      <c r="BLN83" s="798"/>
      <c r="BLO83" s="798"/>
      <c r="BLP83" s="798"/>
      <c r="BLQ83" s="798"/>
      <c r="BLR83" s="798"/>
      <c r="BLS83" s="798"/>
      <c r="BLT83" s="798"/>
      <c r="BLU83" s="798"/>
      <c r="BLV83" s="798"/>
      <c r="BLW83" s="798"/>
      <c r="BLX83" s="798"/>
      <c r="BLY83" s="798"/>
      <c r="BLZ83" s="798"/>
      <c r="BMA83" s="798"/>
      <c r="BMB83" s="798"/>
      <c r="BMC83" s="798"/>
      <c r="BMD83" s="798"/>
      <c r="BME83" s="798"/>
      <c r="BMF83" s="798"/>
      <c r="BMG83" s="798"/>
      <c r="BMH83" s="798"/>
      <c r="BMI83" s="798"/>
      <c r="BMJ83" s="798"/>
      <c r="BMK83" s="798"/>
      <c r="BML83" s="798"/>
      <c r="BMM83" s="798"/>
      <c r="BMN83" s="798"/>
      <c r="BMO83" s="798"/>
      <c r="BMP83" s="798"/>
      <c r="BMQ83" s="798"/>
      <c r="BMR83" s="798"/>
      <c r="BMS83" s="798"/>
      <c r="BMT83" s="798"/>
      <c r="BMU83" s="798"/>
      <c r="BMV83" s="798"/>
      <c r="BMW83" s="798"/>
      <c r="BMX83" s="798"/>
      <c r="BMY83" s="798"/>
      <c r="BMZ83" s="798"/>
      <c r="BNA83" s="798"/>
      <c r="BNB83" s="798"/>
      <c r="BNC83" s="798"/>
      <c r="BND83" s="798"/>
      <c r="BNE83" s="798"/>
      <c r="BNF83" s="798"/>
      <c r="BNG83" s="798"/>
      <c r="BNH83" s="798"/>
      <c r="BNI83" s="798"/>
      <c r="BNJ83" s="798"/>
      <c r="BNK83" s="798"/>
      <c r="BNL83" s="798"/>
      <c r="BNM83" s="798"/>
      <c r="BNN83" s="798"/>
      <c r="BNO83" s="798"/>
      <c r="BNP83" s="798"/>
      <c r="BNQ83" s="798"/>
      <c r="BNR83" s="798"/>
      <c r="BNS83" s="798"/>
      <c r="BNT83" s="798"/>
      <c r="BNU83" s="798"/>
      <c r="BNV83" s="798"/>
      <c r="BNW83" s="798"/>
      <c r="BNX83" s="798"/>
      <c r="BNY83" s="798"/>
      <c r="BNZ83" s="798"/>
      <c r="BOA83" s="798"/>
      <c r="BOB83" s="798"/>
      <c r="BOC83" s="798"/>
      <c r="BOD83" s="798"/>
      <c r="BOE83" s="798"/>
      <c r="BOF83" s="798"/>
      <c r="BOG83" s="798"/>
      <c r="BOH83" s="798"/>
      <c r="BOI83" s="798"/>
      <c r="BOJ83" s="798"/>
      <c r="BOK83" s="798"/>
      <c r="BOL83" s="798"/>
      <c r="BOM83" s="798"/>
      <c r="BON83" s="798"/>
      <c r="BOO83" s="798"/>
      <c r="BOP83" s="798"/>
      <c r="BOQ83" s="798"/>
      <c r="BOR83" s="798"/>
      <c r="BOS83" s="798"/>
      <c r="BOT83" s="798"/>
      <c r="BOU83" s="798"/>
      <c r="BOV83" s="798"/>
      <c r="BOW83" s="798"/>
      <c r="BOX83" s="798"/>
      <c r="BOY83" s="798"/>
      <c r="BOZ83" s="798"/>
      <c r="BPA83" s="798"/>
      <c r="BPB83" s="798"/>
      <c r="BPC83" s="798"/>
      <c r="BPD83" s="798"/>
      <c r="BPE83" s="798"/>
      <c r="BPF83" s="798"/>
      <c r="BPG83" s="798"/>
      <c r="BPH83" s="798"/>
      <c r="BPI83" s="798"/>
      <c r="BPJ83" s="798"/>
      <c r="BPK83" s="798"/>
      <c r="BPL83" s="798"/>
      <c r="BPM83" s="798"/>
      <c r="BPN83" s="798"/>
      <c r="BPO83" s="798"/>
      <c r="BPP83" s="798"/>
      <c r="BPQ83" s="798"/>
      <c r="BPR83" s="798"/>
      <c r="BPS83" s="798"/>
      <c r="BPT83" s="798"/>
      <c r="BPU83" s="798"/>
      <c r="BPV83" s="798"/>
      <c r="BPW83" s="798"/>
      <c r="BPX83" s="798"/>
      <c r="BPY83" s="798"/>
      <c r="BPZ83" s="798"/>
      <c r="BQA83" s="798"/>
      <c r="BQB83" s="798"/>
      <c r="BQC83" s="798"/>
      <c r="BQD83" s="798"/>
      <c r="BQE83" s="798"/>
      <c r="BQF83" s="798"/>
      <c r="BQG83" s="798"/>
      <c r="BQH83" s="798"/>
      <c r="BQI83" s="798"/>
      <c r="BQJ83" s="798"/>
      <c r="BQK83" s="798"/>
      <c r="BQL83" s="798"/>
      <c r="BQM83" s="798"/>
      <c r="BQN83" s="798"/>
      <c r="BQO83" s="798"/>
      <c r="BQP83" s="798"/>
      <c r="BQQ83" s="798"/>
      <c r="BQR83" s="798"/>
      <c r="BQS83" s="798"/>
      <c r="BQT83" s="798"/>
      <c r="BQU83" s="798"/>
      <c r="BQV83" s="798"/>
      <c r="BQW83" s="798"/>
      <c r="BQX83" s="798"/>
      <c r="BQY83" s="798"/>
      <c r="BQZ83" s="798"/>
      <c r="BRA83" s="798"/>
      <c r="BRB83" s="798"/>
      <c r="BRC83" s="798"/>
      <c r="BRD83" s="798"/>
      <c r="BRE83" s="798"/>
      <c r="BRF83" s="798"/>
      <c r="BRG83" s="798"/>
      <c r="BRH83" s="798"/>
      <c r="BRI83" s="798"/>
      <c r="BRJ83" s="798"/>
      <c r="BRK83" s="798"/>
      <c r="BRL83" s="798"/>
      <c r="BRM83" s="798"/>
      <c r="BRN83" s="798"/>
      <c r="BRO83" s="798"/>
      <c r="BRP83" s="798"/>
      <c r="BRQ83" s="798"/>
      <c r="BRR83" s="798"/>
      <c r="BRS83" s="798"/>
      <c r="BRT83" s="798"/>
      <c r="BRU83" s="798"/>
      <c r="BRV83" s="798"/>
      <c r="BRW83" s="798"/>
      <c r="BRX83" s="798"/>
      <c r="BRY83" s="798"/>
      <c r="BRZ83" s="798"/>
      <c r="BSA83" s="798"/>
      <c r="BSB83" s="798"/>
      <c r="BSC83" s="798"/>
      <c r="BSD83" s="798"/>
      <c r="BSE83" s="798"/>
      <c r="BSF83" s="798"/>
      <c r="BSG83" s="798"/>
      <c r="BSH83" s="798"/>
      <c r="BSI83" s="798"/>
      <c r="BSJ83" s="798"/>
      <c r="BSK83" s="798"/>
      <c r="BSL83" s="798"/>
      <c r="BSM83" s="798"/>
      <c r="BSN83" s="798"/>
      <c r="BSO83" s="798"/>
      <c r="BSP83" s="798"/>
      <c r="BSQ83" s="798"/>
      <c r="BSR83" s="798"/>
      <c r="BSS83" s="798"/>
      <c r="BST83" s="798"/>
      <c r="BSU83" s="798"/>
      <c r="BSV83" s="798"/>
      <c r="BSW83" s="798"/>
      <c r="BSX83" s="798"/>
      <c r="BSY83" s="798"/>
      <c r="BSZ83" s="798"/>
      <c r="BTA83" s="798"/>
      <c r="BTB83" s="798"/>
      <c r="BTC83" s="798"/>
      <c r="BTD83" s="798"/>
      <c r="BTE83" s="798"/>
      <c r="BTF83" s="798"/>
      <c r="BTG83" s="798"/>
      <c r="BTH83" s="798"/>
      <c r="BTI83" s="798"/>
      <c r="BTJ83" s="798"/>
      <c r="BTK83" s="798"/>
      <c r="BTL83" s="798"/>
      <c r="BTM83" s="798"/>
      <c r="BTN83" s="798"/>
      <c r="BTO83" s="798"/>
      <c r="BTP83" s="798"/>
      <c r="BTQ83" s="798"/>
      <c r="BTR83" s="798"/>
      <c r="BTS83" s="798"/>
      <c r="BTT83" s="798"/>
      <c r="BTU83" s="798"/>
      <c r="BTV83" s="798"/>
      <c r="BTW83" s="798"/>
      <c r="BTX83" s="798"/>
      <c r="BTY83" s="798"/>
      <c r="BTZ83" s="798"/>
      <c r="BUA83" s="798"/>
      <c r="BUB83" s="798"/>
      <c r="BUC83" s="798"/>
      <c r="BUD83" s="798"/>
      <c r="BUE83" s="798"/>
      <c r="BUF83" s="798"/>
      <c r="BUG83" s="798"/>
      <c r="BUH83" s="798"/>
      <c r="BUI83" s="798"/>
      <c r="BUJ83" s="798"/>
      <c r="BUK83" s="798"/>
      <c r="BUL83" s="798"/>
      <c r="BUM83" s="798"/>
      <c r="BUN83" s="798"/>
      <c r="BUO83" s="798"/>
      <c r="BUP83" s="798"/>
      <c r="BUQ83" s="798"/>
      <c r="BUR83" s="798"/>
      <c r="BUS83" s="798"/>
      <c r="BUT83" s="798"/>
      <c r="BUU83" s="798"/>
      <c r="BUV83" s="798"/>
      <c r="BUW83" s="798"/>
      <c r="BUX83" s="798"/>
      <c r="BUY83" s="798"/>
      <c r="BUZ83" s="798"/>
      <c r="BVA83" s="798"/>
      <c r="BVB83" s="798"/>
      <c r="BVC83" s="798"/>
      <c r="BVD83" s="798"/>
      <c r="BVE83" s="798"/>
      <c r="BVF83" s="798"/>
      <c r="BVG83" s="798"/>
      <c r="BVH83" s="798"/>
      <c r="BVI83" s="798"/>
      <c r="BVJ83" s="798"/>
      <c r="BVK83" s="798"/>
      <c r="BVL83" s="798"/>
      <c r="BVM83" s="798"/>
      <c r="BVN83" s="798"/>
      <c r="BVO83" s="798"/>
      <c r="BVP83" s="798"/>
      <c r="BVQ83" s="798"/>
      <c r="BVR83" s="798"/>
      <c r="BVS83" s="798"/>
      <c r="BVT83" s="798"/>
      <c r="BVU83" s="798"/>
      <c r="BVV83" s="798"/>
      <c r="BVW83" s="798"/>
      <c r="BVX83" s="798"/>
      <c r="BVY83" s="798"/>
      <c r="BVZ83" s="798"/>
      <c r="BWA83" s="798"/>
      <c r="BWB83" s="798"/>
      <c r="BWC83" s="798"/>
      <c r="BWD83" s="798"/>
      <c r="BWE83" s="798"/>
      <c r="BWF83" s="798"/>
      <c r="BWG83" s="798"/>
      <c r="BWH83" s="798"/>
      <c r="BWI83" s="798"/>
      <c r="BWJ83" s="798"/>
      <c r="BWK83" s="798"/>
      <c r="BWL83" s="798"/>
      <c r="BWM83" s="798"/>
      <c r="BWN83" s="798"/>
      <c r="BWO83" s="798"/>
      <c r="BWP83" s="798"/>
      <c r="BWQ83" s="798"/>
      <c r="BWR83" s="798"/>
      <c r="BWS83" s="798"/>
      <c r="BWT83" s="798"/>
      <c r="BWU83" s="798"/>
      <c r="BWV83" s="798"/>
      <c r="BWW83" s="798"/>
      <c r="BWX83" s="798"/>
      <c r="BWY83" s="798"/>
      <c r="BWZ83" s="798"/>
      <c r="BXA83" s="798"/>
      <c r="BXB83" s="798"/>
      <c r="BXC83" s="798"/>
      <c r="BXD83" s="798"/>
      <c r="BXE83" s="798"/>
      <c r="BXF83" s="798"/>
      <c r="BXG83" s="798"/>
      <c r="BXH83" s="798"/>
      <c r="BXI83" s="798"/>
      <c r="BXJ83" s="798"/>
      <c r="BXK83" s="798"/>
      <c r="BXL83" s="798"/>
      <c r="BXM83" s="798"/>
      <c r="BXN83" s="798"/>
      <c r="BXO83" s="798"/>
      <c r="BXP83" s="798"/>
      <c r="BXQ83" s="798"/>
      <c r="BXR83" s="798"/>
      <c r="BXS83" s="798"/>
      <c r="BXT83" s="798"/>
      <c r="BXU83" s="798"/>
      <c r="BXV83" s="798"/>
      <c r="BXW83" s="798"/>
      <c r="BXX83" s="798"/>
      <c r="BXY83" s="798"/>
      <c r="BXZ83" s="798"/>
      <c r="BYA83" s="798"/>
      <c r="BYB83" s="798"/>
      <c r="BYC83" s="798"/>
      <c r="BYD83" s="798"/>
      <c r="BYE83" s="798"/>
      <c r="BYF83" s="798"/>
      <c r="BYG83" s="798"/>
      <c r="BYH83" s="798"/>
      <c r="BYI83" s="798"/>
      <c r="BYJ83" s="798"/>
      <c r="BYK83" s="798"/>
      <c r="BYL83" s="798"/>
      <c r="BYM83" s="798"/>
      <c r="BYN83" s="798"/>
      <c r="BYO83" s="798"/>
      <c r="BYP83" s="798"/>
      <c r="BYQ83" s="798"/>
      <c r="BYR83" s="798"/>
      <c r="BYS83" s="798"/>
      <c r="BYT83" s="798"/>
      <c r="BYU83" s="798"/>
      <c r="BYV83" s="798"/>
      <c r="BYW83" s="798"/>
      <c r="BYX83" s="798"/>
      <c r="BYY83" s="798"/>
      <c r="BYZ83" s="798"/>
      <c r="BZA83" s="798"/>
      <c r="BZB83" s="798"/>
      <c r="BZC83" s="798"/>
      <c r="BZD83" s="798"/>
      <c r="BZE83" s="798"/>
      <c r="BZF83" s="798"/>
      <c r="BZG83" s="798"/>
      <c r="BZH83" s="798"/>
      <c r="BZI83" s="798"/>
      <c r="BZJ83" s="798"/>
      <c r="BZK83" s="798"/>
      <c r="BZL83" s="798"/>
      <c r="BZM83" s="798"/>
      <c r="BZN83" s="798"/>
      <c r="BZO83" s="798"/>
      <c r="BZP83" s="798"/>
      <c r="BZQ83" s="798"/>
      <c r="BZR83" s="798"/>
      <c r="BZS83" s="798"/>
      <c r="BZT83" s="798"/>
      <c r="BZU83" s="798"/>
      <c r="BZV83" s="798"/>
      <c r="BZW83" s="798"/>
      <c r="BZX83" s="798"/>
      <c r="BZY83" s="798"/>
      <c r="BZZ83" s="798"/>
      <c r="CAA83" s="798"/>
      <c r="CAB83" s="798"/>
      <c r="CAC83" s="798"/>
      <c r="CAD83" s="798"/>
      <c r="CAE83" s="798"/>
      <c r="CAF83" s="798"/>
      <c r="CAG83" s="798"/>
      <c r="CAH83" s="798"/>
      <c r="CAI83" s="798"/>
      <c r="CAJ83" s="798"/>
      <c r="CAK83" s="798"/>
      <c r="CAL83" s="798"/>
      <c r="CAM83" s="798"/>
      <c r="CAN83" s="798"/>
      <c r="CAO83" s="798"/>
      <c r="CAP83" s="798"/>
      <c r="CAQ83" s="798"/>
      <c r="CAR83" s="798"/>
      <c r="CAS83" s="798"/>
      <c r="CAT83" s="798"/>
      <c r="CAU83" s="798"/>
      <c r="CAV83" s="798"/>
      <c r="CAW83" s="798"/>
      <c r="CAX83" s="798"/>
      <c r="CAY83" s="798"/>
      <c r="CAZ83" s="798"/>
      <c r="CBA83" s="798"/>
      <c r="CBB83" s="798"/>
      <c r="CBC83" s="798"/>
      <c r="CBD83" s="798"/>
      <c r="CBE83" s="798"/>
      <c r="CBF83" s="798"/>
      <c r="CBG83" s="798"/>
      <c r="CBH83" s="798"/>
      <c r="CBI83" s="798"/>
      <c r="CBJ83" s="798"/>
      <c r="CBK83" s="798"/>
      <c r="CBL83" s="798"/>
      <c r="CBM83" s="798"/>
      <c r="CBN83" s="798"/>
      <c r="CBO83" s="798"/>
      <c r="CBP83" s="798"/>
      <c r="CBQ83" s="798"/>
      <c r="CBR83" s="798"/>
      <c r="CBS83" s="798"/>
      <c r="CBT83" s="798"/>
      <c r="CBU83" s="798"/>
      <c r="CBV83" s="798"/>
      <c r="CBW83" s="798"/>
      <c r="CBX83" s="798"/>
      <c r="CBY83" s="798"/>
      <c r="CBZ83" s="798"/>
      <c r="CCA83" s="798"/>
      <c r="CCB83" s="798"/>
      <c r="CCC83" s="798"/>
      <c r="CCD83" s="798"/>
      <c r="CCE83" s="798"/>
      <c r="CCF83" s="798"/>
      <c r="CCG83" s="798"/>
      <c r="CCH83" s="798"/>
      <c r="CCI83" s="798"/>
      <c r="CCJ83" s="798"/>
      <c r="CCK83" s="798"/>
      <c r="CCL83" s="798"/>
      <c r="CCM83" s="798"/>
      <c r="CCN83" s="798"/>
      <c r="CCO83" s="798"/>
      <c r="CCP83" s="798"/>
      <c r="CCQ83" s="798"/>
      <c r="CCR83" s="798"/>
      <c r="CCS83" s="798"/>
      <c r="CCT83" s="798"/>
      <c r="CCU83" s="798"/>
      <c r="CCV83" s="798"/>
      <c r="CCW83" s="798"/>
      <c r="CCX83" s="798"/>
      <c r="CCY83" s="798"/>
      <c r="CCZ83" s="798"/>
      <c r="CDA83" s="798"/>
      <c r="CDB83" s="798"/>
      <c r="CDC83" s="798"/>
      <c r="CDD83" s="798"/>
      <c r="CDE83" s="798"/>
      <c r="CDF83" s="798"/>
      <c r="CDG83" s="798"/>
      <c r="CDH83" s="798"/>
      <c r="CDI83" s="798"/>
      <c r="CDJ83" s="798"/>
      <c r="CDK83" s="798"/>
      <c r="CDL83" s="798"/>
      <c r="CDM83" s="798"/>
      <c r="CDN83" s="798"/>
      <c r="CDO83" s="798"/>
      <c r="CDP83" s="798"/>
      <c r="CDQ83" s="798"/>
      <c r="CDR83" s="798"/>
      <c r="CDS83" s="798"/>
      <c r="CDT83" s="798"/>
      <c r="CDU83" s="798"/>
      <c r="CDV83" s="798"/>
      <c r="CDW83" s="798"/>
      <c r="CDX83" s="798"/>
      <c r="CDY83" s="798"/>
      <c r="CDZ83" s="798"/>
      <c r="CEA83" s="798"/>
      <c r="CEB83" s="798"/>
      <c r="CEC83" s="798"/>
      <c r="CED83" s="798"/>
      <c r="CEE83" s="798"/>
      <c r="CEF83" s="798"/>
      <c r="CEG83" s="798"/>
      <c r="CEH83" s="798"/>
      <c r="CEI83" s="798"/>
      <c r="CEJ83" s="798"/>
      <c r="CEK83" s="798"/>
      <c r="CEL83" s="798"/>
      <c r="CEM83" s="798"/>
      <c r="CEN83" s="798"/>
      <c r="CEO83" s="798"/>
      <c r="CEP83" s="798"/>
      <c r="CEQ83" s="798"/>
      <c r="CER83" s="798"/>
      <c r="CES83" s="798"/>
      <c r="CET83" s="798"/>
      <c r="CEU83" s="798"/>
      <c r="CEV83" s="798"/>
      <c r="CEW83" s="798"/>
      <c r="CEX83" s="798"/>
      <c r="CEY83" s="798"/>
      <c r="CEZ83" s="798"/>
      <c r="CFA83" s="798"/>
      <c r="CFB83" s="798"/>
      <c r="CFC83" s="798"/>
      <c r="CFD83" s="798"/>
      <c r="CFE83" s="798"/>
      <c r="CFF83" s="798"/>
      <c r="CFG83" s="798"/>
      <c r="CFH83" s="798"/>
      <c r="CFI83" s="798"/>
      <c r="CFJ83" s="798"/>
      <c r="CFK83" s="798"/>
      <c r="CFL83" s="798"/>
      <c r="CFM83" s="798"/>
      <c r="CFN83" s="798"/>
      <c r="CFO83" s="798"/>
      <c r="CFP83" s="798"/>
      <c r="CFQ83" s="798"/>
      <c r="CFR83" s="798"/>
      <c r="CFS83" s="798"/>
      <c r="CFT83" s="798"/>
      <c r="CFU83" s="798"/>
      <c r="CFV83" s="798"/>
      <c r="CFW83" s="798"/>
      <c r="CFX83" s="798"/>
      <c r="CFY83" s="798"/>
      <c r="CFZ83" s="798"/>
      <c r="CGA83" s="798"/>
      <c r="CGB83" s="798"/>
      <c r="CGC83" s="798"/>
      <c r="CGD83" s="798"/>
      <c r="CGE83" s="798"/>
      <c r="CGF83" s="798"/>
      <c r="CGG83" s="798"/>
      <c r="CGH83" s="798"/>
      <c r="CGI83" s="798"/>
      <c r="CGJ83" s="798"/>
      <c r="CGK83" s="798"/>
      <c r="CGL83" s="798"/>
      <c r="CGM83" s="798"/>
      <c r="CGN83" s="798"/>
      <c r="CGO83" s="798"/>
      <c r="CGP83" s="798"/>
      <c r="CGQ83" s="798"/>
      <c r="CGR83" s="798"/>
      <c r="CGS83" s="798"/>
      <c r="CGT83" s="798"/>
      <c r="CGU83" s="798"/>
      <c r="CGV83" s="798"/>
      <c r="CGW83" s="798"/>
      <c r="CGX83" s="798"/>
      <c r="CGY83" s="798"/>
      <c r="CGZ83" s="798"/>
      <c r="CHA83" s="798"/>
      <c r="CHB83" s="798"/>
      <c r="CHC83" s="798"/>
      <c r="CHD83" s="798"/>
      <c r="CHE83" s="798"/>
      <c r="CHF83" s="798"/>
      <c r="CHG83" s="798"/>
      <c r="CHH83" s="798"/>
      <c r="CHI83" s="798"/>
      <c r="CHJ83" s="798"/>
      <c r="CHK83" s="798"/>
      <c r="CHL83" s="798"/>
      <c r="CHM83" s="798"/>
      <c r="CHN83" s="798"/>
      <c r="CHO83" s="798"/>
      <c r="CHP83" s="798"/>
      <c r="CHQ83" s="798"/>
      <c r="CHR83" s="798"/>
      <c r="CHS83" s="798"/>
      <c r="CHT83" s="798"/>
      <c r="CHU83" s="798"/>
      <c r="CHV83" s="798"/>
      <c r="CHW83" s="798"/>
      <c r="CHX83" s="798"/>
      <c r="CHY83" s="798"/>
      <c r="CHZ83" s="798"/>
      <c r="CIA83" s="798"/>
      <c r="CIB83" s="798"/>
      <c r="CIC83" s="798"/>
      <c r="CID83" s="798"/>
      <c r="CIE83" s="798"/>
      <c r="CIF83" s="798"/>
      <c r="CIG83" s="798"/>
      <c r="CIH83" s="798"/>
      <c r="CII83" s="798"/>
      <c r="CIJ83" s="798"/>
      <c r="CIK83" s="798"/>
      <c r="CIL83" s="798"/>
      <c r="CIM83" s="798"/>
      <c r="CIN83" s="798"/>
      <c r="CIO83" s="798"/>
      <c r="CIP83" s="798"/>
      <c r="CIQ83" s="798"/>
      <c r="CIR83" s="798"/>
      <c r="CIS83" s="798"/>
      <c r="CIT83" s="798"/>
      <c r="CIU83" s="798"/>
      <c r="CIV83" s="798"/>
      <c r="CIW83" s="798"/>
      <c r="CIX83" s="798"/>
      <c r="CIY83" s="798"/>
      <c r="CIZ83" s="798"/>
      <c r="CJA83" s="798"/>
      <c r="CJB83" s="798"/>
      <c r="CJC83" s="798"/>
      <c r="CJD83" s="798"/>
      <c r="CJE83" s="798"/>
      <c r="CJF83" s="798"/>
      <c r="CJG83" s="798"/>
      <c r="CJH83" s="798"/>
      <c r="CJI83" s="798"/>
      <c r="CJJ83" s="798"/>
      <c r="CJK83" s="798"/>
      <c r="CJL83" s="798"/>
      <c r="CJM83" s="798"/>
      <c r="CJN83" s="798"/>
      <c r="CJO83" s="798"/>
      <c r="CJP83" s="798"/>
      <c r="CJQ83" s="798"/>
      <c r="CJR83" s="798"/>
      <c r="CJS83" s="798"/>
      <c r="CJT83" s="798"/>
      <c r="CJU83" s="798"/>
      <c r="CJV83" s="798"/>
      <c r="CJW83" s="798"/>
      <c r="CJX83" s="798"/>
      <c r="CJY83" s="798"/>
      <c r="CJZ83" s="798"/>
      <c r="CKA83" s="798"/>
      <c r="CKB83" s="798"/>
      <c r="CKC83" s="798"/>
      <c r="CKD83" s="798"/>
      <c r="CKE83" s="798"/>
      <c r="CKF83" s="798"/>
      <c r="CKG83" s="798"/>
      <c r="CKH83" s="798"/>
      <c r="CKI83" s="798"/>
      <c r="CKJ83" s="798"/>
      <c r="CKK83" s="798"/>
      <c r="CKL83" s="798"/>
      <c r="CKM83" s="798"/>
      <c r="CKN83" s="798"/>
      <c r="CKO83" s="798"/>
      <c r="CKP83" s="798"/>
      <c r="CKQ83" s="798"/>
      <c r="CKR83" s="798"/>
      <c r="CKS83" s="798"/>
      <c r="CKT83" s="798"/>
      <c r="CKU83" s="798"/>
      <c r="CKV83" s="798"/>
      <c r="CKW83" s="798"/>
      <c r="CKX83" s="798"/>
      <c r="CKY83" s="798"/>
      <c r="CKZ83" s="798"/>
      <c r="CLA83" s="798"/>
      <c r="CLB83" s="798"/>
      <c r="CLC83" s="798"/>
      <c r="CLD83" s="798"/>
      <c r="CLE83" s="798"/>
      <c r="CLF83" s="798"/>
      <c r="CLG83" s="798"/>
      <c r="CLH83" s="798"/>
      <c r="CLI83" s="798"/>
      <c r="CLJ83" s="798"/>
      <c r="CLK83" s="798"/>
      <c r="CLL83" s="798"/>
      <c r="CLM83" s="798"/>
      <c r="CLN83" s="798"/>
      <c r="CLO83" s="798"/>
      <c r="CLP83" s="798"/>
      <c r="CLQ83" s="798"/>
      <c r="CLR83" s="798"/>
      <c r="CLS83" s="798"/>
      <c r="CLT83" s="798"/>
      <c r="CLU83" s="798"/>
      <c r="CLV83" s="798"/>
      <c r="CLW83" s="798"/>
      <c r="CLX83" s="798"/>
      <c r="CLY83" s="798"/>
      <c r="CLZ83" s="798"/>
      <c r="CMA83" s="798"/>
      <c r="CMB83" s="798"/>
      <c r="CMC83" s="798"/>
      <c r="CMD83" s="798"/>
      <c r="CME83" s="798"/>
      <c r="CMF83" s="798"/>
      <c r="CMG83" s="798"/>
      <c r="CMH83" s="798"/>
      <c r="CMI83" s="798"/>
      <c r="CMJ83" s="798"/>
      <c r="CMK83" s="798"/>
      <c r="CML83" s="798"/>
      <c r="CMM83" s="798"/>
      <c r="CMN83" s="798"/>
      <c r="CMO83" s="798"/>
      <c r="CMP83" s="798"/>
      <c r="CMQ83" s="798"/>
      <c r="CMR83" s="798"/>
      <c r="CMS83" s="798"/>
      <c r="CMT83" s="798"/>
      <c r="CMU83" s="798"/>
      <c r="CMV83" s="798"/>
      <c r="CMW83" s="798"/>
      <c r="CMX83" s="798"/>
      <c r="CMY83" s="798"/>
      <c r="CMZ83" s="798"/>
      <c r="CNA83" s="798"/>
      <c r="CNB83" s="798"/>
      <c r="CNC83" s="798"/>
      <c r="CND83" s="798"/>
      <c r="CNE83" s="798"/>
      <c r="CNF83" s="798"/>
      <c r="CNG83" s="798"/>
      <c r="CNH83" s="798"/>
      <c r="CNI83" s="798"/>
      <c r="CNJ83" s="798"/>
      <c r="CNK83" s="798"/>
      <c r="CNL83" s="798"/>
      <c r="CNM83" s="798"/>
      <c r="CNN83" s="798"/>
      <c r="CNO83" s="798"/>
      <c r="CNP83" s="798"/>
      <c r="CNQ83" s="798"/>
      <c r="CNR83" s="798"/>
      <c r="CNS83" s="798"/>
      <c r="CNT83" s="798"/>
      <c r="CNU83" s="798"/>
      <c r="CNV83" s="798"/>
      <c r="CNW83" s="798"/>
      <c r="CNX83" s="798"/>
      <c r="CNY83" s="798"/>
      <c r="CNZ83" s="798"/>
      <c r="COA83" s="798"/>
      <c r="COB83" s="798"/>
      <c r="COC83" s="798"/>
      <c r="COD83" s="798"/>
      <c r="COE83" s="798"/>
      <c r="COF83" s="798"/>
      <c r="COG83" s="798"/>
      <c r="COH83" s="798"/>
      <c r="COI83" s="798"/>
      <c r="COJ83" s="798"/>
      <c r="COK83" s="798"/>
      <c r="COL83" s="798"/>
      <c r="COM83" s="798"/>
      <c r="CON83" s="798"/>
      <c r="COO83" s="798"/>
      <c r="COP83" s="798"/>
      <c r="COQ83" s="798"/>
      <c r="COR83" s="798"/>
      <c r="COS83" s="798"/>
      <c r="COT83" s="798"/>
      <c r="COU83" s="798"/>
      <c r="COV83" s="798"/>
      <c r="COW83" s="798"/>
      <c r="COX83" s="798"/>
      <c r="COY83" s="798"/>
      <c r="COZ83" s="798"/>
      <c r="CPA83" s="798"/>
      <c r="CPB83" s="798"/>
      <c r="CPC83" s="798"/>
      <c r="CPD83" s="798"/>
      <c r="CPE83" s="798"/>
      <c r="CPF83" s="798"/>
      <c r="CPG83" s="798"/>
      <c r="CPH83" s="798"/>
      <c r="CPI83" s="798"/>
      <c r="CPJ83" s="798"/>
      <c r="CPK83" s="798"/>
      <c r="CPL83" s="798"/>
      <c r="CPM83" s="798"/>
      <c r="CPN83" s="798"/>
      <c r="CPO83" s="798"/>
      <c r="CPP83" s="798"/>
      <c r="CPQ83" s="798"/>
      <c r="CPR83" s="798"/>
      <c r="CPS83" s="798"/>
      <c r="CPT83" s="798"/>
      <c r="CPU83" s="798"/>
      <c r="CPV83" s="798"/>
      <c r="CPW83" s="798"/>
      <c r="CPX83" s="798"/>
      <c r="CPY83" s="798"/>
      <c r="CPZ83" s="798"/>
      <c r="CQA83" s="798"/>
      <c r="CQB83" s="798"/>
      <c r="CQC83" s="798"/>
      <c r="CQD83" s="798"/>
      <c r="CQE83" s="798"/>
      <c r="CQF83" s="798"/>
      <c r="CQG83" s="798"/>
      <c r="CQH83" s="798"/>
      <c r="CQI83" s="798"/>
      <c r="CQJ83" s="798"/>
      <c r="CQK83" s="798"/>
      <c r="CQL83" s="798"/>
      <c r="CQM83" s="798"/>
      <c r="CQN83" s="798"/>
      <c r="CQO83" s="798"/>
      <c r="CQP83" s="798"/>
      <c r="CQQ83" s="798"/>
      <c r="CQR83" s="798"/>
      <c r="CQS83" s="798"/>
      <c r="CQT83" s="798"/>
      <c r="CQU83" s="798"/>
      <c r="CQV83" s="798"/>
      <c r="CQW83" s="798"/>
      <c r="CQX83" s="798"/>
      <c r="CQY83" s="798"/>
      <c r="CQZ83" s="798"/>
      <c r="CRA83" s="798"/>
      <c r="CRB83" s="798"/>
      <c r="CRC83" s="798"/>
      <c r="CRD83" s="798"/>
      <c r="CRE83" s="798"/>
      <c r="CRF83" s="798"/>
      <c r="CRG83" s="798"/>
      <c r="CRH83" s="798"/>
      <c r="CRI83" s="798"/>
      <c r="CRJ83" s="798"/>
      <c r="CRK83" s="798"/>
      <c r="CRL83" s="798"/>
      <c r="CRM83" s="798"/>
      <c r="CRN83" s="798"/>
      <c r="CRO83" s="798"/>
      <c r="CRP83" s="798"/>
      <c r="CRQ83" s="798"/>
      <c r="CRR83" s="798"/>
      <c r="CRS83" s="798"/>
      <c r="CRT83" s="798"/>
      <c r="CRU83" s="798"/>
      <c r="CRV83" s="798"/>
      <c r="CRW83" s="798"/>
      <c r="CRX83" s="798"/>
      <c r="CRY83" s="798"/>
      <c r="CRZ83" s="798"/>
      <c r="CSA83" s="798"/>
      <c r="CSB83" s="798"/>
      <c r="CSC83" s="798"/>
      <c r="CSD83" s="798"/>
      <c r="CSE83" s="798"/>
      <c r="CSF83" s="798"/>
      <c r="CSG83" s="798"/>
      <c r="CSH83" s="798"/>
      <c r="CSI83" s="798"/>
      <c r="CSJ83" s="798"/>
      <c r="CSK83" s="798"/>
      <c r="CSL83" s="798"/>
      <c r="CSM83" s="798"/>
      <c r="CSN83" s="798"/>
      <c r="CSO83" s="798"/>
      <c r="CSP83" s="798"/>
      <c r="CSQ83" s="798"/>
      <c r="CSR83" s="798"/>
      <c r="CSS83" s="798"/>
      <c r="CST83" s="798"/>
      <c r="CSU83" s="798"/>
      <c r="CSV83" s="798"/>
      <c r="CSW83" s="798"/>
      <c r="CSX83" s="798"/>
      <c r="CSY83" s="798"/>
      <c r="CSZ83" s="798"/>
      <c r="CTA83" s="798"/>
      <c r="CTB83" s="798"/>
      <c r="CTC83" s="798"/>
      <c r="CTD83" s="798"/>
      <c r="CTE83" s="798"/>
      <c r="CTF83" s="798"/>
      <c r="CTG83" s="798"/>
      <c r="CTH83" s="798"/>
      <c r="CTI83" s="798"/>
      <c r="CTJ83" s="798"/>
      <c r="CTK83" s="798"/>
      <c r="CTL83" s="798"/>
      <c r="CTM83" s="798"/>
      <c r="CTN83" s="798"/>
      <c r="CTO83" s="798"/>
      <c r="CTP83" s="798"/>
      <c r="CTQ83" s="798"/>
      <c r="CTR83" s="798"/>
      <c r="CTS83" s="798"/>
      <c r="CTT83" s="798"/>
      <c r="CTU83" s="798"/>
      <c r="CTV83" s="798"/>
      <c r="CTW83" s="798"/>
      <c r="CTX83" s="798"/>
      <c r="CTY83" s="798"/>
      <c r="CTZ83" s="798"/>
      <c r="CUA83" s="798"/>
      <c r="CUB83" s="798"/>
      <c r="CUC83" s="798"/>
      <c r="CUD83" s="798"/>
      <c r="CUE83" s="798"/>
      <c r="CUF83" s="798"/>
      <c r="CUG83" s="798"/>
      <c r="CUH83" s="798"/>
      <c r="CUI83" s="798"/>
      <c r="CUJ83" s="798"/>
      <c r="CUK83" s="798"/>
      <c r="CUL83" s="798"/>
      <c r="CUM83" s="798"/>
      <c r="CUN83" s="798"/>
      <c r="CUO83" s="798"/>
      <c r="CUP83" s="798"/>
      <c r="CUQ83" s="798"/>
      <c r="CUR83" s="798"/>
      <c r="CUS83" s="798"/>
      <c r="CUT83" s="798"/>
      <c r="CUU83" s="798"/>
      <c r="CUV83" s="798"/>
      <c r="CUW83" s="798"/>
      <c r="CUX83" s="798"/>
      <c r="CUY83" s="798"/>
      <c r="CUZ83" s="798"/>
      <c r="CVA83" s="798"/>
      <c r="CVB83" s="798"/>
      <c r="CVC83" s="798"/>
      <c r="CVD83" s="798"/>
      <c r="CVE83" s="798"/>
      <c r="CVF83" s="798"/>
      <c r="CVG83" s="798"/>
      <c r="CVH83" s="798"/>
      <c r="CVI83" s="798"/>
      <c r="CVJ83" s="798"/>
      <c r="CVK83" s="798"/>
      <c r="CVL83" s="798"/>
      <c r="CVM83" s="798"/>
      <c r="CVN83" s="798"/>
      <c r="CVO83" s="798"/>
      <c r="CVP83" s="798"/>
      <c r="CVQ83" s="798"/>
      <c r="CVR83" s="798"/>
      <c r="CVS83" s="798"/>
      <c r="CVT83" s="798"/>
      <c r="CVU83" s="798"/>
      <c r="CVV83" s="798"/>
      <c r="CVW83" s="798"/>
      <c r="CVX83" s="798"/>
      <c r="CVY83" s="798"/>
      <c r="CVZ83" s="798"/>
      <c r="CWA83" s="798"/>
      <c r="CWB83" s="798"/>
      <c r="CWC83" s="798"/>
      <c r="CWD83" s="798"/>
      <c r="CWE83" s="798"/>
      <c r="CWF83" s="798"/>
      <c r="CWG83" s="798"/>
      <c r="CWH83" s="798"/>
      <c r="CWI83" s="798"/>
      <c r="CWJ83" s="798"/>
      <c r="CWK83" s="798"/>
      <c r="CWL83" s="798"/>
      <c r="CWM83" s="798"/>
      <c r="CWN83" s="798"/>
      <c r="CWO83" s="798"/>
      <c r="CWP83" s="798"/>
      <c r="CWQ83" s="798"/>
      <c r="CWR83" s="798"/>
      <c r="CWS83" s="798"/>
      <c r="CWT83" s="798"/>
      <c r="CWU83" s="798"/>
      <c r="CWV83" s="798"/>
      <c r="CWW83" s="798"/>
      <c r="CWX83" s="798"/>
      <c r="CWY83" s="798"/>
      <c r="CWZ83" s="798"/>
      <c r="CXA83" s="798"/>
      <c r="CXB83" s="798"/>
      <c r="CXC83" s="798"/>
      <c r="CXD83" s="798"/>
      <c r="CXE83" s="798"/>
      <c r="CXF83" s="798"/>
      <c r="CXG83" s="798"/>
      <c r="CXH83" s="798"/>
      <c r="CXI83" s="798"/>
      <c r="CXJ83" s="798"/>
      <c r="CXK83" s="798"/>
      <c r="CXL83" s="798"/>
      <c r="CXM83" s="798"/>
      <c r="CXN83" s="798"/>
      <c r="CXO83" s="798"/>
      <c r="CXP83" s="798"/>
      <c r="CXQ83" s="798"/>
      <c r="CXR83" s="798"/>
      <c r="CXS83" s="798"/>
      <c r="CXT83" s="798"/>
      <c r="CXU83" s="798"/>
      <c r="CXV83" s="798"/>
      <c r="CXW83" s="798"/>
      <c r="CXX83" s="798"/>
      <c r="CXY83" s="798"/>
      <c r="CXZ83" s="798"/>
      <c r="CYA83" s="798"/>
      <c r="CYB83" s="798"/>
      <c r="CYC83" s="798"/>
      <c r="CYD83" s="798"/>
      <c r="CYE83" s="798"/>
      <c r="CYF83" s="798"/>
      <c r="CYG83" s="798"/>
      <c r="CYH83" s="798"/>
      <c r="CYI83" s="798"/>
      <c r="CYJ83" s="798"/>
      <c r="CYK83" s="798"/>
      <c r="CYL83" s="798"/>
      <c r="CYM83" s="798"/>
      <c r="CYN83" s="798"/>
      <c r="CYO83" s="798"/>
      <c r="CYP83" s="798"/>
      <c r="CYQ83" s="798"/>
      <c r="CYR83" s="798"/>
      <c r="CYS83" s="798"/>
      <c r="CYT83" s="798"/>
      <c r="CYU83" s="798"/>
      <c r="CYV83" s="798"/>
      <c r="CYW83" s="798"/>
      <c r="CYX83" s="798"/>
      <c r="CYY83" s="798"/>
      <c r="CYZ83" s="798"/>
      <c r="CZA83" s="798"/>
      <c r="CZB83" s="798"/>
      <c r="CZC83" s="798"/>
      <c r="CZD83" s="798"/>
      <c r="CZE83" s="798"/>
      <c r="CZF83" s="798"/>
      <c r="CZG83" s="798"/>
      <c r="CZH83" s="798"/>
      <c r="CZI83" s="798"/>
      <c r="CZJ83" s="798"/>
      <c r="CZK83" s="798"/>
      <c r="CZL83" s="798"/>
      <c r="CZM83" s="798"/>
      <c r="CZN83" s="798"/>
      <c r="CZO83" s="798"/>
      <c r="CZP83" s="798"/>
      <c r="CZQ83" s="798"/>
      <c r="CZR83" s="798"/>
      <c r="CZS83" s="798"/>
      <c r="CZT83" s="798"/>
      <c r="CZU83" s="798"/>
      <c r="CZV83" s="798"/>
      <c r="CZW83" s="798"/>
      <c r="CZX83" s="798"/>
      <c r="CZY83" s="798"/>
      <c r="CZZ83" s="798"/>
      <c r="DAA83" s="798"/>
      <c r="DAB83" s="798"/>
      <c r="DAC83" s="798"/>
      <c r="DAD83" s="798"/>
      <c r="DAE83" s="798"/>
      <c r="DAF83" s="798"/>
      <c r="DAG83" s="798"/>
      <c r="DAH83" s="798"/>
      <c r="DAI83" s="798"/>
      <c r="DAJ83" s="798"/>
      <c r="DAK83" s="798"/>
      <c r="DAL83" s="798"/>
      <c r="DAM83" s="798"/>
      <c r="DAN83" s="798"/>
      <c r="DAO83" s="798"/>
      <c r="DAP83" s="798"/>
      <c r="DAQ83" s="798"/>
      <c r="DAR83" s="798"/>
      <c r="DAS83" s="798"/>
      <c r="DAT83" s="798"/>
      <c r="DAU83" s="798"/>
      <c r="DAV83" s="798"/>
      <c r="DAW83" s="798"/>
      <c r="DAX83" s="798"/>
      <c r="DAY83" s="798"/>
      <c r="DAZ83" s="798"/>
      <c r="DBA83" s="798"/>
      <c r="DBB83" s="798"/>
      <c r="DBC83" s="798"/>
      <c r="DBD83" s="798"/>
      <c r="DBE83" s="798"/>
      <c r="DBF83" s="798"/>
      <c r="DBG83" s="798"/>
      <c r="DBH83" s="798"/>
      <c r="DBI83" s="798"/>
      <c r="DBJ83" s="798"/>
      <c r="DBK83" s="798"/>
      <c r="DBL83" s="798"/>
      <c r="DBM83" s="798"/>
      <c r="DBN83" s="798"/>
      <c r="DBO83" s="798"/>
      <c r="DBP83" s="798"/>
      <c r="DBQ83" s="798"/>
      <c r="DBR83" s="798"/>
      <c r="DBS83" s="798"/>
      <c r="DBT83" s="798"/>
      <c r="DBU83" s="798"/>
      <c r="DBV83" s="798"/>
      <c r="DBW83" s="798"/>
      <c r="DBX83" s="798"/>
      <c r="DBY83" s="798"/>
      <c r="DBZ83" s="798"/>
      <c r="DCA83" s="798"/>
      <c r="DCB83" s="798"/>
      <c r="DCC83" s="798"/>
      <c r="DCD83" s="798"/>
      <c r="DCE83" s="798"/>
      <c r="DCF83" s="798"/>
      <c r="DCG83" s="798"/>
      <c r="DCH83" s="798"/>
      <c r="DCI83" s="798"/>
      <c r="DCJ83" s="798"/>
      <c r="DCK83" s="798"/>
      <c r="DCL83" s="798"/>
      <c r="DCM83" s="798"/>
      <c r="DCN83" s="798"/>
      <c r="DCO83" s="798"/>
      <c r="DCP83" s="798"/>
      <c r="DCQ83" s="798"/>
      <c r="DCR83" s="798"/>
      <c r="DCS83" s="798"/>
      <c r="DCT83" s="798"/>
      <c r="DCU83" s="798"/>
      <c r="DCV83" s="798"/>
      <c r="DCW83" s="798"/>
      <c r="DCX83" s="798"/>
      <c r="DCY83" s="798"/>
      <c r="DCZ83" s="798"/>
      <c r="DDA83" s="798"/>
      <c r="DDB83" s="798"/>
      <c r="DDC83" s="798"/>
      <c r="DDD83" s="798"/>
      <c r="DDE83" s="798"/>
      <c r="DDF83" s="798"/>
      <c r="DDG83" s="798"/>
      <c r="DDH83" s="798"/>
      <c r="DDI83" s="798"/>
      <c r="DDJ83" s="798"/>
      <c r="DDK83" s="798"/>
      <c r="DDL83" s="798"/>
      <c r="DDM83" s="798"/>
      <c r="DDN83" s="798"/>
      <c r="DDO83" s="798"/>
      <c r="DDP83" s="798"/>
      <c r="DDQ83" s="798"/>
      <c r="DDR83" s="798"/>
      <c r="DDS83" s="798"/>
      <c r="DDT83" s="798"/>
      <c r="DDU83" s="798"/>
      <c r="DDV83" s="798"/>
      <c r="DDW83" s="798"/>
      <c r="DDX83" s="798"/>
      <c r="DDY83" s="798"/>
      <c r="DDZ83" s="798"/>
      <c r="DEA83" s="798"/>
      <c r="DEB83" s="798"/>
      <c r="DEC83" s="798"/>
      <c r="DED83" s="798"/>
      <c r="DEE83" s="798"/>
      <c r="DEF83" s="798"/>
      <c r="DEG83" s="798"/>
      <c r="DEH83" s="798"/>
      <c r="DEI83" s="798"/>
      <c r="DEJ83" s="798"/>
      <c r="DEK83" s="798"/>
      <c r="DEL83" s="798"/>
      <c r="DEM83" s="798"/>
      <c r="DEN83" s="798"/>
      <c r="DEO83" s="798"/>
      <c r="DEP83" s="798"/>
      <c r="DEQ83" s="798"/>
      <c r="DER83" s="798"/>
      <c r="DES83" s="798"/>
      <c r="DET83" s="798"/>
      <c r="DEU83" s="798"/>
      <c r="DEV83" s="798"/>
      <c r="DEW83" s="798"/>
      <c r="DEX83" s="798"/>
      <c r="DEY83" s="798"/>
      <c r="DEZ83" s="798"/>
      <c r="DFA83" s="798"/>
      <c r="DFB83" s="798"/>
      <c r="DFC83" s="798"/>
      <c r="DFD83" s="798"/>
      <c r="DFE83" s="798"/>
      <c r="DFF83" s="798"/>
      <c r="DFG83" s="798"/>
      <c r="DFH83" s="798"/>
      <c r="DFI83" s="798"/>
      <c r="DFJ83" s="798"/>
      <c r="DFK83" s="798"/>
      <c r="DFL83" s="798"/>
      <c r="DFM83" s="798"/>
      <c r="DFN83" s="798"/>
      <c r="DFO83" s="798"/>
      <c r="DFP83" s="798"/>
      <c r="DFQ83" s="798"/>
      <c r="DFR83" s="798"/>
      <c r="DFS83" s="798"/>
      <c r="DFT83" s="798"/>
      <c r="DFU83" s="798"/>
      <c r="DFV83" s="798"/>
      <c r="DFW83" s="798"/>
      <c r="DFX83" s="798"/>
      <c r="DFY83" s="798"/>
      <c r="DFZ83" s="798"/>
      <c r="DGA83" s="798"/>
      <c r="DGB83" s="798"/>
      <c r="DGC83" s="798"/>
      <c r="DGD83" s="798"/>
      <c r="DGE83" s="798"/>
      <c r="DGF83" s="798"/>
      <c r="DGG83" s="798"/>
      <c r="DGH83" s="798"/>
      <c r="DGI83" s="798"/>
      <c r="DGJ83" s="798"/>
      <c r="DGK83" s="798"/>
      <c r="DGL83" s="798"/>
      <c r="DGM83" s="798"/>
      <c r="DGN83" s="798"/>
      <c r="DGO83" s="798"/>
      <c r="DGP83" s="798"/>
      <c r="DGQ83" s="798"/>
      <c r="DGR83" s="798"/>
      <c r="DGS83" s="798"/>
      <c r="DGT83" s="798"/>
      <c r="DGU83" s="798"/>
      <c r="DGV83" s="798"/>
      <c r="DGW83" s="798"/>
      <c r="DGX83" s="798"/>
      <c r="DGY83" s="798"/>
      <c r="DGZ83" s="798"/>
      <c r="DHA83" s="798"/>
      <c r="DHB83" s="798"/>
      <c r="DHC83" s="798"/>
      <c r="DHD83" s="798"/>
      <c r="DHE83" s="798"/>
      <c r="DHF83" s="798"/>
      <c r="DHG83" s="798"/>
      <c r="DHH83" s="798"/>
      <c r="DHI83" s="798"/>
      <c r="DHJ83" s="798"/>
      <c r="DHK83" s="798"/>
      <c r="DHL83" s="798"/>
      <c r="DHM83" s="798"/>
      <c r="DHN83" s="798"/>
      <c r="DHO83" s="798"/>
      <c r="DHP83" s="798"/>
      <c r="DHQ83" s="798"/>
      <c r="DHR83" s="798"/>
      <c r="DHS83" s="798"/>
      <c r="DHT83" s="798"/>
      <c r="DHU83" s="798"/>
      <c r="DHV83" s="798"/>
      <c r="DHW83" s="798"/>
      <c r="DHX83" s="798"/>
      <c r="DHY83" s="798"/>
      <c r="DHZ83" s="798"/>
      <c r="DIA83" s="798"/>
      <c r="DIB83" s="798"/>
      <c r="DIC83" s="798"/>
      <c r="DID83" s="798"/>
      <c r="DIE83" s="798"/>
      <c r="DIF83" s="798"/>
      <c r="DIG83" s="798"/>
      <c r="DIH83" s="798"/>
      <c r="DII83" s="798"/>
      <c r="DIJ83" s="798"/>
      <c r="DIK83" s="798"/>
      <c r="DIL83" s="798"/>
      <c r="DIM83" s="798"/>
      <c r="DIN83" s="798"/>
      <c r="DIO83" s="798"/>
      <c r="DIP83" s="798"/>
      <c r="DIQ83" s="798"/>
      <c r="DIR83" s="798"/>
      <c r="DIS83" s="798"/>
      <c r="DIT83" s="798"/>
      <c r="DIU83" s="798"/>
      <c r="DIV83" s="798"/>
      <c r="DIW83" s="798"/>
      <c r="DIX83" s="798"/>
      <c r="DIY83" s="798"/>
      <c r="DIZ83" s="798"/>
      <c r="DJA83" s="798"/>
      <c r="DJB83" s="798"/>
      <c r="DJC83" s="798"/>
      <c r="DJD83" s="798"/>
      <c r="DJE83" s="798"/>
      <c r="DJF83" s="798"/>
      <c r="DJG83" s="798"/>
      <c r="DJH83" s="798"/>
      <c r="DJI83" s="798"/>
      <c r="DJJ83" s="798"/>
      <c r="DJK83" s="798"/>
      <c r="DJL83" s="798"/>
      <c r="DJM83" s="798"/>
      <c r="DJN83" s="798"/>
      <c r="DJO83" s="798"/>
      <c r="DJP83" s="798"/>
      <c r="DJQ83" s="798"/>
      <c r="DJR83" s="798"/>
      <c r="DJS83" s="798"/>
      <c r="DJT83" s="798"/>
      <c r="DJU83" s="798"/>
      <c r="DJV83" s="798"/>
      <c r="DJW83" s="798"/>
      <c r="DJX83" s="798"/>
      <c r="DJY83" s="798"/>
      <c r="DJZ83" s="798"/>
      <c r="DKA83" s="798"/>
      <c r="DKB83" s="798"/>
      <c r="DKC83" s="798"/>
      <c r="DKD83" s="798"/>
      <c r="DKE83" s="798"/>
      <c r="DKF83" s="798"/>
      <c r="DKG83" s="798"/>
      <c r="DKH83" s="798"/>
      <c r="DKI83" s="798"/>
      <c r="DKJ83" s="798"/>
      <c r="DKK83" s="798"/>
      <c r="DKL83" s="798"/>
      <c r="DKM83" s="798"/>
      <c r="DKN83" s="798"/>
      <c r="DKO83" s="798"/>
      <c r="DKP83" s="798"/>
      <c r="DKQ83" s="798"/>
      <c r="DKR83" s="798"/>
      <c r="DKS83" s="798"/>
      <c r="DKT83" s="798"/>
      <c r="DKU83" s="798"/>
      <c r="DKV83" s="798"/>
      <c r="DKW83" s="798"/>
      <c r="DKX83" s="798"/>
      <c r="DKY83" s="798"/>
      <c r="DKZ83" s="798"/>
      <c r="DLA83" s="798"/>
      <c r="DLB83" s="798"/>
      <c r="DLC83" s="798"/>
      <c r="DLD83" s="798"/>
      <c r="DLE83" s="798"/>
      <c r="DLF83" s="798"/>
      <c r="DLG83" s="798"/>
      <c r="DLH83" s="798"/>
      <c r="DLI83" s="798"/>
      <c r="DLJ83" s="798"/>
      <c r="DLK83" s="798"/>
      <c r="DLL83" s="798"/>
      <c r="DLM83" s="798"/>
      <c r="DLN83" s="798"/>
      <c r="DLO83" s="798"/>
      <c r="DLP83" s="798"/>
      <c r="DLQ83" s="798"/>
      <c r="DLR83" s="798"/>
      <c r="DLS83" s="798"/>
      <c r="DLT83" s="798"/>
      <c r="DLU83" s="798"/>
      <c r="DLV83" s="798"/>
      <c r="DLW83" s="798"/>
      <c r="DLX83" s="798"/>
      <c r="DLY83" s="798"/>
      <c r="DLZ83" s="798"/>
      <c r="DMA83" s="798"/>
      <c r="DMB83" s="798"/>
      <c r="DMC83" s="798"/>
      <c r="DMD83" s="798"/>
      <c r="DME83" s="798"/>
      <c r="DMF83" s="798"/>
      <c r="DMG83" s="798"/>
      <c r="DMH83" s="798"/>
      <c r="DMI83" s="798"/>
      <c r="DMJ83" s="798"/>
      <c r="DMK83" s="798"/>
      <c r="DML83" s="798"/>
      <c r="DMM83" s="798"/>
      <c r="DMN83" s="798"/>
      <c r="DMO83" s="798"/>
      <c r="DMP83" s="798"/>
      <c r="DMQ83" s="798"/>
      <c r="DMR83" s="798"/>
      <c r="DMS83" s="798"/>
      <c r="DMT83" s="798"/>
      <c r="DMU83" s="798"/>
      <c r="DMV83" s="798"/>
      <c r="DMW83" s="798"/>
      <c r="DMX83" s="798"/>
      <c r="DMY83" s="798"/>
      <c r="DMZ83" s="798"/>
      <c r="DNA83" s="798"/>
      <c r="DNB83" s="798"/>
      <c r="DNC83" s="798"/>
      <c r="DND83" s="798"/>
      <c r="DNE83" s="798"/>
      <c r="DNF83" s="798"/>
      <c r="DNG83" s="798"/>
      <c r="DNH83" s="798"/>
      <c r="DNI83" s="798"/>
      <c r="DNJ83" s="798"/>
      <c r="DNK83" s="798"/>
      <c r="DNL83" s="798"/>
      <c r="DNM83" s="798"/>
      <c r="DNN83" s="798"/>
      <c r="DNO83" s="798"/>
      <c r="DNP83" s="798"/>
      <c r="DNQ83" s="798"/>
      <c r="DNR83" s="798"/>
      <c r="DNS83" s="798"/>
      <c r="DNT83" s="798"/>
      <c r="DNU83" s="798"/>
      <c r="DNV83" s="798"/>
      <c r="DNW83" s="798"/>
      <c r="DNX83" s="798"/>
      <c r="DNY83" s="798"/>
      <c r="DNZ83" s="798"/>
      <c r="DOA83" s="798"/>
      <c r="DOB83" s="798"/>
      <c r="DOC83" s="798"/>
      <c r="DOD83" s="798"/>
      <c r="DOE83" s="798"/>
      <c r="DOF83" s="798"/>
      <c r="DOG83" s="798"/>
      <c r="DOH83" s="798"/>
      <c r="DOI83" s="798"/>
      <c r="DOJ83" s="798"/>
      <c r="DOK83" s="798"/>
      <c r="DOL83" s="798"/>
      <c r="DOM83" s="798"/>
      <c r="DON83" s="798"/>
      <c r="DOO83" s="798"/>
      <c r="DOP83" s="798"/>
      <c r="DOQ83" s="798"/>
      <c r="DOR83" s="798"/>
      <c r="DOS83" s="798"/>
      <c r="DOT83" s="798"/>
      <c r="DOU83" s="798"/>
      <c r="DOV83" s="798"/>
      <c r="DOW83" s="798"/>
      <c r="DOX83" s="798"/>
      <c r="DOY83" s="798"/>
      <c r="DOZ83" s="798"/>
      <c r="DPA83" s="798"/>
      <c r="DPB83" s="798"/>
      <c r="DPC83" s="798"/>
      <c r="DPD83" s="798"/>
      <c r="DPE83" s="798"/>
      <c r="DPF83" s="798"/>
      <c r="DPG83" s="798"/>
      <c r="DPH83" s="798"/>
      <c r="DPI83" s="798"/>
      <c r="DPJ83" s="798"/>
      <c r="DPK83" s="798"/>
      <c r="DPL83" s="798"/>
      <c r="DPM83" s="798"/>
      <c r="DPN83" s="798"/>
      <c r="DPO83" s="798"/>
      <c r="DPP83" s="798"/>
      <c r="DPQ83" s="798"/>
      <c r="DPR83" s="798"/>
      <c r="DPS83" s="798"/>
      <c r="DPT83" s="798"/>
      <c r="DPU83" s="798"/>
      <c r="DPV83" s="798"/>
      <c r="DPW83" s="798"/>
      <c r="DPX83" s="798"/>
      <c r="DPY83" s="798"/>
      <c r="DPZ83" s="798"/>
      <c r="DQA83" s="798"/>
      <c r="DQB83" s="798"/>
      <c r="DQC83" s="798"/>
      <c r="DQD83" s="798"/>
      <c r="DQE83" s="798"/>
      <c r="DQF83" s="798"/>
      <c r="DQG83" s="798"/>
      <c r="DQH83" s="798"/>
      <c r="DQI83" s="798"/>
      <c r="DQJ83" s="798"/>
      <c r="DQK83" s="798"/>
      <c r="DQL83" s="798"/>
      <c r="DQM83" s="798"/>
      <c r="DQN83" s="798"/>
      <c r="DQO83" s="798"/>
      <c r="DQP83" s="798"/>
      <c r="DQQ83" s="798"/>
      <c r="DQR83" s="798"/>
      <c r="DQS83" s="798"/>
      <c r="DQT83" s="798"/>
      <c r="DQU83" s="798"/>
      <c r="DQV83" s="798"/>
      <c r="DQW83" s="798"/>
      <c r="DQX83" s="798"/>
      <c r="DQY83" s="798"/>
      <c r="DQZ83" s="798"/>
      <c r="DRA83" s="798"/>
      <c r="DRB83" s="798"/>
      <c r="DRC83" s="798"/>
      <c r="DRD83" s="798"/>
      <c r="DRE83" s="798"/>
      <c r="DRF83" s="798"/>
      <c r="DRG83" s="798"/>
      <c r="DRH83" s="798"/>
      <c r="DRI83" s="798"/>
      <c r="DRJ83" s="798"/>
      <c r="DRK83" s="798"/>
      <c r="DRL83" s="798"/>
      <c r="DRM83" s="798"/>
      <c r="DRN83" s="798"/>
      <c r="DRO83" s="798"/>
      <c r="DRP83" s="798"/>
      <c r="DRQ83" s="798"/>
      <c r="DRR83" s="798"/>
      <c r="DRS83" s="798"/>
      <c r="DRT83" s="798"/>
      <c r="DRU83" s="798"/>
      <c r="DRV83" s="798"/>
      <c r="DRW83" s="798"/>
      <c r="DRX83" s="798"/>
      <c r="DRY83" s="798"/>
      <c r="DRZ83" s="798"/>
      <c r="DSA83" s="798"/>
      <c r="DSB83" s="798"/>
      <c r="DSC83" s="798"/>
      <c r="DSD83" s="798"/>
      <c r="DSE83" s="798"/>
      <c r="DSF83" s="798"/>
      <c r="DSG83" s="798"/>
      <c r="DSH83" s="798"/>
      <c r="DSI83" s="798"/>
      <c r="DSJ83" s="798"/>
      <c r="DSK83" s="798"/>
      <c r="DSL83" s="798"/>
      <c r="DSM83" s="798"/>
      <c r="DSN83" s="798"/>
      <c r="DSO83" s="798"/>
      <c r="DSP83" s="798"/>
      <c r="DSQ83" s="798"/>
      <c r="DSR83" s="798"/>
      <c r="DSS83" s="798"/>
      <c r="DST83" s="798"/>
      <c r="DSU83" s="798"/>
      <c r="DSV83" s="798"/>
      <c r="DSW83" s="798"/>
      <c r="DSX83" s="798"/>
      <c r="DSY83" s="798"/>
      <c r="DSZ83" s="798"/>
      <c r="DTA83" s="798"/>
      <c r="DTB83" s="798"/>
      <c r="DTC83" s="798"/>
      <c r="DTD83" s="798"/>
      <c r="DTE83" s="798"/>
      <c r="DTF83" s="798"/>
      <c r="DTG83" s="798"/>
      <c r="DTH83" s="798"/>
      <c r="DTI83" s="798"/>
      <c r="DTJ83" s="798"/>
      <c r="DTK83" s="798"/>
      <c r="DTL83" s="798"/>
      <c r="DTM83" s="798"/>
      <c r="DTN83" s="798"/>
      <c r="DTO83" s="798"/>
      <c r="DTP83" s="798"/>
      <c r="DTQ83" s="798"/>
      <c r="DTR83" s="798"/>
      <c r="DTS83" s="798"/>
      <c r="DTT83" s="798"/>
      <c r="DTU83" s="798"/>
      <c r="DTV83" s="798"/>
      <c r="DTW83" s="798"/>
      <c r="DTX83" s="798"/>
      <c r="DTY83" s="798"/>
      <c r="DTZ83" s="798"/>
      <c r="DUA83" s="798"/>
      <c r="DUB83" s="798"/>
      <c r="DUC83" s="798"/>
      <c r="DUD83" s="798"/>
      <c r="DUE83" s="798"/>
      <c r="DUF83" s="798"/>
      <c r="DUG83" s="798"/>
      <c r="DUH83" s="798"/>
      <c r="DUI83" s="798"/>
      <c r="DUJ83" s="798"/>
      <c r="DUK83" s="798"/>
      <c r="DUL83" s="798"/>
      <c r="DUM83" s="798"/>
      <c r="DUN83" s="798"/>
      <c r="DUO83" s="798"/>
      <c r="DUP83" s="798"/>
      <c r="DUQ83" s="798"/>
      <c r="DUR83" s="798"/>
      <c r="DUS83" s="798"/>
      <c r="DUT83" s="798"/>
      <c r="DUU83" s="798"/>
      <c r="DUV83" s="798"/>
      <c r="DUW83" s="798"/>
      <c r="DUX83" s="798"/>
      <c r="DUY83" s="798"/>
      <c r="DUZ83" s="798"/>
      <c r="DVA83" s="798"/>
      <c r="DVB83" s="798"/>
      <c r="DVC83" s="798"/>
      <c r="DVD83" s="798"/>
      <c r="DVE83" s="798"/>
      <c r="DVF83" s="798"/>
      <c r="DVG83" s="798"/>
      <c r="DVH83" s="798"/>
      <c r="DVI83" s="798"/>
      <c r="DVJ83" s="798"/>
      <c r="DVK83" s="798"/>
      <c r="DVL83" s="798"/>
      <c r="DVM83" s="798"/>
      <c r="DVN83" s="798"/>
      <c r="DVO83" s="798"/>
      <c r="DVP83" s="798"/>
      <c r="DVQ83" s="798"/>
      <c r="DVR83" s="798"/>
      <c r="DVS83" s="798"/>
      <c r="DVT83" s="798"/>
      <c r="DVU83" s="798"/>
      <c r="DVV83" s="798"/>
      <c r="DVW83" s="798"/>
      <c r="DVX83" s="798"/>
      <c r="DVY83" s="798"/>
      <c r="DVZ83" s="798"/>
      <c r="DWA83" s="798"/>
      <c r="DWB83" s="798"/>
      <c r="DWC83" s="798"/>
      <c r="DWD83" s="798"/>
      <c r="DWE83" s="798"/>
      <c r="DWF83" s="798"/>
      <c r="DWG83" s="798"/>
      <c r="DWH83" s="798"/>
      <c r="DWI83" s="798"/>
      <c r="DWJ83" s="798"/>
      <c r="DWK83" s="798"/>
      <c r="DWL83" s="798"/>
      <c r="DWM83" s="798"/>
      <c r="DWN83" s="798"/>
      <c r="DWO83" s="798"/>
      <c r="DWP83" s="798"/>
      <c r="DWQ83" s="798"/>
      <c r="DWR83" s="798"/>
      <c r="DWS83" s="798"/>
      <c r="DWT83" s="798"/>
      <c r="DWU83" s="798"/>
      <c r="DWV83" s="798"/>
      <c r="DWW83" s="798"/>
      <c r="DWX83" s="798"/>
      <c r="DWY83" s="798"/>
      <c r="DWZ83" s="798"/>
      <c r="DXA83" s="798"/>
      <c r="DXB83" s="798"/>
      <c r="DXC83" s="798"/>
      <c r="DXD83" s="798"/>
      <c r="DXE83" s="798"/>
      <c r="DXF83" s="798"/>
      <c r="DXG83" s="798"/>
      <c r="DXH83" s="798"/>
      <c r="DXI83" s="798"/>
      <c r="DXJ83" s="798"/>
      <c r="DXK83" s="798"/>
      <c r="DXL83" s="798"/>
      <c r="DXM83" s="798"/>
      <c r="DXN83" s="798"/>
      <c r="DXO83" s="798"/>
      <c r="DXP83" s="798"/>
      <c r="DXQ83" s="798"/>
      <c r="DXR83" s="798"/>
      <c r="DXS83" s="798"/>
      <c r="DXT83" s="798"/>
      <c r="DXU83" s="798"/>
      <c r="DXV83" s="798"/>
      <c r="DXW83" s="798"/>
      <c r="DXX83" s="798"/>
      <c r="DXY83" s="798"/>
      <c r="DXZ83" s="798"/>
      <c r="DYA83" s="798"/>
      <c r="DYB83" s="798"/>
      <c r="DYC83" s="798"/>
      <c r="DYD83" s="798"/>
      <c r="DYE83" s="798"/>
      <c r="DYF83" s="798"/>
      <c r="DYG83" s="798"/>
      <c r="DYH83" s="798"/>
      <c r="DYI83" s="798"/>
      <c r="DYJ83" s="798"/>
      <c r="DYK83" s="798"/>
      <c r="DYL83" s="798"/>
      <c r="DYM83" s="798"/>
      <c r="DYN83" s="798"/>
      <c r="DYO83" s="798"/>
      <c r="DYP83" s="798"/>
      <c r="DYQ83" s="798"/>
      <c r="DYR83" s="798"/>
      <c r="DYS83" s="798"/>
      <c r="DYT83" s="798"/>
      <c r="DYU83" s="798"/>
      <c r="DYV83" s="798"/>
      <c r="DYW83" s="798"/>
      <c r="DYX83" s="798"/>
      <c r="DYY83" s="798"/>
      <c r="DYZ83" s="798"/>
      <c r="DZA83" s="798"/>
      <c r="DZB83" s="798"/>
      <c r="DZC83" s="798"/>
      <c r="DZD83" s="798"/>
      <c r="DZE83" s="798"/>
      <c r="DZF83" s="798"/>
      <c r="DZG83" s="798"/>
      <c r="DZH83" s="798"/>
      <c r="DZI83" s="798"/>
      <c r="DZJ83" s="798"/>
      <c r="DZK83" s="798"/>
      <c r="DZL83" s="798"/>
      <c r="DZM83" s="798"/>
      <c r="DZN83" s="798"/>
      <c r="DZO83" s="798"/>
      <c r="DZP83" s="798"/>
      <c r="DZQ83" s="798"/>
      <c r="DZR83" s="798"/>
      <c r="DZS83" s="798"/>
      <c r="DZT83" s="798"/>
      <c r="DZU83" s="798"/>
      <c r="DZV83" s="798"/>
      <c r="DZW83" s="798"/>
      <c r="DZX83" s="798"/>
      <c r="DZY83" s="798"/>
      <c r="DZZ83" s="798"/>
      <c r="EAA83" s="798"/>
      <c r="EAB83" s="798"/>
      <c r="EAC83" s="798"/>
      <c r="EAD83" s="798"/>
      <c r="EAE83" s="798"/>
      <c r="EAF83" s="798"/>
      <c r="EAG83" s="798"/>
      <c r="EAH83" s="798"/>
      <c r="EAI83" s="798"/>
      <c r="EAJ83" s="798"/>
      <c r="EAK83" s="798"/>
      <c r="EAL83" s="798"/>
      <c r="EAM83" s="798"/>
      <c r="EAN83" s="798"/>
      <c r="EAO83" s="798"/>
      <c r="EAP83" s="798"/>
      <c r="EAQ83" s="798"/>
      <c r="EAR83" s="798"/>
      <c r="EAS83" s="798"/>
      <c r="EAT83" s="798"/>
      <c r="EAU83" s="798"/>
      <c r="EAV83" s="798"/>
      <c r="EAW83" s="798"/>
      <c r="EAX83" s="798"/>
      <c r="EAY83" s="798"/>
      <c r="EAZ83" s="798"/>
      <c r="EBA83" s="798"/>
      <c r="EBB83" s="798"/>
      <c r="EBC83" s="798"/>
      <c r="EBD83" s="798"/>
      <c r="EBE83" s="798"/>
      <c r="EBF83" s="798"/>
      <c r="EBG83" s="798"/>
      <c r="EBH83" s="798"/>
      <c r="EBI83" s="798"/>
      <c r="EBJ83" s="798"/>
      <c r="EBK83" s="798"/>
      <c r="EBL83" s="798"/>
      <c r="EBM83" s="798"/>
      <c r="EBN83" s="798"/>
      <c r="EBO83" s="798"/>
      <c r="EBP83" s="798"/>
      <c r="EBQ83" s="798"/>
      <c r="EBR83" s="798"/>
      <c r="EBS83" s="798"/>
      <c r="EBT83" s="798"/>
      <c r="EBU83" s="798"/>
      <c r="EBV83" s="798"/>
      <c r="EBW83" s="798"/>
      <c r="EBX83" s="798"/>
      <c r="EBY83" s="798"/>
      <c r="EBZ83" s="798"/>
      <c r="ECA83" s="798"/>
      <c r="ECB83" s="798"/>
      <c r="ECC83" s="798"/>
      <c r="ECD83" s="798"/>
      <c r="ECE83" s="798"/>
      <c r="ECF83" s="798"/>
      <c r="ECG83" s="798"/>
      <c r="ECH83" s="798"/>
      <c r="ECI83" s="798"/>
      <c r="ECJ83" s="798"/>
      <c r="ECK83" s="798"/>
      <c r="ECL83" s="798"/>
      <c r="ECM83" s="798"/>
      <c r="ECN83" s="798"/>
      <c r="ECO83" s="798"/>
      <c r="ECP83" s="798"/>
      <c r="ECQ83" s="798"/>
      <c r="ECR83" s="798"/>
      <c r="ECS83" s="798"/>
      <c r="ECT83" s="798"/>
      <c r="ECU83" s="798"/>
      <c r="ECV83" s="798"/>
      <c r="ECW83" s="798"/>
      <c r="ECX83" s="798"/>
      <c r="ECY83" s="798"/>
      <c r="ECZ83" s="798"/>
      <c r="EDA83" s="798"/>
      <c r="EDB83" s="798"/>
      <c r="EDC83" s="798"/>
      <c r="EDD83" s="798"/>
      <c r="EDE83" s="798"/>
      <c r="EDF83" s="798"/>
      <c r="EDG83" s="798"/>
      <c r="EDH83" s="798"/>
      <c r="EDI83" s="798"/>
      <c r="EDJ83" s="798"/>
      <c r="EDK83" s="798"/>
      <c r="EDL83" s="798"/>
      <c r="EDM83" s="798"/>
      <c r="EDN83" s="798"/>
      <c r="EDO83" s="798"/>
      <c r="EDP83" s="798"/>
      <c r="EDQ83" s="798"/>
      <c r="EDR83" s="798"/>
      <c r="EDS83" s="798"/>
      <c r="EDT83" s="798"/>
      <c r="EDU83" s="798"/>
      <c r="EDV83" s="798"/>
      <c r="EDW83" s="798"/>
      <c r="EDX83" s="798"/>
      <c r="EDY83" s="798"/>
      <c r="EDZ83" s="798"/>
      <c r="EEA83" s="798"/>
      <c r="EEB83" s="798"/>
      <c r="EEC83" s="798"/>
      <c r="EED83" s="798"/>
      <c r="EEE83" s="798"/>
      <c r="EEF83" s="798"/>
      <c r="EEG83" s="798"/>
      <c r="EEH83" s="798"/>
      <c r="EEI83" s="798"/>
      <c r="EEJ83" s="798"/>
      <c r="EEK83" s="798"/>
      <c r="EEL83" s="798"/>
      <c r="EEM83" s="798"/>
      <c r="EEN83" s="798"/>
      <c r="EEO83" s="798"/>
      <c r="EEP83" s="798"/>
      <c r="EEQ83" s="798"/>
      <c r="EER83" s="798"/>
      <c r="EES83" s="798"/>
      <c r="EET83" s="798"/>
      <c r="EEU83" s="798"/>
      <c r="EEV83" s="798"/>
      <c r="EEW83" s="798"/>
      <c r="EEX83" s="798"/>
      <c r="EEY83" s="798"/>
      <c r="EEZ83" s="798"/>
      <c r="EFA83" s="798"/>
      <c r="EFB83" s="798"/>
      <c r="EFC83" s="798"/>
      <c r="EFD83" s="798"/>
      <c r="EFE83" s="798"/>
      <c r="EFF83" s="798"/>
      <c r="EFG83" s="798"/>
      <c r="EFH83" s="798"/>
      <c r="EFI83" s="798"/>
      <c r="EFJ83" s="798"/>
      <c r="EFK83" s="798"/>
      <c r="EFL83" s="798"/>
      <c r="EFM83" s="798"/>
      <c r="EFN83" s="798"/>
      <c r="EFO83" s="798"/>
      <c r="EFP83" s="798"/>
      <c r="EFQ83" s="798"/>
      <c r="EFR83" s="798"/>
      <c r="EFS83" s="798"/>
      <c r="EFT83" s="798"/>
      <c r="EFU83" s="798"/>
      <c r="EFV83" s="798"/>
      <c r="EFW83" s="798"/>
      <c r="EFX83" s="798"/>
      <c r="EFY83" s="798"/>
      <c r="EFZ83" s="798"/>
      <c r="EGA83" s="798"/>
      <c r="EGB83" s="798"/>
      <c r="EGC83" s="798"/>
      <c r="EGD83" s="798"/>
      <c r="EGE83" s="798"/>
      <c r="EGF83" s="798"/>
      <c r="EGG83" s="798"/>
      <c r="EGH83" s="798"/>
      <c r="EGI83" s="798"/>
      <c r="EGJ83" s="798"/>
      <c r="EGK83" s="798"/>
      <c r="EGL83" s="798"/>
      <c r="EGM83" s="798"/>
      <c r="EGN83" s="798"/>
      <c r="EGO83" s="798"/>
      <c r="EGP83" s="798"/>
      <c r="EGQ83" s="798"/>
      <c r="EGR83" s="798"/>
      <c r="EGS83" s="798"/>
      <c r="EGT83" s="798"/>
      <c r="EGU83" s="798"/>
      <c r="EGV83" s="798"/>
      <c r="EGW83" s="798"/>
      <c r="EGX83" s="798"/>
      <c r="EGY83" s="798"/>
      <c r="EGZ83" s="798"/>
      <c r="EHA83" s="798"/>
      <c r="EHB83" s="798"/>
      <c r="EHC83" s="798"/>
      <c r="EHD83" s="798"/>
      <c r="EHE83" s="798"/>
      <c r="EHF83" s="798"/>
      <c r="EHG83" s="798"/>
      <c r="EHH83" s="798"/>
      <c r="EHI83" s="798"/>
      <c r="EHJ83" s="798"/>
      <c r="EHK83" s="798"/>
      <c r="EHL83" s="798"/>
      <c r="EHM83" s="798"/>
      <c r="EHN83" s="798"/>
      <c r="EHO83" s="798"/>
      <c r="EHP83" s="798"/>
      <c r="EHQ83" s="798"/>
      <c r="EHR83" s="798"/>
      <c r="EHS83" s="798"/>
      <c r="EHT83" s="798"/>
      <c r="EHU83" s="798"/>
      <c r="EHV83" s="798"/>
      <c r="EHW83" s="798"/>
      <c r="EHX83" s="798"/>
      <c r="EHY83" s="798"/>
      <c r="EHZ83" s="798"/>
      <c r="EIA83" s="798"/>
      <c r="EIB83" s="798"/>
      <c r="EIC83" s="798"/>
      <c r="EID83" s="798"/>
      <c r="EIE83" s="798"/>
      <c r="EIF83" s="798"/>
      <c r="EIG83" s="798"/>
      <c r="EIH83" s="798"/>
      <c r="EII83" s="798"/>
      <c r="EIJ83" s="798"/>
      <c r="EIK83" s="798"/>
      <c r="EIL83" s="798"/>
      <c r="EIM83" s="798"/>
      <c r="EIN83" s="798"/>
      <c r="EIO83" s="798"/>
      <c r="EIP83" s="798"/>
      <c r="EIQ83" s="798"/>
      <c r="EIR83" s="798"/>
      <c r="EIS83" s="798"/>
      <c r="EIT83" s="798"/>
      <c r="EIU83" s="798"/>
      <c r="EIV83" s="798"/>
      <c r="EIW83" s="798"/>
      <c r="EIX83" s="798"/>
      <c r="EIY83" s="798"/>
      <c r="EIZ83" s="798"/>
      <c r="EJA83" s="798"/>
      <c r="EJB83" s="798"/>
      <c r="EJC83" s="798"/>
      <c r="EJD83" s="798"/>
      <c r="EJE83" s="798"/>
      <c r="EJF83" s="798"/>
      <c r="EJG83" s="798"/>
      <c r="EJH83" s="798"/>
      <c r="EJI83" s="798"/>
      <c r="EJJ83" s="798"/>
      <c r="EJK83" s="798"/>
      <c r="EJL83" s="798"/>
      <c r="EJM83" s="798"/>
      <c r="EJN83" s="798"/>
      <c r="EJO83" s="798"/>
      <c r="EJP83" s="798"/>
      <c r="EJQ83" s="798"/>
      <c r="EJR83" s="798"/>
      <c r="EJS83" s="798"/>
      <c r="EJT83" s="798"/>
      <c r="EJU83" s="798"/>
      <c r="EJV83" s="798"/>
      <c r="EJW83" s="798"/>
      <c r="EJX83" s="798"/>
      <c r="EJY83" s="798"/>
      <c r="EJZ83" s="798"/>
      <c r="EKA83" s="798"/>
      <c r="EKB83" s="798"/>
      <c r="EKC83" s="798"/>
      <c r="EKD83" s="798"/>
      <c r="EKE83" s="798"/>
      <c r="EKF83" s="798"/>
      <c r="EKG83" s="798"/>
      <c r="EKH83" s="798"/>
      <c r="EKI83" s="798"/>
      <c r="EKJ83" s="798"/>
      <c r="EKK83" s="798"/>
      <c r="EKL83" s="798"/>
      <c r="EKM83" s="798"/>
      <c r="EKN83" s="798"/>
      <c r="EKO83" s="798"/>
      <c r="EKP83" s="798"/>
      <c r="EKQ83" s="798"/>
      <c r="EKR83" s="798"/>
      <c r="EKS83" s="798"/>
      <c r="EKT83" s="798"/>
      <c r="EKU83" s="798"/>
      <c r="EKV83" s="798"/>
      <c r="EKW83" s="798"/>
      <c r="EKX83" s="798"/>
      <c r="EKY83" s="798"/>
      <c r="EKZ83" s="798"/>
      <c r="ELA83" s="798"/>
      <c r="ELB83" s="798"/>
      <c r="ELC83" s="798"/>
      <c r="ELD83" s="798"/>
      <c r="ELE83" s="798"/>
      <c r="ELF83" s="798"/>
      <c r="ELG83" s="798"/>
      <c r="ELH83" s="798"/>
      <c r="ELI83" s="798"/>
      <c r="ELJ83" s="798"/>
      <c r="ELK83" s="798"/>
      <c r="ELL83" s="798"/>
      <c r="ELM83" s="798"/>
      <c r="ELN83" s="798"/>
      <c r="ELO83" s="798"/>
      <c r="ELP83" s="798"/>
      <c r="ELQ83" s="798"/>
      <c r="ELR83" s="798"/>
      <c r="ELS83" s="798"/>
      <c r="ELT83" s="798"/>
      <c r="ELU83" s="798"/>
      <c r="ELV83" s="798"/>
      <c r="ELW83" s="798"/>
      <c r="ELX83" s="798"/>
      <c r="ELY83" s="798"/>
      <c r="ELZ83" s="798"/>
      <c r="EMA83" s="798"/>
      <c r="EMB83" s="798"/>
      <c r="EMC83" s="798"/>
      <c r="EMD83" s="798"/>
      <c r="EME83" s="798"/>
      <c r="EMF83" s="798"/>
      <c r="EMG83" s="798"/>
      <c r="EMH83" s="798"/>
      <c r="EMI83" s="798"/>
      <c r="EMJ83" s="798"/>
      <c r="EMK83" s="798"/>
      <c r="EML83" s="798"/>
      <c r="EMM83" s="798"/>
      <c r="EMN83" s="798"/>
      <c r="EMO83" s="798"/>
      <c r="EMP83" s="798"/>
      <c r="EMQ83" s="798"/>
      <c r="EMR83" s="798"/>
      <c r="EMS83" s="798"/>
      <c r="EMT83" s="798"/>
      <c r="EMU83" s="798"/>
      <c r="EMV83" s="798"/>
      <c r="EMW83" s="798"/>
      <c r="EMX83" s="798"/>
      <c r="EMY83" s="798"/>
      <c r="EMZ83" s="798"/>
      <c r="ENA83" s="798"/>
      <c r="ENB83" s="798"/>
      <c r="ENC83" s="798"/>
      <c r="END83" s="798"/>
      <c r="ENE83" s="798"/>
      <c r="ENF83" s="798"/>
      <c r="ENG83" s="798"/>
      <c r="ENH83" s="798"/>
      <c r="ENI83" s="798"/>
      <c r="ENJ83" s="798"/>
      <c r="ENK83" s="798"/>
      <c r="ENL83" s="798"/>
      <c r="ENM83" s="798"/>
      <c r="ENN83" s="798"/>
      <c r="ENO83" s="798"/>
      <c r="ENP83" s="798"/>
      <c r="ENQ83" s="798"/>
      <c r="ENR83" s="798"/>
      <c r="ENS83" s="798"/>
      <c r="ENT83" s="798"/>
      <c r="ENU83" s="798"/>
      <c r="ENV83" s="798"/>
      <c r="ENW83" s="798"/>
      <c r="ENX83" s="798"/>
      <c r="ENY83" s="798"/>
      <c r="ENZ83" s="798"/>
      <c r="EOA83" s="798"/>
      <c r="EOB83" s="798"/>
      <c r="EOC83" s="798"/>
      <c r="EOD83" s="798"/>
      <c r="EOE83" s="798"/>
      <c r="EOF83" s="798"/>
      <c r="EOG83" s="798"/>
      <c r="EOH83" s="798"/>
      <c r="EOI83" s="798"/>
      <c r="EOJ83" s="798"/>
      <c r="EOK83" s="798"/>
      <c r="EOL83" s="798"/>
      <c r="EOM83" s="798"/>
      <c r="EON83" s="798"/>
      <c r="EOO83" s="798"/>
      <c r="EOP83" s="798"/>
      <c r="EOQ83" s="798"/>
      <c r="EOR83" s="798"/>
      <c r="EOS83" s="798"/>
      <c r="EOT83" s="798"/>
      <c r="EOU83" s="798"/>
      <c r="EOV83" s="798"/>
      <c r="EOW83" s="798"/>
      <c r="EOX83" s="798"/>
      <c r="EOY83" s="798"/>
      <c r="EOZ83" s="798"/>
      <c r="EPA83" s="798"/>
      <c r="EPB83" s="798"/>
      <c r="EPC83" s="798"/>
      <c r="EPD83" s="798"/>
      <c r="EPE83" s="798"/>
      <c r="EPF83" s="798"/>
      <c r="EPG83" s="798"/>
      <c r="EPH83" s="798"/>
      <c r="EPI83" s="798"/>
      <c r="EPJ83" s="798"/>
      <c r="EPK83" s="798"/>
      <c r="EPL83" s="798"/>
      <c r="EPM83" s="798"/>
      <c r="EPN83" s="798"/>
      <c r="EPO83" s="798"/>
      <c r="EPP83" s="798"/>
      <c r="EPQ83" s="798"/>
      <c r="EPR83" s="798"/>
      <c r="EPS83" s="798"/>
      <c r="EPT83" s="798"/>
      <c r="EPU83" s="798"/>
      <c r="EPV83" s="798"/>
      <c r="EPW83" s="798"/>
      <c r="EPX83" s="798"/>
      <c r="EPY83" s="798"/>
      <c r="EPZ83" s="798"/>
      <c r="EQA83" s="798"/>
      <c r="EQB83" s="798"/>
      <c r="EQC83" s="798"/>
      <c r="EQD83" s="798"/>
      <c r="EQE83" s="798"/>
      <c r="EQF83" s="798"/>
      <c r="EQG83" s="798"/>
      <c r="EQH83" s="798"/>
      <c r="EQI83" s="798"/>
      <c r="EQJ83" s="798"/>
      <c r="EQK83" s="798"/>
      <c r="EQL83" s="798"/>
      <c r="EQM83" s="798"/>
      <c r="EQN83" s="798"/>
      <c r="EQO83" s="798"/>
      <c r="EQP83" s="798"/>
      <c r="EQQ83" s="798"/>
      <c r="EQR83" s="798"/>
      <c r="EQS83" s="798"/>
      <c r="EQT83" s="798"/>
      <c r="EQU83" s="798"/>
      <c r="EQV83" s="798"/>
      <c r="EQW83" s="798"/>
      <c r="EQX83" s="798"/>
      <c r="EQY83" s="798"/>
      <c r="EQZ83" s="798"/>
      <c r="ERA83" s="798"/>
      <c r="ERB83" s="798"/>
      <c r="ERC83" s="798"/>
      <c r="ERD83" s="798"/>
      <c r="ERE83" s="798"/>
      <c r="ERF83" s="798"/>
      <c r="ERG83" s="798"/>
      <c r="ERH83" s="798"/>
      <c r="ERI83" s="798"/>
      <c r="ERJ83" s="798"/>
      <c r="ERK83" s="798"/>
      <c r="ERL83" s="798"/>
      <c r="ERM83" s="798"/>
      <c r="ERN83" s="798"/>
      <c r="ERO83" s="798"/>
      <c r="ERP83" s="798"/>
      <c r="ERQ83" s="798"/>
      <c r="ERR83" s="798"/>
      <c r="ERS83" s="798"/>
      <c r="ERT83" s="798"/>
      <c r="ERU83" s="798"/>
      <c r="ERV83" s="798"/>
      <c r="ERW83" s="798"/>
      <c r="ERX83" s="798"/>
      <c r="ERY83" s="798"/>
      <c r="ERZ83" s="798"/>
      <c r="ESA83" s="798"/>
      <c r="ESB83" s="798"/>
      <c r="ESC83" s="798"/>
      <c r="ESD83" s="798"/>
      <c r="ESE83" s="798"/>
      <c r="ESF83" s="798"/>
      <c r="ESG83" s="798"/>
      <c r="ESH83" s="798"/>
      <c r="ESI83" s="798"/>
      <c r="ESJ83" s="798"/>
      <c r="ESK83" s="798"/>
      <c r="ESL83" s="798"/>
      <c r="ESM83" s="798"/>
      <c r="ESN83" s="798"/>
      <c r="ESO83" s="798"/>
      <c r="ESP83" s="798"/>
      <c r="ESQ83" s="798"/>
      <c r="ESR83" s="798"/>
      <c r="ESS83" s="798"/>
      <c r="EST83" s="798"/>
      <c r="ESU83" s="798"/>
      <c r="ESV83" s="798"/>
      <c r="ESW83" s="798"/>
      <c r="ESX83" s="798"/>
      <c r="ESY83" s="798"/>
      <c r="ESZ83" s="798"/>
      <c r="ETA83" s="798"/>
      <c r="ETB83" s="798"/>
      <c r="ETC83" s="798"/>
      <c r="ETD83" s="798"/>
      <c r="ETE83" s="798"/>
      <c r="ETF83" s="798"/>
      <c r="ETG83" s="798"/>
      <c r="ETH83" s="798"/>
      <c r="ETI83" s="798"/>
      <c r="ETJ83" s="798"/>
      <c r="ETK83" s="798"/>
      <c r="ETL83" s="798"/>
      <c r="ETM83" s="798"/>
      <c r="ETN83" s="798"/>
      <c r="ETO83" s="798"/>
      <c r="ETP83" s="798"/>
      <c r="ETQ83" s="798"/>
      <c r="ETR83" s="798"/>
      <c r="ETS83" s="798"/>
      <c r="ETT83" s="798"/>
      <c r="ETU83" s="798"/>
      <c r="ETV83" s="798"/>
      <c r="ETW83" s="798"/>
      <c r="ETX83" s="798"/>
      <c r="ETY83" s="798"/>
      <c r="ETZ83" s="798"/>
      <c r="EUA83" s="798"/>
      <c r="EUB83" s="798"/>
      <c r="EUC83" s="798"/>
      <c r="EUD83" s="798"/>
      <c r="EUE83" s="798"/>
      <c r="EUF83" s="798"/>
      <c r="EUG83" s="798"/>
      <c r="EUH83" s="798"/>
      <c r="EUI83" s="798"/>
      <c r="EUJ83" s="798"/>
      <c r="EUK83" s="798"/>
      <c r="EUL83" s="798"/>
      <c r="EUM83" s="798"/>
      <c r="EUN83" s="798"/>
      <c r="EUO83" s="798"/>
      <c r="EUP83" s="798"/>
      <c r="EUQ83" s="798"/>
      <c r="EUR83" s="798"/>
      <c r="EUS83" s="798"/>
      <c r="EUT83" s="798"/>
      <c r="EUU83" s="798"/>
      <c r="EUV83" s="798"/>
      <c r="EUW83" s="798"/>
      <c r="EUX83" s="798"/>
      <c r="EUY83" s="798"/>
      <c r="EUZ83" s="798"/>
      <c r="EVA83" s="798"/>
      <c r="EVB83" s="798"/>
      <c r="EVC83" s="798"/>
      <c r="EVD83" s="798"/>
      <c r="EVE83" s="798"/>
      <c r="EVF83" s="798"/>
      <c r="EVG83" s="798"/>
      <c r="EVH83" s="798"/>
      <c r="EVI83" s="798"/>
      <c r="EVJ83" s="798"/>
      <c r="EVK83" s="798"/>
      <c r="EVL83" s="798"/>
      <c r="EVM83" s="798"/>
      <c r="EVN83" s="798"/>
      <c r="EVO83" s="798"/>
      <c r="EVP83" s="798"/>
      <c r="EVQ83" s="798"/>
      <c r="EVR83" s="798"/>
      <c r="EVS83" s="798"/>
      <c r="EVT83" s="798"/>
      <c r="EVU83" s="798"/>
      <c r="EVV83" s="798"/>
      <c r="EVW83" s="798"/>
      <c r="EVX83" s="798"/>
      <c r="EVY83" s="798"/>
      <c r="EVZ83" s="798"/>
      <c r="EWA83" s="798"/>
      <c r="EWB83" s="798"/>
      <c r="EWC83" s="798"/>
      <c r="EWD83" s="798"/>
      <c r="EWE83" s="798"/>
      <c r="EWF83" s="798"/>
      <c r="EWG83" s="798"/>
      <c r="EWH83" s="798"/>
      <c r="EWI83" s="798"/>
      <c r="EWJ83" s="798"/>
      <c r="EWK83" s="798"/>
      <c r="EWL83" s="798"/>
      <c r="EWM83" s="798"/>
      <c r="EWN83" s="798"/>
      <c r="EWO83" s="798"/>
      <c r="EWP83" s="798"/>
      <c r="EWQ83" s="798"/>
      <c r="EWR83" s="798"/>
      <c r="EWS83" s="798"/>
      <c r="EWT83" s="798"/>
      <c r="EWU83" s="798"/>
      <c r="EWV83" s="798"/>
      <c r="EWW83" s="798"/>
      <c r="EWX83" s="798"/>
      <c r="EWY83" s="798"/>
      <c r="EWZ83" s="798"/>
      <c r="EXA83" s="798"/>
      <c r="EXB83" s="798"/>
      <c r="EXC83" s="798"/>
      <c r="EXD83" s="798"/>
      <c r="EXE83" s="798"/>
      <c r="EXF83" s="798"/>
      <c r="EXG83" s="798"/>
      <c r="EXH83" s="798"/>
      <c r="EXI83" s="798"/>
      <c r="EXJ83" s="798"/>
      <c r="EXK83" s="798"/>
      <c r="EXL83" s="798"/>
      <c r="EXM83" s="798"/>
      <c r="EXN83" s="798"/>
      <c r="EXO83" s="798"/>
      <c r="EXP83" s="798"/>
      <c r="EXQ83" s="798"/>
      <c r="EXR83" s="798"/>
      <c r="EXS83" s="798"/>
      <c r="EXT83" s="798"/>
      <c r="EXU83" s="798"/>
      <c r="EXV83" s="798"/>
      <c r="EXW83" s="798"/>
      <c r="EXX83" s="798"/>
      <c r="EXY83" s="798"/>
      <c r="EXZ83" s="798"/>
      <c r="EYA83" s="798"/>
      <c r="EYB83" s="798"/>
      <c r="EYC83" s="798"/>
      <c r="EYD83" s="798"/>
      <c r="EYE83" s="798"/>
      <c r="EYF83" s="798"/>
      <c r="EYG83" s="798"/>
      <c r="EYH83" s="798"/>
      <c r="EYI83" s="798"/>
      <c r="EYJ83" s="798"/>
      <c r="EYK83" s="798"/>
      <c r="EYL83" s="798"/>
      <c r="EYM83" s="798"/>
      <c r="EYN83" s="798"/>
      <c r="EYO83" s="798"/>
      <c r="EYP83" s="798"/>
      <c r="EYQ83" s="798"/>
      <c r="EYR83" s="798"/>
      <c r="EYS83" s="798"/>
      <c r="EYT83" s="798"/>
      <c r="EYU83" s="798"/>
      <c r="EYV83" s="798"/>
      <c r="EYW83" s="798"/>
      <c r="EYX83" s="798"/>
      <c r="EYY83" s="798"/>
      <c r="EYZ83" s="798"/>
      <c r="EZA83" s="798"/>
      <c r="EZB83" s="798"/>
      <c r="EZC83" s="798"/>
      <c r="EZD83" s="798"/>
      <c r="EZE83" s="798"/>
      <c r="EZF83" s="798"/>
      <c r="EZG83" s="798"/>
      <c r="EZH83" s="798"/>
      <c r="EZI83" s="798"/>
      <c r="EZJ83" s="798"/>
      <c r="EZK83" s="798"/>
      <c r="EZL83" s="798"/>
      <c r="EZM83" s="798"/>
      <c r="EZN83" s="798"/>
      <c r="EZO83" s="798"/>
      <c r="EZP83" s="798"/>
      <c r="EZQ83" s="798"/>
      <c r="EZR83" s="798"/>
      <c r="EZS83" s="798"/>
      <c r="EZT83" s="798"/>
      <c r="EZU83" s="798"/>
      <c r="EZV83" s="798"/>
      <c r="EZW83" s="798"/>
      <c r="EZX83" s="798"/>
      <c r="EZY83" s="798"/>
      <c r="EZZ83" s="798"/>
      <c r="FAA83" s="798"/>
      <c r="FAB83" s="798"/>
      <c r="FAC83" s="798"/>
      <c r="FAD83" s="798"/>
      <c r="FAE83" s="798"/>
      <c r="FAF83" s="798"/>
      <c r="FAG83" s="798"/>
      <c r="FAH83" s="798"/>
      <c r="FAI83" s="798"/>
      <c r="FAJ83" s="798"/>
      <c r="FAK83" s="798"/>
      <c r="FAL83" s="798"/>
      <c r="FAM83" s="798"/>
      <c r="FAN83" s="798"/>
      <c r="FAO83" s="798"/>
      <c r="FAP83" s="798"/>
      <c r="FAQ83" s="798"/>
      <c r="FAR83" s="798"/>
      <c r="FAS83" s="798"/>
      <c r="FAT83" s="798"/>
      <c r="FAU83" s="798"/>
      <c r="FAV83" s="798"/>
      <c r="FAW83" s="798"/>
      <c r="FAX83" s="798"/>
      <c r="FAY83" s="798"/>
      <c r="FAZ83" s="798"/>
      <c r="FBA83" s="798"/>
      <c r="FBB83" s="798"/>
      <c r="FBC83" s="798"/>
      <c r="FBD83" s="798"/>
      <c r="FBE83" s="798"/>
      <c r="FBF83" s="798"/>
      <c r="FBG83" s="798"/>
      <c r="FBH83" s="798"/>
      <c r="FBI83" s="798"/>
      <c r="FBJ83" s="798"/>
      <c r="FBK83" s="798"/>
      <c r="FBL83" s="798"/>
      <c r="FBM83" s="798"/>
      <c r="FBN83" s="798"/>
      <c r="FBO83" s="798"/>
      <c r="FBP83" s="798"/>
      <c r="FBQ83" s="798"/>
      <c r="FBR83" s="798"/>
      <c r="FBS83" s="798"/>
      <c r="FBT83" s="798"/>
      <c r="FBU83" s="798"/>
      <c r="FBV83" s="798"/>
      <c r="FBW83" s="798"/>
      <c r="FBX83" s="798"/>
      <c r="FBY83" s="798"/>
      <c r="FBZ83" s="798"/>
      <c r="FCA83" s="798"/>
      <c r="FCB83" s="798"/>
      <c r="FCC83" s="798"/>
      <c r="FCD83" s="798"/>
      <c r="FCE83" s="798"/>
      <c r="FCF83" s="798"/>
      <c r="FCG83" s="798"/>
      <c r="FCH83" s="798"/>
      <c r="FCI83" s="798"/>
      <c r="FCJ83" s="798"/>
      <c r="FCK83" s="798"/>
      <c r="FCL83" s="798"/>
      <c r="FCM83" s="798"/>
      <c r="FCN83" s="798"/>
      <c r="FCO83" s="798"/>
      <c r="FCP83" s="798"/>
      <c r="FCQ83" s="798"/>
      <c r="FCR83" s="798"/>
      <c r="FCS83" s="798"/>
      <c r="FCT83" s="798"/>
      <c r="FCU83" s="798"/>
      <c r="FCV83" s="798"/>
      <c r="FCW83" s="798"/>
      <c r="FCX83" s="798"/>
      <c r="FCY83" s="798"/>
      <c r="FCZ83" s="798"/>
      <c r="FDA83" s="798"/>
      <c r="FDB83" s="798"/>
      <c r="FDC83" s="798"/>
      <c r="FDD83" s="798"/>
      <c r="FDE83" s="798"/>
      <c r="FDF83" s="798"/>
      <c r="FDG83" s="798"/>
      <c r="FDH83" s="798"/>
      <c r="FDI83" s="798"/>
      <c r="FDJ83" s="798"/>
      <c r="FDK83" s="798"/>
      <c r="FDL83" s="798"/>
      <c r="FDM83" s="798"/>
      <c r="FDN83" s="798"/>
      <c r="FDO83" s="798"/>
      <c r="FDP83" s="798"/>
      <c r="FDQ83" s="798"/>
      <c r="FDR83" s="798"/>
      <c r="FDS83" s="798"/>
      <c r="FDT83" s="798"/>
      <c r="FDU83" s="798"/>
      <c r="FDV83" s="798"/>
      <c r="FDW83" s="798"/>
      <c r="FDX83" s="798"/>
      <c r="FDY83" s="798"/>
      <c r="FDZ83" s="798"/>
      <c r="FEA83" s="798"/>
      <c r="FEB83" s="798"/>
      <c r="FEC83" s="798"/>
      <c r="FED83" s="798"/>
      <c r="FEE83" s="798"/>
      <c r="FEF83" s="798"/>
      <c r="FEG83" s="798"/>
      <c r="FEH83" s="798"/>
      <c r="FEI83" s="798"/>
      <c r="FEJ83" s="798"/>
      <c r="FEK83" s="798"/>
      <c r="FEL83" s="798"/>
      <c r="FEM83" s="798"/>
      <c r="FEN83" s="798"/>
      <c r="FEO83" s="798"/>
      <c r="FEP83" s="798"/>
      <c r="FEQ83" s="798"/>
      <c r="FER83" s="798"/>
      <c r="FES83" s="798"/>
      <c r="FET83" s="798"/>
      <c r="FEU83" s="798"/>
      <c r="FEV83" s="798"/>
      <c r="FEW83" s="798"/>
      <c r="FEX83" s="798"/>
      <c r="FEY83" s="798"/>
      <c r="FEZ83" s="798"/>
      <c r="FFA83" s="798"/>
      <c r="FFB83" s="798"/>
      <c r="FFC83" s="798"/>
      <c r="FFD83" s="798"/>
      <c r="FFE83" s="798"/>
      <c r="FFF83" s="798"/>
      <c r="FFG83" s="798"/>
      <c r="FFH83" s="798"/>
      <c r="FFI83" s="798"/>
      <c r="FFJ83" s="798"/>
      <c r="FFK83" s="798"/>
      <c r="FFL83" s="798"/>
      <c r="FFM83" s="798"/>
      <c r="FFN83" s="798"/>
      <c r="FFO83" s="798"/>
      <c r="FFP83" s="798"/>
      <c r="FFQ83" s="798"/>
      <c r="FFR83" s="798"/>
      <c r="FFS83" s="798"/>
      <c r="FFT83" s="798"/>
      <c r="FFU83" s="798"/>
      <c r="FFV83" s="798"/>
      <c r="FFW83" s="798"/>
      <c r="FFX83" s="798"/>
      <c r="FFY83" s="798"/>
      <c r="FFZ83" s="798"/>
      <c r="FGA83" s="798"/>
      <c r="FGB83" s="798"/>
      <c r="FGC83" s="798"/>
      <c r="FGD83" s="798"/>
      <c r="FGE83" s="798"/>
      <c r="FGF83" s="798"/>
      <c r="FGG83" s="798"/>
      <c r="FGH83" s="798"/>
      <c r="FGI83" s="798"/>
      <c r="FGJ83" s="798"/>
      <c r="FGK83" s="798"/>
      <c r="FGL83" s="798"/>
      <c r="FGM83" s="798"/>
      <c r="FGN83" s="798"/>
      <c r="FGO83" s="798"/>
      <c r="FGP83" s="798"/>
      <c r="FGQ83" s="798"/>
      <c r="FGR83" s="798"/>
      <c r="FGS83" s="798"/>
      <c r="FGT83" s="798"/>
      <c r="FGU83" s="798"/>
      <c r="FGV83" s="798"/>
      <c r="FGW83" s="798"/>
      <c r="FGX83" s="798"/>
      <c r="FGY83" s="798"/>
      <c r="FGZ83" s="798"/>
      <c r="FHA83" s="798"/>
      <c r="FHB83" s="798"/>
      <c r="FHC83" s="798"/>
      <c r="FHD83" s="798"/>
      <c r="FHE83" s="798"/>
      <c r="FHF83" s="798"/>
      <c r="FHG83" s="798"/>
      <c r="FHH83" s="798"/>
      <c r="FHI83" s="798"/>
      <c r="FHJ83" s="798"/>
      <c r="FHK83" s="798"/>
      <c r="FHL83" s="798"/>
      <c r="FHM83" s="798"/>
      <c r="FHN83" s="798"/>
      <c r="FHO83" s="798"/>
      <c r="FHP83" s="798"/>
      <c r="FHQ83" s="798"/>
      <c r="FHR83" s="798"/>
      <c r="FHS83" s="798"/>
      <c r="FHT83" s="798"/>
      <c r="FHU83" s="798"/>
      <c r="FHV83" s="798"/>
      <c r="FHW83" s="798"/>
      <c r="FHX83" s="798"/>
      <c r="FHY83" s="798"/>
      <c r="FHZ83" s="798"/>
      <c r="FIA83" s="798"/>
      <c r="FIB83" s="798"/>
      <c r="FIC83" s="798"/>
      <c r="FID83" s="798"/>
      <c r="FIE83" s="798"/>
      <c r="FIF83" s="798"/>
      <c r="FIG83" s="798"/>
      <c r="FIH83" s="798"/>
      <c r="FII83" s="798"/>
      <c r="FIJ83" s="798"/>
      <c r="FIK83" s="798"/>
      <c r="FIL83" s="798"/>
      <c r="FIM83" s="798"/>
      <c r="FIN83" s="798"/>
      <c r="FIO83" s="798"/>
      <c r="FIP83" s="798"/>
      <c r="FIQ83" s="798"/>
      <c r="FIR83" s="798"/>
      <c r="FIS83" s="798"/>
      <c r="FIT83" s="798"/>
      <c r="FIU83" s="798"/>
      <c r="FIV83" s="798"/>
      <c r="FIW83" s="798"/>
      <c r="FIX83" s="798"/>
      <c r="FIY83" s="798"/>
      <c r="FIZ83" s="798"/>
      <c r="FJA83" s="798"/>
      <c r="FJB83" s="798"/>
      <c r="FJC83" s="798"/>
      <c r="FJD83" s="798"/>
      <c r="FJE83" s="798"/>
      <c r="FJF83" s="798"/>
      <c r="FJG83" s="798"/>
      <c r="FJH83" s="798"/>
      <c r="FJI83" s="798"/>
      <c r="FJJ83" s="798"/>
      <c r="FJK83" s="798"/>
      <c r="FJL83" s="798"/>
      <c r="FJM83" s="798"/>
      <c r="FJN83" s="798"/>
      <c r="FJO83" s="798"/>
      <c r="FJP83" s="798"/>
      <c r="FJQ83" s="798"/>
      <c r="FJR83" s="798"/>
      <c r="FJS83" s="798"/>
      <c r="FJT83" s="798"/>
      <c r="FJU83" s="798"/>
      <c r="FJV83" s="798"/>
      <c r="FJW83" s="798"/>
      <c r="FJX83" s="798"/>
      <c r="FJY83" s="798"/>
      <c r="FJZ83" s="798"/>
      <c r="FKA83" s="798"/>
      <c r="FKB83" s="798"/>
      <c r="FKC83" s="798"/>
      <c r="FKD83" s="798"/>
      <c r="FKE83" s="798"/>
      <c r="FKF83" s="798"/>
      <c r="FKG83" s="798"/>
      <c r="FKH83" s="798"/>
      <c r="FKI83" s="798"/>
      <c r="FKJ83" s="798"/>
      <c r="FKK83" s="798"/>
      <c r="FKL83" s="798"/>
      <c r="FKM83" s="798"/>
      <c r="FKN83" s="798"/>
      <c r="FKO83" s="798"/>
      <c r="FKP83" s="798"/>
      <c r="FKQ83" s="798"/>
      <c r="FKR83" s="798"/>
      <c r="FKS83" s="798"/>
      <c r="FKT83" s="798"/>
      <c r="FKU83" s="798"/>
      <c r="FKV83" s="798"/>
      <c r="FKW83" s="798"/>
      <c r="FKX83" s="798"/>
      <c r="FKY83" s="798"/>
      <c r="FKZ83" s="798"/>
      <c r="FLA83" s="798"/>
      <c r="FLB83" s="798"/>
      <c r="FLC83" s="798"/>
      <c r="FLD83" s="798"/>
      <c r="FLE83" s="798"/>
      <c r="FLF83" s="798"/>
      <c r="FLG83" s="798"/>
      <c r="FLH83" s="798"/>
      <c r="FLI83" s="798"/>
      <c r="FLJ83" s="798"/>
      <c r="FLK83" s="798"/>
      <c r="FLL83" s="798"/>
      <c r="FLM83" s="798"/>
      <c r="FLN83" s="798"/>
      <c r="FLO83" s="798"/>
      <c r="FLP83" s="798"/>
      <c r="FLQ83" s="798"/>
      <c r="FLR83" s="798"/>
      <c r="FLS83" s="798"/>
      <c r="FLT83" s="798"/>
      <c r="FLU83" s="798"/>
      <c r="FLV83" s="798"/>
      <c r="FLW83" s="798"/>
      <c r="FLX83" s="798"/>
      <c r="FLY83" s="798"/>
      <c r="FLZ83" s="798"/>
      <c r="FMA83" s="798"/>
      <c r="FMB83" s="798"/>
      <c r="FMC83" s="798"/>
      <c r="FMD83" s="798"/>
      <c r="FME83" s="798"/>
      <c r="FMF83" s="798"/>
      <c r="FMG83" s="798"/>
      <c r="FMH83" s="798"/>
      <c r="FMI83" s="798"/>
      <c r="FMJ83" s="798"/>
      <c r="FMK83" s="798"/>
      <c r="FML83" s="798"/>
      <c r="FMM83" s="798"/>
      <c r="FMN83" s="798"/>
      <c r="FMO83" s="798"/>
      <c r="FMP83" s="798"/>
      <c r="FMQ83" s="798"/>
      <c r="FMR83" s="798"/>
      <c r="FMS83" s="798"/>
      <c r="FMT83" s="798"/>
      <c r="FMU83" s="798"/>
      <c r="FMV83" s="798"/>
      <c r="FMW83" s="798"/>
      <c r="FMX83" s="798"/>
      <c r="FMY83" s="798"/>
      <c r="FMZ83" s="798"/>
      <c r="FNA83" s="798"/>
      <c r="FNB83" s="798"/>
      <c r="FNC83" s="798"/>
      <c r="FND83" s="798"/>
      <c r="FNE83" s="798"/>
      <c r="FNF83" s="798"/>
      <c r="FNG83" s="798"/>
      <c r="FNH83" s="798"/>
      <c r="FNI83" s="798"/>
      <c r="FNJ83" s="798"/>
      <c r="FNK83" s="798"/>
      <c r="FNL83" s="798"/>
      <c r="FNM83" s="798"/>
      <c r="FNN83" s="798"/>
      <c r="FNO83" s="798"/>
      <c r="FNP83" s="798"/>
      <c r="FNQ83" s="798"/>
      <c r="FNR83" s="798"/>
      <c r="FNS83" s="798"/>
      <c r="FNT83" s="798"/>
      <c r="FNU83" s="798"/>
      <c r="FNV83" s="798"/>
      <c r="FNW83" s="798"/>
      <c r="FNX83" s="798"/>
      <c r="FNY83" s="798"/>
      <c r="FNZ83" s="798"/>
      <c r="FOA83" s="798"/>
      <c r="FOB83" s="798"/>
      <c r="FOC83" s="798"/>
      <c r="FOD83" s="798"/>
      <c r="FOE83" s="798"/>
      <c r="FOF83" s="798"/>
      <c r="FOG83" s="798"/>
      <c r="FOH83" s="798"/>
      <c r="FOI83" s="798"/>
      <c r="FOJ83" s="798"/>
      <c r="FOK83" s="798"/>
      <c r="FOL83" s="798"/>
      <c r="FOM83" s="798"/>
      <c r="FON83" s="798"/>
      <c r="FOO83" s="798"/>
      <c r="FOP83" s="798"/>
      <c r="FOQ83" s="798"/>
      <c r="FOR83" s="798"/>
      <c r="FOS83" s="798"/>
      <c r="FOT83" s="798"/>
      <c r="FOU83" s="798"/>
      <c r="FOV83" s="798"/>
      <c r="FOW83" s="798"/>
      <c r="FOX83" s="798"/>
      <c r="FOY83" s="798"/>
      <c r="FOZ83" s="798"/>
      <c r="FPA83" s="798"/>
      <c r="FPB83" s="798"/>
      <c r="FPC83" s="798"/>
      <c r="FPD83" s="798"/>
      <c r="FPE83" s="798"/>
      <c r="FPF83" s="798"/>
      <c r="FPG83" s="798"/>
      <c r="FPH83" s="798"/>
      <c r="FPI83" s="798"/>
      <c r="FPJ83" s="798"/>
      <c r="FPK83" s="798"/>
      <c r="FPL83" s="798"/>
      <c r="FPM83" s="798"/>
      <c r="FPN83" s="798"/>
      <c r="FPO83" s="798"/>
      <c r="FPP83" s="798"/>
      <c r="FPQ83" s="798"/>
      <c r="FPR83" s="798"/>
      <c r="FPS83" s="798"/>
      <c r="FPT83" s="798"/>
      <c r="FPU83" s="798"/>
      <c r="FPV83" s="798"/>
      <c r="FPW83" s="798"/>
      <c r="FPX83" s="798"/>
      <c r="FPY83" s="798"/>
      <c r="FPZ83" s="798"/>
      <c r="FQA83" s="798"/>
      <c r="FQB83" s="798"/>
      <c r="FQC83" s="798"/>
      <c r="FQD83" s="798"/>
      <c r="FQE83" s="798"/>
      <c r="FQF83" s="798"/>
      <c r="FQG83" s="798"/>
      <c r="FQH83" s="798"/>
      <c r="FQI83" s="798"/>
      <c r="FQJ83" s="798"/>
      <c r="FQK83" s="798"/>
      <c r="FQL83" s="798"/>
      <c r="FQM83" s="798"/>
      <c r="FQN83" s="798"/>
      <c r="FQO83" s="798"/>
      <c r="FQP83" s="798"/>
      <c r="FQQ83" s="798"/>
      <c r="FQR83" s="798"/>
      <c r="FQS83" s="798"/>
      <c r="FQT83" s="798"/>
      <c r="FQU83" s="798"/>
      <c r="FQV83" s="798"/>
      <c r="FQW83" s="798"/>
      <c r="FQX83" s="798"/>
      <c r="FQY83" s="798"/>
      <c r="FQZ83" s="798"/>
      <c r="FRA83" s="798"/>
      <c r="FRB83" s="798"/>
      <c r="FRC83" s="798"/>
      <c r="FRD83" s="798"/>
      <c r="FRE83" s="798"/>
      <c r="FRF83" s="798"/>
      <c r="FRG83" s="798"/>
      <c r="FRH83" s="798"/>
      <c r="FRI83" s="798"/>
      <c r="FRJ83" s="798"/>
      <c r="FRK83" s="798"/>
      <c r="FRL83" s="798"/>
      <c r="FRM83" s="798"/>
      <c r="FRN83" s="798"/>
      <c r="FRO83" s="798"/>
      <c r="FRP83" s="798"/>
      <c r="FRQ83" s="798"/>
      <c r="FRR83" s="798"/>
      <c r="FRS83" s="798"/>
      <c r="FRT83" s="798"/>
      <c r="FRU83" s="798"/>
      <c r="FRV83" s="798"/>
      <c r="FRW83" s="798"/>
      <c r="FRX83" s="798"/>
      <c r="FRY83" s="798"/>
      <c r="FRZ83" s="798"/>
      <c r="FSA83" s="798"/>
      <c r="FSB83" s="798"/>
      <c r="FSC83" s="798"/>
      <c r="FSD83" s="798"/>
      <c r="FSE83" s="798"/>
      <c r="FSF83" s="798"/>
      <c r="FSG83" s="798"/>
      <c r="FSH83" s="798"/>
      <c r="FSI83" s="798"/>
      <c r="FSJ83" s="798"/>
      <c r="FSK83" s="798"/>
      <c r="FSL83" s="798"/>
      <c r="FSM83" s="798"/>
      <c r="FSN83" s="798"/>
      <c r="FSO83" s="798"/>
      <c r="FSP83" s="798"/>
      <c r="FSQ83" s="798"/>
      <c r="FSR83" s="798"/>
      <c r="FSS83" s="798"/>
      <c r="FST83" s="798"/>
      <c r="FSU83" s="798"/>
      <c r="FSV83" s="798"/>
      <c r="FSW83" s="798"/>
      <c r="FSX83" s="798"/>
      <c r="FSY83" s="798"/>
      <c r="FSZ83" s="798"/>
      <c r="FTA83" s="798"/>
      <c r="FTB83" s="798"/>
      <c r="FTC83" s="798"/>
      <c r="FTD83" s="798"/>
      <c r="FTE83" s="798"/>
      <c r="FTF83" s="798"/>
      <c r="FTG83" s="798"/>
      <c r="FTH83" s="798"/>
      <c r="FTI83" s="798"/>
      <c r="FTJ83" s="798"/>
      <c r="FTK83" s="798"/>
      <c r="FTL83" s="798"/>
      <c r="FTM83" s="798"/>
      <c r="FTN83" s="798"/>
      <c r="FTO83" s="798"/>
      <c r="FTP83" s="798"/>
      <c r="FTQ83" s="798"/>
      <c r="FTR83" s="798"/>
      <c r="FTS83" s="798"/>
      <c r="FTT83" s="798"/>
      <c r="FTU83" s="798"/>
      <c r="FTV83" s="798"/>
      <c r="FTW83" s="798"/>
      <c r="FTX83" s="798"/>
      <c r="FTY83" s="798"/>
      <c r="FTZ83" s="798"/>
      <c r="FUA83" s="798"/>
      <c r="FUB83" s="798"/>
      <c r="FUC83" s="798"/>
      <c r="FUD83" s="798"/>
      <c r="FUE83" s="798"/>
      <c r="FUF83" s="798"/>
      <c r="FUG83" s="798"/>
      <c r="FUH83" s="798"/>
      <c r="FUI83" s="798"/>
      <c r="FUJ83" s="798"/>
      <c r="FUK83" s="798"/>
      <c r="FUL83" s="798"/>
      <c r="FUM83" s="798"/>
      <c r="FUN83" s="798"/>
      <c r="FUO83" s="798"/>
      <c r="FUP83" s="798"/>
      <c r="FUQ83" s="798"/>
      <c r="FUR83" s="798"/>
      <c r="FUS83" s="798"/>
      <c r="FUT83" s="798"/>
      <c r="FUU83" s="798"/>
      <c r="FUV83" s="798"/>
      <c r="FUW83" s="798"/>
      <c r="FUX83" s="798"/>
      <c r="FUY83" s="798"/>
      <c r="FUZ83" s="798"/>
      <c r="FVA83" s="798"/>
      <c r="FVB83" s="798"/>
      <c r="FVC83" s="798"/>
      <c r="FVD83" s="798"/>
      <c r="FVE83" s="798"/>
      <c r="FVF83" s="798"/>
      <c r="FVG83" s="798"/>
      <c r="FVH83" s="798"/>
      <c r="FVI83" s="798"/>
      <c r="FVJ83" s="798"/>
      <c r="FVK83" s="798"/>
      <c r="FVL83" s="798"/>
      <c r="FVM83" s="798"/>
      <c r="FVN83" s="798"/>
      <c r="FVO83" s="798"/>
      <c r="FVP83" s="798"/>
      <c r="FVQ83" s="798"/>
      <c r="FVR83" s="798"/>
      <c r="FVS83" s="798"/>
      <c r="FVT83" s="798"/>
      <c r="FVU83" s="798"/>
      <c r="FVV83" s="798"/>
      <c r="FVW83" s="798"/>
      <c r="FVX83" s="798"/>
      <c r="FVY83" s="798"/>
      <c r="FVZ83" s="798"/>
      <c r="FWA83" s="798"/>
      <c r="FWB83" s="798"/>
      <c r="FWC83" s="798"/>
      <c r="FWD83" s="798"/>
      <c r="FWE83" s="798"/>
      <c r="FWF83" s="798"/>
      <c r="FWG83" s="798"/>
      <c r="FWH83" s="798"/>
      <c r="FWI83" s="798"/>
      <c r="FWJ83" s="798"/>
      <c r="FWK83" s="798"/>
      <c r="FWL83" s="798"/>
      <c r="FWM83" s="798"/>
      <c r="FWN83" s="798"/>
      <c r="FWO83" s="798"/>
      <c r="FWP83" s="798"/>
      <c r="FWQ83" s="798"/>
      <c r="FWR83" s="798"/>
      <c r="FWS83" s="798"/>
      <c r="FWT83" s="798"/>
      <c r="FWU83" s="798"/>
      <c r="FWV83" s="798"/>
      <c r="FWW83" s="798"/>
      <c r="FWX83" s="798"/>
      <c r="FWY83" s="798"/>
      <c r="FWZ83" s="798"/>
      <c r="FXA83" s="798"/>
      <c r="FXB83" s="798"/>
      <c r="FXC83" s="798"/>
      <c r="FXD83" s="798"/>
      <c r="FXE83" s="798"/>
      <c r="FXF83" s="798"/>
      <c r="FXG83" s="798"/>
      <c r="FXH83" s="798"/>
      <c r="FXI83" s="798"/>
      <c r="FXJ83" s="798"/>
      <c r="FXK83" s="798"/>
      <c r="FXL83" s="798"/>
      <c r="FXM83" s="798"/>
      <c r="FXN83" s="798"/>
      <c r="FXO83" s="798"/>
      <c r="FXP83" s="798"/>
      <c r="FXQ83" s="798"/>
      <c r="FXR83" s="798"/>
      <c r="FXS83" s="798"/>
      <c r="FXT83" s="798"/>
      <c r="FXU83" s="798"/>
      <c r="FXV83" s="798"/>
      <c r="FXW83" s="798"/>
      <c r="FXX83" s="798"/>
      <c r="FXY83" s="798"/>
      <c r="FXZ83" s="798"/>
      <c r="FYA83" s="798"/>
      <c r="FYB83" s="798"/>
      <c r="FYC83" s="798"/>
      <c r="FYD83" s="798"/>
      <c r="FYE83" s="798"/>
      <c r="FYF83" s="798"/>
      <c r="FYG83" s="798"/>
      <c r="FYH83" s="798"/>
      <c r="FYI83" s="798"/>
      <c r="FYJ83" s="798"/>
      <c r="FYK83" s="798"/>
      <c r="FYL83" s="798"/>
      <c r="FYM83" s="798"/>
      <c r="FYN83" s="798"/>
      <c r="FYO83" s="798"/>
      <c r="FYP83" s="798"/>
      <c r="FYQ83" s="798"/>
      <c r="FYR83" s="798"/>
      <c r="FYS83" s="798"/>
      <c r="FYT83" s="798"/>
      <c r="FYU83" s="798"/>
      <c r="FYV83" s="798"/>
      <c r="FYW83" s="798"/>
      <c r="FYX83" s="798"/>
      <c r="FYY83" s="798"/>
      <c r="FYZ83" s="798"/>
      <c r="FZA83" s="798"/>
      <c r="FZB83" s="798"/>
      <c r="FZC83" s="798"/>
      <c r="FZD83" s="798"/>
      <c r="FZE83" s="798"/>
      <c r="FZF83" s="798"/>
      <c r="FZG83" s="798"/>
      <c r="FZH83" s="798"/>
      <c r="FZI83" s="798"/>
      <c r="FZJ83" s="798"/>
      <c r="FZK83" s="798"/>
      <c r="FZL83" s="798"/>
      <c r="FZM83" s="798"/>
      <c r="FZN83" s="798"/>
      <c r="FZO83" s="798"/>
      <c r="FZP83" s="798"/>
      <c r="FZQ83" s="798"/>
      <c r="FZR83" s="798"/>
      <c r="FZS83" s="798"/>
      <c r="FZT83" s="798"/>
      <c r="FZU83" s="798"/>
      <c r="FZV83" s="798"/>
      <c r="FZW83" s="798"/>
      <c r="FZX83" s="798"/>
      <c r="FZY83" s="798"/>
      <c r="FZZ83" s="798"/>
      <c r="GAA83" s="798"/>
      <c r="GAB83" s="798"/>
      <c r="GAC83" s="798"/>
      <c r="GAD83" s="798"/>
      <c r="GAE83" s="798"/>
      <c r="GAF83" s="798"/>
      <c r="GAG83" s="798"/>
      <c r="GAH83" s="798"/>
      <c r="GAI83" s="798"/>
      <c r="GAJ83" s="798"/>
      <c r="GAK83" s="798"/>
      <c r="GAL83" s="798"/>
      <c r="GAM83" s="798"/>
      <c r="GAN83" s="798"/>
      <c r="GAO83" s="798"/>
      <c r="GAP83" s="798"/>
      <c r="GAQ83" s="798"/>
      <c r="GAR83" s="798"/>
      <c r="GAS83" s="798"/>
      <c r="GAT83" s="798"/>
      <c r="GAU83" s="798"/>
      <c r="GAV83" s="798"/>
      <c r="GAW83" s="798"/>
      <c r="GAX83" s="798"/>
      <c r="GAY83" s="798"/>
      <c r="GAZ83" s="798"/>
      <c r="GBA83" s="798"/>
      <c r="GBB83" s="798"/>
      <c r="GBC83" s="798"/>
      <c r="GBD83" s="798"/>
      <c r="GBE83" s="798"/>
      <c r="GBF83" s="798"/>
      <c r="GBG83" s="798"/>
      <c r="GBH83" s="798"/>
      <c r="GBI83" s="798"/>
      <c r="GBJ83" s="798"/>
      <c r="GBK83" s="798"/>
      <c r="GBL83" s="798"/>
      <c r="GBM83" s="798"/>
      <c r="GBN83" s="798"/>
      <c r="GBO83" s="798"/>
      <c r="GBP83" s="798"/>
      <c r="GBQ83" s="798"/>
      <c r="GBR83" s="798"/>
      <c r="GBS83" s="798"/>
      <c r="GBT83" s="798"/>
      <c r="GBU83" s="798"/>
      <c r="GBV83" s="798"/>
      <c r="GBW83" s="798"/>
      <c r="GBX83" s="798"/>
      <c r="GBY83" s="798"/>
      <c r="GBZ83" s="798"/>
      <c r="GCA83" s="798"/>
      <c r="GCB83" s="798"/>
      <c r="GCC83" s="798"/>
      <c r="GCD83" s="798"/>
      <c r="GCE83" s="798"/>
      <c r="GCF83" s="798"/>
      <c r="GCG83" s="798"/>
      <c r="GCH83" s="798"/>
      <c r="GCI83" s="798"/>
      <c r="GCJ83" s="798"/>
      <c r="GCK83" s="798"/>
      <c r="GCL83" s="798"/>
      <c r="GCM83" s="798"/>
      <c r="GCN83" s="798"/>
      <c r="GCO83" s="798"/>
      <c r="GCP83" s="798"/>
      <c r="GCQ83" s="798"/>
      <c r="GCR83" s="798"/>
      <c r="GCS83" s="798"/>
      <c r="GCT83" s="798"/>
      <c r="GCU83" s="798"/>
      <c r="GCV83" s="798"/>
      <c r="GCW83" s="798"/>
      <c r="GCX83" s="798"/>
      <c r="GCY83" s="798"/>
      <c r="GCZ83" s="798"/>
      <c r="GDA83" s="798"/>
      <c r="GDB83" s="798"/>
      <c r="GDC83" s="798"/>
      <c r="GDD83" s="798"/>
      <c r="GDE83" s="798"/>
      <c r="GDF83" s="798"/>
      <c r="GDG83" s="798"/>
      <c r="GDH83" s="798"/>
      <c r="GDI83" s="798"/>
      <c r="GDJ83" s="798"/>
      <c r="GDK83" s="798"/>
      <c r="GDL83" s="798"/>
      <c r="GDM83" s="798"/>
      <c r="GDN83" s="798"/>
      <c r="GDO83" s="798"/>
      <c r="GDP83" s="798"/>
      <c r="GDQ83" s="798"/>
      <c r="GDR83" s="798"/>
      <c r="GDS83" s="798"/>
      <c r="GDT83" s="798"/>
      <c r="GDU83" s="798"/>
      <c r="GDV83" s="798"/>
      <c r="GDW83" s="798"/>
      <c r="GDX83" s="798"/>
      <c r="GDY83" s="798"/>
      <c r="GDZ83" s="798"/>
      <c r="GEA83" s="798"/>
      <c r="GEB83" s="798"/>
      <c r="GEC83" s="798"/>
      <c r="GED83" s="798"/>
      <c r="GEE83" s="798"/>
      <c r="GEF83" s="798"/>
      <c r="GEG83" s="798"/>
      <c r="GEH83" s="798"/>
      <c r="GEI83" s="798"/>
      <c r="GEJ83" s="798"/>
      <c r="GEK83" s="798"/>
      <c r="GEL83" s="798"/>
      <c r="GEM83" s="798"/>
      <c r="GEN83" s="798"/>
      <c r="GEO83" s="798"/>
      <c r="GEP83" s="798"/>
      <c r="GEQ83" s="798"/>
      <c r="GER83" s="798"/>
      <c r="GES83" s="798"/>
      <c r="GET83" s="798"/>
      <c r="GEU83" s="798"/>
      <c r="GEV83" s="798"/>
      <c r="GEW83" s="798"/>
      <c r="GEX83" s="798"/>
      <c r="GEY83" s="798"/>
      <c r="GEZ83" s="798"/>
      <c r="GFA83" s="798"/>
      <c r="GFB83" s="798"/>
      <c r="GFC83" s="798"/>
      <c r="GFD83" s="798"/>
      <c r="GFE83" s="798"/>
      <c r="GFF83" s="798"/>
      <c r="GFG83" s="798"/>
      <c r="GFH83" s="798"/>
      <c r="GFI83" s="798"/>
      <c r="GFJ83" s="798"/>
      <c r="GFK83" s="798"/>
      <c r="GFL83" s="798"/>
      <c r="GFM83" s="798"/>
      <c r="GFN83" s="798"/>
      <c r="GFO83" s="798"/>
      <c r="GFP83" s="798"/>
      <c r="GFQ83" s="798"/>
      <c r="GFR83" s="798"/>
      <c r="GFS83" s="798"/>
      <c r="GFT83" s="798"/>
      <c r="GFU83" s="798"/>
      <c r="GFV83" s="798"/>
      <c r="GFW83" s="798"/>
      <c r="GFX83" s="798"/>
      <c r="GFY83" s="798"/>
      <c r="GFZ83" s="798"/>
      <c r="GGA83" s="798"/>
      <c r="GGB83" s="798"/>
      <c r="GGC83" s="798"/>
      <c r="GGD83" s="798"/>
      <c r="GGE83" s="798"/>
      <c r="GGF83" s="798"/>
      <c r="GGG83" s="798"/>
      <c r="GGH83" s="798"/>
      <c r="GGI83" s="798"/>
      <c r="GGJ83" s="798"/>
      <c r="GGK83" s="798"/>
      <c r="GGL83" s="798"/>
      <c r="GGM83" s="798"/>
      <c r="GGN83" s="798"/>
      <c r="GGO83" s="798"/>
      <c r="GGP83" s="798"/>
      <c r="GGQ83" s="798"/>
      <c r="GGR83" s="798"/>
      <c r="GGS83" s="798"/>
      <c r="GGT83" s="798"/>
      <c r="GGU83" s="798"/>
      <c r="GGV83" s="798"/>
      <c r="GGW83" s="798"/>
      <c r="GGX83" s="798"/>
      <c r="GGY83" s="798"/>
      <c r="GGZ83" s="798"/>
      <c r="GHA83" s="798"/>
      <c r="GHB83" s="798"/>
      <c r="GHC83" s="798"/>
      <c r="GHD83" s="798"/>
      <c r="GHE83" s="798"/>
      <c r="GHF83" s="798"/>
      <c r="GHG83" s="798"/>
      <c r="GHH83" s="798"/>
      <c r="GHI83" s="798"/>
      <c r="GHJ83" s="798"/>
      <c r="GHK83" s="798"/>
      <c r="GHL83" s="798"/>
      <c r="GHM83" s="798"/>
      <c r="GHN83" s="798"/>
      <c r="GHO83" s="798"/>
      <c r="GHP83" s="798"/>
      <c r="GHQ83" s="798"/>
      <c r="GHR83" s="798"/>
      <c r="GHS83" s="798"/>
      <c r="GHT83" s="798"/>
      <c r="GHU83" s="798"/>
      <c r="GHV83" s="798"/>
      <c r="GHW83" s="798"/>
      <c r="GHX83" s="798"/>
      <c r="GHY83" s="798"/>
      <c r="GHZ83" s="798"/>
      <c r="GIA83" s="798"/>
      <c r="GIB83" s="798"/>
      <c r="GIC83" s="798"/>
      <c r="GID83" s="798"/>
      <c r="GIE83" s="798"/>
      <c r="GIF83" s="798"/>
      <c r="GIG83" s="798"/>
      <c r="GIH83" s="798"/>
      <c r="GII83" s="798"/>
      <c r="GIJ83" s="798"/>
      <c r="GIK83" s="798"/>
      <c r="GIL83" s="798"/>
      <c r="GIM83" s="798"/>
      <c r="GIN83" s="798"/>
      <c r="GIO83" s="798"/>
      <c r="GIP83" s="798"/>
      <c r="GIQ83" s="798"/>
      <c r="GIR83" s="798"/>
      <c r="GIS83" s="798"/>
      <c r="GIT83" s="798"/>
      <c r="GIU83" s="798"/>
      <c r="GIV83" s="798"/>
      <c r="GIW83" s="798"/>
      <c r="GIX83" s="798"/>
      <c r="GIY83" s="798"/>
      <c r="GIZ83" s="798"/>
      <c r="GJA83" s="798"/>
      <c r="GJB83" s="798"/>
      <c r="GJC83" s="798"/>
      <c r="GJD83" s="798"/>
      <c r="GJE83" s="798"/>
      <c r="GJF83" s="798"/>
      <c r="GJG83" s="798"/>
      <c r="GJH83" s="798"/>
      <c r="GJI83" s="798"/>
      <c r="GJJ83" s="798"/>
      <c r="GJK83" s="798"/>
      <c r="GJL83" s="798"/>
      <c r="GJM83" s="798"/>
      <c r="GJN83" s="798"/>
      <c r="GJO83" s="798"/>
      <c r="GJP83" s="798"/>
      <c r="GJQ83" s="798"/>
      <c r="GJR83" s="798"/>
      <c r="GJS83" s="798"/>
      <c r="GJT83" s="798"/>
      <c r="GJU83" s="798"/>
      <c r="GJV83" s="798"/>
      <c r="GJW83" s="798"/>
      <c r="GJX83" s="798"/>
      <c r="GJY83" s="798"/>
      <c r="GJZ83" s="798"/>
      <c r="GKA83" s="798"/>
      <c r="GKB83" s="798"/>
      <c r="GKC83" s="798"/>
      <c r="GKD83" s="798"/>
      <c r="GKE83" s="798"/>
      <c r="GKF83" s="798"/>
      <c r="GKG83" s="798"/>
      <c r="GKH83" s="798"/>
      <c r="GKI83" s="798"/>
      <c r="GKJ83" s="798"/>
      <c r="GKK83" s="798"/>
      <c r="GKL83" s="798"/>
      <c r="GKM83" s="798"/>
      <c r="GKN83" s="798"/>
      <c r="GKO83" s="798"/>
      <c r="GKP83" s="798"/>
      <c r="GKQ83" s="798"/>
      <c r="GKR83" s="798"/>
      <c r="GKS83" s="798"/>
      <c r="GKT83" s="798"/>
      <c r="GKU83" s="798"/>
      <c r="GKV83" s="798"/>
      <c r="GKW83" s="798"/>
      <c r="GKX83" s="798"/>
      <c r="GKY83" s="798"/>
      <c r="GKZ83" s="798"/>
      <c r="GLA83" s="798"/>
      <c r="GLB83" s="798"/>
      <c r="GLC83" s="798"/>
      <c r="GLD83" s="798"/>
      <c r="GLE83" s="798"/>
      <c r="GLF83" s="798"/>
      <c r="GLG83" s="798"/>
      <c r="GLH83" s="798"/>
      <c r="GLI83" s="798"/>
      <c r="GLJ83" s="798"/>
      <c r="GLK83" s="798"/>
      <c r="GLL83" s="798"/>
      <c r="GLM83" s="798"/>
      <c r="GLN83" s="798"/>
      <c r="GLO83" s="798"/>
      <c r="GLP83" s="798"/>
      <c r="GLQ83" s="798"/>
      <c r="GLR83" s="798"/>
      <c r="GLS83" s="798"/>
      <c r="GLT83" s="798"/>
      <c r="GLU83" s="798"/>
      <c r="GLV83" s="798"/>
      <c r="GLW83" s="798"/>
      <c r="GLX83" s="798"/>
      <c r="GLY83" s="798"/>
      <c r="GLZ83" s="798"/>
      <c r="GMA83" s="798"/>
      <c r="GMB83" s="798"/>
      <c r="GMC83" s="798"/>
      <c r="GMD83" s="798"/>
      <c r="GME83" s="798"/>
      <c r="GMF83" s="798"/>
      <c r="GMG83" s="798"/>
      <c r="GMH83" s="798"/>
      <c r="GMI83" s="798"/>
      <c r="GMJ83" s="798"/>
      <c r="GMK83" s="798"/>
      <c r="GML83" s="798"/>
      <c r="GMM83" s="798"/>
      <c r="GMN83" s="798"/>
      <c r="GMO83" s="798"/>
      <c r="GMP83" s="798"/>
      <c r="GMQ83" s="798"/>
      <c r="GMR83" s="798"/>
      <c r="GMS83" s="798"/>
      <c r="GMT83" s="798"/>
      <c r="GMU83" s="798"/>
      <c r="GMV83" s="798"/>
      <c r="GMW83" s="798"/>
      <c r="GMX83" s="798"/>
      <c r="GMY83" s="798"/>
      <c r="GMZ83" s="798"/>
      <c r="GNA83" s="798"/>
      <c r="GNB83" s="798"/>
      <c r="GNC83" s="798"/>
      <c r="GND83" s="798"/>
      <c r="GNE83" s="798"/>
      <c r="GNF83" s="798"/>
      <c r="GNG83" s="798"/>
      <c r="GNH83" s="798"/>
      <c r="GNI83" s="798"/>
      <c r="GNJ83" s="798"/>
      <c r="GNK83" s="798"/>
      <c r="GNL83" s="798"/>
      <c r="GNM83" s="798"/>
      <c r="GNN83" s="798"/>
      <c r="GNO83" s="798"/>
      <c r="GNP83" s="798"/>
      <c r="GNQ83" s="798"/>
      <c r="GNR83" s="798"/>
      <c r="GNS83" s="798"/>
      <c r="GNT83" s="798"/>
      <c r="GNU83" s="798"/>
      <c r="GNV83" s="798"/>
      <c r="GNW83" s="798"/>
      <c r="GNX83" s="798"/>
      <c r="GNY83" s="798"/>
      <c r="GNZ83" s="798"/>
      <c r="GOA83" s="798"/>
      <c r="GOB83" s="798"/>
      <c r="GOC83" s="798"/>
      <c r="GOD83" s="798"/>
      <c r="GOE83" s="798"/>
      <c r="GOF83" s="798"/>
      <c r="GOG83" s="798"/>
      <c r="GOH83" s="798"/>
      <c r="GOI83" s="798"/>
      <c r="GOJ83" s="798"/>
      <c r="GOK83" s="798"/>
      <c r="GOL83" s="798"/>
      <c r="GOM83" s="798"/>
      <c r="GON83" s="798"/>
      <c r="GOO83" s="798"/>
      <c r="GOP83" s="798"/>
      <c r="GOQ83" s="798"/>
      <c r="GOR83" s="798"/>
      <c r="GOS83" s="798"/>
      <c r="GOT83" s="798"/>
      <c r="GOU83" s="798"/>
      <c r="GOV83" s="798"/>
      <c r="GOW83" s="798"/>
      <c r="GOX83" s="798"/>
      <c r="GOY83" s="798"/>
      <c r="GOZ83" s="798"/>
      <c r="GPA83" s="798"/>
      <c r="GPB83" s="798"/>
      <c r="GPC83" s="798"/>
      <c r="GPD83" s="798"/>
      <c r="GPE83" s="798"/>
      <c r="GPF83" s="798"/>
      <c r="GPG83" s="798"/>
      <c r="GPH83" s="798"/>
      <c r="GPI83" s="798"/>
      <c r="GPJ83" s="798"/>
      <c r="GPK83" s="798"/>
      <c r="GPL83" s="798"/>
      <c r="GPM83" s="798"/>
      <c r="GPN83" s="798"/>
      <c r="GPO83" s="798"/>
      <c r="GPP83" s="798"/>
      <c r="GPQ83" s="798"/>
      <c r="GPR83" s="798"/>
      <c r="GPS83" s="798"/>
      <c r="GPT83" s="798"/>
      <c r="GPU83" s="798"/>
      <c r="GPV83" s="798"/>
      <c r="GPW83" s="798"/>
      <c r="GPX83" s="798"/>
      <c r="GPY83" s="798"/>
      <c r="GPZ83" s="798"/>
      <c r="GQA83" s="798"/>
      <c r="GQB83" s="798"/>
      <c r="GQC83" s="798"/>
      <c r="GQD83" s="798"/>
      <c r="GQE83" s="798"/>
      <c r="GQF83" s="798"/>
      <c r="GQG83" s="798"/>
      <c r="GQH83" s="798"/>
      <c r="GQI83" s="798"/>
      <c r="GQJ83" s="798"/>
      <c r="GQK83" s="798"/>
      <c r="GQL83" s="798"/>
      <c r="GQM83" s="798"/>
      <c r="GQN83" s="798"/>
      <c r="GQO83" s="798"/>
      <c r="GQP83" s="798"/>
      <c r="GQQ83" s="798"/>
      <c r="GQR83" s="798"/>
      <c r="GQS83" s="798"/>
      <c r="GQT83" s="798"/>
      <c r="GQU83" s="798"/>
      <c r="GQV83" s="798"/>
      <c r="GQW83" s="798"/>
      <c r="GQX83" s="798"/>
      <c r="GQY83" s="798"/>
      <c r="GQZ83" s="798"/>
      <c r="GRA83" s="798"/>
      <c r="GRB83" s="798"/>
      <c r="GRC83" s="798"/>
      <c r="GRD83" s="798"/>
      <c r="GRE83" s="798"/>
      <c r="GRF83" s="798"/>
      <c r="GRG83" s="798"/>
      <c r="GRH83" s="798"/>
      <c r="GRI83" s="798"/>
      <c r="GRJ83" s="798"/>
      <c r="GRK83" s="798"/>
      <c r="GRL83" s="798"/>
      <c r="GRM83" s="798"/>
      <c r="GRN83" s="798"/>
      <c r="GRO83" s="798"/>
      <c r="GRP83" s="798"/>
      <c r="GRQ83" s="798"/>
      <c r="GRR83" s="798"/>
      <c r="GRS83" s="798"/>
      <c r="GRT83" s="798"/>
      <c r="GRU83" s="798"/>
      <c r="GRV83" s="798"/>
      <c r="GRW83" s="798"/>
      <c r="GRX83" s="798"/>
      <c r="GRY83" s="798"/>
      <c r="GRZ83" s="798"/>
      <c r="GSA83" s="798"/>
      <c r="GSB83" s="798"/>
      <c r="GSC83" s="798"/>
      <c r="GSD83" s="798"/>
      <c r="GSE83" s="798"/>
      <c r="GSF83" s="798"/>
      <c r="GSG83" s="798"/>
      <c r="GSH83" s="798"/>
      <c r="GSI83" s="798"/>
      <c r="GSJ83" s="798"/>
      <c r="GSK83" s="798"/>
      <c r="GSL83" s="798"/>
      <c r="GSM83" s="798"/>
      <c r="GSN83" s="798"/>
      <c r="GSO83" s="798"/>
      <c r="GSP83" s="798"/>
      <c r="GSQ83" s="798"/>
      <c r="GSR83" s="798"/>
      <c r="GSS83" s="798"/>
      <c r="GST83" s="798"/>
      <c r="GSU83" s="798"/>
      <c r="GSV83" s="798"/>
      <c r="GSW83" s="798"/>
      <c r="GSX83" s="798"/>
      <c r="GSY83" s="798"/>
      <c r="GSZ83" s="798"/>
      <c r="GTA83" s="798"/>
      <c r="GTB83" s="798"/>
      <c r="GTC83" s="798"/>
      <c r="GTD83" s="798"/>
      <c r="GTE83" s="798"/>
      <c r="GTF83" s="798"/>
      <c r="GTG83" s="798"/>
      <c r="GTH83" s="798"/>
      <c r="GTI83" s="798"/>
      <c r="GTJ83" s="798"/>
      <c r="GTK83" s="798"/>
      <c r="GTL83" s="798"/>
      <c r="GTM83" s="798"/>
      <c r="GTN83" s="798"/>
      <c r="GTO83" s="798"/>
      <c r="GTP83" s="798"/>
      <c r="GTQ83" s="798"/>
      <c r="GTR83" s="798"/>
      <c r="GTS83" s="798"/>
      <c r="GTT83" s="798"/>
      <c r="GTU83" s="798"/>
      <c r="GTV83" s="798"/>
      <c r="GTW83" s="798"/>
      <c r="GTX83" s="798"/>
      <c r="GTY83" s="798"/>
      <c r="GTZ83" s="798"/>
      <c r="GUA83" s="798"/>
      <c r="GUB83" s="798"/>
      <c r="GUC83" s="798"/>
      <c r="GUD83" s="798"/>
      <c r="GUE83" s="798"/>
      <c r="GUF83" s="798"/>
      <c r="GUG83" s="798"/>
      <c r="GUH83" s="798"/>
      <c r="GUI83" s="798"/>
      <c r="GUJ83" s="798"/>
      <c r="GUK83" s="798"/>
      <c r="GUL83" s="798"/>
      <c r="GUM83" s="798"/>
      <c r="GUN83" s="798"/>
      <c r="GUO83" s="798"/>
      <c r="GUP83" s="798"/>
      <c r="GUQ83" s="798"/>
      <c r="GUR83" s="798"/>
      <c r="GUS83" s="798"/>
      <c r="GUT83" s="798"/>
      <c r="GUU83" s="798"/>
      <c r="GUV83" s="798"/>
      <c r="GUW83" s="798"/>
      <c r="GUX83" s="798"/>
      <c r="GUY83" s="798"/>
      <c r="GUZ83" s="798"/>
      <c r="GVA83" s="798"/>
      <c r="GVB83" s="798"/>
      <c r="GVC83" s="798"/>
      <c r="GVD83" s="798"/>
      <c r="GVE83" s="798"/>
      <c r="GVF83" s="798"/>
      <c r="GVG83" s="798"/>
      <c r="GVH83" s="798"/>
      <c r="GVI83" s="798"/>
      <c r="GVJ83" s="798"/>
      <c r="GVK83" s="798"/>
      <c r="GVL83" s="798"/>
      <c r="GVM83" s="798"/>
      <c r="GVN83" s="798"/>
      <c r="GVO83" s="798"/>
      <c r="GVP83" s="798"/>
      <c r="GVQ83" s="798"/>
      <c r="GVR83" s="798"/>
      <c r="GVS83" s="798"/>
      <c r="GVT83" s="798"/>
      <c r="GVU83" s="798"/>
      <c r="GVV83" s="798"/>
      <c r="GVW83" s="798"/>
      <c r="GVX83" s="798"/>
      <c r="GVY83" s="798"/>
      <c r="GVZ83" s="798"/>
      <c r="GWA83" s="798"/>
      <c r="GWB83" s="798"/>
      <c r="GWC83" s="798"/>
      <c r="GWD83" s="798"/>
      <c r="GWE83" s="798"/>
      <c r="GWF83" s="798"/>
      <c r="GWG83" s="798"/>
      <c r="GWH83" s="798"/>
      <c r="GWI83" s="798"/>
      <c r="GWJ83" s="798"/>
      <c r="GWK83" s="798"/>
      <c r="GWL83" s="798"/>
      <c r="GWM83" s="798"/>
      <c r="GWN83" s="798"/>
      <c r="GWO83" s="798"/>
      <c r="GWP83" s="798"/>
      <c r="GWQ83" s="798"/>
      <c r="GWR83" s="798"/>
      <c r="GWS83" s="798"/>
      <c r="GWT83" s="798"/>
      <c r="GWU83" s="798"/>
      <c r="GWV83" s="798"/>
      <c r="GWW83" s="798"/>
      <c r="GWX83" s="798"/>
      <c r="GWY83" s="798"/>
      <c r="GWZ83" s="798"/>
      <c r="GXA83" s="798"/>
      <c r="GXB83" s="798"/>
      <c r="GXC83" s="798"/>
      <c r="GXD83" s="798"/>
      <c r="GXE83" s="798"/>
      <c r="GXF83" s="798"/>
      <c r="GXG83" s="798"/>
      <c r="GXH83" s="798"/>
      <c r="GXI83" s="798"/>
      <c r="GXJ83" s="798"/>
      <c r="GXK83" s="798"/>
      <c r="GXL83" s="798"/>
      <c r="GXM83" s="798"/>
      <c r="GXN83" s="798"/>
      <c r="GXO83" s="798"/>
      <c r="GXP83" s="798"/>
      <c r="GXQ83" s="798"/>
      <c r="GXR83" s="798"/>
      <c r="GXS83" s="798"/>
      <c r="GXT83" s="798"/>
      <c r="GXU83" s="798"/>
      <c r="GXV83" s="798"/>
      <c r="GXW83" s="798"/>
      <c r="GXX83" s="798"/>
      <c r="GXY83" s="798"/>
      <c r="GXZ83" s="798"/>
      <c r="GYA83" s="798"/>
      <c r="GYB83" s="798"/>
      <c r="GYC83" s="798"/>
      <c r="GYD83" s="798"/>
      <c r="GYE83" s="798"/>
      <c r="GYF83" s="798"/>
      <c r="GYG83" s="798"/>
      <c r="GYH83" s="798"/>
      <c r="GYI83" s="798"/>
      <c r="GYJ83" s="798"/>
      <c r="GYK83" s="798"/>
      <c r="GYL83" s="798"/>
      <c r="GYM83" s="798"/>
      <c r="GYN83" s="798"/>
      <c r="GYO83" s="798"/>
      <c r="GYP83" s="798"/>
      <c r="GYQ83" s="798"/>
      <c r="GYR83" s="798"/>
      <c r="GYS83" s="798"/>
      <c r="GYT83" s="798"/>
      <c r="GYU83" s="798"/>
      <c r="GYV83" s="798"/>
      <c r="GYW83" s="798"/>
      <c r="GYX83" s="798"/>
      <c r="GYY83" s="798"/>
      <c r="GYZ83" s="798"/>
      <c r="GZA83" s="798"/>
      <c r="GZB83" s="798"/>
      <c r="GZC83" s="798"/>
      <c r="GZD83" s="798"/>
      <c r="GZE83" s="798"/>
      <c r="GZF83" s="798"/>
      <c r="GZG83" s="798"/>
      <c r="GZH83" s="798"/>
      <c r="GZI83" s="798"/>
      <c r="GZJ83" s="798"/>
      <c r="GZK83" s="798"/>
      <c r="GZL83" s="798"/>
      <c r="GZM83" s="798"/>
      <c r="GZN83" s="798"/>
      <c r="GZO83" s="798"/>
      <c r="GZP83" s="798"/>
      <c r="GZQ83" s="798"/>
      <c r="GZR83" s="798"/>
      <c r="GZS83" s="798"/>
      <c r="GZT83" s="798"/>
      <c r="GZU83" s="798"/>
      <c r="GZV83" s="798"/>
      <c r="GZW83" s="798"/>
      <c r="GZX83" s="798"/>
      <c r="GZY83" s="798"/>
      <c r="GZZ83" s="798"/>
      <c r="HAA83" s="798"/>
      <c r="HAB83" s="798"/>
      <c r="HAC83" s="798"/>
      <c r="HAD83" s="798"/>
      <c r="HAE83" s="798"/>
      <c r="HAF83" s="798"/>
      <c r="HAG83" s="798"/>
      <c r="HAH83" s="798"/>
      <c r="HAI83" s="798"/>
      <c r="HAJ83" s="798"/>
      <c r="HAK83" s="798"/>
      <c r="HAL83" s="798"/>
      <c r="HAM83" s="798"/>
      <c r="HAN83" s="798"/>
      <c r="HAO83" s="798"/>
      <c r="HAP83" s="798"/>
      <c r="HAQ83" s="798"/>
      <c r="HAR83" s="798"/>
      <c r="HAS83" s="798"/>
      <c r="HAT83" s="798"/>
      <c r="HAU83" s="798"/>
      <c r="HAV83" s="798"/>
      <c r="HAW83" s="798"/>
      <c r="HAX83" s="798"/>
      <c r="HAY83" s="798"/>
      <c r="HAZ83" s="798"/>
      <c r="HBA83" s="798"/>
      <c r="HBB83" s="798"/>
      <c r="HBC83" s="798"/>
      <c r="HBD83" s="798"/>
      <c r="HBE83" s="798"/>
      <c r="HBF83" s="798"/>
      <c r="HBG83" s="798"/>
      <c r="HBH83" s="798"/>
      <c r="HBI83" s="798"/>
      <c r="HBJ83" s="798"/>
      <c r="HBK83" s="798"/>
      <c r="HBL83" s="798"/>
      <c r="HBM83" s="798"/>
      <c r="HBN83" s="798"/>
      <c r="HBO83" s="798"/>
      <c r="HBP83" s="798"/>
      <c r="HBQ83" s="798"/>
      <c r="HBR83" s="798"/>
      <c r="HBS83" s="798"/>
      <c r="HBT83" s="798"/>
      <c r="HBU83" s="798"/>
      <c r="HBV83" s="798"/>
      <c r="HBW83" s="798"/>
      <c r="HBX83" s="798"/>
      <c r="HBY83" s="798"/>
      <c r="HBZ83" s="798"/>
      <c r="HCA83" s="798"/>
      <c r="HCB83" s="798"/>
      <c r="HCC83" s="798"/>
      <c r="HCD83" s="798"/>
      <c r="HCE83" s="798"/>
      <c r="HCF83" s="798"/>
      <c r="HCG83" s="798"/>
      <c r="HCH83" s="798"/>
      <c r="HCI83" s="798"/>
      <c r="HCJ83" s="798"/>
      <c r="HCK83" s="798"/>
      <c r="HCL83" s="798"/>
      <c r="HCM83" s="798"/>
      <c r="HCN83" s="798"/>
      <c r="HCO83" s="798"/>
      <c r="HCP83" s="798"/>
      <c r="HCQ83" s="798"/>
      <c r="HCR83" s="798"/>
      <c r="HCS83" s="798"/>
      <c r="HCT83" s="798"/>
      <c r="HCU83" s="798"/>
      <c r="HCV83" s="798"/>
      <c r="HCW83" s="798"/>
      <c r="HCX83" s="798"/>
      <c r="HCY83" s="798"/>
      <c r="HCZ83" s="798"/>
      <c r="HDA83" s="798"/>
      <c r="HDB83" s="798"/>
      <c r="HDC83" s="798"/>
      <c r="HDD83" s="798"/>
      <c r="HDE83" s="798"/>
      <c r="HDF83" s="798"/>
      <c r="HDG83" s="798"/>
      <c r="HDH83" s="798"/>
      <c r="HDI83" s="798"/>
      <c r="HDJ83" s="798"/>
      <c r="HDK83" s="798"/>
      <c r="HDL83" s="798"/>
      <c r="HDM83" s="798"/>
      <c r="HDN83" s="798"/>
      <c r="HDO83" s="798"/>
      <c r="HDP83" s="798"/>
      <c r="HDQ83" s="798"/>
      <c r="HDR83" s="798"/>
      <c r="HDS83" s="798"/>
      <c r="HDT83" s="798"/>
      <c r="HDU83" s="798"/>
      <c r="HDV83" s="798"/>
      <c r="HDW83" s="798"/>
      <c r="HDX83" s="798"/>
      <c r="HDY83" s="798"/>
      <c r="HDZ83" s="798"/>
      <c r="HEA83" s="798"/>
      <c r="HEB83" s="798"/>
      <c r="HEC83" s="798"/>
      <c r="HED83" s="798"/>
      <c r="HEE83" s="798"/>
      <c r="HEF83" s="798"/>
      <c r="HEG83" s="798"/>
      <c r="HEH83" s="798"/>
      <c r="HEI83" s="798"/>
      <c r="HEJ83" s="798"/>
      <c r="HEK83" s="798"/>
      <c r="HEL83" s="798"/>
      <c r="HEM83" s="798"/>
      <c r="HEN83" s="798"/>
      <c r="HEO83" s="798"/>
      <c r="HEP83" s="798"/>
      <c r="HEQ83" s="798"/>
      <c r="HER83" s="798"/>
      <c r="HES83" s="798"/>
      <c r="HET83" s="798"/>
      <c r="HEU83" s="798"/>
      <c r="HEV83" s="798"/>
      <c r="HEW83" s="798"/>
      <c r="HEX83" s="798"/>
      <c r="HEY83" s="798"/>
      <c r="HEZ83" s="798"/>
      <c r="HFA83" s="798"/>
      <c r="HFB83" s="798"/>
      <c r="HFC83" s="798"/>
      <c r="HFD83" s="798"/>
      <c r="HFE83" s="798"/>
      <c r="HFF83" s="798"/>
      <c r="HFG83" s="798"/>
      <c r="HFH83" s="798"/>
      <c r="HFI83" s="798"/>
      <c r="HFJ83" s="798"/>
      <c r="HFK83" s="798"/>
      <c r="HFL83" s="798"/>
      <c r="HFM83" s="798"/>
      <c r="HFN83" s="798"/>
      <c r="HFO83" s="798"/>
      <c r="HFP83" s="798"/>
      <c r="HFQ83" s="798"/>
      <c r="HFR83" s="798"/>
      <c r="HFS83" s="798"/>
      <c r="HFT83" s="798"/>
      <c r="HFU83" s="798"/>
      <c r="HFV83" s="798"/>
      <c r="HFW83" s="798"/>
      <c r="HFX83" s="798"/>
      <c r="HFY83" s="798"/>
      <c r="HFZ83" s="798"/>
      <c r="HGA83" s="798"/>
      <c r="HGB83" s="798"/>
      <c r="HGC83" s="798"/>
      <c r="HGD83" s="798"/>
      <c r="HGE83" s="798"/>
      <c r="HGF83" s="798"/>
      <c r="HGG83" s="798"/>
      <c r="HGH83" s="798"/>
      <c r="HGI83" s="798"/>
      <c r="HGJ83" s="798"/>
      <c r="HGK83" s="798"/>
      <c r="HGL83" s="798"/>
      <c r="HGM83" s="798"/>
      <c r="HGN83" s="798"/>
      <c r="HGO83" s="798"/>
      <c r="HGP83" s="798"/>
      <c r="HGQ83" s="798"/>
      <c r="HGR83" s="798"/>
      <c r="HGS83" s="798"/>
      <c r="HGT83" s="798"/>
      <c r="HGU83" s="798"/>
      <c r="HGV83" s="798"/>
      <c r="HGW83" s="798"/>
      <c r="HGX83" s="798"/>
      <c r="HGY83" s="798"/>
      <c r="HGZ83" s="798"/>
      <c r="HHA83" s="798"/>
      <c r="HHB83" s="798"/>
      <c r="HHC83" s="798"/>
      <c r="HHD83" s="798"/>
      <c r="HHE83" s="798"/>
      <c r="HHF83" s="798"/>
      <c r="HHG83" s="798"/>
      <c r="HHH83" s="798"/>
      <c r="HHI83" s="798"/>
      <c r="HHJ83" s="798"/>
      <c r="HHK83" s="798"/>
      <c r="HHL83" s="798"/>
      <c r="HHM83" s="798"/>
      <c r="HHN83" s="798"/>
      <c r="HHO83" s="798"/>
      <c r="HHP83" s="798"/>
      <c r="HHQ83" s="798"/>
      <c r="HHR83" s="798"/>
      <c r="HHS83" s="798"/>
      <c r="HHT83" s="798"/>
      <c r="HHU83" s="798"/>
      <c r="HHV83" s="798"/>
      <c r="HHW83" s="798"/>
      <c r="HHX83" s="798"/>
      <c r="HHY83" s="798"/>
      <c r="HHZ83" s="798"/>
      <c r="HIA83" s="798"/>
      <c r="HIB83" s="798"/>
      <c r="HIC83" s="798"/>
      <c r="HID83" s="798"/>
      <c r="HIE83" s="798"/>
      <c r="HIF83" s="798"/>
      <c r="HIG83" s="798"/>
      <c r="HIH83" s="798"/>
      <c r="HII83" s="798"/>
      <c r="HIJ83" s="798"/>
      <c r="HIK83" s="798"/>
      <c r="HIL83" s="798"/>
      <c r="HIM83" s="798"/>
      <c r="HIN83" s="798"/>
      <c r="HIO83" s="798"/>
      <c r="HIP83" s="798"/>
      <c r="HIQ83" s="798"/>
      <c r="HIR83" s="798"/>
      <c r="HIS83" s="798"/>
      <c r="HIT83" s="798"/>
      <c r="HIU83" s="798"/>
      <c r="HIV83" s="798"/>
      <c r="HIW83" s="798"/>
      <c r="HIX83" s="798"/>
      <c r="HIY83" s="798"/>
      <c r="HIZ83" s="798"/>
      <c r="HJA83" s="798"/>
      <c r="HJB83" s="798"/>
      <c r="HJC83" s="798"/>
      <c r="HJD83" s="798"/>
      <c r="HJE83" s="798"/>
      <c r="HJF83" s="798"/>
      <c r="HJG83" s="798"/>
      <c r="HJH83" s="798"/>
      <c r="HJI83" s="798"/>
      <c r="HJJ83" s="798"/>
      <c r="HJK83" s="798"/>
      <c r="HJL83" s="798"/>
      <c r="HJM83" s="798"/>
      <c r="HJN83" s="798"/>
      <c r="HJO83" s="798"/>
      <c r="HJP83" s="798"/>
      <c r="HJQ83" s="798"/>
      <c r="HJR83" s="798"/>
      <c r="HJS83" s="798"/>
      <c r="HJT83" s="798"/>
      <c r="HJU83" s="798"/>
      <c r="HJV83" s="798"/>
      <c r="HJW83" s="798"/>
      <c r="HJX83" s="798"/>
      <c r="HJY83" s="798"/>
      <c r="HJZ83" s="798"/>
      <c r="HKA83" s="798"/>
      <c r="HKB83" s="798"/>
      <c r="HKC83" s="798"/>
      <c r="HKD83" s="798"/>
      <c r="HKE83" s="798"/>
      <c r="HKF83" s="798"/>
      <c r="HKG83" s="798"/>
      <c r="HKH83" s="798"/>
      <c r="HKI83" s="798"/>
      <c r="HKJ83" s="798"/>
      <c r="HKK83" s="798"/>
      <c r="HKL83" s="798"/>
      <c r="HKM83" s="798"/>
      <c r="HKN83" s="798"/>
      <c r="HKO83" s="798"/>
      <c r="HKP83" s="798"/>
      <c r="HKQ83" s="798"/>
      <c r="HKR83" s="798"/>
      <c r="HKS83" s="798"/>
      <c r="HKT83" s="798"/>
      <c r="HKU83" s="798"/>
      <c r="HKV83" s="798"/>
      <c r="HKW83" s="798"/>
      <c r="HKX83" s="798"/>
      <c r="HKY83" s="798"/>
      <c r="HKZ83" s="798"/>
      <c r="HLA83" s="798"/>
      <c r="HLB83" s="798"/>
      <c r="HLC83" s="798"/>
      <c r="HLD83" s="798"/>
      <c r="HLE83" s="798"/>
      <c r="HLF83" s="798"/>
      <c r="HLG83" s="798"/>
      <c r="HLH83" s="798"/>
      <c r="HLI83" s="798"/>
      <c r="HLJ83" s="798"/>
      <c r="HLK83" s="798"/>
      <c r="HLL83" s="798"/>
      <c r="HLM83" s="798"/>
      <c r="HLN83" s="798"/>
      <c r="HLO83" s="798"/>
      <c r="HLP83" s="798"/>
      <c r="HLQ83" s="798"/>
      <c r="HLR83" s="798"/>
      <c r="HLS83" s="798"/>
      <c r="HLT83" s="798"/>
      <c r="HLU83" s="798"/>
      <c r="HLV83" s="798"/>
      <c r="HLW83" s="798"/>
      <c r="HLX83" s="798"/>
      <c r="HLY83" s="798"/>
      <c r="HLZ83" s="798"/>
      <c r="HMA83" s="798"/>
      <c r="HMB83" s="798"/>
      <c r="HMC83" s="798"/>
      <c r="HMD83" s="798"/>
      <c r="HME83" s="798"/>
      <c r="HMF83" s="798"/>
      <c r="HMG83" s="798"/>
      <c r="HMH83" s="798"/>
      <c r="HMI83" s="798"/>
      <c r="HMJ83" s="798"/>
      <c r="HMK83" s="798"/>
      <c r="HML83" s="798"/>
      <c r="HMM83" s="798"/>
      <c r="HMN83" s="798"/>
      <c r="HMO83" s="798"/>
      <c r="HMP83" s="798"/>
      <c r="HMQ83" s="798"/>
      <c r="HMR83" s="798"/>
      <c r="HMS83" s="798"/>
      <c r="HMT83" s="798"/>
      <c r="HMU83" s="798"/>
      <c r="HMV83" s="798"/>
      <c r="HMW83" s="798"/>
      <c r="HMX83" s="798"/>
      <c r="HMY83" s="798"/>
      <c r="HMZ83" s="798"/>
      <c r="HNA83" s="798"/>
      <c r="HNB83" s="798"/>
      <c r="HNC83" s="798"/>
      <c r="HND83" s="798"/>
      <c r="HNE83" s="798"/>
      <c r="HNF83" s="798"/>
      <c r="HNG83" s="798"/>
      <c r="HNH83" s="798"/>
      <c r="HNI83" s="798"/>
      <c r="HNJ83" s="798"/>
      <c r="HNK83" s="798"/>
      <c r="HNL83" s="798"/>
      <c r="HNM83" s="798"/>
      <c r="HNN83" s="798"/>
      <c r="HNO83" s="798"/>
      <c r="HNP83" s="798"/>
      <c r="HNQ83" s="798"/>
      <c r="HNR83" s="798"/>
      <c r="HNS83" s="798"/>
      <c r="HNT83" s="798"/>
      <c r="HNU83" s="798"/>
      <c r="HNV83" s="798"/>
      <c r="HNW83" s="798"/>
      <c r="HNX83" s="798"/>
      <c r="HNY83" s="798"/>
      <c r="HNZ83" s="798"/>
      <c r="HOA83" s="798"/>
      <c r="HOB83" s="798"/>
      <c r="HOC83" s="798"/>
      <c r="HOD83" s="798"/>
      <c r="HOE83" s="798"/>
      <c r="HOF83" s="798"/>
      <c r="HOG83" s="798"/>
      <c r="HOH83" s="798"/>
      <c r="HOI83" s="798"/>
      <c r="HOJ83" s="798"/>
      <c r="HOK83" s="798"/>
      <c r="HOL83" s="798"/>
      <c r="HOM83" s="798"/>
      <c r="HON83" s="798"/>
      <c r="HOO83" s="798"/>
      <c r="HOP83" s="798"/>
      <c r="HOQ83" s="798"/>
      <c r="HOR83" s="798"/>
      <c r="HOS83" s="798"/>
      <c r="HOT83" s="798"/>
      <c r="HOU83" s="798"/>
      <c r="HOV83" s="798"/>
      <c r="HOW83" s="798"/>
      <c r="HOX83" s="798"/>
      <c r="HOY83" s="798"/>
      <c r="HOZ83" s="798"/>
      <c r="HPA83" s="798"/>
      <c r="HPB83" s="798"/>
      <c r="HPC83" s="798"/>
      <c r="HPD83" s="798"/>
      <c r="HPE83" s="798"/>
      <c r="HPF83" s="798"/>
      <c r="HPG83" s="798"/>
      <c r="HPH83" s="798"/>
      <c r="HPI83" s="798"/>
      <c r="HPJ83" s="798"/>
      <c r="HPK83" s="798"/>
      <c r="HPL83" s="798"/>
      <c r="HPM83" s="798"/>
      <c r="HPN83" s="798"/>
      <c r="HPO83" s="798"/>
      <c r="HPP83" s="798"/>
      <c r="HPQ83" s="798"/>
      <c r="HPR83" s="798"/>
      <c r="HPS83" s="798"/>
      <c r="HPT83" s="798"/>
      <c r="HPU83" s="798"/>
      <c r="HPV83" s="798"/>
      <c r="HPW83" s="798"/>
      <c r="HPX83" s="798"/>
      <c r="HPY83" s="798"/>
      <c r="HPZ83" s="798"/>
      <c r="HQA83" s="798"/>
      <c r="HQB83" s="798"/>
      <c r="HQC83" s="798"/>
      <c r="HQD83" s="798"/>
      <c r="HQE83" s="798"/>
      <c r="HQF83" s="798"/>
      <c r="HQG83" s="798"/>
      <c r="HQH83" s="798"/>
      <c r="HQI83" s="798"/>
      <c r="HQJ83" s="798"/>
      <c r="HQK83" s="798"/>
      <c r="HQL83" s="798"/>
      <c r="HQM83" s="798"/>
      <c r="HQN83" s="798"/>
      <c r="HQO83" s="798"/>
      <c r="HQP83" s="798"/>
      <c r="HQQ83" s="798"/>
      <c r="HQR83" s="798"/>
      <c r="HQS83" s="798"/>
      <c r="HQT83" s="798"/>
      <c r="HQU83" s="798"/>
      <c r="HQV83" s="798"/>
      <c r="HQW83" s="798"/>
      <c r="HQX83" s="798"/>
      <c r="HQY83" s="798"/>
      <c r="HQZ83" s="798"/>
      <c r="HRA83" s="798"/>
      <c r="HRB83" s="798"/>
      <c r="HRC83" s="798"/>
      <c r="HRD83" s="798"/>
      <c r="HRE83" s="798"/>
      <c r="HRF83" s="798"/>
      <c r="HRG83" s="798"/>
      <c r="HRH83" s="798"/>
      <c r="HRI83" s="798"/>
      <c r="HRJ83" s="798"/>
      <c r="HRK83" s="798"/>
      <c r="HRL83" s="798"/>
      <c r="HRM83" s="798"/>
      <c r="HRN83" s="798"/>
      <c r="HRO83" s="798"/>
      <c r="HRP83" s="798"/>
      <c r="HRQ83" s="798"/>
      <c r="HRR83" s="798"/>
      <c r="HRS83" s="798"/>
      <c r="HRT83" s="798"/>
      <c r="HRU83" s="798"/>
      <c r="HRV83" s="798"/>
      <c r="HRW83" s="798"/>
      <c r="HRX83" s="798"/>
      <c r="HRY83" s="798"/>
      <c r="HRZ83" s="798"/>
      <c r="HSA83" s="798"/>
      <c r="HSB83" s="798"/>
      <c r="HSC83" s="798"/>
      <c r="HSD83" s="798"/>
      <c r="HSE83" s="798"/>
      <c r="HSF83" s="798"/>
      <c r="HSG83" s="798"/>
      <c r="HSH83" s="798"/>
      <c r="HSI83" s="798"/>
      <c r="HSJ83" s="798"/>
      <c r="HSK83" s="798"/>
      <c r="HSL83" s="798"/>
      <c r="HSM83" s="798"/>
      <c r="HSN83" s="798"/>
      <c r="HSO83" s="798"/>
      <c r="HSP83" s="798"/>
      <c r="HSQ83" s="798"/>
      <c r="HSR83" s="798"/>
      <c r="HSS83" s="798"/>
      <c r="HST83" s="798"/>
      <c r="HSU83" s="798"/>
      <c r="HSV83" s="798"/>
      <c r="HSW83" s="798"/>
      <c r="HSX83" s="798"/>
      <c r="HSY83" s="798"/>
      <c r="HSZ83" s="798"/>
      <c r="HTA83" s="798"/>
      <c r="HTB83" s="798"/>
      <c r="HTC83" s="798"/>
      <c r="HTD83" s="798"/>
      <c r="HTE83" s="798"/>
      <c r="HTF83" s="798"/>
      <c r="HTG83" s="798"/>
      <c r="HTH83" s="798"/>
      <c r="HTI83" s="798"/>
      <c r="HTJ83" s="798"/>
      <c r="HTK83" s="798"/>
      <c r="HTL83" s="798"/>
      <c r="HTM83" s="798"/>
      <c r="HTN83" s="798"/>
      <c r="HTO83" s="798"/>
      <c r="HTP83" s="798"/>
      <c r="HTQ83" s="798"/>
      <c r="HTR83" s="798"/>
      <c r="HTS83" s="798"/>
      <c r="HTT83" s="798"/>
      <c r="HTU83" s="798"/>
      <c r="HTV83" s="798"/>
      <c r="HTW83" s="798"/>
      <c r="HTX83" s="798"/>
      <c r="HTY83" s="798"/>
      <c r="HTZ83" s="798"/>
      <c r="HUA83" s="798"/>
      <c r="HUB83" s="798"/>
      <c r="HUC83" s="798"/>
      <c r="HUD83" s="798"/>
      <c r="HUE83" s="798"/>
      <c r="HUF83" s="798"/>
      <c r="HUG83" s="798"/>
      <c r="HUH83" s="798"/>
      <c r="HUI83" s="798"/>
      <c r="HUJ83" s="798"/>
      <c r="HUK83" s="798"/>
      <c r="HUL83" s="798"/>
      <c r="HUM83" s="798"/>
      <c r="HUN83" s="798"/>
      <c r="HUO83" s="798"/>
      <c r="HUP83" s="798"/>
      <c r="HUQ83" s="798"/>
      <c r="HUR83" s="798"/>
      <c r="HUS83" s="798"/>
      <c r="HUT83" s="798"/>
      <c r="HUU83" s="798"/>
      <c r="HUV83" s="798"/>
      <c r="HUW83" s="798"/>
      <c r="HUX83" s="798"/>
      <c r="HUY83" s="798"/>
      <c r="HUZ83" s="798"/>
      <c r="HVA83" s="798"/>
      <c r="HVB83" s="798"/>
      <c r="HVC83" s="798"/>
      <c r="HVD83" s="798"/>
      <c r="HVE83" s="798"/>
      <c r="HVF83" s="798"/>
      <c r="HVG83" s="798"/>
      <c r="HVH83" s="798"/>
      <c r="HVI83" s="798"/>
      <c r="HVJ83" s="798"/>
      <c r="HVK83" s="798"/>
      <c r="HVL83" s="798"/>
      <c r="HVM83" s="798"/>
      <c r="HVN83" s="798"/>
      <c r="HVO83" s="798"/>
      <c r="HVP83" s="798"/>
      <c r="HVQ83" s="798"/>
      <c r="HVR83" s="798"/>
      <c r="HVS83" s="798"/>
      <c r="HVT83" s="798"/>
      <c r="HVU83" s="798"/>
      <c r="HVV83" s="798"/>
      <c r="HVW83" s="798"/>
      <c r="HVX83" s="798"/>
      <c r="HVY83" s="798"/>
      <c r="HVZ83" s="798"/>
      <c r="HWA83" s="798"/>
      <c r="HWB83" s="798"/>
      <c r="HWC83" s="798"/>
      <c r="HWD83" s="798"/>
      <c r="HWE83" s="798"/>
      <c r="HWF83" s="798"/>
      <c r="HWG83" s="798"/>
      <c r="HWH83" s="798"/>
      <c r="HWI83" s="798"/>
      <c r="HWJ83" s="798"/>
      <c r="HWK83" s="798"/>
      <c r="HWL83" s="798"/>
      <c r="HWM83" s="798"/>
      <c r="HWN83" s="798"/>
      <c r="HWO83" s="798"/>
      <c r="HWP83" s="798"/>
      <c r="HWQ83" s="798"/>
      <c r="HWR83" s="798"/>
      <c r="HWS83" s="798"/>
      <c r="HWT83" s="798"/>
      <c r="HWU83" s="798"/>
      <c r="HWV83" s="798"/>
      <c r="HWW83" s="798"/>
      <c r="HWX83" s="798"/>
      <c r="HWY83" s="798"/>
      <c r="HWZ83" s="798"/>
      <c r="HXA83" s="798"/>
      <c r="HXB83" s="798"/>
      <c r="HXC83" s="798"/>
      <c r="HXD83" s="798"/>
      <c r="HXE83" s="798"/>
      <c r="HXF83" s="798"/>
      <c r="HXG83" s="798"/>
      <c r="HXH83" s="798"/>
      <c r="HXI83" s="798"/>
      <c r="HXJ83" s="798"/>
      <c r="HXK83" s="798"/>
      <c r="HXL83" s="798"/>
      <c r="HXM83" s="798"/>
      <c r="HXN83" s="798"/>
      <c r="HXO83" s="798"/>
      <c r="HXP83" s="798"/>
      <c r="HXQ83" s="798"/>
      <c r="HXR83" s="798"/>
      <c r="HXS83" s="798"/>
      <c r="HXT83" s="798"/>
      <c r="HXU83" s="798"/>
      <c r="HXV83" s="798"/>
      <c r="HXW83" s="798"/>
      <c r="HXX83" s="798"/>
      <c r="HXY83" s="798"/>
      <c r="HXZ83" s="798"/>
      <c r="HYA83" s="798"/>
      <c r="HYB83" s="798"/>
      <c r="HYC83" s="798"/>
      <c r="HYD83" s="798"/>
      <c r="HYE83" s="798"/>
      <c r="HYF83" s="798"/>
      <c r="HYG83" s="798"/>
      <c r="HYH83" s="798"/>
      <c r="HYI83" s="798"/>
      <c r="HYJ83" s="798"/>
      <c r="HYK83" s="798"/>
      <c r="HYL83" s="798"/>
      <c r="HYM83" s="798"/>
      <c r="HYN83" s="798"/>
      <c r="HYO83" s="798"/>
      <c r="HYP83" s="798"/>
      <c r="HYQ83" s="798"/>
      <c r="HYR83" s="798"/>
      <c r="HYS83" s="798"/>
      <c r="HYT83" s="798"/>
      <c r="HYU83" s="798"/>
      <c r="HYV83" s="798"/>
      <c r="HYW83" s="798"/>
      <c r="HYX83" s="798"/>
      <c r="HYY83" s="798"/>
      <c r="HYZ83" s="798"/>
      <c r="HZA83" s="798"/>
      <c r="HZB83" s="798"/>
      <c r="HZC83" s="798"/>
      <c r="HZD83" s="798"/>
      <c r="HZE83" s="798"/>
      <c r="HZF83" s="798"/>
      <c r="HZG83" s="798"/>
      <c r="HZH83" s="798"/>
      <c r="HZI83" s="798"/>
      <c r="HZJ83" s="798"/>
      <c r="HZK83" s="798"/>
      <c r="HZL83" s="798"/>
      <c r="HZM83" s="798"/>
      <c r="HZN83" s="798"/>
      <c r="HZO83" s="798"/>
      <c r="HZP83" s="798"/>
      <c r="HZQ83" s="798"/>
      <c r="HZR83" s="798"/>
      <c r="HZS83" s="798"/>
      <c r="HZT83" s="798"/>
      <c r="HZU83" s="798"/>
      <c r="HZV83" s="798"/>
      <c r="HZW83" s="798"/>
      <c r="HZX83" s="798"/>
      <c r="HZY83" s="798"/>
      <c r="HZZ83" s="798"/>
      <c r="IAA83" s="798"/>
      <c r="IAB83" s="798"/>
      <c r="IAC83" s="798"/>
      <c r="IAD83" s="798"/>
      <c r="IAE83" s="798"/>
      <c r="IAF83" s="798"/>
      <c r="IAG83" s="798"/>
      <c r="IAH83" s="798"/>
      <c r="IAI83" s="798"/>
      <c r="IAJ83" s="798"/>
      <c r="IAK83" s="798"/>
      <c r="IAL83" s="798"/>
      <c r="IAM83" s="798"/>
      <c r="IAN83" s="798"/>
      <c r="IAO83" s="798"/>
      <c r="IAP83" s="798"/>
      <c r="IAQ83" s="798"/>
      <c r="IAR83" s="798"/>
      <c r="IAS83" s="798"/>
      <c r="IAT83" s="798"/>
      <c r="IAU83" s="798"/>
      <c r="IAV83" s="798"/>
      <c r="IAW83" s="798"/>
      <c r="IAX83" s="798"/>
      <c r="IAY83" s="798"/>
      <c r="IAZ83" s="798"/>
      <c r="IBA83" s="798"/>
      <c r="IBB83" s="798"/>
      <c r="IBC83" s="798"/>
      <c r="IBD83" s="798"/>
      <c r="IBE83" s="798"/>
      <c r="IBF83" s="798"/>
      <c r="IBG83" s="798"/>
      <c r="IBH83" s="798"/>
      <c r="IBI83" s="798"/>
      <c r="IBJ83" s="798"/>
      <c r="IBK83" s="798"/>
      <c r="IBL83" s="798"/>
      <c r="IBM83" s="798"/>
      <c r="IBN83" s="798"/>
      <c r="IBO83" s="798"/>
      <c r="IBP83" s="798"/>
      <c r="IBQ83" s="798"/>
      <c r="IBR83" s="798"/>
      <c r="IBS83" s="798"/>
      <c r="IBT83" s="798"/>
      <c r="IBU83" s="798"/>
      <c r="IBV83" s="798"/>
      <c r="IBW83" s="798"/>
      <c r="IBX83" s="798"/>
      <c r="IBY83" s="798"/>
      <c r="IBZ83" s="798"/>
      <c r="ICA83" s="798"/>
      <c r="ICB83" s="798"/>
      <c r="ICC83" s="798"/>
      <c r="ICD83" s="798"/>
      <c r="ICE83" s="798"/>
      <c r="ICF83" s="798"/>
      <c r="ICG83" s="798"/>
      <c r="ICH83" s="798"/>
      <c r="ICI83" s="798"/>
      <c r="ICJ83" s="798"/>
      <c r="ICK83" s="798"/>
      <c r="ICL83" s="798"/>
      <c r="ICM83" s="798"/>
      <c r="ICN83" s="798"/>
      <c r="ICO83" s="798"/>
      <c r="ICP83" s="798"/>
      <c r="ICQ83" s="798"/>
      <c r="ICR83" s="798"/>
      <c r="ICS83" s="798"/>
      <c r="ICT83" s="798"/>
      <c r="ICU83" s="798"/>
      <c r="ICV83" s="798"/>
      <c r="ICW83" s="798"/>
      <c r="ICX83" s="798"/>
      <c r="ICY83" s="798"/>
      <c r="ICZ83" s="798"/>
      <c r="IDA83" s="798"/>
      <c r="IDB83" s="798"/>
      <c r="IDC83" s="798"/>
      <c r="IDD83" s="798"/>
      <c r="IDE83" s="798"/>
      <c r="IDF83" s="798"/>
      <c r="IDG83" s="798"/>
      <c r="IDH83" s="798"/>
      <c r="IDI83" s="798"/>
      <c r="IDJ83" s="798"/>
      <c r="IDK83" s="798"/>
      <c r="IDL83" s="798"/>
      <c r="IDM83" s="798"/>
      <c r="IDN83" s="798"/>
      <c r="IDO83" s="798"/>
      <c r="IDP83" s="798"/>
      <c r="IDQ83" s="798"/>
      <c r="IDR83" s="798"/>
      <c r="IDS83" s="798"/>
      <c r="IDT83" s="798"/>
      <c r="IDU83" s="798"/>
      <c r="IDV83" s="798"/>
      <c r="IDW83" s="798"/>
      <c r="IDX83" s="798"/>
      <c r="IDY83" s="798"/>
      <c r="IDZ83" s="798"/>
      <c r="IEA83" s="798"/>
      <c r="IEB83" s="798"/>
      <c r="IEC83" s="798"/>
      <c r="IED83" s="798"/>
      <c r="IEE83" s="798"/>
      <c r="IEF83" s="798"/>
      <c r="IEG83" s="798"/>
      <c r="IEH83" s="798"/>
      <c r="IEI83" s="798"/>
      <c r="IEJ83" s="798"/>
      <c r="IEK83" s="798"/>
      <c r="IEL83" s="798"/>
      <c r="IEM83" s="798"/>
      <c r="IEN83" s="798"/>
      <c r="IEO83" s="798"/>
      <c r="IEP83" s="798"/>
      <c r="IEQ83" s="798"/>
      <c r="IER83" s="798"/>
      <c r="IES83" s="798"/>
      <c r="IET83" s="798"/>
      <c r="IEU83" s="798"/>
      <c r="IEV83" s="798"/>
      <c r="IEW83" s="798"/>
      <c r="IEX83" s="798"/>
      <c r="IEY83" s="798"/>
      <c r="IEZ83" s="798"/>
      <c r="IFA83" s="798"/>
      <c r="IFB83" s="798"/>
      <c r="IFC83" s="798"/>
      <c r="IFD83" s="798"/>
      <c r="IFE83" s="798"/>
      <c r="IFF83" s="798"/>
      <c r="IFG83" s="798"/>
      <c r="IFH83" s="798"/>
      <c r="IFI83" s="798"/>
      <c r="IFJ83" s="798"/>
      <c r="IFK83" s="798"/>
      <c r="IFL83" s="798"/>
      <c r="IFM83" s="798"/>
      <c r="IFN83" s="798"/>
      <c r="IFO83" s="798"/>
      <c r="IFP83" s="798"/>
      <c r="IFQ83" s="798"/>
      <c r="IFR83" s="798"/>
      <c r="IFS83" s="798"/>
      <c r="IFT83" s="798"/>
      <c r="IFU83" s="798"/>
      <c r="IFV83" s="798"/>
      <c r="IFW83" s="798"/>
      <c r="IFX83" s="798"/>
      <c r="IFY83" s="798"/>
      <c r="IFZ83" s="798"/>
      <c r="IGA83" s="798"/>
      <c r="IGB83" s="798"/>
      <c r="IGC83" s="798"/>
      <c r="IGD83" s="798"/>
      <c r="IGE83" s="798"/>
      <c r="IGF83" s="798"/>
      <c r="IGG83" s="798"/>
      <c r="IGH83" s="798"/>
      <c r="IGI83" s="798"/>
      <c r="IGJ83" s="798"/>
      <c r="IGK83" s="798"/>
      <c r="IGL83" s="798"/>
      <c r="IGM83" s="798"/>
      <c r="IGN83" s="798"/>
      <c r="IGO83" s="798"/>
      <c r="IGP83" s="798"/>
      <c r="IGQ83" s="798"/>
      <c r="IGR83" s="798"/>
      <c r="IGS83" s="798"/>
      <c r="IGT83" s="798"/>
      <c r="IGU83" s="798"/>
      <c r="IGV83" s="798"/>
      <c r="IGW83" s="798"/>
      <c r="IGX83" s="798"/>
      <c r="IGY83" s="798"/>
      <c r="IGZ83" s="798"/>
      <c r="IHA83" s="798"/>
      <c r="IHB83" s="798"/>
      <c r="IHC83" s="798"/>
      <c r="IHD83" s="798"/>
      <c r="IHE83" s="798"/>
      <c r="IHF83" s="798"/>
      <c r="IHG83" s="798"/>
      <c r="IHH83" s="798"/>
      <c r="IHI83" s="798"/>
      <c r="IHJ83" s="798"/>
      <c r="IHK83" s="798"/>
      <c r="IHL83" s="798"/>
      <c r="IHM83" s="798"/>
      <c r="IHN83" s="798"/>
      <c r="IHO83" s="798"/>
      <c r="IHP83" s="798"/>
      <c r="IHQ83" s="798"/>
      <c r="IHR83" s="798"/>
      <c r="IHS83" s="798"/>
      <c r="IHT83" s="798"/>
      <c r="IHU83" s="798"/>
      <c r="IHV83" s="798"/>
      <c r="IHW83" s="798"/>
      <c r="IHX83" s="798"/>
      <c r="IHY83" s="798"/>
      <c r="IHZ83" s="798"/>
      <c r="IIA83" s="798"/>
      <c r="IIB83" s="798"/>
      <c r="IIC83" s="798"/>
      <c r="IID83" s="798"/>
      <c r="IIE83" s="798"/>
      <c r="IIF83" s="798"/>
      <c r="IIG83" s="798"/>
      <c r="IIH83" s="798"/>
      <c r="III83" s="798"/>
      <c r="IIJ83" s="798"/>
      <c r="IIK83" s="798"/>
      <c r="IIL83" s="798"/>
      <c r="IIM83" s="798"/>
      <c r="IIN83" s="798"/>
      <c r="IIO83" s="798"/>
      <c r="IIP83" s="798"/>
      <c r="IIQ83" s="798"/>
      <c r="IIR83" s="798"/>
      <c r="IIS83" s="798"/>
      <c r="IIT83" s="798"/>
      <c r="IIU83" s="798"/>
      <c r="IIV83" s="798"/>
      <c r="IIW83" s="798"/>
      <c r="IIX83" s="798"/>
      <c r="IIY83" s="798"/>
      <c r="IIZ83" s="798"/>
      <c r="IJA83" s="798"/>
      <c r="IJB83" s="798"/>
      <c r="IJC83" s="798"/>
      <c r="IJD83" s="798"/>
      <c r="IJE83" s="798"/>
      <c r="IJF83" s="798"/>
      <c r="IJG83" s="798"/>
      <c r="IJH83" s="798"/>
      <c r="IJI83" s="798"/>
      <c r="IJJ83" s="798"/>
      <c r="IJK83" s="798"/>
      <c r="IJL83" s="798"/>
      <c r="IJM83" s="798"/>
      <c r="IJN83" s="798"/>
      <c r="IJO83" s="798"/>
      <c r="IJP83" s="798"/>
      <c r="IJQ83" s="798"/>
      <c r="IJR83" s="798"/>
      <c r="IJS83" s="798"/>
      <c r="IJT83" s="798"/>
      <c r="IJU83" s="798"/>
      <c r="IJV83" s="798"/>
      <c r="IJW83" s="798"/>
      <c r="IJX83" s="798"/>
      <c r="IJY83" s="798"/>
      <c r="IJZ83" s="798"/>
      <c r="IKA83" s="798"/>
      <c r="IKB83" s="798"/>
      <c r="IKC83" s="798"/>
      <c r="IKD83" s="798"/>
      <c r="IKE83" s="798"/>
      <c r="IKF83" s="798"/>
      <c r="IKG83" s="798"/>
      <c r="IKH83" s="798"/>
      <c r="IKI83" s="798"/>
      <c r="IKJ83" s="798"/>
      <c r="IKK83" s="798"/>
      <c r="IKL83" s="798"/>
      <c r="IKM83" s="798"/>
      <c r="IKN83" s="798"/>
      <c r="IKO83" s="798"/>
      <c r="IKP83" s="798"/>
      <c r="IKQ83" s="798"/>
      <c r="IKR83" s="798"/>
      <c r="IKS83" s="798"/>
      <c r="IKT83" s="798"/>
      <c r="IKU83" s="798"/>
      <c r="IKV83" s="798"/>
      <c r="IKW83" s="798"/>
      <c r="IKX83" s="798"/>
      <c r="IKY83" s="798"/>
      <c r="IKZ83" s="798"/>
      <c r="ILA83" s="798"/>
      <c r="ILB83" s="798"/>
      <c r="ILC83" s="798"/>
      <c r="ILD83" s="798"/>
      <c r="ILE83" s="798"/>
      <c r="ILF83" s="798"/>
      <c r="ILG83" s="798"/>
      <c r="ILH83" s="798"/>
      <c r="ILI83" s="798"/>
      <c r="ILJ83" s="798"/>
      <c r="ILK83" s="798"/>
      <c r="ILL83" s="798"/>
      <c r="ILM83" s="798"/>
      <c r="ILN83" s="798"/>
      <c r="ILO83" s="798"/>
      <c r="ILP83" s="798"/>
      <c r="ILQ83" s="798"/>
      <c r="ILR83" s="798"/>
      <c r="ILS83" s="798"/>
      <c r="ILT83" s="798"/>
      <c r="ILU83" s="798"/>
      <c r="ILV83" s="798"/>
      <c r="ILW83" s="798"/>
      <c r="ILX83" s="798"/>
      <c r="ILY83" s="798"/>
      <c r="ILZ83" s="798"/>
      <c r="IMA83" s="798"/>
      <c r="IMB83" s="798"/>
      <c r="IMC83" s="798"/>
      <c r="IMD83" s="798"/>
      <c r="IME83" s="798"/>
      <c r="IMF83" s="798"/>
      <c r="IMG83" s="798"/>
      <c r="IMH83" s="798"/>
      <c r="IMI83" s="798"/>
      <c r="IMJ83" s="798"/>
      <c r="IMK83" s="798"/>
      <c r="IML83" s="798"/>
      <c r="IMM83" s="798"/>
      <c r="IMN83" s="798"/>
      <c r="IMO83" s="798"/>
      <c r="IMP83" s="798"/>
      <c r="IMQ83" s="798"/>
      <c r="IMR83" s="798"/>
      <c r="IMS83" s="798"/>
      <c r="IMT83" s="798"/>
      <c r="IMU83" s="798"/>
      <c r="IMV83" s="798"/>
      <c r="IMW83" s="798"/>
      <c r="IMX83" s="798"/>
      <c r="IMY83" s="798"/>
      <c r="IMZ83" s="798"/>
      <c r="INA83" s="798"/>
      <c r="INB83" s="798"/>
      <c r="INC83" s="798"/>
      <c r="IND83" s="798"/>
      <c r="INE83" s="798"/>
      <c r="INF83" s="798"/>
      <c r="ING83" s="798"/>
      <c r="INH83" s="798"/>
      <c r="INI83" s="798"/>
      <c r="INJ83" s="798"/>
      <c r="INK83" s="798"/>
      <c r="INL83" s="798"/>
      <c r="INM83" s="798"/>
      <c r="INN83" s="798"/>
      <c r="INO83" s="798"/>
      <c r="INP83" s="798"/>
      <c r="INQ83" s="798"/>
      <c r="INR83" s="798"/>
      <c r="INS83" s="798"/>
      <c r="INT83" s="798"/>
      <c r="INU83" s="798"/>
      <c r="INV83" s="798"/>
      <c r="INW83" s="798"/>
      <c r="INX83" s="798"/>
      <c r="INY83" s="798"/>
      <c r="INZ83" s="798"/>
      <c r="IOA83" s="798"/>
      <c r="IOB83" s="798"/>
      <c r="IOC83" s="798"/>
      <c r="IOD83" s="798"/>
      <c r="IOE83" s="798"/>
      <c r="IOF83" s="798"/>
      <c r="IOG83" s="798"/>
      <c r="IOH83" s="798"/>
      <c r="IOI83" s="798"/>
      <c r="IOJ83" s="798"/>
      <c r="IOK83" s="798"/>
      <c r="IOL83" s="798"/>
      <c r="IOM83" s="798"/>
      <c r="ION83" s="798"/>
      <c r="IOO83" s="798"/>
      <c r="IOP83" s="798"/>
      <c r="IOQ83" s="798"/>
      <c r="IOR83" s="798"/>
      <c r="IOS83" s="798"/>
      <c r="IOT83" s="798"/>
      <c r="IOU83" s="798"/>
      <c r="IOV83" s="798"/>
      <c r="IOW83" s="798"/>
      <c r="IOX83" s="798"/>
      <c r="IOY83" s="798"/>
      <c r="IOZ83" s="798"/>
      <c r="IPA83" s="798"/>
      <c r="IPB83" s="798"/>
      <c r="IPC83" s="798"/>
      <c r="IPD83" s="798"/>
      <c r="IPE83" s="798"/>
      <c r="IPF83" s="798"/>
      <c r="IPG83" s="798"/>
      <c r="IPH83" s="798"/>
      <c r="IPI83" s="798"/>
      <c r="IPJ83" s="798"/>
      <c r="IPK83" s="798"/>
      <c r="IPL83" s="798"/>
      <c r="IPM83" s="798"/>
      <c r="IPN83" s="798"/>
      <c r="IPO83" s="798"/>
      <c r="IPP83" s="798"/>
      <c r="IPQ83" s="798"/>
      <c r="IPR83" s="798"/>
      <c r="IPS83" s="798"/>
      <c r="IPT83" s="798"/>
      <c r="IPU83" s="798"/>
      <c r="IPV83" s="798"/>
      <c r="IPW83" s="798"/>
      <c r="IPX83" s="798"/>
      <c r="IPY83" s="798"/>
      <c r="IPZ83" s="798"/>
      <c r="IQA83" s="798"/>
      <c r="IQB83" s="798"/>
      <c r="IQC83" s="798"/>
      <c r="IQD83" s="798"/>
      <c r="IQE83" s="798"/>
      <c r="IQF83" s="798"/>
      <c r="IQG83" s="798"/>
      <c r="IQH83" s="798"/>
      <c r="IQI83" s="798"/>
      <c r="IQJ83" s="798"/>
      <c r="IQK83" s="798"/>
      <c r="IQL83" s="798"/>
      <c r="IQM83" s="798"/>
      <c r="IQN83" s="798"/>
      <c r="IQO83" s="798"/>
      <c r="IQP83" s="798"/>
      <c r="IQQ83" s="798"/>
      <c r="IQR83" s="798"/>
      <c r="IQS83" s="798"/>
      <c r="IQT83" s="798"/>
      <c r="IQU83" s="798"/>
      <c r="IQV83" s="798"/>
      <c r="IQW83" s="798"/>
      <c r="IQX83" s="798"/>
      <c r="IQY83" s="798"/>
      <c r="IQZ83" s="798"/>
      <c r="IRA83" s="798"/>
      <c r="IRB83" s="798"/>
      <c r="IRC83" s="798"/>
      <c r="IRD83" s="798"/>
      <c r="IRE83" s="798"/>
      <c r="IRF83" s="798"/>
      <c r="IRG83" s="798"/>
      <c r="IRH83" s="798"/>
      <c r="IRI83" s="798"/>
      <c r="IRJ83" s="798"/>
      <c r="IRK83" s="798"/>
      <c r="IRL83" s="798"/>
      <c r="IRM83" s="798"/>
      <c r="IRN83" s="798"/>
      <c r="IRO83" s="798"/>
      <c r="IRP83" s="798"/>
      <c r="IRQ83" s="798"/>
      <c r="IRR83" s="798"/>
      <c r="IRS83" s="798"/>
      <c r="IRT83" s="798"/>
      <c r="IRU83" s="798"/>
      <c r="IRV83" s="798"/>
      <c r="IRW83" s="798"/>
      <c r="IRX83" s="798"/>
      <c r="IRY83" s="798"/>
      <c r="IRZ83" s="798"/>
      <c r="ISA83" s="798"/>
      <c r="ISB83" s="798"/>
      <c r="ISC83" s="798"/>
      <c r="ISD83" s="798"/>
      <c r="ISE83" s="798"/>
      <c r="ISF83" s="798"/>
      <c r="ISG83" s="798"/>
      <c r="ISH83" s="798"/>
      <c r="ISI83" s="798"/>
      <c r="ISJ83" s="798"/>
      <c r="ISK83" s="798"/>
      <c r="ISL83" s="798"/>
      <c r="ISM83" s="798"/>
      <c r="ISN83" s="798"/>
      <c r="ISO83" s="798"/>
      <c r="ISP83" s="798"/>
      <c r="ISQ83" s="798"/>
      <c r="ISR83" s="798"/>
      <c r="ISS83" s="798"/>
      <c r="IST83" s="798"/>
      <c r="ISU83" s="798"/>
      <c r="ISV83" s="798"/>
      <c r="ISW83" s="798"/>
      <c r="ISX83" s="798"/>
      <c r="ISY83" s="798"/>
      <c r="ISZ83" s="798"/>
      <c r="ITA83" s="798"/>
      <c r="ITB83" s="798"/>
      <c r="ITC83" s="798"/>
      <c r="ITD83" s="798"/>
      <c r="ITE83" s="798"/>
      <c r="ITF83" s="798"/>
      <c r="ITG83" s="798"/>
      <c r="ITH83" s="798"/>
      <c r="ITI83" s="798"/>
      <c r="ITJ83" s="798"/>
      <c r="ITK83" s="798"/>
      <c r="ITL83" s="798"/>
      <c r="ITM83" s="798"/>
      <c r="ITN83" s="798"/>
      <c r="ITO83" s="798"/>
      <c r="ITP83" s="798"/>
      <c r="ITQ83" s="798"/>
      <c r="ITR83" s="798"/>
      <c r="ITS83" s="798"/>
      <c r="ITT83" s="798"/>
      <c r="ITU83" s="798"/>
      <c r="ITV83" s="798"/>
      <c r="ITW83" s="798"/>
      <c r="ITX83" s="798"/>
      <c r="ITY83" s="798"/>
      <c r="ITZ83" s="798"/>
      <c r="IUA83" s="798"/>
      <c r="IUB83" s="798"/>
      <c r="IUC83" s="798"/>
      <c r="IUD83" s="798"/>
      <c r="IUE83" s="798"/>
      <c r="IUF83" s="798"/>
      <c r="IUG83" s="798"/>
      <c r="IUH83" s="798"/>
      <c r="IUI83" s="798"/>
      <c r="IUJ83" s="798"/>
      <c r="IUK83" s="798"/>
      <c r="IUL83" s="798"/>
      <c r="IUM83" s="798"/>
      <c r="IUN83" s="798"/>
      <c r="IUO83" s="798"/>
      <c r="IUP83" s="798"/>
      <c r="IUQ83" s="798"/>
      <c r="IUR83" s="798"/>
      <c r="IUS83" s="798"/>
      <c r="IUT83" s="798"/>
      <c r="IUU83" s="798"/>
      <c r="IUV83" s="798"/>
      <c r="IUW83" s="798"/>
      <c r="IUX83" s="798"/>
      <c r="IUY83" s="798"/>
      <c r="IUZ83" s="798"/>
      <c r="IVA83" s="798"/>
      <c r="IVB83" s="798"/>
      <c r="IVC83" s="798"/>
      <c r="IVD83" s="798"/>
      <c r="IVE83" s="798"/>
      <c r="IVF83" s="798"/>
      <c r="IVG83" s="798"/>
      <c r="IVH83" s="798"/>
      <c r="IVI83" s="798"/>
      <c r="IVJ83" s="798"/>
      <c r="IVK83" s="798"/>
      <c r="IVL83" s="798"/>
      <c r="IVM83" s="798"/>
      <c r="IVN83" s="798"/>
      <c r="IVO83" s="798"/>
      <c r="IVP83" s="798"/>
      <c r="IVQ83" s="798"/>
      <c r="IVR83" s="798"/>
      <c r="IVS83" s="798"/>
      <c r="IVT83" s="798"/>
      <c r="IVU83" s="798"/>
      <c r="IVV83" s="798"/>
      <c r="IVW83" s="798"/>
      <c r="IVX83" s="798"/>
      <c r="IVY83" s="798"/>
      <c r="IVZ83" s="798"/>
      <c r="IWA83" s="798"/>
      <c r="IWB83" s="798"/>
      <c r="IWC83" s="798"/>
      <c r="IWD83" s="798"/>
      <c r="IWE83" s="798"/>
      <c r="IWF83" s="798"/>
      <c r="IWG83" s="798"/>
      <c r="IWH83" s="798"/>
      <c r="IWI83" s="798"/>
      <c r="IWJ83" s="798"/>
      <c r="IWK83" s="798"/>
      <c r="IWL83" s="798"/>
      <c r="IWM83" s="798"/>
      <c r="IWN83" s="798"/>
      <c r="IWO83" s="798"/>
      <c r="IWP83" s="798"/>
      <c r="IWQ83" s="798"/>
      <c r="IWR83" s="798"/>
      <c r="IWS83" s="798"/>
      <c r="IWT83" s="798"/>
      <c r="IWU83" s="798"/>
      <c r="IWV83" s="798"/>
      <c r="IWW83" s="798"/>
      <c r="IWX83" s="798"/>
      <c r="IWY83" s="798"/>
      <c r="IWZ83" s="798"/>
      <c r="IXA83" s="798"/>
      <c r="IXB83" s="798"/>
      <c r="IXC83" s="798"/>
      <c r="IXD83" s="798"/>
      <c r="IXE83" s="798"/>
      <c r="IXF83" s="798"/>
      <c r="IXG83" s="798"/>
      <c r="IXH83" s="798"/>
      <c r="IXI83" s="798"/>
      <c r="IXJ83" s="798"/>
      <c r="IXK83" s="798"/>
      <c r="IXL83" s="798"/>
      <c r="IXM83" s="798"/>
      <c r="IXN83" s="798"/>
      <c r="IXO83" s="798"/>
      <c r="IXP83" s="798"/>
      <c r="IXQ83" s="798"/>
      <c r="IXR83" s="798"/>
      <c r="IXS83" s="798"/>
      <c r="IXT83" s="798"/>
      <c r="IXU83" s="798"/>
      <c r="IXV83" s="798"/>
      <c r="IXW83" s="798"/>
      <c r="IXX83" s="798"/>
      <c r="IXY83" s="798"/>
      <c r="IXZ83" s="798"/>
      <c r="IYA83" s="798"/>
      <c r="IYB83" s="798"/>
      <c r="IYC83" s="798"/>
      <c r="IYD83" s="798"/>
      <c r="IYE83" s="798"/>
      <c r="IYF83" s="798"/>
      <c r="IYG83" s="798"/>
      <c r="IYH83" s="798"/>
      <c r="IYI83" s="798"/>
      <c r="IYJ83" s="798"/>
      <c r="IYK83" s="798"/>
      <c r="IYL83" s="798"/>
      <c r="IYM83" s="798"/>
      <c r="IYN83" s="798"/>
      <c r="IYO83" s="798"/>
      <c r="IYP83" s="798"/>
      <c r="IYQ83" s="798"/>
      <c r="IYR83" s="798"/>
      <c r="IYS83" s="798"/>
      <c r="IYT83" s="798"/>
      <c r="IYU83" s="798"/>
      <c r="IYV83" s="798"/>
      <c r="IYW83" s="798"/>
      <c r="IYX83" s="798"/>
      <c r="IYY83" s="798"/>
      <c r="IYZ83" s="798"/>
      <c r="IZA83" s="798"/>
      <c r="IZB83" s="798"/>
      <c r="IZC83" s="798"/>
      <c r="IZD83" s="798"/>
      <c r="IZE83" s="798"/>
      <c r="IZF83" s="798"/>
      <c r="IZG83" s="798"/>
      <c r="IZH83" s="798"/>
      <c r="IZI83" s="798"/>
      <c r="IZJ83" s="798"/>
      <c r="IZK83" s="798"/>
      <c r="IZL83" s="798"/>
      <c r="IZM83" s="798"/>
      <c r="IZN83" s="798"/>
      <c r="IZO83" s="798"/>
      <c r="IZP83" s="798"/>
      <c r="IZQ83" s="798"/>
      <c r="IZR83" s="798"/>
      <c r="IZS83" s="798"/>
      <c r="IZT83" s="798"/>
      <c r="IZU83" s="798"/>
      <c r="IZV83" s="798"/>
      <c r="IZW83" s="798"/>
      <c r="IZX83" s="798"/>
      <c r="IZY83" s="798"/>
      <c r="IZZ83" s="798"/>
      <c r="JAA83" s="798"/>
      <c r="JAB83" s="798"/>
      <c r="JAC83" s="798"/>
      <c r="JAD83" s="798"/>
      <c r="JAE83" s="798"/>
      <c r="JAF83" s="798"/>
      <c r="JAG83" s="798"/>
      <c r="JAH83" s="798"/>
      <c r="JAI83" s="798"/>
      <c r="JAJ83" s="798"/>
      <c r="JAK83" s="798"/>
      <c r="JAL83" s="798"/>
      <c r="JAM83" s="798"/>
      <c r="JAN83" s="798"/>
      <c r="JAO83" s="798"/>
      <c r="JAP83" s="798"/>
      <c r="JAQ83" s="798"/>
      <c r="JAR83" s="798"/>
      <c r="JAS83" s="798"/>
      <c r="JAT83" s="798"/>
      <c r="JAU83" s="798"/>
      <c r="JAV83" s="798"/>
      <c r="JAW83" s="798"/>
      <c r="JAX83" s="798"/>
      <c r="JAY83" s="798"/>
      <c r="JAZ83" s="798"/>
      <c r="JBA83" s="798"/>
      <c r="JBB83" s="798"/>
      <c r="JBC83" s="798"/>
      <c r="JBD83" s="798"/>
      <c r="JBE83" s="798"/>
      <c r="JBF83" s="798"/>
      <c r="JBG83" s="798"/>
      <c r="JBH83" s="798"/>
      <c r="JBI83" s="798"/>
      <c r="JBJ83" s="798"/>
      <c r="JBK83" s="798"/>
      <c r="JBL83" s="798"/>
      <c r="JBM83" s="798"/>
      <c r="JBN83" s="798"/>
      <c r="JBO83" s="798"/>
      <c r="JBP83" s="798"/>
      <c r="JBQ83" s="798"/>
      <c r="JBR83" s="798"/>
      <c r="JBS83" s="798"/>
      <c r="JBT83" s="798"/>
      <c r="JBU83" s="798"/>
      <c r="JBV83" s="798"/>
      <c r="JBW83" s="798"/>
      <c r="JBX83" s="798"/>
      <c r="JBY83" s="798"/>
      <c r="JBZ83" s="798"/>
      <c r="JCA83" s="798"/>
      <c r="JCB83" s="798"/>
      <c r="JCC83" s="798"/>
      <c r="JCD83" s="798"/>
      <c r="JCE83" s="798"/>
      <c r="JCF83" s="798"/>
      <c r="JCG83" s="798"/>
      <c r="JCH83" s="798"/>
      <c r="JCI83" s="798"/>
      <c r="JCJ83" s="798"/>
      <c r="JCK83" s="798"/>
      <c r="JCL83" s="798"/>
      <c r="JCM83" s="798"/>
      <c r="JCN83" s="798"/>
      <c r="JCO83" s="798"/>
      <c r="JCP83" s="798"/>
      <c r="JCQ83" s="798"/>
      <c r="JCR83" s="798"/>
      <c r="JCS83" s="798"/>
      <c r="JCT83" s="798"/>
      <c r="JCU83" s="798"/>
      <c r="JCV83" s="798"/>
      <c r="JCW83" s="798"/>
      <c r="JCX83" s="798"/>
      <c r="JCY83" s="798"/>
      <c r="JCZ83" s="798"/>
      <c r="JDA83" s="798"/>
      <c r="JDB83" s="798"/>
      <c r="JDC83" s="798"/>
      <c r="JDD83" s="798"/>
      <c r="JDE83" s="798"/>
      <c r="JDF83" s="798"/>
      <c r="JDG83" s="798"/>
      <c r="JDH83" s="798"/>
      <c r="JDI83" s="798"/>
      <c r="JDJ83" s="798"/>
      <c r="JDK83" s="798"/>
      <c r="JDL83" s="798"/>
      <c r="JDM83" s="798"/>
      <c r="JDN83" s="798"/>
      <c r="JDO83" s="798"/>
      <c r="JDP83" s="798"/>
      <c r="JDQ83" s="798"/>
      <c r="JDR83" s="798"/>
      <c r="JDS83" s="798"/>
      <c r="JDT83" s="798"/>
      <c r="JDU83" s="798"/>
      <c r="JDV83" s="798"/>
      <c r="JDW83" s="798"/>
      <c r="JDX83" s="798"/>
      <c r="JDY83" s="798"/>
      <c r="JDZ83" s="798"/>
      <c r="JEA83" s="798"/>
      <c r="JEB83" s="798"/>
      <c r="JEC83" s="798"/>
      <c r="JED83" s="798"/>
      <c r="JEE83" s="798"/>
      <c r="JEF83" s="798"/>
      <c r="JEG83" s="798"/>
      <c r="JEH83" s="798"/>
      <c r="JEI83" s="798"/>
      <c r="JEJ83" s="798"/>
      <c r="JEK83" s="798"/>
      <c r="JEL83" s="798"/>
      <c r="JEM83" s="798"/>
      <c r="JEN83" s="798"/>
      <c r="JEO83" s="798"/>
      <c r="JEP83" s="798"/>
      <c r="JEQ83" s="798"/>
      <c r="JER83" s="798"/>
      <c r="JES83" s="798"/>
      <c r="JET83" s="798"/>
      <c r="JEU83" s="798"/>
      <c r="JEV83" s="798"/>
      <c r="JEW83" s="798"/>
      <c r="JEX83" s="798"/>
      <c r="JEY83" s="798"/>
      <c r="JEZ83" s="798"/>
      <c r="JFA83" s="798"/>
      <c r="JFB83" s="798"/>
      <c r="JFC83" s="798"/>
      <c r="JFD83" s="798"/>
      <c r="JFE83" s="798"/>
      <c r="JFF83" s="798"/>
      <c r="JFG83" s="798"/>
      <c r="JFH83" s="798"/>
      <c r="JFI83" s="798"/>
      <c r="JFJ83" s="798"/>
      <c r="JFK83" s="798"/>
      <c r="JFL83" s="798"/>
      <c r="JFM83" s="798"/>
      <c r="JFN83" s="798"/>
      <c r="JFO83" s="798"/>
      <c r="JFP83" s="798"/>
      <c r="JFQ83" s="798"/>
      <c r="JFR83" s="798"/>
      <c r="JFS83" s="798"/>
      <c r="JFT83" s="798"/>
      <c r="JFU83" s="798"/>
      <c r="JFV83" s="798"/>
      <c r="JFW83" s="798"/>
      <c r="JFX83" s="798"/>
      <c r="JFY83" s="798"/>
      <c r="JFZ83" s="798"/>
      <c r="JGA83" s="798"/>
      <c r="JGB83" s="798"/>
      <c r="JGC83" s="798"/>
      <c r="JGD83" s="798"/>
      <c r="JGE83" s="798"/>
      <c r="JGF83" s="798"/>
      <c r="JGG83" s="798"/>
      <c r="JGH83" s="798"/>
      <c r="JGI83" s="798"/>
      <c r="JGJ83" s="798"/>
      <c r="JGK83" s="798"/>
      <c r="JGL83" s="798"/>
      <c r="JGM83" s="798"/>
      <c r="JGN83" s="798"/>
      <c r="JGO83" s="798"/>
      <c r="JGP83" s="798"/>
      <c r="JGQ83" s="798"/>
      <c r="JGR83" s="798"/>
      <c r="JGS83" s="798"/>
      <c r="JGT83" s="798"/>
      <c r="JGU83" s="798"/>
      <c r="JGV83" s="798"/>
      <c r="JGW83" s="798"/>
      <c r="JGX83" s="798"/>
      <c r="JGY83" s="798"/>
      <c r="JGZ83" s="798"/>
      <c r="JHA83" s="798"/>
      <c r="JHB83" s="798"/>
      <c r="JHC83" s="798"/>
      <c r="JHD83" s="798"/>
      <c r="JHE83" s="798"/>
      <c r="JHF83" s="798"/>
      <c r="JHG83" s="798"/>
      <c r="JHH83" s="798"/>
      <c r="JHI83" s="798"/>
      <c r="JHJ83" s="798"/>
      <c r="JHK83" s="798"/>
      <c r="JHL83" s="798"/>
      <c r="JHM83" s="798"/>
      <c r="JHN83" s="798"/>
      <c r="JHO83" s="798"/>
      <c r="JHP83" s="798"/>
      <c r="JHQ83" s="798"/>
      <c r="JHR83" s="798"/>
      <c r="JHS83" s="798"/>
      <c r="JHT83" s="798"/>
      <c r="JHU83" s="798"/>
      <c r="JHV83" s="798"/>
      <c r="JHW83" s="798"/>
      <c r="JHX83" s="798"/>
      <c r="JHY83" s="798"/>
      <c r="JHZ83" s="798"/>
      <c r="JIA83" s="798"/>
      <c r="JIB83" s="798"/>
      <c r="JIC83" s="798"/>
      <c r="JID83" s="798"/>
      <c r="JIE83" s="798"/>
      <c r="JIF83" s="798"/>
      <c r="JIG83" s="798"/>
      <c r="JIH83" s="798"/>
      <c r="JII83" s="798"/>
      <c r="JIJ83" s="798"/>
      <c r="JIK83" s="798"/>
      <c r="JIL83" s="798"/>
      <c r="JIM83" s="798"/>
      <c r="JIN83" s="798"/>
      <c r="JIO83" s="798"/>
      <c r="JIP83" s="798"/>
      <c r="JIQ83" s="798"/>
      <c r="JIR83" s="798"/>
      <c r="JIS83" s="798"/>
      <c r="JIT83" s="798"/>
      <c r="JIU83" s="798"/>
      <c r="JIV83" s="798"/>
      <c r="JIW83" s="798"/>
      <c r="JIX83" s="798"/>
      <c r="JIY83" s="798"/>
      <c r="JIZ83" s="798"/>
      <c r="JJA83" s="798"/>
      <c r="JJB83" s="798"/>
      <c r="JJC83" s="798"/>
      <c r="JJD83" s="798"/>
      <c r="JJE83" s="798"/>
      <c r="JJF83" s="798"/>
      <c r="JJG83" s="798"/>
      <c r="JJH83" s="798"/>
      <c r="JJI83" s="798"/>
      <c r="JJJ83" s="798"/>
      <c r="JJK83" s="798"/>
      <c r="JJL83" s="798"/>
      <c r="JJM83" s="798"/>
      <c r="JJN83" s="798"/>
      <c r="JJO83" s="798"/>
      <c r="JJP83" s="798"/>
      <c r="JJQ83" s="798"/>
      <c r="JJR83" s="798"/>
      <c r="JJS83" s="798"/>
      <c r="JJT83" s="798"/>
      <c r="JJU83" s="798"/>
      <c r="JJV83" s="798"/>
      <c r="JJW83" s="798"/>
      <c r="JJX83" s="798"/>
      <c r="JJY83" s="798"/>
      <c r="JJZ83" s="798"/>
      <c r="JKA83" s="798"/>
      <c r="JKB83" s="798"/>
      <c r="JKC83" s="798"/>
      <c r="JKD83" s="798"/>
      <c r="JKE83" s="798"/>
      <c r="JKF83" s="798"/>
      <c r="JKG83" s="798"/>
      <c r="JKH83" s="798"/>
      <c r="JKI83" s="798"/>
      <c r="JKJ83" s="798"/>
      <c r="JKK83" s="798"/>
      <c r="JKL83" s="798"/>
      <c r="JKM83" s="798"/>
      <c r="JKN83" s="798"/>
      <c r="JKO83" s="798"/>
      <c r="JKP83" s="798"/>
      <c r="JKQ83" s="798"/>
      <c r="JKR83" s="798"/>
      <c r="JKS83" s="798"/>
      <c r="JKT83" s="798"/>
      <c r="JKU83" s="798"/>
      <c r="JKV83" s="798"/>
      <c r="JKW83" s="798"/>
      <c r="JKX83" s="798"/>
      <c r="JKY83" s="798"/>
      <c r="JKZ83" s="798"/>
      <c r="JLA83" s="798"/>
      <c r="JLB83" s="798"/>
      <c r="JLC83" s="798"/>
      <c r="JLD83" s="798"/>
      <c r="JLE83" s="798"/>
      <c r="JLF83" s="798"/>
      <c r="JLG83" s="798"/>
      <c r="JLH83" s="798"/>
      <c r="JLI83" s="798"/>
      <c r="JLJ83" s="798"/>
      <c r="JLK83" s="798"/>
      <c r="JLL83" s="798"/>
      <c r="JLM83" s="798"/>
      <c r="JLN83" s="798"/>
      <c r="JLO83" s="798"/>
      <c r="JLP83" s="798"/>
      <c r="JLQ83" s="798"/>
      <c r="JLR83" s="798"/>
      <c r="JLS83" s="798"/>
      <c r="JLT83" s="798"/>
      <c r="JLU83" s="798"/>
      <c r="JLV83" s="798"/>
      <c r="JLW83" s="798"/>
      <c r="JLX83" s="798"/>
      <c r="JLY83" s="798"/>
      <c r="JLZ83" s="798"/>
      <c r="JMA83" s="798"/>
      <c r="JMB83" s="798"/>
      <c r="JMC83" s="798"/>
      <c r="JMD83" s="798"/>
      <c r="JME83" s="798"/>
      <c r="JMF83" s="798"/>
      <c r="JMG83" s="798"/>
      <c r="JMH83" s="798"/>
      <c r="JMI83" s="798"/>
      <c r="JMJ83" s="798"/>
      <c r="JMK83" s="798"/>
      <c r="JML83" s="798"/>
      <c r="JMM83" s="798"/>
      <c r="JMN83" s="798"/>
      <c r="JMO83" s="798"/>
      <c r="JMP83" s="798"/>
      <c r="JMQ83" s="798"/>
      <c r="JMR83" s="798"/>
      <c r="JMS83" s="798"/>
      <c r="JMT83" s="798"/>
      <c r="JMU83" s="798"/>
      <c r="JMV83" s="798"/>
      <c r="JMW83" s="798"/>
      <c r="JMX83" s="798"/>
      <c r="JMY83" s="798"/>
      <c r="JMZ83" s="798"/>
      <c r="JNA83" s="798"/>
      <c r="JNB83" s="798"/>
      <c r="JNC83" s="798"/>
      <c r="JND83" s="798"/>
      <c r="JNE83" s="798"/>
      <c r="JNF83" s="798"/>
      <c r="JNG83" s="798"/>
      <c r="JNH83" s="798"/>
      <c r="JNI83" s="798"/>
      <c r="JNJ83" s="798"/>
      <c r="JNK83" s="798"/>
      <c r="JNL83" s="798"/>
      <c r="JNM83" s="798"/>
      <c r="JNN83" s="798"/>
      <c r="JNO83" s="798"/>
      <c r="JNP83" s="798"/>
      <c r="JNQ83" s="798"/>
      <c r="JNR83" s="798"/>
      <c r="JNS83" s="798"/>
      <c r="JNT83" s="798"/>
      <c r="JNU83" s="798"/>
      <c r="JNV83" s="798"/>
      <c r="JNW83" s="798"/>
      <c r="JNX83" s="798"/>
      <c r="JNY83" s="798"/>
      <c r="JNZ83" s="798"/>
      <c r="JOA83" s="798"/>
      <c r="JOB83" s="798"/>
      <c r="JOC83" s="798"/>
      <c r="JOD83" s="798"/>
      <c r="JOE83" s="798"/>
      <c r="JOF83" s="798"/>
      <c r="JOG83" s="798"/>
      <c r="JOH83" s="798"/>
      <c r="JOI83" s="798"/>
      <c r="JOJ83" s="798"/>
      <c r="JOK83" s="798"/>
      <c r="JOL83" s="798"/>
      <c r="JOM83" s="798"/>
      <c r="JON83" s="798"/>
      <c r="JOO83" s="798"/>
      <c r="JOP83" s="798"/>
      <c r="JOQ83" s="798"/>
      <c r="JOR83" s="798"/>
      <c r="JOS83" s="798"/>
      <c r="JOT83" s="798"/>
      <c r="JOU83" s="798"/>
      <c r="JOV83" s="798"/>
      <c r="JOW83" s="798"/>
      <c r="JOX83" s="798"/>
      <c r="JOY83" s="798"/>
      <c r="JOZ83" s="798"/>
      <c r="JPA83" s="798"/>
      <c r="JPB83" s="798"/>
      <c r="JPC83" s="798"/>
      <c r="JPD83" s="798"/>
      <c r="JPE83" s="798"/>
      <c r="JPF83" s="798"/>
      <c r="JPG83" s="798"/>
      <c r="JPH83" s="798"/>
      <c r="JPI83" s="798"/>
      <c r="JPJ83" s="798"/>
      <c r="JPK83" s="798"/>
      <c r="JPL83" s="798"/>
      <c r="JPM83" s="798"/>
      <c r="JPN83" s="798"/>
      <c r="JPO83" s="798"/>
      <c r="JPP83" s="798"/>
      <c r="JPQ83" s="798"/>
      <c r="JPR83" s="798"/>
      <c r="JPS83" s="798"/>
      <c r="JPT83" s="798"/>
      <c r="JPU83" s="798"/>
      <c r="JPV83" s="798"/>
      <c r="JPW83" s="798"/>
      <c r="JPX83" s="798"/>
      <c r="JPY83" s="798"/>
      <c r="JPZ83" s="798"/>
      <c r="JQA83" s="798"/>
      <c r="JQB83" s="798"/>
      <c r="JQC83" s="798"/>
      <c r="JQD83" s="798"/>
      <c r="JQE83" s="798"/>
      <c r="JQF83" s="798"/>
      <c r="JQG83" s="798"/>
      <c r="JQH83" s="798"/>
      <c r="JQI83" s="798"/>
      <c r="JQJ83" s="798"/>
      <c r="JQK83" s="798"/>
      <c r="JQL83" s="798"/>
      <c r="JQM83" s="798"/>
      <c r="JQN83" s="798"/>
      <c r="JQO83" s="798"/>
      <c r="JQP83" s="798"/>
      <c r="JQQ83" s="798"/>
      <c r="JQR83" s="798"/>
      <c r="JQS83" s="798"/>
      <c r="JQT83" s="798"/>
      <c r="JQU83" s="798"/>
      <c r="JQV83" s="798"/>
      <c r="JQW83" s="798"/>
      <c r="JQX83" s="798"/>
      <c r="JQY83" s="798"/>
      <c r="JQZ83" s="798"/>
      <c r="JRA83" s="798"/>
      <c r="JRB83" s="798"/>
      <c r="JRC83" s="798"/>
      <c r="JRD83" s="798"/>
      <c r="JRE83" s="798"/>
      <c r="JRF83" s="798"/>
      <c r="JRG83" s="798"/>
      <c r="JRH83" s="798"/>
      <c r="JRI83" s="798"/>
      <c r="JRJ83" s="798"/>
      <c r="JRK83" s="798"/>
      <c r="JRL83" s="798"/>
      <c r="JRM83" s="798"/>
      <c r="JRN83" s="798"/>
      <c r="JRO83" s="798"/>
      <c r="JRP83" s="798"/>
      <c r="JRQ83" s="798"/>
      <c r="JRR83" s="798"/>
      <c r="JRS83" s="798"/>
      <c r="JRT83" s="798"/>
      <c r="JRU83" s="798"/>
      <c r="JRV83" s="798"/>
      <c r="JRW83" s="798"/>
      <c r="JRX83" s="798"/>
      <c r="JRY83" s="798"/>
      <c r="JRZ83" s="798"/>
      <c r="JSA83" s="798"/>
      <c r="JSB83" s="798"/>
      <c r="JSC83" s="798"/>
      <c r="JSD83" s="798"/>
      <c r="JSE83" s="798"/>
      <c r="JSF83" s="798"/>
      <c r="JSG83" s="798"/>
      <c r="JSH83" s="798"/>
      <c r="JSI83" s="798"/>
      <c r="JSJ83" s="798"/>
      <c r="JSK83" s="798"/>
      <c r="JSL83" s="798"/>
      <c r="JSM83" s="798"/>
      <c r="JSN83" s="798"/>
      <c r="JSO83" s="798"/>
      <c r="JSP83" s="798"/>
      <c r="JSQ83" s="798"/>
      <c r="JSR83" s="798"/>
      <c r="JSS83" s="798"/>
      <c r="JST83" s="798"/>
      <c r="JSU83" s="798"/>
      <c r="JSV83" s="798"/>
      <c r="JSW83" s="798"/>
      <c r="JSX83" s="798"/>
      <c r="JSY83" s="798"/>
      <c r="JSZ83" s="798"/>
      <c r="JTA83" s="798"/>
      <c r="JTB83" s="798"/>
      <c r="JTC83" s="798"/>
      <c r="JTD83" s="798"/>
      <c r="JTE83" s="798"/>
      <c r="JTF83" s="798"/>
      <c r="JTG83" s="798"/>
      <c r="JTH83" s="798"/>
      <c r="JTI83" s="798"/>
      <c r="JTJ83" s="798"/>
      <c r="JTK83" s="798"/>
      <c r="JTL83" s="798"/>
      <c r="JTM83" s="798"/>
      <c r="JTN83" s="798"/>
      <c r="JTO83" s="798"/>
      <c r="JTP83" s="798"/>
      <c r="JTQ83" s="798"/>
      <c r="JTR83" s="798"/>
      <c r="JTS83" s="798"/>
      <c r="JTT83" s="798"/>
      <c r="JTU83" s="798"/>
      <c r="JTV83" s="798"/>
      <c r="JTW83" s="798"/>
      <c r="JTX83" s="798"/>
      <c r="JTY83" s="798"/>
      <c r="JTZ83" s="798"/>
      <c r="JUA83" s="798"/>
      <c r="JUB83" s="798"/>
      <c r="JUC83" s="798"/>
      <c r="JUD83" s="798"/>
      <c r="JUE83" s="798"/>
      <c r="JUF83" s="798"/>
      <c r="JUG83" s="798"/>
      <c r="JUH83" s="798"/>
      <c r="JUI83" s="798"/>
      <c r="JUJ83" s="798"/>
      <c r="JUK83" s="798"/>
      <c r="JUL83" s="798"/>
      <c r="JUM83" s="798"/>
      <c r="JUN83" s="798"/>
      <c r="JUO83" s="798"/>
      <c r="JUP83" s="798"/>
      <c r="JUQ83" s="798"/>
      <c r="JUR83" s="798"/>
      <c r="JUS83" s="798"/>
      <c r="JUT83" s="798"/>
      <c r="JUU83" s="798"/>
      <c r="JUV83" s="798"/>
      <c r="JUW83" s="798"/>
      <c r="JUX83" s="798"/>
      <c r="JUY83" s="798"/>
      <c r="JUZ83" s="798"/>
      <c r="JVA83" s="798"/>
      <c r="JVB83" s="798"/>
      <c r="JVC83" s="798"/>
      <c r="JVD83" s="798"/>
      <c r="JVE83" s="798"/>
      <c r="JVF83" s="798"/>
      <c r="JVG83" s="798"/>
      <c r="JVH83" s="798"/>
      <c r="JVI83" s="798"/>
      <c r="JVJ83" s="798"/>
      <c r="JVK83" s="798"/>
      <c r="JVL83" s="798"/>
      <c r="JVM83" s="798"/>
      <c r="JVN83" s="798"/>
      <c r="JVO83" s="798"/>
      <c r="JVP83" s="798"/>
      <c r="JVQ83" s="798"/>
      <c r="JVR83" s="798"/>
      <c r="JVS83" s="798"/>
      <c r="JVT83" s="798"/>
      <c r="JVU83" s="798"/>
      <c r="JVV83" s="798"/>
      <c r="JVW83" s="798"/>
      <c r="JVX83" s="798"/>
      <c r="JVY83" s="798"/>
      <c r="JVZ83" s="798"/>
      <c r="JWA83" s="798"/>
      <c r="JWB83" s="798"/>
      <c r="JWC83" s="798"/>
      <c r="JWD83" s="798"/>
      <c r="JWE83" s="798"/>
      <c r="JWF83" s="798"/>
      <c r="JWG83" s="798"/>
      <c r="JWH83" s="798"/>
      <c r="JWI83" s="798"/>
      <c r="JWJ83" s="798"/>
      <c r="JWK83" s="798"/>
      <c r="JWL83" s="798"/>
      <c r="JWM83" s="798"/>
      <c r="JWN83" s="798"/>
      <c r="JWO83" s="798"/>
      <c r="JWP83" s="798"/>
      <c r="JWQ83" s="798"/>
      <c r="JWR83" s="798"/>
      <c r="JWS83" s="798"/>
      <c r="JWT83" s="798"/>
      <c r="JWU83" s="798"/>
      <c r="JWV83" s="798"/>
      <c r="JWW83" s="798"/>
      <c r="JWX83" s="798"/>
      <c r="JWY83" s="798"/>
      <c r="JWZ83" s="798"/>
      <c r="JXA83" s="798"/>
      <c r="JXB83" s="798"/>
      <c r="JXC83" s="798"/>
      <c r="JXD83" s="798"/>
      <c r="JXE83" s="798"/>
      <c r="JXF83" s="798"/>
      <c r="JXG83" s="798"/>
      <c r="JXH83" s="798"/>
      <c r="JXI83" s="798"/>
      <c r="JXJ83" s="798"/>
      <c r="JXK83" s="798"/>
      <c r="JXL83" s="798"/>
      <c r="JXM83" s="798"/>
      <c r="JXN83" s="798"/>
      <c r="JXO83" s="798"/>
      <c r="JXP83" s="798"/>
      <c r="JXQ83" s="798"/>
      <c r="JXR83" s="798"/>
      <c r="JXS83" s="798"/>
      <c r="JXT83" s="798"/>
      <c r="JXU83" s="798"/>
      <c r="JXV83" s="798"/>
      <c r="JXW83" s="798"/>
      <c r="JXX83" s="798"/>
      <c r="JXY83" s="798"/>
      <c r="JXZ83" s="798"/>
      <c r="JYA83" s="798"/>
      <c r="JYB83" s="798"/>
      <c r="JYC83" s="798"/>
      <c r="JYD83" s="798"/>
      <c r="JYE83" s="798"/>
      <c r="JYF83" s="798"/>
      <c r="JYG83" s="798"/>
      <c r="JYH83" s="798"/>
      <c r="JYI83" s="798"/>
      <c r="JYJ83" s="798"/>
      <c r="JYK83" s="798"/>
      <c r="JYL83" s="798"/>
      <c r="JYM83" s="798"/>
      <c r="JYN83" s="798"/>
      <c r="JYO83" s="798"/>
      <c r="JYP83" s="798"/>
      <c r="JYQ83" s="798"/>
      <c r="JYR83" s="798"/>
      <c r="JYS83" s="798"/>
      <c r="JYT83" s="798"/>
      <c r="JYU83" s="798"/>
      <c r="JYV83" s="798"/>
      <c r="JYW83" s="798"/>
      <c r="JYX83" s="798"/>
      <c r="JYY83" s="798"/>
      <c r="JYZ83" s="798"/>
      <c r="JZA83" s="798"/>
      <c r="JZB83" s="798"/>
      <c r="JZC83" s="798"/>
      <c r="JZD83" s="798"/>
      <c r="JZE83" s="798"/>
      <c r="JZF83" s="798"/>
      <c r="JZG83" s="798"/>
      <c r="JZH83" s="798"/>
      <c r="JZI83" s="798"/>
      <c r="JZJ83" s="798"/>
      <c r="JZK83" s="798"/>
      <c r="JZL83" s="798"/>
      <c r="JZM83" s="798"/>
      <c r="JZN83" s="798"/>
      <c r="JZO83" s="798"/>
      <c r="JZP83" s="798"/>
      <c r="JZQ83" s="798"/>
      <c r="JZR83" s="798"/>
      <c r="JZS83" s="798"/>
      <c r="JZT83" s="798"/>
      <c r="JZU83" s="798"/>
      <c r="JZV83" s="798"/>
      <c r="JZW83" s="798"/>
      <c r="JZX83" s="798"/>
      <c r="JZY83" s="798"/>
      <c r="JZZ83" s="798"/>
      <c r="KAA83" s="798"/>
      <c r="KAB83" s="798"/>
      <c r="KAC83" s="798"/>
      <c r="KAD83" s="798"/>
      <c r="KAE83" s="798"/>
      <c r="KAF83" s="798"/>
      <c r="KAG83" s="798"/>
      <c r="KAH83" s="798"/>
      <c r="KAI83" s="798"/>
      <c r="KAJ83" s="798"/>
      <c r="KAK83" s="798"/>
      <c r="KAL83" s="798"/>
      <c r="KAM83" s="798"/>
      <c r="KAN83" s="798"/>
      <c r="KAO83" s="798"/>
      <c r="KAP83" s="798"/>
      <c r="KAQ83" s="798"/>
      <c r="KAR83" s="798"/>
      <c r="KAS83" s="798"/>
      <c r="KAT83" s="798"/>
      <c r="KAU83" s="798"/>
      <c r="KAV83" s="798"/>
      <c r="KAW83" s="798"/>
      <c r="KAX83" s="798"/>
      <c r="KAY83" s="798"/>
      <c r="KAZ83" s="798"/>
      <c r="KBA83" s="798"/>
      <c r="KBB83" s="798"/>
      <c r="KBC83" s="798"/>
      <c r="KBD83" s="798"/>
      <c r="KBE83" s="798"/>
      <c r="KBF83" s="798"/>
      <c r="KBG83" s="798"/>
      <c r="KBH83" s="798"/>
      <c r="KBI83" s="798"/>
      <c r="KBJ83" s="798"/>
      <c r="KBK83" s="798"/>
      <c r="KBL83" s="798"/>
      <c r="KBM83" s="798"/>
      <c r="KBN83" s="798"/>
      <c r="KBO83" s="798"/>
      <c r="KBP83" s="798"/>
      <c r="KBQ83" s="798"/>
      <c r="KBR83" s="798"/>
      <c r="KBS83" s="798"/>
      <c r="KBT83" s="798"/>
      <c r="KBU83" s="798"/>
      <c r="KBV83" s="798"/>
      <c r="KBW83" s="798"/>
      <c r="KBX83" s="798"/>
      <c r="KBY83" s="798"/>
      <c r="KBZ83" s="798"/>
      <c r="KCA83" s="798"/>
      <c r="KCB83" s="798"/>
      <c r="KCC83" s="798"/>
      <c r="KCD83" s="798"/>
      <c r="KCE83" s="798"/>
      <c r="KCF83" s="798"/>
      <c r="KCG83" s="798"/>
      <c r="KCH83" s="798"/>
      <c r="KCI83" s="798"/>
      <c r="KCJ83" s="798"/>
      <c r="KCK83" s="798"/>
      <c r="KCL83" s="798"/>
      <c r="KCM83" s="798"/>
      <c r="KCN83" s="798"/>
      <c r="KCO83" s="798"/>
      <c r="KCP83" s="798"/>
      <c r="KCQ83" s="798"/>
      <c r="KCR83" s="798"/>
      <c r="KCS83" s="798"/>
      <c r="KCT83" s="798"/>
      <c r="KCU83" s="798"/>
      <c r="KCV83" s="798"/>
      <c r="KCW83" s="798"/>
      <c r="KCX83" s="798"/>
      <c r="KCY83" s="798"/>
      <c r="KCZ83" s="798"/>
      <c r="KDA83" s="798"/>
      <c r="KDB83" s="798"/>
      <c r="KDC83" s="798"/>
      <c r="KDD83" s="798"/>
      <c r="KDE83" s="798"/>
      <c r="KDF83" s="798"/>
      <c r="KDG83" s="798"/>
      <c r="KDH83" s="798"/>
      <c r="KDI83" s="798"/>
      <c r="KDJ83" s="798"/>
      <c r="KDK83" s="798"/>
      <c r="KDL83" s="798"/>
      <c r="KDM83" s="798"/>
      <c r="KDN83" s="798"/>
      <c r="KDO83" s="798"/>
      <c r="KDP83" s="798"/>
      <c r="KDQ83" s="798"/>
      <c r="KDR83" s="798"/>
      <c r="KDS83" s="798"/>
      <c r="KDT83" s="798"/>
      <c r="KDU83" s="798"/>
      <c r="KDV83" s="798"/>
      <c r="KDW83" s="798"/>
      <c r="KDX83" s="798"/>
      <c r="KDY83" s="798"/>
      <c r="KDZ83" s="798"/>
      <c r="KEA83" s="798"/>
      <c r="KEB83" s="798"/>
      <c r="KEC83" s="798"/>
      <c r="KED83" s="798"/>
      <c r="KEE83" s="798"/>
      <c r="KEF83" s="798"/>
      <c r="KEG83" s="798"/>
      <c r="KEH83" s="798"/>
      <c r="KEI83" s="798"/>
      <c r="KEJ83" s="798"/>
      <c r="KEK83" s="798"/>
      <c r="KEL83" s="798"/>
      <c r="KEM83" s="798"/>
      <c r="KEN83" s="798"/>
      <c r="KEO83" s="798"/>
      <c r="KEP83" s="798"/>
      <c r="KEQ83" s="798"/>
      <c r="KER83" s="798"/>
      <c r="KES83" s="798"/>
      <c r="KET83" s="798"/>
      <c r="KEU83" s="798"/>
      <c r="KEV83" s="798"/>
      <c r="KEW83" s="798"/>
      <c r="KEX83" s="798"/>
      <c r="KEY83" s="798"/>
      <c r="KEZ83" s="798"/>
      <c r="KFA83" s="798"/>
      <c r="KFB83" s="798"/>
      <c r="KFC83" s="798"/>
      <c r="KFD83" s="798"/>
      <c r="KFE83" s="798"/>
      <c r="KFF83" s="798"/>
      <c r="KFG83" s="798"/>
      <c r="KFH83" s="798"/>
      <c r="KFI83" s="798"/>
      <c r="KFJ83" s="798"/>
      <c r="KFK83" s="798"/>
      <c r="KFL83" s="798"/>
      <c r="KFM83" s="798"/>
      <c r="KFN83" s="798"/>
      <c r="KFO83" s="798"/>
      <c r="KFP83" s="798"/>
      <c r="KFQ83" s="798"/>
      <c r="KFR83" s="798"/>
      <c r="KFS83" s="798"/>
      <c r="KFT83" s="798"/>
      <c r="KFU83" s="798"/>
      <c r="KFV83" s="798"/>
      <c r="KFW83" s="798"/>
      <c r="KFX83" s="798"/>
      <c r="KFY83" s="798"/>
      <c r="KFZ83" s="798"/>
      <c r="KGA83" s="798"/>
      <c r="KGB83" s="798"/>
      <c r="KGC83" s="798"/>
      <c r="KGD83" s="798"/>
      <c r="KGE83" s="798"/>
      <c r="KGF83" s="798"/>
      <c r="KGG83" s="798"/>
      <c r="KGH83" s="798"/>
      <c r="KGI83" s="798"/>
      <c r="KGJ83" s="798"/>
      <c r="KGK83" s="798"/>
      <c r="KGL83" s="798"/>
      <c r="KGM83" s="798"/>
      <c r="KGN83" s="798"/>
      <c r="KGO83" s="798"/>
      <c r="KGP83" s="798"/>
      <c r="KGQ83" s="798"/>
      <c r="KGR83" s="798"/>
      <c r="KGS83" s="798"/>
      <c r="KGT83" s="798"/>
      <c r="KGU83" s="798"/>
      <c r="KGV83" s="798"/>
      <c r="KGW83" s="798"/>
      <c r="KGX83" s="798"/>
      <c r="KGY83" s="798"/>
      <c r="KGZ83" s="798"/>
      <c r="KHA83" s="798"/>
      <c r="KHB83" s="798"/>
      <c r="KHC83" s="798"/>
      <c r="KHD83" s="798"/>
      <c r="KHE83" s="798"/>
      <c r="KHF83" s="798"/>
      <c r="KHG83" s="798"/>
      <c r="KHH83" s="798"/>
      <c r="KHI83" s="798"/>
      <c r="KHJ83" s="798"/>
      <c r="KHK83" s="798"/>
      <c r="KHL83" s="798"/>
      <c r="KHM83" s="798"/>
      <c r="KHN83" s="798"/>
      <c r="KHO83" s="798"/>
      <c r="KHP83" s="798"/>
      <c r="KHQ83" s="798"/>
      <c r="KHR83" s="798"/>
      <c r="KHS83" s="798"/>
      <c r="KHT83" s="798"/>
      <c r="KHU83" s="798"/>
      <c r="KHV83" s="798"/>
      <c r="KHW83" s="798"/>
      <c r="KHX83" s="798"/>
      <c r="KHY83" s="798"/>
      <c r="KHZ83" s="798"/>
      <c r="KIA83" s="798"/>
      <c r="KIB83" s="798"/>
      <c r="KIC83" s="798"/>
      <c r="KID83" s="798"/>
      <c r="KIE83" s="798"/>
      <c r="KIF83" s="798"/>
      <c r="KIG83" s="798"/>
      <c r="KIH83" s="798"/>
      <c r="KII83" s="798"/>
      <c r="KIJ83" s="798"/>
      <c r="KIK83" s="798"/>
      <c r="KIL83" s="798"/>
      <c r="KIM83" s="798"/>
      <c r="KIN83" s="798"/>
      <c r="KIO83" s="798"/>
      <c r="KIP83" s="798"/>
      <c r="KIQ83" s="798"/>
      <c r="KIR83" s="798"/>
      <c r="KIS83" s="798"/>
      <c r="KIT83" s="798"/>
      <c r="KIU83" s="798"/>
      <c r="KIV83" s="798"/>
      <c r="KIW83" s="798"/>
      <c r="KIX83" s="798"/>
      <c r="KIY83" s="798"/>
      <c r="KIZ83" s="798"/>
      <c r="KJA83" s="798"/>
      <c r="KJB83" s="798"/>
      <c r="KJC83" s="798"/>
      <c r="KJD83" s="798"/>
      <c r="KJE83" s="798"/>
      <c r="KJF83" s="798"/>
      <c r="KJG83" s="798"/>
      <c r="KJH83" s="798"/>
      <c r="KJI83" s="798"/>
      <c r="KJJ83" s="798"/>
      <c r="KJK83" s="798"/>
      <c r="KJL83" s="798"/>
      <c r="KJM83" s="798"/>
      <c r="KJN83" s="798"/>
      <c r="KJO83" s="798"/>
      <c r="KJP83" s="798"/>
      <c r="KJQ83" s="798"/>
      <c r="KJR83" s="798"/>
      <c r="KJS83" s="798"/>
      <c r="KJT83" s="798"/>
      <c r="KJU83" s="798"/>
      <c r="KJV83" s="798"/>
      <c r="KJW83" s="798"/>
      <c r="KJX83" s="798"/>
      <c r="KJY83" s="798"/>
      <c r="KJZ83" s="798"/>
      <c r="KKA83" s="798"/>
      <c r="KKB83" s="798"/>
      <c r="KKC83" s="798"/>
      <c r="KKD83" s="798"/>
      <c r="KKE83" s="798"/>
      <c r="KKF83" s="798"/>
      <c r="KKG83" s="798"/>
      <c r="KKH83" s="798"/>
      <c r="KKI83" s="798"/>
      <c r="KKJ83" s="798"/>
      <c r="KKK83" s="798"/>
      <c r="KKL83" s="798"/>
      <c r="KKM83" s="798"/>
      <c r="KKN83" s="798"/>
      <c r="KKO83" s="798"/>
      <c r="KKP83" s="798"/>
      <c r="KKQ83" s="798"/>
      <c r="KKR83" s="798"/>
      <c r="KKS83" s="798"/>
      <c r="KKT83" s="798"/>
      <c r="KKU83" s="798"/>
      <c r="KKV83" s="798"/>
      <c r="KKW83" s="798"/>
      <c r="KKX83" s="798"/>
      <c r="KKY83" s="798"/>
      <c r="KKZ83" s="798"/>
      <c r="KLA83" s="798"/>
      <c r="KLB83" s="798"/>
      <c r="KLC83" s="798"/>
      <c r="KLD83" s="798"/>
      <c r="KLE83" s="798"/>
      <c r="KLF83" s="798"/>
      <c r="KLG83" s="798"/>
      <c r="KLH83" s="798"/>
      <c r="KLI83" s="798"/>
      <c r="KLJ83" s="798"/>
      <c r="KLK83" s="798"/>
      <c r="KLL83" s="798"/>
      <c r="KLM83" s="798"/>
      <c r="KLN83" s="798"/>
      <c r="KLO83" s="798"/>
      <c r="KLP83" s="798"/>
      <c r="KLQ83" s="798"/>
      <c r="KLR83" s="798"/>
      <c r="KLS83" s="798"/>
      <c r="KLT83" s="798"/>
      <c r="KLU83" s="798"/>
      <c r="KLV83" s="798"/>
      <c r="KLW83" s="798"/>
      <c r="KLX83" s="798"/>
      <c r="KLY83" s="798"/>
      <c r="KLZ83" s="798"/>
      <c r="KMA83" s="798"/>
      <c r="KMB83" s="798"/>
      <c r="KMC83" s="798"/>
      <c r="KMD83" s="798"/>
      <c r="KME83" s="798"/>
      <c r="KMF83" s="798"/>
      <c r="KMG83" s="798"/>
      <c r="KMH83" s="798"/>
      <c r="KMI83" s="798"/>
      <c r="KMJ83" s="798"/>
      <c r="KMK83" s="798"/>
      <c r="KML83" s="798"/>
      <c r="KMM83" s="798"/>
      <c r="KMN83" s="798"/>
      <c r="KMO83" s="798"/>
      <c r="KMP83" s="798"/>
      <c r="KMQ83" s="798"/>
      <c r="KMR83" s="798"/>
      <c r="KMS83" s="798"/>
      <c r="KMT83" s="798"/>
      <c r="KMU83" s="798"/>
      <c r="KMV83" s="798"/>
      <c r="KMW83" s="798"/>
      <c r="KMX83" s="798"/>
      <c r="KMY83" s="798"/>
      <c r="KMZ83" s="798"/>
      <c r="KNA83" s="798"/>
      <c r="KNB83" s="798"/>
      <c r="KNC83" s="798"/>
      <c r="KND83" s="798"/>
      <c r="KNE83" s="798"/>
      <c r="KNF83" s="798"/>
      <c r="KNG83" s="798"/>
      <c r="KNH83" s="798"/>
      <c r="KNI83" s="798"/>
      <c r="KNJ83" s="798"/>
      <c r="KNK83" s="798"/>
      <c r="KNL83" s="798"/>
      <c r="KNM83" s="798"/>
      <c r="KNN83" s="798"/>
      <c r="KNO83" s="798"/>
      <c r="KNP83" s="798"/>
      <c r="KNQ83" s="798"/>
      <c r="KNR83" s="798"/>
      <c r="KNS83" s="798"/>
      <c r="KNT83" s="798"/>
      <c r="KNU83" s="798"/>
      <c r="KNV83" s="798"/>
      <c r="KNW83" s="798"/>
      <c r="KNX83" s="798"/>
      <c r="KNY83" s="798"/>
      <c r="KNZ83" s="798"/>
      <c r="KOA83" s="798"/>
      <c r="KOB83" s="798"/>
      <c r="KOC83" s="798"/>
      <c r="KOD83" s="798"/>
      <c r="KOE83" s="798"/>
      <c r="KOF83" s="798"/>
      <c r="KOG83" s="798"/>
      <c r="KOH83" s="798"/>
      <c r="KOI83" s="798"/>
      <c r="KOJ83" s="798"/>
      <c r="KOK83" s="798"/>
      <c r="KOL83" s="798"/>
      <c r="KOM83" s="798"/>
      <c r="KON83" s="798"/>
      <c r="KOO83" s="798"/>
      <c r="KOP83" s="798"/>
      <c r="KOQ83" s="798"/>
      <c r="KOR83" s="798"/>
      <c r="KOS83" s="798"/>
      <c r="KOT83" s="798"/>
      <c r="KOU83" s="798"/>
      <c r="KOV83" s="798"/>
      <c r="KOW83" s="798"/>
      <c r="KOX83" s="798"/>
      <c r="KOY83" s="798"/>
      <c r="KOZ83" s="798"/>
      <c r="KPA83" s="798"/>
      <c r="KPB83" s="798"/>
      <c r="KPC83" s="798"/>
      <c r="KPD83" s="798"/>
      <c r="KPE83" s="798"/>
      <c r="KPF83" s="798"/>
      <c r="KPG83" s="798"/>
      <c r="KPH83" s="798"/>
      <c r="KPI83" s="798"/>
      <c r="KPJ83" s="798"/>
      <c r="KPK83" s="798"/>
      <c r="KPL83" s="798"/>
      <c r="KPM83" s="798"/>
      <c r="KPN83" s="798"/>
      <c r="KPO83" s="798"/>
      <c r="KPP83" s="798"/>
      <c r="KPQ83" s="798"/>
      <c r="KPR83" s="798"/>
      <c r="KPS83" s="798"/>
      <c r="KPT83" s="798"/>
      <c r="KPU83" s="798"/>
      <c r="KPV83" s="798"/>
      <c r="KPW83" s="798"/>
      <c r="KPX83" s="798"/>
      <c r="KPY83" s="798"/>
      <c r="KPZ83" s="798"/>
      <c r="KQA83" s="798"/>
      <c r="KQB83" s="798"/>
      <c r="KQC83" s="798"/>
      <c r="KQD83" s="798"/>
      <c r="KQE83" s="798"/>
      <c r="KQF83" s="798"/>
      <c r="KQG83" s="798"/>
      <c r="KQH83" s="798"/>
      <c r="KQI83" s="798"/>
      <c r="KQJ83" s="798"/>
      <c r="KQK83" s="798"/>
      <c r="KQL83" s="798"/>
      <c r="KQM83" s="798"/>
      <c r="KQN83" s="798"/>
      <c r="KQO83" s="798"/>
      <c r="KQP83" s="798"/>
      <c r="KQQ83" s="798"/>
      <c r="KQR83" s="798"/>
      <c r="KQS83" s="798"/>
      <c r="KQT83" s="798"/>
      <c r="KQU83" s="798"/>
      <c r="KQV83" s="798"/>
      <c r="KQW83" s="798"/>
      <c r="KQX83" s="798"/>
      <c r="KQY83" s="798"/>
      <c r="KQZ83" s="798"/>
      <c r="KRA83" s="798"/>
      <c r="KRB83" s="798"/>
      <c r="KRC83" s="798"/>
      <c r="KRD83" s="798"/>
      <c r="KRE83" s="798"/>
      <c r="KRF83" s="798"/>
      <c r="KRG83" s="798"/>
      <c r="KRH83" s="798"/>
      <c r="KRI83" s="798"/>
      <c r="KRJ83" s="798"/>
      <c r="KRK83" s="798"/>
      <c r="KRL83" s="798"/>
      <c r="KRM83" s="798"/>
      <c r="KRN83" s="798"/>
      <c r="KRO83" s="798"/>
      <c r="KRP83" s="798"/>
      <c r="KRQ83" s="798"/>
      <c r="KRR83" s="798"/>
      <c r="KRS83" s="798"/>
      <c r="KRT83" s="798"/>
      <c r="KRU83" s="798"/>
      <c r="KRV83" s="798"/>
      <c r="KRW83" s="798"/>
      <c r="KRX83" s="798"/>
      <c r="KRY83" s="798"/>
      <c r="KRZ83" s="798"/>
      <c r="KSA83" s="798"/>
      <c r="KSB83" s="798"/>
      <c r="KSC83" s="798"/>
      <c r="KSD83" s="798"/>
      <c r="KSE83" s="798"/>
      <c r="KSF83" s="798"/>
      <c r="KSG83" s="798"/>
      <c r="KSH83" s="798"/>
      <c r="KSI83" s="798"/>
      <c r="KSJ83" s="798"/>
      <c r="KSK83" s="798"/>
      <c r="KSL83" s="798"/>
      <c r="KSM83" s="798"/>
      <c r="KSN83" s="798"/>
      <c r="KSO83" s="798"/>
      <c r="KSP83" s="798"/>
      <c r="KSQ83" s="798"/>
      <c r="KSR83" s="798"/>
      <c r="KSS83" s="798"/>
      <c r="KST83" s="798"/>
      <c r="KSU83" s="798"/>
      <c r="KSV83" s="798"/>
      <c r="KSW83" s="798"/>
      <c r="KSX83" s="798"/>
      <c r="KSY83" s="798"/>
      <c r="KSZ83" s="798"/>
      <c r="KTA83" s="798"/>
      <c r="KTB83" s="798"/>
      <c r="KTC83" s="798"/>
      <c r="KTD83" s="798"/>
      <c r="KTE83" s="798"/>
      <c r="KTF83" s="798"/>
      <c r="KTG83" s="798"/>
      <c r="KTH83" s="798"/>
      <c r="KTI83" s="798"/>
      <c r="KTJ83" s="798"/>
      <c r="KTK83" s="798"/>
      <c r="KTL83" s="798"/>
      <c r="KTM83" s="798"/>
      <c r="KTN83" s="798"/>
      <c r="KTO83" s="798"/>
      <c r="KTP83" s="798"/>
      <c r="KTQ83" s="798"/>
      <c r="KTR83" s="798"/>
      <c r="KTS83" s="798"/>
      <c r="KTT83" s="798"/>
      <c r="KTU83" s="798"/>
      <c r="KTV83" s="798"/>
      <c r="KTW83" s="798"/>
      <c r="KTX83" s="798"/>
      <c r="KTY83" s="798"/>
      <c r="KTZ83" s="798"/>
      <c r="KUA83" s="798"/>
      <c r="KUB83" s="798"/>
      <c r="KUC83" s="798"/>
      <c r="KUD83" s="798"/>
      <c r="KUE83" s="798"/>
      <c r="KUF83" s="798"/>
      <c r="KUG83" s="798"/>
      <c r="KUH83" s="798"/>
      <c r="KUI83" s="798"/>
      <c r="KUJ83" s="798"/>
      <c r="KUK83" s="798"/>
      <c r="KUL83" s="798"/>
      <c r="KUM83" s="798"/>
      <c r="KUN83" s="798"/>
      <c r="KUO83" s="798"/>
      <c r="KUP83" s="798"/>
      <c r="KUQ83" s="798"/>
      <c r="KUR83" s="798"/>
      <c r="KUS83" s="798"/>
      <c r="KUT83" s="798"/>
      <c r="KUU83" s="798"/>
      <c r="KUV83" s="798"/>
      <c r="KUW83" s="798"/>
      <c r="KUX83" s="798"/>
      <c r="KUY83" s="798"/>
      <c r="KUZ83" s="798"/>
      <c r="KVA83" s="798"/>
      <c r="KVB83" s="798"/>
      <c r="KVC83" s="798"/>
      <c r="KVD83" s="798"/>
      <c r="KVE83" s="798"/>
      <c r="KVF83" s="798"/>
      <c r="KVG83" s="798"/>
      <c r="KVH83" s="798"/>
      <c r="KVI83" s="798"/>
      <c r="KVJ83" s="798"/>
      <c r="KVK83" s="798"/>
      <c r="KVL83" s="798"/>
      <c r="KVM83" s="798"/>
      <c r="KVN83" s="798"/>
      <c r="KVO83" s="798"/>
      <c r="KVP83" s="798"/>
      <c r="KVQ83" s="798"/>
      <c r="KVR83" s="798"/>
      <c r="KVS83" s="798"/>
      <c r="KVT83" s="798"/>
      <c r="KVU83" s="798"/>
      <c r="KVV83" s="798"/>
      <c r="KVW83" s="798"/>
      <c r="KVX83" s="798"/>
      <c r="KVY83" s="798"/>
      <c r="KVZ83" s="798"/>
      <c r="KWA83" s="798"/>
      <c r="KWB83" s="798"/>
      <c r="KWC83" s="798"/>
      <c r="KWD83" s="798"/>
      <c r="KWE83" s="798"/>
      <c r="KWF83" s="798"/>
      <c r="KWG83" s="798"/>
      <c r="KWH83" s="798"/>
      <c r="KWI83" s="798"/>
      <c r="KWJ83" s="798"/>
      <c r="KWK83" s="798"/>
      <c r="KWL83" s="798"/>
      <c r="KWM83" s="798"/>
      <c r="KWN83" s="798"/>
      <c r="KWO83" s="798"/>
      <c r="KWP83" s="798"/>
      <c r="KWQ83" s="798"/>
      <c r="KWR83" s="798"/>
      <c r="KWS83" s="798"/>
      <c r="KWT83" s="798"/>
      <c r="KWU83" s="798"/>
      <c r="KWV83" s="798"/>
      <c r="KWW83" s="798"/>
      <c r="KWX83" s="798"/>
      <c r="KWY83" s="798"/>
      <c r="KWZ83" s="798"/>
      <c r="KXA83" s="798"/>
      <c r="KXB83" s="798"/>
      <c r="KXC83" s="798"/>
      <c r="KXD83" s="798"/>
      <c r="KXE83" s="798"/>
      <c r="KXF83" s="798"/>
      <c r="KXG83" s="798"/>
      <c r="KXH83" s="798"/>
      <c r="KXI83" s="798"/>
      <c r="KXJ83" s="798"/>
      <c r="KXK83" s="798"/>
      <c r="KXL83" s="798"/>
      <c r="KXM83" s="798"/>
      <c r="KXN83" s="798"/>
      <c r="KXO83" s="798"/>
      <c r="KXP83" s="798"/>
      <c r="KXQ83" s="798"/>
      <c r="KXR83" s="798"/>
      <c r="KXS83" s="798"/>
      <c r="KXT83" s="798"/>
      <c r="KXU83" s="798"/>
      <c r="KXV83" s="798"/>
      <c r="KXW83" s="798"/>
      <c r="KXX83" s="798"/>
      <c r="KXY83" s="798"/>
      <c r="KXZ83" s="798"/>
      <c r="KYA83" s="798"/>
      <c r="KYB83" s="798"/>
      <c r="KYC83" s="798"/>
      <c r="KYD83" s="798"/>
      <c r="KYE83" s="798"/>
      <c r="KYF83" s="798"/>
      <c r="KYG83" s="798"/>
      <c r="KYH83" s="798"/>
      <c r="KYI83" s="798"/>
      <c r="KYJ83" s="798"/>
      <c r="KYK83" s="798"/>
      <c r="KYL83" s="798"/>
      <c r="KYM83" s="798"/>
      <c r="KYN83" s="798"/>
      <c r="KYO83" s="798"/>
      <c r="KYP83" s="798"/>
      <c r="KYQ83" s="798"/>
      <c r="KYR83" s="798"/>
      <c r="KYS83" s="798"/>
      <c r="KYT83" s="798"/>
      <c r="KYU83" s="798"/>
      <c r="KYV83" s="798"/>
      <c r="KYW83" s="798"/>
      <c r="KYX83" s="798"/>
      <c r="KYY83" s="798"/>
      <c r="KYZ83" s="798"/>
      <c r="KZA83" s="798"/>
      <c r="KZB83" s="798"/>
      <c r="KZC83" s="798"/>
      <c r="KZD83" s="798"/>
      <c r="KZE83" s="798"/>
      <c r="KZF83" s="798"/>
      <c r="KZG83" s="798"/>
      <c r="KZH83" s="798"/>
      <c r="KZI83" s="798"/>
      <c r="KZJ83" s="798"/>
      <c r="KZK83" s="798"/>
      <c r="KZL83" s="798"/>
      <c r="KZM83" s="798"/>
      <c r="KZN83" s="798"/>
      <c r="KZO83" s="798"/>
      <c r="KZP83" s="798"/>
      <c r="KZQ83" s="798"/>
      <c r="KZR83" s="798"/>
      <c r="KZS83" s="798"/>
      <c r="KZT83" s="798"/>
      <c r="KZU83" s="798"/>
      <c r="KZV83" s="798"/>
      <c r="KZW83" s="798"/>
      <c r="KZX83" s="798"/>
      <c r="KZY83" s="798"/>
      <c r="KZZ83" s="798"/>
      <c r="LAA83" s="798"/>
      <c r="LAB83" s="798"/>
      <c r="LAC83" s="798"/>
      <c r="LAD83" s="798"/>
      <c r="LAE83" s="798"/>
      <c r="LAF83" s="798"/>
      <c r="LAG83" s="798"/>
      <c r="LAH83" s="798"/>
      <c r="LAI83" s="798"/>
      <c r="LAJ83" s="798"/>
      <c r="LAK83" s="798"/>
      <c r="LAL83" s="798"/>
      <c r="LAM83" s="798"/>
      <c r="LAN83" s="798"/>
      <c r="LAO83" s="798"/>
      <c r="LAP83" s="798"/>
      <c r="LAQ83" s="798"/>
      <c r="LAR83" s="798"/>
      <c r="LAS83" s="798"/>
      <c r="LAT83" s="798"/>
      <c r="LAU83" s="798"/>
      <c r="LAV83" s="798"/>
      <c r="LAW83" s="798"/>
      <c r="LAX83" s="798"/>
      <c r="LAY83" s="798"/>
      <c r="LAZ83" s="798"/>
      <c r="LBA83" s="798"/>
      <c r="LBB83" s="798"/>
      <c r="LBC83" s="798"/>
      <c r="LBD83" s="798"/>
      <c r="LBE83" s="798"/>
      <c r="LBF83" s="798"/>
      <c r="LBG83" s="798"/>
      <c r="LBH83" s="798"/>
      <c r="LBI83" s="798"/>
      <c r="LBJ83" s="798"/>
      <c r="LBK83" s="798"/>
      <c r="LBL83" s="798"/>
      <c r="LBM83" s="798"/>
      <c r="LBN83" s="798"/>
      <c r="LBO83" s="798"/>
      <c r="LBP83" s="798"/>
      <c r="LBQ83" s="798"/>
      <c r="LBR83" s="798"/>
      <c r="LBS83" s="798"/>
      <c r="LBT83" s="798"/>
      <c r="LBU83" s="798"/>
      <c r="LBV83" s="798"/>
      <c r="LBW83" s="798"/>
      <c r="LBX83" s="798"/>
      <c r="LBY83" s="798"/>
      <c r="LBZ83" s="798"/>
      <c r="LCA83" s="798"/>
      <c r="LCB83" s="798"/>
      <c r="LCC83" s="798"/>
      <c r="LCD83" s="798"/>
      <c r="LCE83" s="798"/>
      <c r="LCF83" s="798"/>
      <c r="LCG83" s="798"/>
      <c r="LCH83" s="798"/>
      <c r="LCI83" s="798"/>
      <c r="LCJ83" s="798"/>
      <c r="LCK83" s="798"/>
      <c r="LCL83" s="798"/>
      <c r="LCM83" s="798"/>
      <c r="LCN83" s="798"/>
      <c r="LCO83" s="798"/>
      <c r="LCP83" s="798"/>
      <c r="LCQ83" s="798"/>
      <c r="LCR83" s="798"/>
      <c r="LCS83" s="798"/>
      <c r="LCT83" s="798"/>
      <c r="LCU83" s="798"/>
      <c r="LCV83" s="798"/>
      <c r="LCW83" s="798"/>
      <c r="LCX83" s="798"/>
      <c r="LCY83" s="798"/>
      <c r="LCZ83" s="798"/>
      <c r="LDA83" s="798"/>
      <c r="LDB83" s="798"/>
      <c r="LDC83" s="798"/>
      <c r="LDD83" s="798"/>
      <c r="LDE83" s="798"/>
      <c r="LDF83" s="798"/>
      <c r="LDG83" s="798"/>
      <c r="LDH83" s="798"/>
      <c r="LDI83" s="798"/>
      <c r="LDJ83" s="798"/>
      <c r="LDK83" s="798"/>
      <c r="LDL83" s="798"/>
      <c r="LDM83" s="798"/>
      <c r="LDN83" s="798"/>
      <c r="LDO83" s="798"/>
      <c r="LDP83" s="798"/>
      <c r="LDQ83" s="798"/>
      <c r="LDR83" s="798"/>
      <c r="LDS83" s="798"/>
      <c r="LDT83" s="798"/>
      <c r="LDU83" s="798"/>
      <c r="LDV83" s="798"/>
      <c r="LDW83" s="798"/>
      <c r="LDX83" s="798"/>
      <c r="LDY83" s="798"/>
      <c r="LDZ83" s="798"/>
      <c r="LEA83" s="798"/>
      <c r="LEB83" s="798"/>
      <c r="LEC83" s="798"/>
      <c r="LED83" s="798"/>
      <c r="LEE83" s="798"/>
      <c r="LEF83" s="798"/>
      <c r="LEG83" s="798"/>
      <c r="LEH83" s="798"/>
      <c r="LEI83" s="798"/>
      <c r="LEJ83" s="798"/>
      <c r="LEK83" s="798"/>
      <c r="LEL83" s="798"/>
      <c r="LEM83" s="798"/>
      <c r="LEN83" s="798"/>
      <c r="LEO83" s="798"/>
      <c r="LEP83" s="798"/>
      <c r="LEQ83" s="798"/>
      <c r="LER83" s="798"/>
      <c r="LES83" s="798"/>
      <c r="LET83" s="798"/>
      <c r="LEU83" s="798"/>
      <c r="LEV83" s="798"/>
      <c r="LEW83" s="798"/>
      <c r="LEX83" s="798"/>
      <c r="LEY83" s="798"/>
      <c r="LEZ83" s="798"/>
      <c r="LFA83" s="798"/>
      <c r="LFB83" s="798"/>
      <c r="LFC83" s="798"/>
      <c r="LFD83" s="798"/>
      <c r="LFE83" s="798"/>
      <c r="LFF83" s="798"/>
      <c r="LFG83" s="798"/>
      <c r="LFH83" s="798"/>
      <c r="LFI83" s="798"/>
      <c r="LFJ83" s="798"/>
      <c r="LFK83" s="798"/>
      <c r="LFL83" s="798"/>
      <c r="LFM83" s="798"/>
      <c r="LFN83" s="798"/>
      <c r="LFO83" s="798"/>
      <c r="LFP83" s="798"/>
      <c r="LFQ83" s="798"/>
      <c r="LFR83" s="798"/>
      <c r="LFS83" s="798"/>
      <c r="LFT83" s="798"/>
      <c r="LFU83" s="798"/>
      <c r="LFV83" s="798"/>
      <c r="LFW83" s="798"/>
      <c r="LFX83" s="798"/>
      <c r="LFY83" s="798"/>
      <c r="LFZ83" s="798"/>
      <c r="LGA83" s="798"/>
      <c r="LGB83" s="798"/>
      <c r="LGC83" s="798"/>
      <c r="LGD83" s="798"/>
      <c r="LGE83" s="798"/>
      <c r="LGF83" s="798"/>
      <c r="LGG83" s="798"/>
      <c r="LGH83" s="798"/>
      <c r="LGI83" s="798"/>
      <c r="LGJ83" s="798"/>
      <c r="LGK83" s="798"/>
      <c r="LGL83" s="798"/>
      <c r="LGM83" s="798"/>
      <c r="LGN83" s="798"/>
      <c r="LGO83" s="798"/>
      <c r="LGP83" s="798"/>
      <c r="LGQ83" s="798"/>
      <c r="LGR83" s="798"/>
      <c r="LGS83" s="798"/>
      <c r="LGT83" s="798"/>
      <c r="LGU83" s="798"/>
      <c r="LGV83" s="798"/>
      <c r="LGW83" s="798"/>
      <c r="LGX83" s="798"/>
      <c r="LGY83" s="798"/>
      <c r="LGZ83" s="798"/>
      <c r="LHA83" s="798"/>
      <c r="LHB83" s="798"/>
      <c r="LHC83" s="798"/>
      <c r="LHD83" s="798"/>
      <c r="LHE83" s="798"/>
      <c r="LHF83" s="798"/>
      <c r="LHG83" s="798"/>
      <c r="LHH83" s="798"/>
      <c r="LHI83" s="798"/>
      <c r="LHJ83" s="798"/>
      <c r="LHK83" s="798"/>
      <c r="LHL83" s="798"/>
      <c r="LHM83" s="798"/>
      <c r="LHN83" s="798"/>
      <c r="LHO83" s="798"/>
      <c r="LHP83" s="798"/>
      <c r="LHQ83" s="798"/>
      <c r="LHR83" s="798"/>
      <c r="LHS83" s="798"/>
      <c r="LHT83" s="798"/>
      <c r="LHU83" s="798"/>
      <c r="LHV83" s="798"/>
      <c r="LHW83" s="798"/>
      <c r="LHX83" s="798"/>
      <c r="LHY83" s="798"/>
      <c r="LHZ83" s="798"/>
      <c r="LIA83" s="798"/>
      <c r="LIB83" s="798"/>
      <c r="LIC83" s="798"/>
      <c r="LID83" s="798"/>
      <c r="LIE83" s="798"/>
      <c r="LIF83" s="798"/>
      <c r="LIG83" s="798"/>
      <c r="LIH83" s="798"/>
      <c r="LII83" s="798"/>
      <c r="LIJ83" s="798"/>
      <c r="LIK83" s="798"/>
      <c r="LIL83" s="798"/>
      <c r="LIM83" s="798"/>
      <c r="LIN83" s="798"/>
      <c r="LIO83" s="798"/>
      <c r="LIP83" s="798"/>
      <c r="LIQ83" s="798"/>
      <c r="LIR83" s="798"/>
      <c r="LIS83" s="798"/>
      <c r="LIT83" s="798"/>
      <c r="LIU83" s="798"/>
      <c r="LIV83" s="798"/>
      <c r="LIW83" s="798"/>
      <c r="LIX83" s="798"/>
      <c r="LIY83" s="798"/>
      <c r="LIZ83" s="798"/>
      <c r="LJA83" s="798"/>
      <c r="LJB83" s="798"/>
      <c r="LJC83" s="798"/>
      <c r="LJD83" s="798"/>
      <c r="LJE83" s="798"/>
      <c r="LJF83" s="798"/>
      <c r="LJG83" s="798"/>
      <c r="LJH83" s="798"/>
      <c r="LJI83" s="798"/>
      <c r="LJJ83" s="798"/>
      <c r="LJK83" s="798"/>
      <c r="LJL83" s="798"/>
      <c r="LJM83" s="798"/>
      <c r="LJN83" s="798"/>
      <c r="LJO83" s="798"/>
      <c r="LJP83" s="798"/>
      <c r="LJQ83" s="798"/>
      <c r="LJR83" s="798"/>
      <c r="LJS83" s="798"/>
      <c r="LJT83" s="798"/>
      <c r="LJU83" s="798"/>
      <c r="LJV83" s="798"/>
      <c r="LJW83" s="798"/>
      <c r="LJX83" s="798"/>
      <c r="LJY83" s="798"/>
      <c r="LJZ83" s="798"/>
      <c r="LKA83" s="798"/>
      <c r="LKB83" s="798"/>
      <c r="LKC83" s="798"/>
      <c r="LKD83" s="798"/>
      <c r="LKE83" s="798"/>
      <c r="LKF83" s="798"/>
      <c r="LKG83" s="798"/>
      <c r="LKH83" s="798"/>
      <c r="LKI83" s="798"/>
      <c r="LKJ83" s="798"/>
      <c r="LKK83" s="798"/>
      <c r="LKL83" s="798"/>
      <c r="LKM83" s="798"/>
      <c r="LKN83" s="798"/>
      <c r="LKO83" s="798"/>
      <c r="LKP83" s="798"/>
      <c r="LKQ83" s="798"/>
      <c r="LKR83" s="798"/>
      <c r="LKS83" s="798"/>
      <c r="LKT83" s="798"/>
      <c r="LKU83" s="798"/>
      <c r="LKV83" s="798"/>
      <c r="LKW83" s="798"/>
      <c r="LKX83" s="798"/>
      <c r="LKY83" s="798"/>
      <c r="LKZ83" s="798"/>
      <c r="LLA83" s="798"/>
      <c r="LLB83" s="798"/>
      <c r="LLC83" s="798"/>
      <c r="LLD83" s="798"/>
      <c r="LLE83" s="798"/>
      <c r="LLF83" s="798"/>
      <c r="LLG83" s="798"/>
      <c r="LLH83" s="798"/>
      <c r="LLI83" s="798"/>
      <c r="LLJ83" s="798"/>
      <c r="LLK83" s="798"/>
      <c r="LLL83" s="798"/>
      <c r="LLM83" s="798"/>
      <c r="LLN83" s="798"/>
      <c r="LLO83" s="798"/>
      <c r="LLP83" s="798"/>
      <c r="LLQ83" s="798"/>
      <c r="LLR83" s="798"/>
      <c r="LLS83" s="798"/>
      <c r="LLT83" s="798"/>
      <c r="LLU83" s="798"/>
      <c r="LLV83" s="798"/>
      <c r="LLW83" s="798"/>
      <c r="LLX83" s="798"/>
      <c r="LLY83" s="798"/>
      <c r="LLZ83" s="798"/>
      <c r="LMA83" s="798"/>
      <c r="LMB83" s="798"/>
      <c r="LMC83" s="798"/>
      <c r="LMD83" s="798"/>
      <c r="LME83" s="798"/>
      <c r="LMF83" s="798"/>
      <c r="LMG83" s="798"/>
      <c r="LMH83" s="798"/>
      <c r="LMI83" s="798"/>
      <c r="LMJ83" s="798"/>
      <c r="LMK83" s="798"/>
      <c r="LML83" s="798"/>
      <c r="LMM83" s="798"/>
      <c r="LMN83" s="798"/>
      <c r="LMO83" s="798"/>
      <c r="LMP83" s="798"/>
      <c r="LMQ83" s="798"/>
      <c r="LMR83" s="798"/>
      <c r="LMS83" s="798"/>
      <c r="LMT83" s="798"/>
      <c r="LMU83" s="798"/>
      <c r="LMV83" s="798"/>
      <c r="LMW83" s="798"/>
      <c r="LMX83" s="798"/>
      <c r="LMY83" s="798"/>
      <c r="LMZ83" s="798"/>
      <c r="LNA83" s="798"/>
      <c r="LNB83" s="798"/>
      <c r="LNC83" s="798"/>
      <c r="LND83" s="798"/>
      <c r="LNE83" s="798"/>
      <c r="LNF83" s="798"/>
      <c r="LNG83" s="798"/>
      <c r="LNH83" s="798"/>
      <c r="LNI83" s="798"/>
      <c r="LNJ83" s="798"/>
      <c r="LNK83" s="798"/>
      <c r="LNL83" s="798"/>
      <c r="LNM83" s="798"/>
      <c r="LNN83" s="798"/>
      <c r="LNO83" s="798"/>
      <c r="LNP83" s="798"/>
      <c r="LNQ83" s="798"/>
      <c r="LNR83" s="798"/>
      <c r="LNS83" s="798"/>
      <c r="LNT83" s="798"/>
      <c r="LNU83" s="798"/>
      <c r="LNV83" s="798"/>
      <c r="LNW83" s="798"/>
      <c r="LNX83" s="798"/>
      <c r="LNY83" s="798"/>
      <c r="LNZ83" s="798"/>
      <c r="LOA83" s="798"/>
      <c r="LOB83" s="798"/>
      <c r="LOC83" s="798"/>
      <c r="LOD83" s="798"/>
      <c r="LOE83" s="798"/>
      <c r="LOF83" s="798"/>
      <c r="LOG83" s="798"/>
      <c r="LOH83" s="798"/>
      <c r="LOI83" s="798"/>
      <c r="LOJ83" s="798"/>
      <c r="LOK83" s="798"/>
      <c r="LOL83" s="798"/>
      <c r="LOM83" s="798"/>
      <c r="LON83" s="798"/>
      <c r="LOO83" s="798"/>
      <c r="LOP83" s="798"/>
      <c r="LOQ83" s="798"/>
      <c r="LOR83" s="798"/>
      <c r="LOS83" s="798"/>
      <c r="LOT83" s="798"/>
      <c r="LOU83" s="798"/>
      <c r="LOV83" s="798"/>
      <c r="LOW83" s="798"/>
      <c r="LOX83" s="798"/>
      <c r="LOY83" s="798"/>
      <c r="LOZ83" s="798"/>
      <c r="LPA83" s="798"/>
      <c r="LPB83" s="798"/>
      <c r="LPC83" s="798"/>
      <c r="LPD83" s="798"/>
      <c r="LPE83" s="798"/>
      <c r="LPF83" s="798"/>
      <c r="LPG83" s="798"/>
      <c r="LPH83" s="798"/>
      <c r="LPI83" s="798"/>
      <c r="LPJ83" s="798"/>
      <c r="LPK83" s="798"/>
      <c r="LPL83" s="798"/>
      <c r="LPM83" s="798"/>
      <c r="LPN83" s="798"/>
      <c r="LPO83" s="798"/>
      <c r="LPP83" s="798"/>
      <c r="LPQ83" s="798"/>
      <c r="LPR83" s="798"/>
      <c r="LPS83" s="798"/>
      <c r="LPT83" s="798"/>
      <c r="LPU83" s="798"/>
      <c r="LPV83" s="798"/>
      <c r="LPW83" s="798"/>
      <c r="LPX83" s="798"/>
      <c r="LPY83" s="798"/>
      <c r="LPZ83" s="798"/>
      <c r="LQA83" s="798"/>
      <c r="LQB83" s="798"/>
      <c r="LQC83" s="798"/>
      <c r="LQD83" s="798"/>
      <c r="LQE83" s="798"/>
      <c r="LQF83" s="798"/>
      <c r="LQG83" s="798"/>
      <c r="LQH83" s="798"/>
      <c r="LQI83" s="798"/>
      <c r="LQJ83" s="798"/>
      <c r="LQK83" s="798"/>
      <c r="LQL83" s="798"/>
      <c r="LQM83" s="798"/>
      <c r="LQN83" s="798"/>
      <c r="LQO83" s="798"/>
      <c r="LQP83" s="798"/>
      <c r="LQQ83" s="798"/>
      <c r="LQR83" s="798"/>
      <c r="LQS83" s="798"/>
      <c r="LQT83" s="798"/>
      <c r="LQU83" s="798"/>
      <c r="LQV83" s="798"/>
      <c r="LQW83" s="798"/>
      <c r="LQX83" s="798"/>
      <c r="LQY83" s="798"/>
      <c r="LQZ83" s="798"/>
      <c r="LRA83" s="798"/>
      <c r="LRB83" s="798"/>
      <c r="LRC83" s="798"/>
      <c r="LRD83" s="798"/>
      <c r="LRE83" s="798"/>
      <c r="LRF83" s="798"/>
      <c r="LRG83" s="798"/>
      <c r="LRH83" s="798"/>
      <c r="LRI83" s="798"/>
      <c r="LRJ83" s="798"/>
      <c r="LRK83" s="798"/>
      <c r="LRL83" s="798"/>
      <c r="LRM83" s="798"/>
      <c r="LRN83" s="798"/>
      <c r="LRO83" s="798"/>
      <c r="LRP83" s="798"/>
      <c r="LRQ83" s="798"/>
      <c r="LRR83" s="798"/>
      <c r="LRS83" s="798"/>
      <c r="LRT83" s="798"/>
      <c r="LRU83" s="798"/>
      <c r="LRV83" s="798"/>
      <c r="LRW83" s="798"/>
      <c r="LRX83" s="798"/>
      <c r="LRY83" s="798"/>
      <c r="LRZ83" s="798"/>
      <c r="LSA83" s="798"/>
      <c r="LSB83" s="798"/>
      <c r="LSC83" s="798"/>
      <c r="LSD83" s="798"/>
      <c r="LSE83" s="798"/>
      <c r="LSF83" s="798"/>
      <c r="LSG83" s="798"/>
      <c r="LSH83" s="798"/>
      <c r="LSI83" s="798"/>
      <c r="LSJ83" s="798"/>
      <c r="LSK83" s="798"/>
      <c r="LSL83" s="798"/>
      <c r="LSM83" s="798"/>
      <c r="LSN83" s="798"/>
      <c r="LSO83" s="798"/>
      <c r="LSP83" s="798"/>
      <c r="LSQ83" s="798"/>
      <c r="LSR83" s="798"/>
      <c r="LSS83" s="798"/>
      <c r="LST83" s="798"/>
      <c r="LSU83" s="798"/>
      <c r="LSV83" s="798"/>
      <c r="LSW83" s="798"/>
      <c r="LSX83" s="798"/>
      <c r="LSY83" s="798"/>
      <c r="LSZ83" s="798"/>
      <c r="LTA83" s="798"/>
      <c r="LTB83" s="798"/>
      <c r="LTC83" s="798"/>
      <c r="LTD83" s="798"/>
      <c r="LTE83" s="798"/>
      <c r="LTF83" s="798"/>
      <c r="LTG83" s="798"/>
      <c r="LTH83" s="798"/>
      <c r="LTI83" s="798"/>
      <c r="LTJ83" s="798"/>
      <c r="LTK83" s="798"/>
      <c r="LTL83" s="798"/>
      <c r="LTM83" s="798"/>
      <c r="LTN83" s="798"/>
      <c r="LTO83" s="798"/>
      <c r="LTP83" s="798"/>
      <c r="LTQ83" s="798"/>
      <c r="LTR83" s="798"/>
      <c r="LTS83" s="798"/>
      <c r="LTT83" s="798"/>
      <c r="LTU83" s="798"/>
      <c r="LTV83" s="798"/>
      <c r="LTW83" s="798"/>
      <c r="LTX83" s="798"/>
      <c r="LTY83" s="798"/>
      <c r="LTZ83" s="798"/>
      <c r="LUA83" s="798"/>
      <c r="LUB83" s="798"/>
      <c r="LUC83" s="798"/>
      <c r="LUD83" s="798"/>
      <c r="LUE83" s="798"/>
      <c r="LUF83" s="798"/>
      <c r="LUG83" s="798"/>
      <c r="LUH83" s="798"/>
      <c r="LUI83" s="798"/>
      <c r="LUJ83" s="798"/>
      <c r="LUK83" s="798"/>
      <c r="LUL83" s="798"/>
      <c r="LUM83" s="798"/>
      <c r="LUN83" s="798"/>
      <c r="LUO83" s="798"/>
      <c r="LUP83" s="798"/>
      <c r="LUQ83" s="798"/>
      <c r="LUR83" s="798"/>
      <c r="LUS83" s="798"/>
      <c r="LUT83" s="798"/>
      <c r="LUU83" s="798"/>
      <c r="LUV83" s="798"/>
      <c r="LUW83" s="798"/>
      <c r="LUX83" s="798"/>
      <c r="LUY83" s="798"/>
      <c r="LUZ83" s="798"/>
      <c r="LVA83" s="798"/>
      <c r="LVB83" s="798"/>
      <c r="LVC83" s="798"/>
      <c r="LVD83" s="798"/>
      <c r="LVE83" s="798"/>
      <c r="LVF83" s="798"/>
      <c r="LVG83" s="798"/>
      <c r="LVH83" s="798"/>
      <c r="LVI83" s="798"/>
      <c r="LVJ83" s="798"/>
      <c r="LVK83" s="798"/>
      <c r="LVL83" s="798"/>
      <c r="LVM83" s="798"/>
      <c r="LVN83" s="798"/>
      <c r="LVO83" s="798"/>
      <c r="LVP83" s="798"/>
      <c r="LVQ83" s="798"/>
      <c r="LVR83" s="798"/>
      <c r="LVS83" s="798"/>
      <c r="LVT83" s="798"/>
      <c r="LVU83" s="798"/>
      <c r="LVV83" s="798"/>
      <c r="LVW83" s="798"/>
      <c r="LVX83" s="798"/>
      <c r="LVY83" s="798"/>
      <c r="LVZ83" s="798"/>
      <c r="LWA83" s="798"/>
      <c r="LWB83" s="798"/>
      <c r="LWC83" s="798"/>
      <c r="LWD83" s="798"/>
      <c r="LWE83" s="798"/>
      <c r="LWF83" s="798"/>
      <c r="LWG83" s="798"/>
      <c r="LWH83" s="798"/>
      <c r="LWI83" s="798"/>
      <c r="LWJ83" s="798"/>
      <c r="LWK83" s="798"/>
      <c r="LWL83" s="798"/>
      <c r="LWM83" s="798"/>
      <c r="LWN83" s="798"/>
      <c r="LWO83" s="798"/>
      <c r="LWP83" s="798"/>
      <c r="LWQ83" s="798"/>
      <c r="LWR83" s="798"/>
      <c r="LWS83" s="798"/>
      <c r="LWT83" s="798"/>
      <c r="LWU83" s="798"/>
      <c r="LWV83" s="798"/>
      <c r="LWW83" s="798"/>
      <c r="LWX83" s="798"/>
      <c r="LWY83" s="798"/>
      <c r="LWZ83" s="798"/>
      <c r="LXA83" s="798"/>
      <c r="LXB83" s="798"/>
      <c r="LXC83" s="798"/>
      <c r="LXD83" s="798"/>
      <c r="LXE83" s="798"/>
      <c r="LXF83" s="798"/>
      <c r="LXG83" s="798"/>
      <c r="LXH83" s="798"/>
      <c r="LXI83" s="798"/>
      <c r="LXJ83" s="798"/>
      <c r="LXK83" s="798"/>
      <c r="LXL83" s="798"/>
      <c r="LXM83" s="798"/>
      <c r="LXN83" s="798"/>
      <c r="LXO83" s="798"/>
      <c r="LXP83" s="798"/>
      <c r="LXQ83" s="798"/>
      <c r="LXR83" s="798"/>
      <c r="LXS83" s="798"/>
      <c r="LXT83" s="798"/>
      <c r="LXU83" s="798"/>
      <c r="LXV83" s="798"/>
      <c r="LXW83" s="798"/>
      <c r="LXX83" s="798"/>
      <c r="LXY83" s="798"/>
      <c r="LXZ83" s="798"/>
      <c r="LYA83" s="798"/>
      <c r="LYB83" s="798"/>
      <c r="LYC83" s="798"/>
      <c r="LYD83" s="798"/>
      <c r="LYE83" s="798"/>
      <c r="LYF83" s="798"/>
      <c r="LYG83" s="798"/>
      <c r="LYH83" s="798"/>
      <c r="LYI83" s="798"/>
      <c r="LYJ83" s="798"/>
      <c r="LYK83" s="798"/>
      <c r="LYL83" s="798"/>
      <c r="LYM83" s="798"/>
      <c r="LYN83" s="798"/>
      <c r="LYO83" s="798"/>
      <c r="LYP83" s="798"/>
      <c r="LYQ83" s="798"/>
      <c r="LYR83" s="798"/>
      <c r="LYS83" s="798"/>
      <c r="LYT83" s="798"/>
      <c r="LYU83" s="798"/>
      <c r="LYV83" s="798"/>
      <c r="LYW83" s="798"/>
      <c r="LYX83" s="798"/>
      <c r="LYY83" s="798"/>
      <c r="LYZ83" s="798"/>
      <c r="LZA83" s="798"/>
      <c r="LZB83" s="798"/>
      <c r="LZC83" s="798"/>
      <c r="LZD83" s="798"/>
      <c r="LZE83" s="798"/>
      <c r="LZF83" s="798"/>
      <c r="LZG83" s="798"/>
      <c r="LZH83" s="798"/>
      <c r="LZI83" s="798"/>
      <c r="LZJ83" s="798"/>
      <c r="LZK83" s="798"/>
      <c r="LZL83" s="798"/>
      <c r="LZM83" s="798"/>
      <c r="LZN83" s="798"/>
      <c r="LZO83" s="798"/>
      <c r="LZP83" s="798"/>
      <c r="LZQ83" s="798"/>
      <c r="LZR83" s="798"/>
      <c r="LZS83" s="798"/>
      <c r="LZT83" s="798"/>
      <c r="LZU83" s="798"/>
      <c r="LZV83" s="798"/>
      <c r="LZW83" s="798"/>
      <c r="LZX83" s="798"/>
      <c r="LZY83" s="798"/>
      <c r="LZZ83" s="798"/>
      <c r="MAA83" s="798"/>
      <c r="MAB83" s="798"/>
      <c r="MAC83" s="798"/>
      <c r="MAD83" s="798"/>
      <c r="MAE83" s="798"/>
      <c r="MAF83" s="798"/>
      <c r="MAG83" s="798"/>
      <c r="MAH83" s="798"/>
      <c r="MAI83" s="798"/>
      <c r="MAJ83" s="798"/>
      <c r="MAK83" s="798"/>
      <c r="MAL83" s="798"/>
      <c r="MAM83" s="798"/>
      <c r="MAN83" s="798"/>
      <c r="MAO83" s="798"/>
      <c r="MAP83" s="798"/>
      <c r="MAQ83" s="798"/>
      <c r="MAR83" s="798"/>
      <c r="MAS83" s="798"/>
      <c r="MAT83" s="798"/>
      <c r="MAU83" s="798"/>
      <c r="MAV83" s="798"/>
      <c r="MAW83" s="798"/>
      <c r="MAX83" s="798"/>
      <c r="MAY83" s="798"/>
      <c r="MAZ83" s="798"/>
      <c r="MBA83" s="798"/>
      <c r="MBB83" s="798"/>
      <c r="MBC83" s="798"/>
      <c r="MBD83" s="798"/>
      <c r="MBE83" s="798"/>
      <c r="MBF83" s="798"/>
      <c r="MBG83" s="798"/>
      <c r="MBH83" s="798"/>
      <c r="MBI83" s="798"/>
      <c r="MBJ83" s="798"/>
      <c r="MBK83" s="798"/>
      <c r="MBL83" s="798"/>
      <c r="MBM83" s="798"/>
      <c r="MBN83" s="798"/>
      <c r="MBO83" s="798"/>
      <c r="MBP83" s="798"/>
      <c r="MBQ83" s="798"/>
      <c r="MBR83" s="798"/>
      <c r="MBS83" s="798"/>
      <c r="MBT83" s="798"/>
      <c r="MBU83" s="798"/>
      <c r="MBV83" s="798"/>
      <c r="MBW83" s="798"/>
      <c r="MBX83" s="798"/>
      <c r="MBY83" s="798"/>
      <c r="MBZ83" s="798"/>
      <c r="MCA83" s="798"/>
      <c r="MCB83" s="798"/>
      <c r="MCC83" s="798"/>
      <c r="MCD83" s="798"/>
      <c r="MCE83" s="798"/>
      <c r="MCF83" s="798"/>
      <c r="MCG83" s="798"/>
      <c r="MCH83" s="798"/>
      <c r="MCI83" s="798"/>
      <c r="MCJ83" s="798"/>
      <c r="MCK83" s="798"/>
      <c r="MCL83" s="798"/>
      <c r="MCM83" s="798"/>
      <c r="MCN83" s="798"/>
      <c r="MCO83" s="798"/>
      <c r="MCP83" s="798"/>
      <c r="MCQ83" s="798"/>
      <c r="MCR83" s="798"/>
      <c r="MCS83" s="798"/>
      <c r="MCT83" s="798"/>
      <c r="MCU83" s="798"/>
      <c r="MCV83" s="798"/>
      <c r="MCW83" s="798"/>
      <c r="MCX83" s="798"/>
      <c r="MCY83" s="798"/>
      <c r="MCZ83" s="798"/>
      <c r="MDA83" s="798"/>
      <c r="MDB83" s="798"/>
      <c r="MDC83" s="798"/>
      <c r="MDD83" s="798"/>
      <c r="MDE83" s="798"/>
      <c r="MDF83" s="798"/>
      <c r="MDG83" s="798"/>
      <c r="MDH83" s="798"/>
      <c r="MDI83" s="798"/>
      <c r="MDJ83" s="798"/>
      <c r="MDK83" s="798"/>
      <c r="MDL83" s="798"/>
      <c r="MDM83" s="798"/>
      <c r="MDN83" s="798"/>
      <c r="MDO83" s="798"/>
      <c r="MDP83" s="798"/>
      <c r="MDQ83" s="798"/>
      <c r="MDR83" s="798"/>
      <c r="MDS83" s="798"/>
      <c r="MDT83" s="798"/>
      <c r="MDU83" s="798"/>
      <c r="MDV83" s="798"/>
      <c r="MDW83" s="798"/>
      <c r="MDX83" s="798"/>
      <c r="MDY83" s="798"/>
      <c r="MDZ83" s="798"/>
      <c r="MEA83" s="798"/>
      <c r="MEB83" s="798"/>
      <c r="MEC83" s="798"/>
      <c r="MED83" s="798"/>
      <c r="MEE83" s="798"/>
      <c r="MEF83" s="798"/>
      <c r="MEG83" s="798"/>
      <c r="MEH83" s="798"/>
      <c r="MEI83" s="798"/>
      <c r="MEJ83" s="798"/>
      <c r="MEK83" s="798"/>
      <c r="MEL83" s="798"/>
      <c r="MEM83" s="798"/>
      <c r="MEN83" s="798"/>
      <c r="MEO83" s="798"/>
      <c r="MEP83" s="798"/>
      <c r="MEQ83" s="798"/>
      <c r="MER83" s="798"/>
      <c r="MES83" s="798"/>
      <c r="MET83" s="798"/>
      <c r="MEU83" s="798"/>
      <c r="MEV83" s="798"/>
      <c r="MEW83" s="798"/>
      <c r="MEX83" s="798"/>
      <c r="MEY83" s="798"/>
      <c r="MEZ83" s="798"/>
      <c r="MFA83" s="798"/>
      <c r="MFB83" s="798"/>
      <c r="MFC83" s="798"/>
      <c r="MFD83" s="798"/>
      <c r="MFE83" s="798"/>
      <c r="MFF83" s="798"/>
      <c r="MFG83" s="798"/>
      <c r="MFH83" s="798"/>
      <c r="MFI83" s="798"/>
      <c r="MFJ83" s="798"/>
      <c r="MFK83" s="798"/>
      <c r="MFL83" s="798"/>
      <c r="MFM83" s="798"/>
      <c r="MFN83" s="798"/>
      <c r="MFO83" s="798"/>
      <c r="MFP83" s="798"/>
      <c r="MFQ83" s="798"/>
      <c r="MFR83" s="798"/>
      <c r="MFS83" s="798"/>
      <c r="MFT83" s="798"/>
      <c r="MFU83" s="798"/>
      <c r="MFV83" s="798"/>
      <c r="MFW83" s="798"/>
      <c r="MFX83" s="798"/>
      <c r="MFY83" s="798"/>
      <c r="MFZ83" s="798"/>
      <c r="MGA83" s="798"/>
      <c r="MGB83" s="798"/>
      <c r="MGC83" s="798"/>
      <c r="MGD83" s="798"/>
      <c r="MGE83" s="798"/>
      <c r="MGF83" s="798"/>
      <c r="MGG83" s="798"/>
      <c r="MGH83" s="798"/>
      <c r="MGI83" s="798"/>
      <c r="MGJ83" s="798"/>
      <c r="MGK83" s="798"/>
      <c r="MGL83" s="798"/>
      <c r="MGM83" s="798"/>
      <c r="MGN83" s="798"/>
      <c r="MGO83" s="798"/>
      <c r="MGP83" s="798"/>
      <c r="MGQ83" s="798"/>
      <c r="MGR83" s="798"/>
      <c r="MGS83" s="798"/>
      <c r="MGT83" s="798"/>
      <c r="MGU83" s="798"/>
      <c r="MGV83" s="798"/>
      <c r="MGW83" s="798"/>
      <c r="MGX83" s="798"/>
      <c r="MGY83" s="798"/>
      <c r="MGZ83" s="798"/>
      <c r="MHA83" s="798"/>
      <c r="MHB83" s="798"/>
      <c r="MHC83" s="798"/>
      <c r="MHD83" s="798"/>
      <c r="MHE83" s="798"/>
      <c r="MHF83" s="798"/>
      <c r="MHG83" s="798"/>
      <c r="MHH83" s="798"/>
      <c r="MHI83" s="798"/>
      <c r="MHJ83" s="798"/>
      <c r="MHK83" s="798"/>
      <c r="MHL83" s="798"/>
      <c r="MHM83" s="798"/>
      <c r="MHN83" s="798"/>
      <c r="MHO83" s="798"/>
      <c r="MHP83" s="798"/>
      <c r="MHQ83" s="798"/>
      <c r="MHR83" s="798"/>
      <c r="MHS83" s="798"/>
      <c r="MHT83" s="798"/>
      <c r="MHU83" s="798"/>
      <c r="MHV83" s="798"/>
      <c r="MHW83" s="798"/>
      <c r="MHX83" s="798"/>
      <c r="MHY83" s="798"/>
      <c r="MHZ83" s="798"/>
      <c r="MIA83" s="798"/>
      <c r="MIB83" s="798"/>
      <c r="MIC83" s="798"/>
      <c r="MID83" s="798"/>
      <c r="MIE83" s="798"/>
      <c r="MIF83" s="798"/>
      <c r="MIG83" s="798"/>
      <c r="MIH83" s="798"/>
      <c r="MII83" s="798"/>
      <c r="MIJ83" s="798"/>
      <c r="MIK83" s="798"/>
      <c r="MIL83" s="798"/>
      <c r="MIM83" s="798"/>
      <c r="MIN83" s="798"/>
      <c r="MIO83" s="798"/>
      <c r="MIP83" s="798"/>
      <c r="MIQ83" s="798"/>
      <c r="MIR83" s="798"/>
      <c r="MIS83" s="798"/>
      <c r="MIT83" s="798"/>
      <c r="MIU83" s="798"/>
      <c r="MIV83" s="798"/>
      <c r="MIW83" s="798"/>
      <c r="MIX83" s="798"/>
      <c r="MIY83" s="798"/>
      <c r="MIZ83" s="798"/>
      <c r="MJA83" s="798"/>
      <c r="MJB83" s="798"/>
      <c r="MJC83" s="798"/>
      <c r="MJD83" s="798"/>
      <c r="MJE83" s="798"/>
      <c r="MJF83" s="798"/>
      <c r="MJG83" s="798"/>
      <c r="MJH83" s="798"/>
      <c r="MJI83" s="798"/>
      <c r="MJJ83" s="798"/>
      <c r="MJK83" s="798"/>
      <c r="MJL83" s="798"/>
      <c r="MJM83" s="798"/>
      <c r="MJN83" s="798"/>
      <c r="MJO83" s="798"/>
      <c r="MJP83" s="798"/>
      <c r="MJQ83" s="798"/>
      <c r="MJR83" s="798"/>
      <c r="MJS83" s="798"/>
      <c r="MJT83" s="798"/>
      <c r="MJU83" s="798"/>
      <c r="MJV83" s="798"/>
      <c r="MJW83" s="798"/>
      <c r="MJX83" s="798"/>
      <c r="MJY83" s="798"/>
      <c r="MJZ83" s="798"/>
      <c r="MKA83" s="798"/>
      <c r="MKB83" s="798"/>
      <c r="MKC83" s="798"/>
      <c r="MKD83" s="798"/>
      <c r="MKE83" s="798"/>
      <c r="MKF83" s="798"/>
      <c r="MKG83" s="798"/>
      <c r="MKH83" s="798"/>
      <c r="MKI83" s="798"/>
      <c r="MKJ83" s="798"/>
      <c r="MKK83" s="798"/>
      <c r="MKL83" s="798"/>
      <c r="MKM83" s="798"/>
      <c r="MKN83" s="798"/>
      <c r="MKO83" s="798"/>
      <c r="MKP83" s="798"/>
      <c r="MKQ83" s="798"/>
      <c r="MKR83" s="798"/>
      <c r="MKS83" s="798"/>
      <c r="MKT83" s="798"/>
      <c r="MKU83" s="798"/>
      <c r="MKV83" s="798"/>
      <c r="MKW83" s="798"/>
      <c r="MKX83" s="798"/>
      <c r="MKY83" s="798"/>
      <c r="MKZ83" s="798"/>
      <c r="MLA83" s="798"/>
      <c r="MLB83" s="798"/>
      <c r="MLC83" s="798"/>
      <c r="MLD83" s="798"/>
      <c r="MLE83" s="798"/>
      <c r="MLF83" s="798"/>
      <c r="MLG83" s="798"/>
      <c r="MLH83" s="798"/>
      <c r="MLI83" s="798"/>
      <c r="MLJ83" s="798"/>
      <c r="MLK83" s="798"/>
      <c r="MLL83" s="798"/>
      <c r="MLM83" s="798"/>
      <c r="MLN83" s="798"/>
      <c r="MLO83" s="798"/>
      <c r="MLP83" s="798"/>
      <c r="MLQ83" s="798"/>
      <c r="MLR83" s="798"/>
      <c r="MLS83" s="798"/>
      <c r="MLT83" s="798"/>
      <c r="MLU83" s="798"/>
      <c r="MLV83" s="798"/>
      <c r="MLW83" s="798"/>
      <c r="MLX83" s="798"/>
      <c r="MLY83" s="798"/>
      <c r="MLZ83" s="798"/>
      <c r="MMA83" s="798"/>
      <c r="MMB83" s="798"/>
      <c r="MMC83" s="798"/>
      <c r="MMD83" s="798"/>
      <c r="MME83" s="798"/>
      <c r="MMF83" s="798"/>
      <c r="MMG83" s="798"/>
      <c r="MMH83" s="798"/>
      <c r="MMI83" s="798"/>
      <c r="MMJ83" s="798"/>
      <c r="MMK83" s="798"/>
      <c r="MML83" s="798"/>
      <c r="MMM83" s="798"/>
      <c r="MMN83" s="798"/>
      <c r="MMO83" s="798"/>
      <c r="MMP83" s="798"/>
      <c r="MMQ83" s="798"/>
      <c r="MMR83" s="798"/>
      <c r="MMS83" s="798"/>
      <c r="MMT83" s="798"/>
      <c r="MMU83" s="798"/>
      <c r="MMV83" s="798"/>
      <c r="MMW83" s="798"/>
      <c r="MMX83" s="798"/>
      <c r="MMY83" s="798"/>
      <c r="MMZ83" s="798"/>
      <c r="MNA83" s="798"/>
      <c r="MNB83" s="798"/>
      <c r="MNC83" s="798"/>
      <c r="MND83" s="798"/>
      <c r="MNE83" s="798"/>
      <c r="MNF83" s="798"/>
      <c r="MNG83" s="798"/>
      <c r="MNH83" s="798"/>
      <c r="MNI83" s="798"/>
      <c r="MNJ83" s="798"/>
      <c r="MNK83" s="798"/>
      <c r="MNL83" s="798"/>
      <c r="MNM83" s="798"/>
      <c r="MNN83" s="798"/>
      <c r="MNO83" s="798"/>
      <c r="MNP83" s="798"/>
      <c r="MNQ83" s="798"/>
      <c r="MNR83" s="798"/>
      <c r="MNS83" s="798"/>
      <c r="MNT83" s="798"/>
      <c r="MNU83" s="798"/>
      <c r="MNV83" s="798"/>
      <c r="MNW83" s="798"/>
      <c r="MNX83" s="798"/>
      <c r="MNY83" s="798"/>
      <c r="MNZ83" s="798"/>
      <c r="MOA83" s="798"/>
      <c r="MOB83" s="798"/>
      <c r="MOC83" s="798"/>
      <c r="MOD83" s="798"/>
      <c r="MOE83" s="798"/>
      <c r="MOF83" s="798"/>
      <c r="MOG83" s="798"/>
      <c r="MOH83" s="798"/>
      <c r="MOI83" s="798"/>
      <c r="MOJ83" s="798"/>
      <c r="MOK83" s="798"/>
      <c r="MOL83" s="798"/>
      <c r="MOM83" s="798"/>
      <c r="MON83" s="798"/>
      <c r="MOO83" s="798"/>
      <c r="MOP83" s="798"/>
      <c r="MOQ83" s="798"/>
      <c r="MOR83" s="798"/>
      <c r="MOS83" s="798"/>
      <c r="MOT83" s="798"/>
      <c r="MOU83" s="798"/>
      <c r="MOV83" s="798"/>
      <c r="MOW83" s="798"/>
      <c r="MOX83" s="798"/>
      <c r="MOY83" s="798"/>
      <c r="MOZ83" s="798"/>
      <c r="MPA83" s="798"/>
      <c r="MPB83" s="798"/>
      <c r="MPC83" s="798"/>
      <c r="MPD83" s="798"/>
      <c r="MPE83" s="798"/>
      <c r="MPF83" s="798"/>
      <c r="MPG83" s="798"/>
      <c r="MPH83" s="798"/>
      <c r="MPI83" s="798"/>
      <c r="MPJ83" s="798"/>
      <c r="MPK83" s="798"/>
      <c r="MPL83" s="798"/>
      <c r="MPM83" s="798"/>
      <c r="MPN83" s="798"/>
      <c r="MPO83" s="798"/>
      <c r="MPP83" s="798"/>
      <c r="MPQ83" s="798"/>
      <c r="MPR83" s="798"/>
      <c r="MPS83" s="798"/>
      <c r="MPT83" s="798"/>
      <c r="MPU83" s="798"/>
      <c r="MPV83" s="798"/>
      <c r="MPW83" s="798"/>
      <c r="MPX83" s="798"/>
      <c r="MPY83" s="798"/>
      <c r="MPZ83" s="798"/>
      <c r="MQA83" s="798"/>
      <c r="MQB83" s="798"/>
      <c r="MQC83" s="798"/>
      <c r="MQD83" s="798"/>
      <c r="MQE83" s="798"/>
      <c r="MQF83" s="798"/>
      <c r="MQG83" s="798"/>
      <c r="MQH83" s="798"/>
      <c r="MQI83" s="798"/>
      <c r="MQJ83" s="798"/>
      <c r="MQK83" s="798"/>
      <c r="MQL83" s="798"/>
      <c r="MQM83" s="798"/>
      <c r="MQN83" s="798"/>
      <c r="MQO83" s="798"/>
      <c r="MQP83" s="798"/>
      <c r="MQQ83" s="798"/>
      <c r="MQR83" s="798"/>
      <c r="MQS83" s="798"/>
      <c r="MQT83" s="798"/>
      <c r="MQU83" s="798"/>
      <c r="MQV83" s="798"/>
      <c r="MQW83" s="798"/>
      <c r="MQX83" s="798"/>
      <c r="MQY83" s="798"/>
      <c r="MQZ83" s="798"/>
      <c r="MRA83" s="798"/>
      <c r="MRB83" s="798"/>
      <c r="MRC83" s="798"/>
      <c r="MRD83" s="798"/>
      <c r="MRE83" s="798"/>
      <c r="MRF83" s="798"/>
      <c r="MRG83" s="798"/>
      <c r="MRH83" s="798"/>
      <c r="MRI83" s="798"/>
      <c r="MRJ83" s="798"/>
      <c r="MRK83" s="798"/>
      <c r="MRL83" s="798"/>
      <c r="MRM83" s="798"/>
      <c r="MRN83" s="798"/>
      <c r="MRO83" s="798"/>
      <c r="MRP83" s="798"/>
      <c r="MRQ83" s="798"/>
      <c r="MRR83" s="798"/>
      <c r="MRS83" s="798"/>
      <c r="MRT83" s="798"/>
      <c r="MRU83" s="798"/>
      <c r="MRV83" s="798"/>
      <c r="MRW83" s="798"/>
      <c r="MRX83" s="798"/>
      <c r="MRY83" s="798"/>
      <c r="MRZ83" s="798"/>
      <c r="MSA83" s="798"/>
      <c r="MSB83" s="798"/>
      <c r="MSC83" s="798"/>
      <c r="MSD83" s="798"/>
      <c r="MSE83" s="798"/>
      <c r="MSF83" s="798"/>
      <c r="MSG83" s="798"/>
      <c r="MSH83" s="798"/>
      <c r="MSI83" s="798"/>
      <c r="MSJ83" s="798"/>
      <c r="MSK83" s="798"/>
      <c r="MSL83" s="798"/>
      <c r="MSM83" s="798"/>
      <c r="MSN83" s="798"/>
      <c r="MSO83" s="798"/>
      <c r="MSP83" s="798"/>
      <c r="MSQ83" s="798"/>
      <c r="MSR83" s="798"/>
      <c r="MSS83" s="798"/>
      <c r="MST83" s="798"/>
      <c r="MSU83" s="798"/>
      <c r="MSV83" s="798"/>
      <c r="MSW83" s="798"/>
      <c r="MSX83" s="798"/>
      <c r="MSY83" s="798"/>
      <c r="MSZ83" s="798"/>
      <c r="MTA83" s="798"/>
      <c r="MTB83" s="798"/>
      <c r="MTC83" s="798"/>
      <c r="MTD83" s="798"/>
      <c r="MTE83" s="798"/>
      <c r="MTF83" s="798"/>
      <c r="MTG83" s="798"/>
      <c r="MTH83" s="798"/>
      <c r="MTI83" s="798"/>
      <c r="MTJ83" s="798"/>
      <c r="MTK83" s="798"/>
      <c r="MTL83" s="798"/>
      <c r="MTM83" s="798"/>
      <c r="MTN83" s="798"/>
      <c r="MTO83" s="798"/>
      <c r="MTP83" s="798"/>
      <c r="MTQ83" s="798"/>
      <c r="MTR83" s="798"/>
      <c r="MTS83" s="798"/>
      <c r="MTT83" s="798"/>
      <c r="MTU83" s="798"/>
      <c r="MTV83" s="798"/>
      <c r="MTW83" s="798"/>
      <c r="MTX83" s="798"/>
      <c r="MTY83" s="798"/>
      <c r="MTZ83" s="798"/>
      <c r="MUA83" s="798"/>
      <c r="MUB83" s="798"/>
      <c r="MUC83" s="798"/>
      <c r="MUD83" s="798"/>
      <c r="MUE83" s="798"/>
      <c r="MUF83" s="798"/>
      <c r="MUG83" s="798"/>
      <c r="MUH83" s="798"/>
      <c r="MUI83" s="798"/>
      <c r="MUJ83" s="798"/>
      <c r="MUK83" s="798"/>
      <c r="MUL83" s="798"/>
      <c r="MUM83" s="798"/>
      <c r="MUN83" s="798"/>
      <c r="MUO83" s="798"/>
      <c r="MUP83" s="798"/>
      <c r="MUQ83" s="798"/>
      <c r="MUR83" s="798"/>
      <c r="MUS83" s="798"/>
      <c r="MUT83" s="798"/>
      <c r="MUU83" s="798"/>
      <c r="MUV83" s="798"/>
      <c r="MUW83" s="798"/>
      <c r="MUX83" s="798"/>
      <c r="MUY83" s="798"/>
      <c r="MUZ83" s="798"/>
      <c r="MVA83" s="798"/>
      <c r="MVB83" s="798"/>
      <c r="MVC83" s="798"/>
      <c r="MVD83" s="798"/>
      <c r="MVE83" s="798"/>
      <c r="MVF83" s="798"/>
      <c r="MVG83" s="798"/>
      <c r="MVH83" s="798"/>
      <c r="MVI83" s="798"/>
      <c r="MVJ83" s="798"/>
      <c r="MVK83" s="798"/>
      <c r="MVL83" s="798"/>
      <c r="MVM83" s="798"/>
      <c r="MVN83" s="798"/>
      <c r="MVO83" s="798"/>
      <c r="MVP83" s="798"/>
      <c r="MVQ83" s="798"/>
      <c r="MVR83" s="798"/>
      <c r="MVS83" s="798"/>
      <c r="MVT83" s="798"/>
      <c r="MVU83" s="798"/>
      <c r="MVV83" s="798"/>
      <c r="MVW83" s="798"/>
      <c r="MVX83" s="798"/>
      <c r="MVY83" s="798"/>
      <c r="MVZ83" s="798"/>
      <c r="MWA83" s="798"/>
      <c r="MWB83" s="798"/>
      <c r="MWC83" s="798"/>
      <c r="MWD83" s="798"/>
      <c r="MWE83" s="798"/>
      <c r="MWF83" s="798"/>
      <c r="MWG83" s="798"/>
      <c r="MWH83" s="798"/>
      <c r="MWI83" s="798"/>
      <c r="MWJ83" s="798"/>
      <c r="MWK83" s="798"/>
      <c r="MWL83" s="798"/>
      <c r="MWM83" s="798"/>
      <c r="MWN83" s="798"/>
      <c r="MWO83" s="798"/>
      <c r="MWP83" s="798"/>
      <c r="MWQ83" s="798"/>
      <c r="MWR83" s="798"/>
      <c r="MWS83" s="798"/>
      <c r="MWT83" s="798"/>
      <c r="MWU83" s="798"/>
      <c r="MWV83" s="798"/>
      <c r="MWW83" s="798"/>
      <c r="MWX83" s="798"/>
      <c r="MWY83" s="798"/>
      <c r="MWZ83" s="798"/>
      <c r="MXA83" s="798"/>
      <c r="MXB83" s="798"/>
      <c r="MXC83" s="798"/>
      <c r="MXD83" s="798"/>
      <c r="MXE83" s="798"/>
      <c r="MXF83" s="798"/>
      <c r="MXG83" s="798"/>
      <c r="MXH83" s="798"/>
      <c r="MXI83" s="798"/>
      <c r="MXJ83" s="798"/>
      <c r="MXK83" s="798"/>
      <c r="MXL83" s="798"/>
      <c r="MXM83" s="798"/>
      <c r="MXN83" s="798"/>
      <c r="MXO83" s="798"/>
      <c r="MXP83" s="798"/>
      <c r="MXQ83" s="798"/>
      <c r="MXR83" s="798"/>
      <c r="MXS83" s="798"/>
      <c r="MXT83" s="798"/>
      <c r="MXU83" s="798"/>
      <c r="MXV83" s="798"/>
      <c r="MXW83" s="798"/>
      <c r="MXX83" s="798"/>
      <c r="MXY83" s="798"/>
      <c r="MXZ83" s="798"/>
      <c r="MYA83" s="798"/>
      <c r="MYB83" s="798"/>
      <c r="MYC83" s="798"/>
      <c r="MYD83" s="798"/>
      <c r="MYE83" s="798"/>
      <c r="MYF83" s="798"/>
      <c r="MYG83" s="798"/>
      <c r="MYH83" s="798"/>
      <c r="MYI83" s="798"/>
      <c r="MYJ83" s="798"/>
      <c r="MYK83" s="798"/>
      <c r="MYL83" s="798"/>
      <c r="MYM83" s="798"/>
      <c r="MYN83" s="798"/>
      <c r="MYO83" s="798"/>
      <c r="MYP83" s="798"/>
      <c r="MYQ83" s="798"/>
      <c r="MYR83" s="798"/>
      <c r="MYS83" s="798"/>
      <c r="MYT83" s="798"/>
      <c r="MYU83" s="798"/>
      <c r="MYV83" s="798"/>
      <c r="MYW83" s="798"/>
      <c r="MYX83" s="798"/>
      <c r="MYY83" s="798"/>
      <c r="MYZ83" s="798"/>
      <c r="MZA83" s="798"/>
      <c r="MZB83" s="798"/>
      <c r="MZC83" s="798"/>
      <c r="MZD83" s="798"/>
      <c r="MZE83" s="798"/>
      <c r="MZF83" s="798"/>
      <c r="MZG83" s="798"/>
      <c r="MZH83" s="798"/>
      <c r="MZI83" s="798"/>
      <c r="MZJ83" s="798"/>
      <c r="MZK83" s="798"/>
      <c r="MZL83" s="798"/>
      <c r="MZM83" s="798"/>
      <c r="MZN83" s="798"/>
      <c r="MZO83" s="798"/>
      <c r="MZP83" s="798"/>
      <c r="MZQ83" s="798"/>
      <c r="MZR83" s="798"/>
      <c r="MZS83" s="798"/>
      <c r="MZT83" s="798"/>
      <c r="MZU83" s="798"/>
      <c r="MZV83" s="798"/>
      <c r="MZW83" s="798"/>
      <c r="MZX83" s="798"/>
      <c r="MZY83" s="798"/>
      <c r="MZZ83" s="798"/>
      <c r="NAA83" s="798"/>
      <c r="NAB83" s="798"/>
      <c r="NAC83" s="798"/>
      <c r="NAD83" s="798"/>
      <c r="NAE83" s="798"/>
      <c r="NAF83" s="798"/>
      <c r="NAG83" s="798"/>
      <c r="NAH83" s="798"/>
      <c r="NAI83" s="798"/>
      <c r="NAJ83" s="798"/>
      <c r="NAK83" s="798"/>
      <c r="NAL83" s="798"/>
      <c r="NAM83" s="798"/>
      <c r="NAN83" s="798"/>
      <c r="NAO83" s="798"/>
      <c r="NAP83" s="798"/>
      <c r="NAQ83" s="798"/>
      <c r="NAR83" s="798"/>
      <c r="NAS83" s="798"/>
      <c r="NAT83" s="798"/>
      <c r="NAU83" s="798"/>
      <c r="NAV83" s="798"/>
      <c r="NAW83" s="798"/>
      <c r="NAX83" s="798"/>
      <c r="NAY83" s="798"/>
      <c r="NAZ83" s="798"/>
      <c r="NBA83" s="798"/>
      <c r="NBB83" s="798"/>
      <c r="NBC83" s="798"/>
      <c r="NBD83" s="798"/>
      <c r="NBE83" s="798"/>
      <c r="NBF83" s="798"/>
      <c r="NBG83" s="798"/>
      <c r="NBH83" s="798"/>
      <c r="NBI83" s="798"/>
      <c r="NBJ83" s="798"/>
      <c r="NBK83" s="798"/>
      <c r="NBL83" s="798"/>
      <c r="NBM83" s="798"/>
      <c r="NBN83" s="798"/>
      <c r="NBO83" s="798"/>
      <c r="NBP83" s="798"/>
      <c r="NBQ83" s="798"/>
      <c r="NBR83" s="798"/>
      <c r="NBS83" s="798"/>
      <c r="NBT83" s="798"/>
      <c r="NBU83" s="798"/>
      <c r="NBV83" s="798"/>
      <c r="NBW83" s="798"/>
      <c r="NBX83" s="798"/>
      <c r="NBY83" s="798"/>
      <c r="NBZ83" s="798"/>
      <c r="NCA83" s="798"/>
      <c r="NCB83" s="798"/>
      <c r="NCC83" s="798"/>
      <c r="NCD83" s="798"/>
      <c r="NCE83" s="798"/>
      <c r="NCF83" s="798"/>
      <c r="NCG83" s="798"/>
      <c r="NCH83" s="798"/>
      <c r="NCI83" s="798"/>
      <c r="NCJ83" s="798"/>
      <c r="NCK83" s="798"/>
      <c r="NCL83" s="798"/>
      <c r="NCM83" s="798"/>
      <c r="NCN83" s="798"/>
      <c r="NCO83" s="798"/>
      <c r="NCP83" s="798"/>
      <c r="NCQ83" s="798"/>
      <c r="NCR83" s="798"/>
      <c r="NCS83" s="798"/>
      <c r="NCT83" s="798"/>
      <c r="NCU83" s="798"/>
      <c r="NCV83" s="798"/>
      <c r="NCW83" s="798"/>
      <c r="NCX83" s="798"/>
      <c r="NCY83" s="798"/>
      <c r="NCZ83" s="798"/>
      <c r="NDA83" s="798"/>
      <c r="NDB83" s="798"/>
      <c r="NDC83" s="798"/>
      <c r="NDD83" s="798"/>
      <c r="NDE83" s="798"/>
      <c r="NDF83" s="798"/>
      <c r="NDG83" s="798"/>
      <c r="NDH83" s="798"/>
      <c r="NDI83" s="798"/>
      <c r="NDJ83" s="798"/>
      <c r="NDK83" s="798"/>
      <c r="NDL83" s="798"/>
      <c r="NDM83" s="798"/>
      <c r="NDN83" s="798"/>
      <c r="NDO83" s="798"/>
      <c r="NDP83" s="798"/>
      <c r="NDQ83" s="798"/>
      <c r="NDR83" s="798"/>
      <c r="NDS83" s="798"/>
      <c r="NDT83" s="798"/>
      <c r="NDU83" s="798"/>
      <c r="NDV83" s="798"/>
      <c r="NDW83" s="798"/>
      <c r="NDX83" s="798"/>
      <c r="NDY83" s="798"/>
      <c r="NDZ83" s="798"/>
      <c r="NEA83" s="798"/>
      <c r="NEB83" s="798"/>
      <c r="NEC83" s="798"/>
      <c r="NED83" s="798"/>
      <c r="NEE83" s="798"/>
      <c r="NEF83" s="798"/>
      <c r="NEG83" s="798"/>
      <c r="NEH83" s="798"/>
      <c r="NEI83" s="798"/>
      <c r="NEJ83" s="798"/>
      <c r="NEK83" s="798"/>
      <c r="NEL83" s="798"/>
      <c r="NEM83" s="798"/>
      <c r="NEN83" s="798"/>
      <c r="NEO83" s="798"/>
      <c r="NEP83" s="798"/>
      <c r="NEQ83" s="798"/>
      <c r="NER83" s="798"/>
      <c r="NES83" s="798"/>
      <c r="NET83" s="798"/>
      <c r="NEU83" s="798"/>
      <c r="NEV83" s="798"/>
      <c r="NEW83" s="798"/>
      <c r="NEX83" s="798"/>
      <c r="NEY83" s="798"/>
      <c r="NEZ83" s="798"/>
      <c r="NFA83" s="798"/>
      <c r="NFB83" s="798"/>
      <c r="NFC83" s="798"/>
      <c r="NFD83" s="798"/>
      <c r="NFE83" s="798"/>
      <c r="NFF83" s="798"/>
      <c r="NFG83" s="798"/>
      <c r="NFH83" s="798"/>
      <c r="NFI83" s="798"/>
      <c r="NFJ83" s="798"/>
      <c r="NFK83" s="798"/>
      <c r="NFL83" s="798"/>
      <c r="NFM83" s="798"/>
      <c r="NFN83" s="798"/>
      <c r="NFO83" s="798"/>
      <c r="NFP83" s="798"/>
      <c r="NFQ83" s="798"/>
      <c r="NFR83" s="798"/>
      <c r="NFS83" s="798"/>
      <c r="NFT83" s="798"/>
      <c r="NFU83" s="798"/>
      <c r="NFV83" s="798"/>
      <c r="NFW83" s="798"/>
      <c r="NFX83" s="798"/>
      <c r="NFY83" s="798"/>
      <c r="NFZ83" s="798"/>
      <c r="NGA83" s="798"/>
      <c r="NGB83" s="798"/>
      <c r="NGC83" s="798"/>
      <c r="NGD83" s="798"/>
      <c r="NGE83" s="798"/>
      <c r="NGF83" s="798"/>
      <c r="NGG83" s="798"/>
      <c r="NGH83" s="798"/>
      <c r="NGI83" s="798"/>
      <c r="NGJ83" s="798"/>
      <c r="NGK83" s="798"/>
      <c r="NGL83" s="798"/>
      <c r="NGM83" s="798"/>
      <c r="NGN83" s="798"/>
      <c r="NGO83" s="798"/>
      <c r="NGP83" s="798"/>
      <c r="NGQ83" s="798"/>
      <c r="NGR83" s="798"/>
      <c r="NGS83" s="798"/>
      <c r="NGT83" s="798"/>
      <c r="NGU83" s="798"/>
      <c r="NGV83" s="798"/>
      <c r="NGW83" s="798"/>
      <c r="NGX83" s="798"/>
      <c r="NGY83" s="798"/>
      <c r="NGZ83" s="798"/>
      <c r="NHA83" s="798"/>
      <c r="NHB83" s="798"/>
      <c r="NHC83" s="798"/>
      <c r="NHD83" s="798"/>
      <c r="NHE83" s="798"/>
      <c r="NHF83" s="798"/>
      <c r="NHG83" s="798"/>
      <c r="NHH83" s="798"/>
      <c r="NHI83" s="798"/>
      <c r="NHJ83" s="798"/>
      <c r="NHK83" s="798"/>
      <c r="NHL83" s="798"/>
      <c r="NHM83" s="798"/>
      <c r="NHN83" s="798"/>
      <c r="NHO83" s="798"/>
      <c r="NHP83" s="798"/>
      <c r="NHQ83" s="798"/>
      <c r="NHR83" s="798"/>
      <c r="NHS83" s="798"/>
      <c r="NHT83" s="798"/>
      <c r="NHU83" s="798"/>
      <c r="NHV83" s="798"/>
      <c r="NHW83" s="798"/>
      <c r="NHX83" s="798"/>
      <c r="NHY83" s="798"/>
      <c r="NHZ83" s="798"/>
      <c r="NIA83" s="798"/>
      <c r="NIB83" s="798"/>
      <c r="NIC83" s="798"/>
      <c r="NID83" s="798"/>
      <c r="NIE83" s="798"/>
      <c r="NIF83" s="798"/>
      <c r="NIG83" s="798"/>
      <c r="NIH83" s="798"/>
      <c r="NII83" s="798"/>
      <c r="NIJ83" s="798"/>
      <c r="NIK83" s="798"/>
      <c r="NIL83" s="798"/>
      <c r="NIM83" s="798"/>
      <c r="NIN83" s="798"/>
      <c r="NIO83" s="798"/>
      <c r="NIP83" s="798"/>
      <c r="NIQ83" s="798"/>
      <c r="NIR83" s="798"/>
      <c r="NIS83" s="798"/>
      <c r="NIT83" s="798"/>
      <c r="NIU83" s="798"/>
      <c r="NIV83" s="798"/>
      <c r="NIW83" s="798"/>
      <c r="NIX83" s="798"/>
      <c r="NIY83" s="798"/>
      <c r="NIZ83" s="798"/>
      <c r="NJA83" s="798"/>
      <c r="NJB83" s="798"/>
      <c r="NJC83" s="798"/>
      <c r="NJD83" s="798"/>
      <c r="NJE83" s="798"/>
      <c r="NJF83" s="798"/>
      <c r="NJG83" s="798"/>
      <c r="NJH83" s="798"/>
      <c r="NJI83" s="798"/>
      <c r="NJJ83" s="798"/>
      <c r="NJK83" s="798"/>
      <c r="NJL83" s="798"/>
      <c r="NJM83" s="798"/>
      <c r="NJN83" s="798"/>
      <c r="NJO83" s="798"/>
      <c r="NJP83" s="798"/>
      <c r="NJQ83" s="798"/>
      <c r="NJR83" s="798"/>
      <c r="NJS83" s="798"/>
      <c r="NJT83" s="798"/>
      <c r="NJU83" s="798"/>
      <c r="NJV83" s="798"/>
      <c r="NJW83" s="798"/>
      <c r="NJX83" s="798"/>
      <c r="NJY83" s="798"/>
      <c r="NJZ83" s="798"/>
      <c r="NKA83" s="798"/>
      <c r="NKB83" s="798"/>
      <c r="NKC83" s="798"/>
      <c r="NKD83" s="798"/>
      <c r="NKE83" s="798"/>
      <c r="NKF83" s="798"/>
      <c r="NKG83" s="798"/>
      <c r="NKH83" s="798"/>
      <c r="NKI83" s="798"/>
      <c r="NKJ83" s="798"/>
      <c r="NKK83" s="798"/>
      <c r="NKL83" s="798"/>
      <c r="NKM83" s="798"/>
      <c r="NKN83" s="798"/>
      <c r="NKO83" s="798"/>
      <c r="NKP83" s="798"/>
      <c r="NKQ83" s="798"/>
      <c r="NKR83" s="798"/>
      <c r="NKS83" s="798"/>
      <c r="NKT83" s="798"/>
      <c r="NKU83" s="798"/>
      <c r="NKV83" s="798"/>
      <c r="NKW83" s="798"/>
      <c r="NKX83" s="798"/>
      <c r="NKY83" s="798"/>
      <c r="NKZ83" s="798"/>
      <c r="NLA83" s="798"/>
      <c r="NLB83" s="798"/>
      <c r="NLC83" s="798"/>
      <c r="NLD83" s="798"/>
      <c r="NLE83" s="798"/>
      <c r="NLF83" s="798"/>
      <c r="NLG83" s="798"/>
      <c r="NLH83" s="798"/>
      <c r="NLI83" s="798"/>
      <c r="NLJ83" s="798"/>
      <c r="NLK83" s="798"/>
      <c r="NLL83" s="798"/>
      <c r="NLM83" s="798"/>
      <c r="NLN83" s="798"/>
      <c r="NLO83" s="798"/>
      <c r="NLP83" s="798"/>
      <c r="NLQ83" s="798"/>
      <c r="NLR83" s="798"/>
      <c r="NLS83" s="798"/>
      <c r="NLT83" s="798"/>
      <c r="NLU83" s="798"/>
      <c r="NLV83" s="798"/>
      <c r="NLW83" s="798"/>
      <c r="NLX83" s="798"/>
      <c r="NLY83" s="798"/>
      <c r="NLZ83" s="798"/>
      <c r="NMA83" s="798"/>
      <c r="NMB83" s="798"/>
      <c r="NMC83" s="798"/>
      <c r="NMD83" s="798"/>
      <c r="NME83" s="798"/>
      <c r="NMF83" s="798"/>
      <c r="NMG83" s="798"/>
      <c r="NMH83" s="798"/>
      <c r="NMI83" s="798"/>
      <c r="NMJ83" s="798"/>
      <c r="NMK83" s="798"/>
      <c r="NML83" s="798"/>
      <c r="NMM83" s="798"/>
      <c r="NMN83" s="798"/>
      <c r="NMO83" s="798"/>
      <c r="NMP83" s="798"/>
      <c r="NMQ83" s="798"/>
      <c r="NMR83" s="798"/>
      <c r="NMS83" s="798"/>
      <c r="NMT83" s="798"/>
      <c r="NMU83" s="798"/>
      <c r="NMV83" s="798"/>
      <c r="NMW83" s="798"/>
      <c r="NMX83" s="798"/>
      <c r="NMY83" s="798"/>
      <c r="NMZ83" s="798"/>
      <c r="NNA83" s="798"/>
      <c r="NNB83" s="798"/>
      <c r="NNC83" s="798"/>
      <c r="NND83" s="798"/>
      <c r="NNE83" s="798"/>
      <c r="NNF83" s="798"/>
      <c r="NNG83" s="798"/>
      <c r="NNH83" s="798"/>
      <c r="NNI83" s="798"/>
      <c r="NNJ83" s="798"/>
      <c r="NNK83" s="798"/>
      <c r="NNL83" s="798"/>
      <c r="NNM83" s="798"/>
      <c r="NNN83" s="798"/>
      <c r="NNO83" s="798"/>
      <c r="NNP83" s="798"/>
      <c r="NNQ83" s="798"/>
      <c r="NNR83" s="798"/>
      <c r="NNS83" s="798"/>
      <c r="NNT83" s="798"/>
      <c r="NNU83" s="798"/>
      <c r="NNV83" s="798"/>
      <c r="NNW83" s="798"/>
      <c r="NNX83" s="798"/>
      <c r="NNY83" s="798"/>
      <c r="NNZ83" s="798"/>
      <c r="NOA83" s="798"/>
      <c r="NOB83" s="798"/>
      <c r="NOC83" s="798"/>
      <c r="NOD83" s="798"/>
      <c r="NOE83" s="798"/>
      <c r="NOF83" s="798"/>
      <c r="NOG83" s="798"/>
      <c r="NOH83" s="798"/>
      <c r="NOI83" s="798"/>
      <c r="NOJ83" s="798"/>
      <c r="NOK83" s="798"/>
      <c r="NOL83" s="798"/>
      <c r="NOM83" s="798"/>
      <c r="NON83" s="798"/>
      <c r="NOO83" s="798"/>
      <c r="NOP83" s="798"/>
      <c r="NOQ83" s="798"/>
      <c r="NOR83" s="798"/>
      <c r="NOS83" s="798"/>
      <c r="NOT83" s="798"/>
      <c r="NOU83" s="798"/>
      <c r="NOV83" s="798"/>
      <c r="NOW83" s="798"/>
      <c r="NOX83" s="798"/>
      <c r="NOY83" s="798"/>
      <c r="NOZ83" s="798"/>
      <c r="NPA83" s="798"/>
      <c r="NPB83" s="798"/>
      <c r="NPC83" s="798"/>
      <c r="NPD83" s="798"/>
      <c r="NPE83" s="798"/>
      <c r="NPF83" s="798"/>
      <c r="NPG83" s="798"/>
      <c r="NPH83" s="798"/>
      <c r="NPI83" s="798"/>
      <c r="NPJ83" s="798"/>
      <c r="NPK83" s="798"/>
      <c r="NPL83" s="798"/>
      <c r="NPM83" s="798"/>
      <c r="NPN83" s="798"/>
      <c r="NPO83" s="798"/>
      <c r="NPP83" s="798"/>
      <c r="NPQ83" s="798"/>
      <c r="NPR83" s="798"/>
      <c r="NPS83" s="798"/>
      <c r="NPT83" s="798"/>
      <c r="NPU83" s="798"/>
      <c r="NPV83" s="798"/>
      <c r="NPW83" s="798"/>
      <c r="NPX83" s="798"/>
      <c r="NPY83" s="798"/>
      <c r="NPZ83" s="798"/>
      <c r="NQA83" s="798"/>
      <c r="NQB83" s="798"/>
      <c r="NQC83" s="798"/>
      <c r="NQD83" s="798"/>
      <c r="NQE83" s="798"/>
      <c r="NQF83" s="798"/>
      <c r="NQG83" s="798"/>
      <c r="NQH83" s="798"/>
      <c r="NQI83" s="798"/>
      <c r="NQJ83" s="798"/>
      <c r="NQK83" s="798"/>
      <c r="NQL83" s="798"/>
      <c r="NQM83" s="798"/>
      <c r="NQN83" s="798"/>
      <c r="NQO83" s="798"/>
      <c r="NQP83" s="798"/>
      <c r="NQQ83" s="798"/>
      <c r="NQR83" s="798"/>
      <c r="NQS83" s="798"/>
      <c r="NQT83" s="798"/>
      <c r="NQU83" s="798"/>
      <c r="NQV83" s="798"/>
      <c r="NQW83" s="798"/>
      <c r="NQX83" s="798"/>
      <c r="NQY83" s="798"/>
      <c r="NQZ83" s="798"/>
      <c r="NRA83" s="798"/>
      <c r="NRB83" s="798"/>
      <c r="NRC83" s="798"/>
      <c r="NRD83" s="798"/>
      <c r="NRE83" s="798"/>
      <c r="NRF83" s="798"/>
      <c r="NRG83" s="798"/>
      <c r="NRH83" s="798"/>
      <c r="NRI83" s="798"/>
      <c r="NRJ83" s="798"/>
      <c r="NRK83" s="798"/>
      <c r="NRL83" s="798"/>
      <c r="NRM83" s="798"/>
      <c r="NRN83" s="798"/>
      <c r="NRO83" s="798"/>
      <c r="NRP83" s="798"/>
      <c r="NRQ83" s="798"/>
      <c r="NRR83" s="798"/>
      <c r="NRS83" s="798"/>
      <c r="NRT83" s="798"/>
      <c r="NRU83" s="798"/>
      <c r="NRV83" s="798"/>
      <c r="NRW83" s="798"/>
      <c r="NRX83" s="798"/>
      <c r="NRY83" s="798"/>
      <c r="NRZ83" s="798"/>
      <c r="NSA83" s="798"/>
      <c r="NSB83" s="798"/>
      <c r="NSC83" s="798"/>
      <c r="NSD83" s="798"/>
      <c r="NSE83" s="798"/>
      <c r="NSF83" s="798"/>
      <c r="NSG83" s="798"/>
      <c r="NSH83" s="798"/>
      <c r="NSI83" s="798"/>
      <c r="NSJ83" s="798"/>
      <c r="NSK83" s="798"/>
      <c r="NSL83" s="798"/>
      <c r="NSM83" s="798"/>
      <c r="NSN83" s="798"/>
      <c r="NSO83" s="798"/>
      <c r="NSP83" s="798"/>
      <c r="NSQ83" s="798"/>
      <c r="NSR83" s="798"/>
      <c r="NSS83" s="798"/>
      <c r="NST83" s="798"/>
      <c r="NSU83" s="798"/>
      <c r="NSV83" s="798"/>
      <c r="NSW83" s="798"/>
      <c r="NSX83" s="798"/>
      <c r="NSY83" s="798"/>
      <c r="NSZ83" s="798"/>
      <c r="NTA83" s="798"/>
      <c r="NTB83" s="798"/>
      <c r="NTC83" s="798"/>
      <c r="NTD83" s="798"/>
      <c r="NTE83" s="798"/>
      <c r="NTF83" s="798"/>
      <c r="NTG83" s="798"/>
      <c r="NTH83" s="798"/>
      <c r="NTI83" s="798"/>
      <c r="NTJ83" s="798"/>
      <c r="NTK83" s="798"/>
      <c r="NTL83" s="798"/>
      <c r="NTM83" s="798"/>
      <c r="NTN83" s="798"/>
      <c r="NTO83" s="798"/>
      <c r="NTP83" s="798"/>
      <c r="NTQ83" s="798"/>
      <c r="NTR83" s="798"/>
      <c r="NTS83" s="798"/>
      <c r="NTT83" s="798"/>
      <c r="NTU83" s="798"/>
      <c r="NTV83" s="798"/>
      <c r="NTW83" s="798"/>
      <c r="NTX83" s="798"/>
      <c r="NTY83" s="798"/>
      <c r="NTZ83" s="798"/>
      <c r="NUA83" s="798"/>
      <c r="NUB83" s="798"/>
      <c r="NUC83" s="798"/>
      <c r="NUD83" s="798"/>
      <c r="NUE83" s="798"/>
      <c r="NUF83" s="798"/>
      <c r="NUG83" s="798"/>
      <c r="NUH83" s="798"/>
      <c r="NUI83" s="798"/>
      <c r="NUJ83" s="798"/>
      <c r="NUK83" s="798"/>
      <c r="NUL83" s="798"/>
      <c r="NUM83" s="798"/>
      <c r="NUN83" s="798"/>
      <c r="NUO83" s="798"/>
      <c r="NUP83" s="798"/>
      <c r="NUQ83" s="798"/>
      <c r="NUR83" s="798"/>
      <c r="NUS83" s="798"/>
      <c r="NUT83" s="798"/>
      <c r="NUU83" s="798"/>
      <c r="NUV83" s="798"/>
      <c r="NUW83" s="798"/>
      <c r="NUX83" s="798"/>
      <c r="NUY83" s="798"/>
      <c r="NUZ83" s="798"/>
      <c r="NVA83" s="798"/>
      <c r="NVB83" s="798"/>
      <c r="NVC83" s="798"/>
      <c r="NVD83" s="798"/>
      <c r="NVE83" s="798"/>
      <c r="NVF83" s="798"/>
      <c r="NVG83" s="798"/>
      <c r="NVH83" s="798"/>
      <c r="NVI83" s="798"/>
      <c r="NVJ83" s="798"/>
      <c r="NVK83" s="798"/>
      <c r="NVL83" s="798"/>
      <c r="NVM83" s="798"/>
      <c r="NVN83" s="798"/>
      <c r="NVO83" s="798"/>
      <c r="NVP83" s="798"/>
      <c r="NVQ83" s="798"/>
      <c r="NVR83" s="798"/>
      <c r="NVS83" s="798"/>
      <c r="NVT83" s="798"/>
      <c r="NVU83" s="798"/>
      <c r="NVV83" s="798"/>
      <c r="NVW83" s="798"/>
      <c r="NVX83" s="798"/>
      <c r="NVY83" s="798"/>
      <c r="NVZ83" s="798"/>
      <c r="NWA83" s="798"/>
      <c r="NWB83" s="798"/>
      <c r="NWC83" s="798"/>
      <c r="NWD83" s="798"/>
      <c r="NWE83" s="798"/>
      <c r="NWF83" s="798"/>
      <c r="NWG83" s="798"/>
      <c r="NWH83" s="798"/>
      <c r="NWI83" s="798"/>
      <c r="NWJ83" s="798"/>
      <c r="NWK83" s="798"/>
      <c r="NWL83" s="798"/>
      <c r="NWM83" s="798"/>
      <c r="NWN83" s="798"/>
      <c r="NWO83" s="798"/>
      <c r="NWP83" s="798"/>
      <c r="NWQ83" s="798"/>
      <c r="NWR83" s="798"/>
      <c r="NWS83" s="798"/>
      <c r="NWT83" s="798"/>
      <c r="NWU83" s="798"/>
      <c r="NWV83" s="798"/>
      <c r="NWW83" s="798"/>
      <c r="NWX83" s="798"/>
      <c r="NWY83" s="798"/>
      <c r="NWZ83" s="798"/>
      <c r="NXA83" s="798"/>
      <c r="NXB83" s="798"/>
      <c r="NXC83" s="798"/>
      <c r="NXD83" s="798"/>
      <c r="NXE83" s="798"/>
      <c r="NXF83" s="798"/>
      <c r="NXG83" s="798"/>
      <c r="NXH83" s="798"/>
      <c r="NXI83" s="798"/>
      <c r="NXJ83" s="798"/>
      <c r="NXK83" s="798"/>
      <c r="NXL83" s="798"/>
      <c r="NXM83" s="798"/>
      <c r="NXN83" s="798"/>
      <c r="NXO83" s="798"/>
      <c r="NXP83" s="798"/>
      <c r="NXQ83" s="798"/>
      <c r="NXR83" s="798"/>
      <c r="NXS83" s="798"/>
      <c r="NXT83" s="798"/>
      <c r="NXU83" s="798"/>
      <c r="NXV83" s="798"/>
      <c r="NXW83" s="798"/>
      <c r="NXX83" s="798"/>
      <c r="NXY83" s="798"/>
      <c r="NXZ83" s="798"/>
      <c r="NYA83" s="798"/>
      <c r="NYB83" s="798"/>
      <c r="NYC83" s="798"/>
      <c r="NYD83" s="798"/>
      <c r="NYE83" s="798"/>
      <c r="NYF83" s="798"/>
      <c r="NYG83" s="798"/>
      <c r="NYH83" s="798"/>
      <c r="NYI83" s="798"/>
      <c r="NYJ83" s="798"/>
      <c r="NYK83" s="798"/>
      <c r="NYL83" s="798"/>
      <c r="NYM83" s="798"/>
      <c r="NYN83" s="798"/>
      <c r="NYO83" s="798"/>
      <c r="NYP83" s="798"/>
      <c r="NYQ83" s="798"/>
      <c r="NYR83" s="798"/>
      <c r="NYS83" s="798"/>
      <c r="NYT83" s="798"/>
      <c r="NYU83" s="798"/>
      <c r="NYV83" s="798"/>
      <c r="NYW83" s="798"/>
      <c r="NYX83" s="798"/>
      <c r="NYY83" s="798"/>
      <c r="NYZ83" s="798"/>
      <c r="NZA83" s="798"/>
      <c r="NZB83" s="798"/>
      <c r="NZC83" s="798"/>
      <c r="NZD83" s="798"/>
      <c r="NZE83" s="798"/>
      <c r="NZF83" s="798"/>
      <c r="NZG83" s="798"/>
      <c r="NZH83" s="798"/>
      <c r="NZI83" s="798"/>
      <c r="NZJ83" s="798"/>
      <c r="NZK83" s="798"/>
      <c r="NZL83" s="798"/>
      <c r="NZM83" s="798"/>
      <c r="NZN83" s="798"/>
      <c r="NZO83" s="798"/>
      <c r="NZP83" s="798"/>
      <c r="NZQ83" s="798"/>
      <c r="NZR83" s="798"/>
      <c r="NZS83" s="798"/>
      <c r="NZT83" s="798"/>
      <c r="NZU83" s="798"/>
      <c r="NZV83" s="798"/>
      <c r="NZW83" s="798"/>
      <c r="NZX83" s="798"/>
      <c r="NZY83" s="798"/>
      <c r="NZZ83" s="798"/>
      <c r="OAA83" s="798"/>
      <c r="OAB83" s="798"/>
      <c r="OAC83" s="798"/>
      <c r="OAD83" s="798"/>
      <c r="OAE83" s="798"/>
      <c r="OAF83" s="798"/>
      <c r="OAG83" s="798"/>
      <c r="OAH83" s="798"/>
      <c r="OAI83" s="798"/>
      <c r="OAJ83" s="798"/>
      <c r="OAK83" s="798"/>
      <c r="OAL83" s="798"/>
      <c r="OAM83" s="798"/>
      <c r="OAN83" s="798"/>
      <c r="OAO83" s="798"/>
      <c r="OAP83" s="798"/>
      <c r="OAQ83" s="798"/>
      <c r="OAR83" s="798"/>
      <c r="OAS83" s="798"/>
      <c r="OAT83" s="798"/>
      <c r="OAU83" s="798"/>
      <c r="OAV83" s="798"/>
      <c r="OAW83" s="798"/>
      <c r="OAX83" s="798"/>
      <c r="OAY83" s="798"/>
      <c r="OAZ83" s="798"/>
      <c r="OBA83" s="798"/>
      <c r="OBB83" s="798"/>
      <c r="OBC83" s="798"/>
      <c r="OBD83" s="798"/>
      <c r="OBE83" s="798"/>
      <c r="OBF83" s="798"/>
      <c r="OBG83" s="798"/>
      <c r="OBH83" s="798"/>
      <c r="OBI83" s="798"/>
      <c r="OBJ83" s="798"/>
      <c r="OBK83" s="798"/>
      <c r="OBL83" s="798"/>
      <c r="OBM83" s="798"/>
      <c r="OBN83" s="798"/>
      <c r="OBO83" s="798"/>
      <c r="OBP83" s="798"/>
      <c r="OBQ83" s="798"/>
      <c r="OBR83" s="798"/>
      <c r="OBS83" s="798"/>
      <c r="OBT83" s="798"/>
      <c r="OBU83" s="798"/>
      <c r="OBV83" s="798"/>
      <c r="OBW83" s="798"/>
      <c r="OBX83" s="798"/>
      <c r="OBY83" s="798"/>
      <c r="OBZ83" s="798"/>
      <c r="OCA83" s="798"/>
      <c r="OCB83" s="798"/>
      <c r="OCC83" s="798"/>
      <c r="OCD83" s="798"/>
      <c r="OCE83" s="798"/>
      <c r="OCF83" s="798"/>
      <c r="OCG83" s="798"/>
      <c r="OCH83" s="798"/>
      <c r="OCI83" s="798"/>
      <c r="OCJ83" s="798"/>
      <c r="OCK83" s="798"/>
      <c r="OCL83" s="798"/>
      <c r="OCM83" s="798"/>
      <c r="OCN83" s="798"/>
      <c r="OCO83" s="798"/>
      <c r="OCP83" s="798"/>
      <c r="OCQ83" s="798"/>
      <c r="OCR83" s="798"/>
      <c r="OCS83" s="798"/>
      <c r="OCT83" s="798"/>
      <c r="OCU83" s="798"/>
      <c r="OCV83" s="798"/>
      <c r="OCW83" s="798"/>
      <c r="OCX83" s="798"/>
      <c r="OCY83" s="798"/>
      <c r="OCZ83" s="798"/>
      <c r="ODA83" s="798"/>
      <c r="ODB83" s="798"/>
      <c r="ODC83" s="798"/>
      <c r="ODD83" s="798"/>
      <c r="ODE83" s="798"/>
      <c r="ODF83" s="798"/>
      <c r="ODG83" s="798"/>
      <c r="ODH83" s="798"/>
      <c r="ODI83" s="798"/>
      <c r="ODJ83" s="798"/>
      <c r="ODK83" s="798"/>
      <c r="ODL83" s="798"/>
      <c r="ODM83" s="798"/>
      <c r="ODN83" s="798"/>
      <c r="ODO83" s="798"/>
      <c r="ODP83" s="798"/>
      <c r="ODQ83" s="798"/>
      <c r="ODR83" s="798"/>
      <c r="ODS83" s="798"/>
      <c r="ODT83" s="798"/>
      <c r="ODU83" s="798"/>
      <c r="ODV83" s="798"/>
      <c r="ODW83" s="798"/>
      <c r="ODX83" s="798"/>
      <c r="ODY83" s="798"/>
      <c r="ODZ83" s="798"/>
      <c r="OEA83" s="798"/>
      <c r="OEB83" s="798"/>
      <c r="OEC83" s="798"/>
      <c r="OED83" s="798"/>
      <c r="OEE83" s="798"/>
      <c r="OEF83" s="798"/>
      <c r="OEG83" s="798"/>
      <c r="OEH83" s="798"/>
      <c r="OEI83" s="798"/>
      <c r="OEJ83" s="798"/>
      <c r="OEK83" s="798"/>
      <c r="OEL83" s="798"/>
      <c r="OEM83" s="798"/>
      <c r="OEN83" s="798"/>
      <c r="OEO83" s="798"/>
      <c r="OEP83" s="798"/>
      <c r="OEQ83" s="798"/>
      <c r="OER83" s="798"/>
      <c r="OES83" s="798"/>
      <c r="OET83" s="798"/>
      <c r="OEU83" s="798"/>
      <c r="OEV83" s="798"/>
      <c r="OEW83" s="798"/>
      <c r="OEX83" s="798"/>
      <c r="OEY83" s="798"/>
      <c r="OEZ83" s="798"/>
      <c r="OFA83" s="798"/>
      <c r="OFB83" s="798"/>
      <c r="OFC83" s="798"/>
      <c r="OFD83" s="798"/>
      <c r="OFE83" s="798"/>
      <c r="OFF83" s="798"/>
      <c r="OFG83" s="798"/>
      <c r="OFH83" s="798"/>
      <c r="OFI83" s="798"/>
      <c r="OFJ83" s="798"/>
      <c r="OFK83" s="798"/>
      <c r="OFL83" s="798"/>
      <c r="OFM83" s="798"/>
      <c r="OFN83" s="798"/>
      <c r="OFO83" s="798"/>
      <c r="OFP83" s="798"/>
      <c r="OFQ83" s="798"/>
      <c r="OFR83" s="798"/>
      <c r="OFS83" s="798"/>
      <c r="OFT83" s="798"/>
      <c r="OFU83" s="798"/>
      <c r="OFV83" s="798"/>
      <c r="OFW83" s="798"/>
      <c r="OFX83" s="798"/>
      <c r="OFY83" s="798"/>
      <c r="OFZ83" s="798"/>
      <c r="OGA83" s="798"/>
      <c r="OGB83" s="798"/>
      <c r="OGC83" s="798"/>
      <c r="OGD83" s="798"/>
      <c r="OGE83" s="798"/>
      <c r="OGF83" s="798"/>
      <c r="OGG83" s="798"/>
      <c r="OGH83" s="798"/>
      <c r="OGI83" s="798"/>
      <c r="OGJ83" s="798"/>
      <c r="OGK83" s="798"/>
      <c r="OGL83" s="798"/>
      <c r="OGM83" s="798"/>
      <c r="OGN83" s="798"/>
      <c r="OGO83" s="798"/>
      <c r="OGP83" s="798"/>
      <c r="OGQ83" s="798"/>
      <c r="OGR83" s="798"/>
      <c r="OGS83" s="798"/>
      <c r="OGT83" s="798"/>
      <c r="OGU83" s="798"/>
      <c r="OGV83" s="798"/>
      <c r="OGW83" s="798"/>
      <c r="OGX83" s="798"/>
      <c r="OGY83" s="798"/>
      <c r="OGZ83" s="798"/>
      <c r="OHA83" s="798"/>
      <c r="OHB83" s="798"/>
      <c r="OHC83" s="798"/>
      <c r="OHD83" s="798"/>
      <c r="OHE83" s="798"/>
      <c r="OHF83" s="798"/>
      <c r="OHG83" s="798"/>
      <c r="OHH83" s="798"/>
      <c r="OHI83" s="798"/>
      <c r="OHJ83" s="798"/>
      <c r="OHK83" s="798"/>
      <c r="OHL83" s="798"/>
      <c r="OHM83" s="798"/>
      <c r="OHN83" s="798"/>
      <c r="OHO83" s="798"/>
      <c r="OHP83" s="798"/>
      <c r="OHQ83" s="798"/>
      <c r="OHR83" s="798"/>
      <c r="OHS83" s="798"/>
      <c r="OHT83" s="798"/>
      <c r="OHU83" s="798"/>
      <c r="OHV83" s="798"/>
      <c r="OHW83" s="798"/>
      <c r="OHX83" s="798"/>
      <c r="OHY83" s="798"/>
      <c r="OHZ83" s="798"/>
      <c r="OIA83" s="798"/>
      <c r="OIB83" s="798"/>
      <c r="OIC83" s="798"/>
      <c r="OID83" s="798"/>
      <c r="OIE83" s="798"/>
      <c r="OIF83" s="798"/>
      <c r="OIG83" s="798"/>
      <c r="OIH83" s="798"/>
      <c r="OII83" s="798"/>
      <c r="OIJ83" s="798"/>
      <c r="OIK83" s="798"/>
      <c r="OIL83" s="798"/>
      <c r="OIM83" s="798"/>
      <c r="OIN83" s="798"/>
      <c r="OIO83" s="798"/>
      <c r="OIP83" s="798"/>
      <c r="OIQ83" s="798"/>
      <c r="OIR83" s="798"/>
      <c r="OIS83" s="798"/>
      <c r="OIT83" s="798"/>
      <c r="OIU83" s="798"/>
      <c r="OIV83" s="798"/>
      <c r="OIW83" s="798"/>
      <c r="OIX83" s="798"/>
      <c r="OIY83" s="798"/>
      <c r="OIZ83" s="798"/>
      <c r="OJA83" s="798"/>
      <c r="OJB83" s="798"/>
      <c r="OJC83" s="798"/>
      <c r="OJD83" s="798"/>
      <c r="OJE83" s="798"/>
      <c r="OJF83" s="798"/>
      <c r="OJG83" s="798"/>
      <c r="OJH83" s="798"/>
      <c r="OJI83" s="798"/>
      <c r="OJJ83" s="798"/>
      <c r="OJK83" s="798"/>
      <c r="OJL83" s="798"/>
      <c r="OJM83" s="798"/>
      <c r="OJN83" s="798"/>
      <c r="OJO83" s="798"/>
      <c r="OJP83" s="798"/>
      <c r="OJQ83" s="798"/>
      <c r="OJR83" s="798"/>
      <c r="OJS83" s="798"/>
      <c r="OJT83" s="798"/>
      <c r="OJU83" s="798"/>
      <c r="OJV83" s="798"/>
      <c r="OJW83" s="798"/>
      <c r="OJX83" s="798"/>
      <c r="OJY83" s="798"/>
      <c r="OJZ83" s="798"/>
      <c r="OKA83" s="798"/>
      <c r="OKB83" s="798"/>
      <c r="OKC83" s="798"/>
      <c r="OKD83" s="798"/>
      <c r="OKE83" s="798"/>
      <c r="OKF83" s="798"/>
      <c r="OKG83" s="798"/>
      <c r="OKH83" s="798"/>
      <c r="OKI83" s="798"/>
      <c r="OKJ83" s="798"/>
      <c r="OKK83" s="798"/>
      <c r="OKL83" s="798"/>
      <c r="OKM83" s="798"/>
      <c r="OKN83" s="798"/>
      <c r="OKO83" s="798"/>
      <c r="OKP83" s="798"/>
      <c r="OKQ83" s="798"/>
      <c r="OKR83" s="798"/>
      <c r="OKS83" s="798"/>
      <c r="OKT83" s="798"/>
      <c r="OKU83" s="798"/>
      <c r="OKV83" s="798"/>
      <c r="OKW83" s="798"/>
      <c r="OKX83" s="798"/>
      <c r="OKY83" s="798"/>
      <c r="OKZ83" s="798"/>
      <c r="OLA83" s="798"/>
      <c r="OLB83" s="798"/>
      <c r="OLC83" s="798"/>
      <c r="OLD83" s="798"/>
      <c r="OLE83" s="798"/>
      <c r="OLF83" s="798"/>
      <c r="OLG83" s="798"/>
      <c r="OLH83" s="798"/>
      <c r="OLI83" s="798"/>
      <c r="OLJ83" s="798"/>
      <c r="OLK83" s="798"/>
      <c r="OLL83" s="798"/>
      <c r="OLM83" s="798"/>
      <c r="OLN83" s="798"/>
      <c r="OLO83" s="798"/>
      <c r="OLP83" s="798"/>
      <c r="OLQ83" s="798"/>
      <c r="OLR83" s="798"/>
      <c r="OLS83" s="798"/>
      <c r="OLT83" s="798"/>
      <c r="OLU83" s="798"/>
      <c r="OLV83" s="798"/>
      <c r="OLW83" s="798"/>
      <c r="OLX83" s="798"/>
      <c r="OLY83" s="798"/>
      <c r="OLZ83" s="798"/>
      <c r="OMA83" s="798"/>
      <c r="OMB83" s="798"/>
      <c r="OMC83" s="798"/>
      <c r="OMD83" s="798"/>
      <c r="OME83" s="798"/>
      <c r="OMF83" s="798"/>
      <c r="OMG83" s="798"/>
      <c r="OMH83" s="798"/>
      <c r="OMI83" s="798"/>
      <c r="OMJ83" s="798"/>
      <c r="OMK83" s="798"/>
      <c r="OML83" s="798"/>
      <c r="OMM83" s="798"/>
      <c r="OMN83" s="798"/>
      <c r="OMO83" s="798"/>
      <c r="OMP83" s="798"/>
      <c r="OMQ83" s="798"/>
      <c r="OMR83" s="798"/>
      <c r="OMS83" s="798"/>
      <c r="OMT83" s="798"/>
      <c r="OMU83" s="798"/>
      <c r="OMV83" s="798"/>
      <c r="OMW83" s="798"/>
      <c r="OMX83" s="798"/>
      <c r="OMY83" s="798"/>
      <c r="OMZ83" s="798"/>
      <c r="ONA83" s="798"/>
      <c r="ONB83" s="798"/>
      <c r="ONC83" s="798"/>
      <c r="OND83" s="798"/>
      <c r="ONE83" s="798"/>
      <c r="ONF83" s="798"/>
      <c r="ONG83" s="798"/>
      <c r="ONH83" s="798"/>
      <c r="ONI83" s="798"/>
      <c r="ONJ83" s="798"/>
      <c r="ONK83" s="798"/>
      <c r="ONL83" s="798"/>
      <c r="ONM83" s="798"/>
      <c r="ONN83" s="798"/>
      <c r="ONO83" s="798"/>
      <c r="ONP83" s="798"/>
      <c r="ONQ83" s="798"/>
      <c r="ONR83" s="798"/>
      <c r="ONS83" s="798"/>
      <c r="ONT83" s="798"/>
      <c r="ONU83" s="798"/>
      <c r="ONV83" s="798"/>
      <c r="ONW83" s="798"/>
      <c r="ONX83" s="798"/>
      <c r="ONY83" s="798"/>
      <c r="ONZ83" s="798"/>
      <c r="OOA83" s="798"/>
      <c r="OOB83" s="798"/>
      <c r="OOC83" s="798"/>
      <c r="OOD83" s="798"/>
      <c r="OOE83" s="798"/>
      <c r="OOF83" s="798"/>
      <c r="OOG83" s="798"/>
      <c r="OOH83" s="798"/>
      <c r="OOI83" s="798"/>
      <c r="OOJ83" s="798"/>
      <c r="OOK83" s="798"/>
      <c r="OOL83" s="798"/>
      <c r="OOM83" s="798"/>
      <c r="OON83" s="798"/>
      <c r="OOO83" s="798"/>
      <c r="OOP83" s="798"/>
      <c r="OOQ83" s="798"/>
      <c r="OOR83" s="798"/>
      <c r="OOS83" s="798"/>
      <c r="OOT83" s="798"/>
      <c r="OOU83" s="798"/>
      <c r="OOV83" s="798"/>
      <c r="OOW83" s="798"/>
      <c r="OOX83" s="798"/>
      <c r="OOY83" s="798"/>
      <c r="OOZ83" s="798"/>
      <c r="OPA83" s="798"/>
      <c r="OPB83" s="798"/>
      <c r="OPC83" s="798"/>
      <c r="OPD83" s="798"/>
      <c r="OPE83" s="798"/>
      <c r="OPF83" s="798"/>
      <c r="OPG83" s="798"/>
      <c r="OPH83" s="798"/>
      <c r="OPI83" s="798"/>
      <c r="OPJ83" s="798"/>
      <c r="OPK83" s="798"/>
      <c r="OPL83" s="798"/>
      <c r="OPM83" s="798"/>
      <c r="OPN83" s="798"/>
      <c r="OPO83" s="798"/>
      <c r="OPP83" s="798"/>
      <c r="OPQ83" s="798"/>
      <c r="OPR83" s="798"/>
      <c r="OPS83" s="798"/>
      <c r="OPT83" s="798"/>
      <c r="OPU83" s="798"/>
      <c r="OPV83" s="798"/>
      <c r="OPW83" s="798"/>
      <c r="OPX83" s="798"/>
      <c r="OPY83" s="798"/>
      <c r="OPZ83" s="798"/>
      <c r="OQA83" s="798"/>
      <c r="OQB83" s="798"/>
      <c r="OQC83" s="798"/>
      <c r="OQD83" s="798"/>
      <c r="OQE83" s="798"/>
      <c r="OQF83" s="798"/>
      <c r="OQG83" s="798"/>
      <c r="OQH83" s="798"/>
      <c r="OQI83" s="798"/>
      <c r="OQJ83" s="798"/>
      <c r="OQK83" s="798"/>
      <c r="OQL83" s="798"/>
      <c r="OQM83" s="798"/>
      <c r="OQN83" s="798"/>
      <c r="OQO83" s="798"/>
      <c r="OQP83" s="798"/>
      <c r="OQQ83" s="798"/>
      <c r="OQR83" s="798"/>
      <c r="OQS83" s="798"/>
      <c r="OQT83" s="798"/>
      <c r="OQU83" s="798"/>
      <c r="OQV83" s="798"/>
      <c r="OQW83" s="798"/>
      <c r="OQX83" s="798"/>
      <c r="OQY83" s="798"/>
      <c r="OQZ83" s="798"/>
      <c r="ORA83" s="798"/>
      <c r="ORB83" s="798"/>
      <c r="ORC83" s="798"/>
      <c r="ORD83" s="798"/>
      <c r="ORE83" s="798"/>
      <c r="ORF83" s="798"/>
      <c r="ORG83" s="798"/>
      <c r="ORH83" s="798"/>
      <c r="ORI83" s="798"/>
      <c r="ORJ83" s="798"/>
      <c r="ORK83" s="798"/>
      <c r="ORL83" s="798"/>
      <c r="ORM83" s="798"/>
      <c r="ORN83" s="798"/>
      <c r="ORO83" s="798"/>
      <c r="ORP83" s="798"/>
      <c r="ORQ83" s="798"/>
      <c r="ORR83" s="798"/>
      <c r="ORS83" s="798"/>
      <c r="ORT83" s="798"/>
      <c r="ORU83" s="798"/>
      <c r="ORV83" s="798"/>
      <c r="ORW83" s="798"/>
      <c r="ORX83" s="798"/>
      <c r="ORY83" s="798"/>
      <c r="ORZ83" s="798"/>
      <c r="OSA83" s="798"/>
      <c r="OSB83" s="798"/>
      <c r="OSC83" s="798"/>
      <c r="OSD83" s="798"/>
      <c r="OSE83" s="798"/>
      <c r="OSF83" s="798"/>
      <c r="OSG83" s="798"/>
      <c r="OSH83" s="798"/>
      <c r="OSI83" s="798"/>
      <c r="OSJ83" s="798"/>
      <c r="OSK83" s="798"/>
      <c r="OSL83" s="798"/>
      <c r="OSM83" s="798"/>
      <c r="OSN83" s="798"/>
      <c r="OSO83" s="798"/>
      <c r="OSP83" s="798"/>
      <c r="OSQ83" s="798"/>
      <c r="OSR83" s="798"/>
      <c r="OSS83" s="798"/>
      <c r="OST83" s="798"/>
      <c r="OSU83" s="798"/>
      <c r="OSV83" s="798"/>
      <c r="OSW83" s="798"/>
      <c r="OSX83" s="798"/>
      <c r="OSY83" s="798"/>
      <c r="OSZ83" s="798"/>
      <c r="OTA83" s="798"/>
      <c r="OTB83" s="798"/>
      <c r="OTC83" s="798"/>
      <c r="OTD83" s="798"/>
      <c r="OTE83" s="798"/>
      <c r="OTF83" s="798"/>
      <c r="OTG83" s="798"/>
      <c r="OTH83" s="798"/>
      <c r="OTI83" s="798"/>
      <c r="OTJ83" s="798"/>
      <c r="OTK83" s="798"/>
      <c r="OTL83" s="798"/>
      <c r="OTM83" s="798"/>
      <c r="OTN83" s="798"/>
      <c r="OTO83" s="798"/>
      <c r="OTP83" s="798"/>
      <c r="OTQ83" s="798"/>
      <c r="OTR83" s="798"/>
      <c r="OTS83" s="798"/>
      <c r="OTT83" s="798"/>
      <c r="OTU83" s="798"/>
      <c r="OTV83" s="798"/>
      <c r="OTW83" s="798"/>
      <c r="OTX83" s="798"/>
      <c r="OTY83" s="798"/>
      <c r="OTZ83" s="798"/>
      <c r="OUA83" s="798"/>
      <c r="OUB83" s="798"/>
      <c r="OUC83" s="798"/>
      <c r="OUD83" s="798"/>
      <c r="OUE83" s="798"/>
      <c r="OUF83" s="798"/>
      <c r="OUG83" s="798"/>
      <c r="OUH83" s="798"/>
      <c r="OUI83" s="798"/>
      <c r="OUJ83" s="798"/>
      <c r="OUK83" s="798"/>
      <c r="OUL83" s="798"/>
      <c r="OUM83" s="798"/>
      <c r="OUN83" s="798"/>
      <c r="OUO83" s="798"/>
      <c r="OUP83" s="798"/>
      <c r="OUQ83" s="798"/>
      <c r="OUR83" s="798"/>
      <c r="OUS83" s="798"/>
      <c r="OUT83" s="798"/>
      <c r="OUU83" s="798"/>
      <c r="OUV83" s="798"/>
      <c r="OUW83" s="798"/>
      <c r="OUX83" s="798"/>
      <c r="OUY83" s="798"/>
      <c r="OUZ83" s="798"/>
      <c r="OVA83" s="798"/>
      <c r="OVB83" s="798"/>
      <c r="OVC83" s="798"/>
      <c r="OVD83" s="798"/>
      <c r="OVE83" s="798"/>
      <c r="OVF83" s="798"/>
      <c r="OVG83" s="798"/>
      <c r="OVH83" s="798"/>
      <c r="OVI83" s="798"/>
      <c r="OVJ83" s="798"/>
      <c r="OVK83" s="798"/>
      <c r="OVL83" s="798"/>
      <c r="OVM83" s="798"/>
      <c r="OVN83" s="798"/>
      <c r="OVO83" s="798"/>
      <c r="OVP83" s="798"/>
      <c r="OVQ83" s="798"/>
      <c r="OVR83" s="798"/>
      <c r="OVS83" s="798"/>
      <c r="OVT83" s="798"/>
      <c r="OVU83" s="798"/>
      <c r="OVV83" s="798"/>
      <c r="OVW83" s="798"/>
      <c r="OVX83" s="798"/>
      <c r="OVY83" s="798"/>
      <c r="OVZ83" s="798"/>
      <c r="OWA83" s="798"/>
      <c r="OWB83" s="798"/>
      <c r="OWC83" s="798"/>
      <c r="OWD83" s="798"/>
      <c r="OWE83" s="798"/>
      <c r="OWF83" s="798"/>
      <c r="OWG83" s="798"/>
      <c r="OWH83" s="798"/>
      <c r="OWI83" s="798"/>
      <c r="OWJ83" s="798"/>
      <c r="OWK83" s="798"/>
      <c r="OWL83" s="798"/>
      <c r="OWM83" s="798"/>
      <c r="OWN83" s="798"/>
      <c r="OWO83" s="798"/>
      <c r="OWP83" s="798"/>
      <c r="OWQ83" s="798"/>
      <c r="OWR83" s="798"/>
      <c r="OWS83" s="798"/>
      <c r="OWT83" s="798"/>
      <c r="OWU83" s="798"/>
      <c r="OWV83" s="798"/>
      <c r="OWW83" s="798"/>
      <c r="OWX83" s="798"/>
      <c r="OWY83" s="798"/>
      <c r="OWZ83" s="798"/>
      <c r="OXA83" s="798"/>
      <c r="OXB83" s="798"/>
      <c r="OXC83" s="798"/>
      <c r="OXD83" s="798"/>
      <c r="OXE83" s="798"/>
      <c r="OXF83" s="798"/>
      <c r="OXG83" s="798"/>
      <c r="OXH83" s="798"/>
      <c r="OXI83" s="798"/>
      <c r="OXJ83" s="798"/>
      <c r="OXK83" s="798"/>
      <c r="OXL83" s="798"/>
      <c r="OXM83" s="798"/>
      <c r="OXN83" s="798"/>
      <c r="OXO83" s="798"/>
      <c r="OXP83" s="798"/>
      <c r="OXQ83" s="798"/>
      <c r="OXR83" s="798"/>
      <c r="OXS83" s="798"/>
      <c r="OXT83" s="798"/>
      <c r="OXU83" s="798"/>
      <c r="OXV83" s="798"/>
      <c r="OXW83" s="798"/>
      <c r="OXX83" s="798"/>
      <c r="OXY83" s="798"/>
      <c r="OXZ83" s="798"/>
      <c r="OYA83" s="798"/>
      <c r="OYB83" s="798"/>
      <c r="OYC83" s="798"/>
      <c r="OYD83" s="798"/>
      <c r="OYE83" s="798"/>
      <c r="OYF83" s="798"/>
      <c r="OYG83" s="798"/>
      <c r="OYH83" s="798"/>
      <c r="OYI83" s="798"/>
      <c r="OYJ83" s="798"/>
      <c r="OYK83" s="798"/>
      <c r="OYL83" s="798"/>
      <c r="OYM83" s="798"/>
      <c r="OYN83" s="798"/>
      <c r="OYO83" s="798"/>
      <c r="OYP83" s="798"/>
      <c r="OYQ83" s="798"/>
      <c r="OYR83" s="798"/>
      <c r="OYS83" s="798"/>
      <c r="OYT83" s="798"/>
      <c r="OYU83" s="798"/>
      <c r="OYV83" s="798"/>
      <c r="OYW83" s="798"/>
      <c r="OYX83" s="798"/>
      <c r="OYY83" s="798"/>
      <c r="OYZ83" s="798"/>
      <c r="OZA83" s="798"/>
      <c r="OZB83" s="798"/>
      <c r="OZC83" s="798"/>
      <c r="OZD83" s="798"/>
      <c r="OZE83" s="798"/>
      <c r="OZF83" s="798"/>
      <c r="OZG83" s="798"/>
      <c r="OZH83" s="798"/>
      <c r="OZI83" s="798"/>
      <c r="OZJ83" s="798"/>
      <c r="OZK83" s="798"/>
      <c r="OZL83" s="798"/>
      <c r="OZM83" s="798"/>
      <c r="OZN83" s="798"/>
      <c r="OZO83" s="798"/>
      <c r="OZP83" s="798"/>
      <c r="OZQ83" s="798"/>
      <c r="OZR83" s="798"/>
      <c r="OZS83" s="798"/>
      <c r="OZT83" s="798"/>
      <c r="OZU83" s="798"/>
      <c r="OZV83" s="798"/>
      <c r="OZW83" s="798"/>
      <c r="OZX83" s="798"/>
      <c r="OZY83" s="798"/>
      <c r="OZZ83" s="798"/>
      <c r="PAA83" s="798"/>
      <c r="PAB83" s="798"/>
      <c r="PAC83" s="798"/>
      <c r="PAD83" s="798"/>
      <c r="PAE83" s="798"/>
      <c r="PAF83" s="798"/>
      <c r="PAG83" s="798"/>
      <c r="PAH83" s="798"/>
      <c r="PAI83" s="798"/>
      <c r="PAJ83" s="798"/>
      <c r="PAK83" s="798"/>
      <c r="PAL83" s="798"/>
      <c r="PAM83" s="798"/>
      <c r="PAN83" s="798"/>
      <c r="PAO83" s="798"/>
      <c r="PAP83" s="798"/>
      <c r="PAQ83" s="798"/>
      <c r="PAR83" s="798"/>
      <c r="PAS83" s="798"/>
      <c r="PAT83" s="798"/>
      <c r="PAU83" s="798"/>
      <c r="PAV83" s="798"/>
      <c r="PAW83" s="798"/>
      <c r="PAX83" s="798"/>
      <c r="PAY83" s="798"/>
      <c r="PAZ83" s="798"/>
      <c r="PBA83" s="798"/>
      <c r="PBB83" s="798"/>
      <c r="PBC83" s="798"/>
      <c r="PBD83" s="798"/>
      <c r="PBE83" s="798"/>
      <c r="PBF83" s="798"/>
      <c r="PBG83" s="798"/>
      <c r="PBH83" s="798"/>
      <c r="PBI83" s="798"/>
      <c r="PBJ83" s="798"/>
      <c r="PBK83" s="798"/>
      <c r="PBL83" s="798"/>
      <c r="PBM83" s="798"/>
      <c r="PBN83" s="798"/>
      <c r="PBO83" s="798"/>
      <c r="PBP83" s="798"/>
      <c r="PBQ83" s="798"/>
      <c r="PBR83" s="798"/>
      <c r="PBS83" s="798"/>
      <c r="PBT83" s="798"/>
      <c r="PBU83" s="798"/>
      <c r="PBV83" s="798"/>
      <c r="PBW83" s="798"/>
      <c r="PBX83" s="798"/>
      <c r="PBY83" s="798"/>
      <c r="PBZ83" s="798"/>
      <c r="PCA83" s="798"/>
      <c r="PCB83" s="798"/>
      <c r="PCC83" s="798"/>
      <c r="PCD83" s="798"/>
      <c r="PCE83" s="798"/>
      <c r="PCF83" s="798"/>
      <c r="PCG83" s="798"/>
      <c r="PCH83" s="798"/>
      <c r="PCI83" s="798"/>
      <c r="PCJ83" s="798"/>
      <c r="PCK83" s="798"/>
      <c r="PCL83" s="798"/>
      <c r="PCM83" s="798"/>
      <c r="PCN83" s="798"/>
      <c r="PCO83" s="798"/>
      <c r="PCP83" s="798"/>
      <c r="PCQ83" s="798"/>
      <c r="PCR83" s="798"/>
      <c r="PCS83" s="798"/>
      <c r="PCT83" s="798"/>
      <c r="PCU83" s="798"/>
      <c r="PCV83" s="798"/>
      <c r="PCW83" s="798"/>
      <c r="PCX83" s="798"/>
      <c r="PCY83" s="798"/>
      <c r="PCZ83" s="798"/>
      <c r="PDA83" s="798"/>
      <c r="PDB83" s="798"/>
      <c r="PDC83" s="798"/>
      <c r="PDD83" s="798"/>
      <c r="PDE83" s="798"/>
      <c r="PDF83" s="798"/>
      <c r="PDG83" s="798"/>
      <c r="PDH83" s="798"/>
      <c r="PDI83" s="798"/>
      <c r="PDJ83" s="798"/>
      <c r="PDK83" s="798"/>
      <c r="PDL83" s="798"/>
      <c r="PDM83" s="798"/>
      <c r="PDN83" s="798"/>
      <c r="PDO83" s="798"/>
      <c r="PDP83" s="798"/>
      <c r="PDQ83" s="798"/>
      <c r="PDR83" s="798"/>
      <c r="PDS83" s="798"/>
      <c r="PDT83" s="798"/>
      <c r="PDU83" s="798"/>
      <c r="PDV83" s="798"/>
      <c r="PDW83" s="798"/>
      <c r="PDX83" s="798"/>
      <c r="PDY83" s="798"/>
      <c r="PDZ83" s="798"/>
      <c r="PEA83" s="798"/>
      <c r="PEB83" s="798"/>
      <c r="PEC83" s="798"/>
      <c r="PED83" s="798"/>
      <c r="PEE83" s="798"/>
      <c r="PEF83" s="798"/>
      <c r="PEG83" s="798"/>
      <c r="PEH83" s="798"/>
      <c r="PEI83" s="798"/>
      <c r="PEJ83" s="798"/>
      <c r="PEK83" s="798"/>
      <c r="PEL83" s="798"/>
      <c r="PEM83" s="798"/>
      <c r="PEN83" s="798"/>
      <c r="PEO83" s="798"/>
      <c r="PEP83" s="798"/>
      <c r="PEQ83" s="798"/>
      <c r="PER83" s="798"/>
      <c r="PES83" s="798"/>
      <c r="PET83" s="798"/>
      <c r="PEU83" s="798"/>
      <c r="PEV83" s="798"/>
      <c r="PEW83" s="798"/>
      <c r="PEX83" s="798"/>
      <c r="PEY83" s="798"/>
      <c r="PEZ83" s="798"/>
      <c r="PFA83" s="798"/>
      <c r="PFB83" s="798"/>
      <c r="PFC83" s="798"/>
      <c r="PFD83" s="798"/>
      <c r="PFE83" s="798"/>
      <c r="PFF83" s="798"/>
      <c r="PFG83" s="798"/>
      <c r="PFH83" s="798"/>
      <c r="PFI83" s="798"/>
      <c r="PFJ83" s="798"/>
      <c r="PFK83" s="798"/>
      <c r="PFL83" s="798"/>
      <c r="PFM83" s="798"/>
      <c r="PFN83" s="798"/>
      <c r="PFO83" s="798"/>
      <c r="PFP83" s="798"/>
      <c r="PFQ83" s="798"/>
      <c r="PFR83" s="798"/>
      <c r="PFS83" s="798"/>
      <c r="PFT83" s="798"/>
      <c r="PFU83" s="798"/>
      <c r="PFV83" s="798"/>
      <c r="PFW83" s="798"/>
      <c r="PFX83" s="798"/>
      <c r="PFY83" s="798"/>
      <c r="PFZ83" s="798"/>
      <c r="PGA83" s="798"/>
      <c r="PGB83" s="798"/>
      <c r="PGC83" s="798"/>
      <c r="PGD83" s="798"/>
      <c r="PGE83" s="798"/>
      <c r="PGF83" s="798"/>
      <c r="PGG83" s="798"/>
      <c r="PGH83" s="798"/>
      <c r="PGI83" s="798"/>
      <c r="PGJ83" s="798"/>
      <c r="PGK83" s="798"/>
      <c r="PGL83" s="798"/>
      <c r="PGM83" s="798"/>
      <c r="PGN83" s="798"/>
      <c r="PGO83" s="798"/>
      <c r="PGP83" s="798"/>
      <c r="PGQ83" s="798"/>
      <c r="PGR83" s="798"/>
      <c r="PGS83" s="798"/>
      <c r="PGT83" s="798"/>
      <c r="PGU83" s="798"/>
      <c r="PGV83" s="798"/>
      <c r="PGW83" s="798"/>
      <c r="PGX83" s="798"/>
      <c r="PGY83" s="798"/>
      <c r="PGZ83" s="798"/>
      <c r="PHA83" s="798"/>
      <c r="PHB83" s="798"/>
      <c r="PHC83" s="798"/>
      <c r="PHD83" s="798"/>
      <c r="PHE83" s="798"/>
      <c r="PHF83" s="798"/>
      <c r="PHG83" s="798"/>
      <c r="PHH83" s="798"/>
      <c r="PHI83" s="798"/>
      <c r="PHJ83" s="798"/>
      <c r="PHK83" s="798"/>
      <c r="PHL83" s="798"/>
      <c r="PHM83" s="798"/>
      <c r="PHN83" s="798"/>
      <c r="PHO83" s="798"/>
      <c r="PHP83" s="798"/>
      <c r="PHQ83" s="798"/>
      <c r="PHR83" s="798"/>
      <c r="PHS83" s="798"/>
      <c r="PHT83" s="798"/>
      <c r="PHU83" s="798"/>
      <c r="PHV83" s="798"/>
      <c r="PHW83" s="798"/>
      <c r="PHX83" s="798"/>
      <c r="PHY83" s="798"/>
      <c r="PHZ83" s="798"/>
      <c r="PIA83" s="798"/>
      <c r="PIB83" s="798"/>
      <c r="PIC83" s="798"/>
      <c r="PID83" s="798"/>
      <c r="PIE83" s="798"/>
      <c r="PIF83" s="798"/>
      <c r="PIG83" s="798"/>
      <c r="PIH83" s="798"/>
      <c r="PII83" s="798"/>
      <c r="PIJ83" s="798"/>
      <c r="PIK83" s="798"/>
      <c r="PIL83" s="798"/>
      <c r="PIM83" s="798"/>
      <c r="PIN83" s="798"/>
      <c r="PIO83" s="798"/>
      <c r="PIP83" s="798"/>
      <c r="PIQ83" s="798"/>
      <c r="PIR83" s="798"/>
      <c r="PIS83" s="798"/>
      <c r="PIT83" s="798"/>
      <c r="PIU83" s="798"/>
      <c r="PIV83" s="798"/>
      <c r="PIW83" s="798"/>
      <c r="PIX83" s="798"/>
      <c r="PIY83" s="798"/>
      <c r="PIZ83" s="798"/>
      <c r="PJA83" s="798"/>
      <c r="PJB83" s="798"/>
      <c r="PJC83" s="798"/>
      <c r="PJD83" s="798"/>
      <c r="PJE83" s="798"/>
      <c r="PJF83" s="798"/>
      <c r="PJG83" s="798"/>
      <c r="PJH83" s="798"/>
      <c r="PJI83" s="798"/>
      <c r="PJJ83" s="798"/>
      <c r="PJK83" s="798"/>
      <c r="PJL83" s="798"/>
      <c r="PJM83" s="798"/>
      <c r="PJN83" s="798"/>
      <c r="PJO83" s="798"/>
      <c r="PJP83" s="798"/>
      <c r="PJQ83" s="798"/>
      <c r="PJR83" s="798"/>
      <c r="PJS83" s="798"/>
      <c r="PJT83" s="798"/>
      <c r="PJU83" s="798"/>
      <c r="PJV83" s="798"/>
      <c r="PJW83" s="798"/>
      <c r="PJX83" s="798"/>
      <c r="PJY83" s="798"/>
      <c r="PJZ83" s="798"/>
      <c r="PKA83" s="798"/>
      <c r="PKB83" s="798"/>
      <c r="PKC83" s="798"/>
      <c r="PKD83" s="798"/>
      <c r="PKE83" s="798"/>
      <c r="PKF83" s="798"/>
      <c r="PKG83" s="798"/>
      <c r="PKH83" s="798"/>
      <c r="PKI83" s="798"/>
      <c r="PKJ83" s="798"/>
      <c r="PKK83" s="798"/>
      <c r="PKL83" s="798"/>
      <c r="PKM83" s="798"/>
      <c r="PKN83" s="798"/>
      <c r="PKO83" s="798"/>
      <c r="PKP83" s="798"/>
      <c r="PKQ83" s="798"/>
      <c r="PKR83" s="798"/>
      <c r="PKS83" s="798"/>
      <c r="PKT83" s="798"/>
      <c r="PKU83" s="798"/>
      <c r="PKV83" s="798"/>
      <c r="PKW83" s="798"/>
      <c r="PKX83" s="798"/>
      <c r="PKY83" s="798"/>
      <c r="PKZ83" s="798"/>
      <c r="PLA83" s="798"/>
      <c r="PLB83" s="798"/>
      <c r="PLC83" s="798"/>
      <c r="PLD83" s="798"/>
      <c r="PLE83" s="798"/>
      <c r="PLF83" s="798"/>
      <c r="PLG83" s="798"/>
      <c r="PLH83" s="798"/>
      <c r="PLI83" s="798"/>
      <c r="PLJ83" s="798"/>
      <c r="PLK83" s="798"/>
      <c r="PLL83" s="798"/>
      <c r="PLM83" s="798"/>
      <c r="PLN83" s="798"/>
      <c r="PLO83" s="798"/>
      <c r="PLP83" s="798"/>
      <c r="PLQ83" s="798"/>
      <c r="PLR83" s="798"/>
      <c r="PLS83" s="798"/>
      <c r="PLT83" s="798"/>
      <c r="PLU83" s="798"/>
      <c r="PLV83" s="798"/>
      <c r="PLW83" s="798"/>
      <c r="PLX83" s="798"/>
      <c r="PLY83" s="798"/>
      <c r="PLZ83" s="798"/>
      <c r="PMA83" s="798"/>
      <c r="PMB83" s="798"/>
      <c r="PMC83" s="798"/>
      <c r="PMD83" s="798"/>
      <c r="PME83" s="798"/>
      <c r="PMF83" s="798"/>
      <c r="PMG83" s="798"/>
      <c r="PMH83" s="798"/>
      <c r="PMI83" s="798"/>
      <c r="PMJ83" s="798"/>
      <c r="PMK83" s="798"/>
      <c r="PML83" s="798"/>
      <c r="PMM83" s="798"/>
      <c r="PMN83" s="798"/>
      <c r="PMO83" s="798"/>
      <c r="PMP83" s="798"/>
      <c r="PMQ83" s="798"/>
      <c r="PMR83" s="798"/>
      <c r="PMS83" s="798"/>
      <c r="PMT83" s="798"/>
      <c r="PMU83" s="798"/>
      <c r="PMV83" s="798"/>
      <c r="PMW83" s="798"/>
      <c r="PMX83" s="798"/>
      <c r="PMY83" s="798"/>
      <c r="PMZ83" s="798"/>
      <c r="PNA83" s="798"/>
      <c r="PNB83" s="798"/>
      <c r="PNC83" s="798"/>
      <c r="PND83" s="798"/>
      <c r="PNE83" s="798"/>
      <c r="PNF83" s="798"/>
      <c r="PNG83" s="798"/>
      <c r="PNH83" s="798"/>
      <c r="PNI83" s="798"/>
      <c r="PNJ83" s="798"/>
      <c r="PNK83" s="798"/>
      <c r="PNL83" s="798"/>
      <c r="PNM83" s="798"/>
      <c r="PNN83" s="798"/>
      <c r="PNO83" s="798"/>
      <c r="PNP83" s="798"/>
      <c r="PNQ83" s="798"/>
      <c r="PNR83" s="798"/>
      <c r="PNS83" s="798"/>
      <c r="PNT83" s="798"/>
      <c r="PNU83" s="798"/>
      <c r="PNV83" s="798"/>
      <c r="PNW83" s="798"/>
      <c r="PNX83" s="798"/>
      <c r="PNY83" s="798"/>
      <c r="PNZ83" s="798"/>
      <c r="POA83" s="798"/>
      <c r="POB83" s="798"/>
      <c r="POC83" s="798"/>
      <c r="POD83" s="798"/>
      <c r="POE83" s="798"/>
      <c r="POF83" s="798"/>
      <c r="POG83" s="798"/>
      <c r="POH83" s="798"/>
      <c r="POI83" s="798"/>
      <c r="POJ83" s="798"/>
      <c r="POK83" s="798"/>
      <c r="POL83" s="798"/>
      <c r="POM83" s="798"/>
      <c r="PON83" s="798"/>
      <c r="POO83" s="798"/>
      <c r="POP83" s="798"/>
      <c r="POQ83" s="798"/>
      <c r="POR83" s="798"/>
      <c r="POS83" s="798"/>
      <c r="POT83" s="798"/>
      <c r="POU83" s="798"/>
      <c r="POV83" s="798"/>
      <c r="POW83" s="798"/>
      <c r="POX83" s="798"/>
      <c r="POY83" s="798"/>
      <c r="POZ83" s="798"/>
      <c r="PPA83" s="798"/>
      <c r="PPB83" s="798"/>
      <c r="PPC83" s="798"/>
      <c r="PPD83" s="798"/>
      <c r="PPE83" s="798"/>
      <c r="PPF83" s="798"/>
      <c r="PPG83" s="798"/>
      <c r="PPH83" s="798"/>
      <c r="PPI83" s="798"/>
      <c r="PPJ83" s="798"/>
      <c r="PPK83" s="798"/>
      <c r="PPL83" s="798"/>
      <c r="PPM83" s="798"/>
      <c r="PPN83" s="798"/>
      <c r="PPO83" s="798"/>
      <c r="PPP83" s="798"/>
      <c r="PPQ83" s="798"/>
      <c r="PPR83" s="798"/>
      <c r="PPS83" s="798"/>
      <c r="PPT83" s="798"/>
      <c r="PPU83" s="798"/>
      <c r="PPV83" s="798"/>
      <c r="PPW83" s="798"/>
      <c r="PPX83" s="798"/>
      <c r="PPY83" s="798"/>
      <c r="PPZ83" s="798"/>
      <c r="PQA83" s="798"/>
      <c r="PQB83" s="798"/>
      <c r="PQC83" s="798"/>
      <c r="PQD83" s="798"/>
      <c r="PQE83" s="798"/>
      <c r="PQF83" s="798"/>
      <c r="PQG83" s="798"/>
      <c r="PQH83" s="798"/>
      <c r="PQI83" s="798"/>
      <c r="PQJ83" s="798"/>
      <c r="PQK83" s="798"/>
      <c r="PQL83" s="798"/>
      <c r="PQM83" s="798"/>
      <c r="PQN83" s="798"/>
      <c r="PQO83" s="798"/>
      <c r="PQP83" s="798"/>
      <c r="PQQ83" s="798"/>
      <c r="PQR83" s="798"/>
      <c r="PQS83" s="798"/>
      <c r="PQT83" s="798"/>
      <c r="PQU83" s="798"/>
      <c r="PQV83" s="798"/>
      <c r="PQW83" s="798"/>
      <c r="PQX83" s="798"/>
      <c r="PQY83" s="798"/>
      <c r="PQZ83" s="798"/>
      <c r="PRA83" s="798"/>
      <c r="PRB83" s="798"/>
      <c r="PRC83" s="798"/>
      <c r="PRD83" s="798"/>
      <c r="PRE83" s="798"/>
      <c r="PRF83" s="798"/>
      <c r="PRG83" s="798"/>
      <c r="PRH83" s="798"/>
      <c r="PRI83" s="798"/>
      <c r="PRJ83" s="798"/>
      <c r="PRK83" s="798"/>
      <c r="PRL83" s="798"/>
      <c r="PRM83" s="798"/>
      <c r="PRN83" s="798"/>
      <c r="PRO83" s="798"/>
      <c r="PRP83" s="798"/>
      <c r="PRQ83" s="798"/>
      <c r="PRR83" s="798"/>
      <c r="PRS83" s="798"/>
      <c r="PRT83" s="798"/>
      <c r="PRU83" s="798"/>
      <c r="PRV83" s="798"/>
      <c r="PRW83" s="798"/>
      <c r="PRX83" s="798"/>
      <c r="PRY83" s="798"/>
      <c r="PRZ83" s="798"/>
      <c r="PSA83" s="798"/>
      <c r="PSB83" s="798"/>
      <c r="PSC83" s="798"/>
      <c r="PSD83" s="798"/>
      <c r="PSE83" s="798"/>
      <c r="PSF83" s="798"/>
      <c r="PSG83" s="798"/>
      <c r="PSH83" s="798"/>
      <c r="PSI83" s="798"/>
      <c r="PSJ83" s="798"/>
      <c r="PSK83" s="798"/>
      <c r="PSL83" s="798"/>
      <c r="PSM83" s="798"/>
      <c r="PSN83" s="798"/>
      <c r="PSO83" s="798"/>
      <c r="PSP83" s="798"/>
      <c r="PSQ83" s="798"/>
      <c r="PSR83" s="798"/>
      <c r="PSS83" s="798"/>
      <c r="PST83" s="798"/>
      <c r="PSU83" s="798"/>
      <c r="PSV83" s="798"/>
      <c r="PSW83" s="798"/>
      <c r="PSX83" s="798"/>
      <c r="PSY83" s="798"/>
      <c r="PSZ83" s="798"/>
      <c r="PTA83" s="798"/>
      <c r="PTB83" s="798"/>
      <c r="PTC83" s="798"/>
      <c r="PTD83" s="798"/>
      <c r="PTE83" s="798"/>
      <c r="PTF83" s="798"/>
      <c r="PTG83" s="798"/>
      <c r="PTH83" s="798"/>
      <c r="PTI83" s="798"/>
      <c r="PTJ83" s="798"/>
      <c r="PTK83" s="798"/>
      <c r="PTL83" s="798"/>
      <c r="PTM83" s="798"/>
      <c r="PTN83" s="798"/>
      <c r="PTO83" s="798"/>
      <c r="PTP83" s="798"/>
      <c r="PTQ83" s="798"/>
      <c r="PTR83" s="798"/>
      <c r="PTS83" s="798"/>
      <c r="PTT83" s="798"/>
      <c r="PTU83" s="798"/>
      <c r="PTV83" s="798"/>
      <c r="PTW83" s="798"/>
      <c r="PTX83" s="798"/>
      <c r="PTY83" s="798"/>
      <c r="PTZ83" s="798"/>
      <c r="PUA83" s="798"/>
      <c r="PUB83" s="798"/>
      <c r="PUC83" s="798"/>
      <c r="PUD83" s="798"/>
      <c r="PUE83" s="798"/>
      <c r="PUF83" s="798"/>
      <c r="PUG83" s="798"/>
      <c r="PUH83" s="798"/>
      <c r="PUI83" s="798"/>
      <c r="PUJ83" s="798"/>
      <c r="PUK83" s="798"/>
      <c r="PUL83" s="798"/>
      <c r="PUM83" s="798"/>
      <c r="PUN83" s="798"/>
      <c r="PUO83" s="798"/>
      <c r="PUP83" s="798"/>
      <c r="PUQ83" s="798"/>
      <c r="PUR83" s="798"/>
      <c r="PUS83" s="798"/>
      <c r="PUT83" s="798"/>
      <c r="PUU83" s="798"/>
      <c r="PUV83" s="798"/>
      <c r="PUW83" s="798"/>
      <c r="PUX83" s="798"/>
      <c r="PUY83" s="798"/>
      <c r="PUZ83" s="798"/>
      <c r="PVA83" s="798"/>
      <c r="PVB83" s="798"/>
      <c r="PVC83" s="798"/>
      <c r="PVD83" s="798"/>
      <c r="PVE83" s="798"/>
      <c r="PVF83" s="798"/>
      <c r="PVG83" s="798"/>
      <c r="PVH83" s="798"/>
      <c r="PVI83" s="798"/>
      <c r="PVJ83" s="798"/>
      <c r="PVK83" s="798"/>
      <c r="PVL83" s="798"/>
      <c r="PVM83" s="798"/>
      <c r="PVN83" s="798"/>
      <c r="PVO83" s="798"/>
      <c r="PVP83" s="798"/>
      <c r="PVQ83" s="798"/>
      <c r="PVR83" s="798"/>
      <c r="PVS83" s="798"/>
      <c r="PVT83" s="798"/>
      <c r="PVU83" s="798"/>
      <c r="PVV83" s="798"/>
      <c r="PVW83" s="798"/>
      <c r="PVX83" s="798"/>
      <c r="PVY83" s="798"/>
      <c r="PVZ83" s="798"/>
      <c r="PWA83" s="798"/>
      <c r="PWB83" s="798"/>
      <c r="PWC83" s="798"/>
      <c r="PWD83" s="798"/>
      <c r="PWE83" s="798"/>
      <c r="PWF83" s="798"/>
      <c r="PWG83" s="798"/>
      <c r="PWH83" s="798"/>
      <c r="PWI83" s="798"/>
      <c r="PWJ83" s="798"/>
      <c r="PWK83" s="798"/>
      <c r="PWL83" s="798"/>
      <c r="PWM83" s="798"/>
      <c r="PWN83" s="798"/>
      <c r="PWO83" s="798"/>
      <c r="PWP83" s="798"/>
      <c r="PWQ83" s="798"/>
      <c r="PWR83" s="798"/>
      <c r="PWS83" s="798"/>
      <c r="PWT83" s="798"/>
      <c r="PWU83" s="798"/>
      <c r="PWV83" s="798"/>
      <c r="PWW83" s="798"/>
      <c r="PWX83" s="798"/>
      <c r="PWY83" s="798"/>
      <c r="PWZ83" s="798"/>
      <c r="PXA83" s="798"/>
      <c r="PXB83" s="798"/>
      <c r="PXC83" s="798"/>
      <c r="PXD83" s="798"/>
      <c r="PXE83" s="798"/>
      <c r="PXF83" s="798"/>
      <c r="PXG83" s="798"/>
      <c r="PXH83" s="798"/>
      <c r="PXI83" s="798"/>
      <c r="PXJ83" s="798"/>
      <c r="PXK83" s="798"/>
      <c r="PXL83" s="798"/>
      <c r="PXM83" s="798"/>
      <c r="PXN83" s="798"/>
      <c r="PXO83" s="798"/>
      <c r="PXP83" s="798"/>
      <c r="PXQ83" s="798"/>
      <c r="PXR83" s="798"/>
      <c r="PXS83" s="798"/>
      <c r="PXT83" s="798"/>
      <c r="PXU83" s="798"/>
      <c r="PXV83" s="798"/>
      <c r="PXW83" s="798"/>
      <c r="PXX83" s="798"/>
      <c r="PXY83" s="798"/>
      <c r="PXZ83" s="798"/>
      <c r="PYA83" s="798"/>
      <c r="PYB83" s="798"/>
      <c r="PYC83" s="798"/>
      <c r="PYD83" s="798"/>
      <c r="PYE83" s="798"/>
      <c r="PYF83" s="798"/>
      <c r="PYG83" s="798"/>
      <c r="PYH83" s="798"/>
      <c r="PYI83" s="798"/>
      <c r="PYJ83" s="798"/>
      <c r="PYK83" s="798"/>
      <c r="PYL83" s="798"/>
      <c r="PYM83" s="798"/>
      <c r="PYN83" s="798"/>
      <c r="PYO83" s="798"/>
      <c r="PYP83" s="798"/>
      <c r="PYQ83" s="798"/>
      <c r="PYR83" s="798"/>
      <c r="PYS83" s="798"/>
      <c r="PYT83" s="798"/>
      <c r="PYU83" s="798"/>
      <c r="PYV83" s="798"/>
      <c r="PYW83" s="798"/>
      <c r="PYX83" s="798"/>
      <c r="PYY83" s="798"/>
      <c r="PYZ83" s="798"/>
      <c r="PZA83" s="798"/>
      <c r="PZB83" s="798"/>
      <c r="PZC83" s="798"/>
      <c r="PZD83" s="798"/>
      <c r="PZE83" s="798"/>
      <c r="PZF83" s="798"/>
      <c r="PZG83" s="798"/>
      <c r="PZH83" s="798"/>
      <c r="PZI83" s="798"/>
      <c r="PZJ83" s="798"/>
      <c r="PZK83" s="798"/>
      <c r="PZL83" s="798"/>
      <c r="PZM83" s="798"/>
      <c r="PZN83" s="798"/>
      <c r="PZO83" s="798"/>
      <c r="PZP83" s="798"/>
      <c r="PZQ83" s="798"/>
      <c r="PZR83" s="798"/>
      <c r="PZS83" s="798"/>
      <c r="PZT83" s="798"/>
      <c r="PZU83" s="798"/>
      <c r="PZV83" s="798"/>
      <c r="PZW83" s="798"/>
      <c r="PZX83" s="798"/>
      <c r="PZY83" s="798"/>
      <c r="PZZ83" s="798"/>
      <c r="QAA83" s="798"/>
      <c r="QAB83" s="798"/>
      <c r="QAC83" s="798"/>
      <c r="QAD83" s="798"/>
      <c r="QAE83" s="798"/>
      <c r="QAF83" s="798"/>
      <c r="QAG83" s="798"/>
      <c r="QAH83" s="798"/>
      <c r="QAI83" s="798"/>
      <c r="QAJ83" s="798"/>
      <c r="QAK83" s="798"/>
      <c r="QAL83" s="798"/>
      <c r="QAM83" s="798"/>
      <c r="QAN83" s="798"/>
      <c r="QAO83" s="798"/>
      <c r="QAP83" s="798"/>
      <c r="QAQ83" s="798"/>
      <c r="QAR83" s="798"/>
      <c r="QAS83" s="798"/>
      <c r="QAT83" s="798"/>
      <c r="QAU83" s="798"/>
      <c r="QAV83" s="798"/>
      <c r="QAW83" s="798"/>
      <c r="QAX83" s="798"/>
      <c r="QAY83" s="798"/>
      <c r="QAZ83" s="798"/>
      <c r="QBA83" s="798"/>
      <c r="QBB83" s="798"/>
      <c r="QBC83" s="798"/>
      <c r="QBD83" s="798"/>
      <c r="QBE83" s="798"/>
      <c r="QBF83" s="798"/>
      <c r="QBG83" s="798"/>
      <c r="QBH83" s="798"/>
      <c r="QBI83" s="798"/>
      <c r="QBJ83" s="798"/>
      <c r="QBK83" s="798"/>
      <c r="QBL83" s="798"/>
      <c r="QBM83" s="798"/>
      <c r="QBN83" s="798"/>
      <c r="QBO83" s="798"/>
      <c r="QBP83" s="798"/>
      <c r="QBQ83" s="798"/>
      <c r="QBR83" s="798"/>
      <c r="QBS83" s="798"/>
      <c r="QBT83" s="798"/>
      <c r="QBU83" s="798"/>
      <c r="QBV83" s="798"/>
      <c r="QBW83" s="798"/>
      <c r="QBX83" s="798"/>
      <c r="QBY83" s="798"/>
      <c r="QBZ83" s="798"/>
      <c r="QCA83" s="798"/>
      <c r="QCB83" s="798"/>
      <c r="QCC83" s="798"/>
      <c r="QCD83" s="798"/>
      <c r="QCE83" s="798"/>
      <c r="QCF83" s="798"/>
      <c r="QCG83" s="798"/>
      <c r="QCH83" s="798"/>
      <c r="QCI83" s="798"/>
      <c r="QCJ83" s="798"/>
      <c r="QCK83" s="798"/>
      <c r="QCL83" s="798"/>
      <c r="QCM83" s="798"/>
      <c r="QCN83" s="798"/>
      <c r="QCO83" s="798"/>
      <c r="QCP83" s="798"/>
      <c r="QCQ83" s="798"/>
      <c r="QCR83" s="798"/>
      <c r="QCS83" s="798"/>
      <c r="QCT83" s="798"/>
      <c r="QCU83" s="798"/>
      <c r="QCV83" s="798"/>
      <c r="QCW83" s="798"/>
      <c r="QCX83" s="798"/>
      <c r="QCY83" s="798"/>
      <c r="QCZ83" s="798"/>
      <c r="QDA83" s="798"/>
      <c r="QDB83" s="798"/>
      <c r="QDC83" s="798"/>
      <c r="QDD83" s="798"/>
      <c r="QDE83" s="798"/>
      <c r="QDF83" s="798"/>
      <c r="QDG83" s="798"/>
      <c r="QDH83" s="798"/>
      <c r="QDI83" s="798"/>
      <c r="QDJ83" s="798"/>
      <c r="QDK83" s="798"/>
      <c r="QDL83" s="798"/>
      <c r="QDM83" s="798"/>
      <c r="QDN83" s="798"/>
      <c r="QDO83" s="798"/>
      <c r="QDP83" s="798"/>
      <c r="QDQ83" s="798"/>
      <c r="QDR83" s="798"/>
      <c r="QDS83" s="798"/>
      <c r="QDT83" s="798"/>
      <c r="QDU83" s="798"/>
      <c r="QDV83" s="798"/>
      <c r="QDW83" s="798"/>
      <c r="QDX83" s="798"/>
      <c r="QDY83" s="798"/>
      <c r="QDZ83" s="798"/>
      <c r="QEA83" s="798"/>
      <c r="QEB83" s="798"/>
      <c r="QEC83" s="798"/>
      <c r="QED83" s="798"/>
      <c r="QEE83" s="798"/>
      <c r="QEF83" s="798"/>
      <c r="QEG83" s="798"/>
      <c r="QEH83" s="798"/>
      <c r="QEI83" s="798"/>
      <c r="QEJ83" s="798"/>
      <c r="QEK83" s="798"/>
      <c r="QEL83" s="798"/>
      <c r="QEM83" s="798"/>
      <c r="QEN83" s="798"/>
      <c r="QEO83" s="798"/>
      <c r="QEP83" s="798"/>
      <c r="QEQ83" s="798"/>
      <c r="QER83" s="798"/>
      <c r="QES83" s="798"/>
      <c r="QET83" s="798"/>
      <c r="QEU83" s="798"/>
      <c r="QEV83" s="798"/>
      <c r="QEW83" s="798"/>
      <c r="QEX83" s="798"/>
      <c r="QEY83" s="798"/>
      <c r="QEZ83" s="798"/>
      <c r="QFA83" s="798"/>
      <c r="QFB83" s="798"/>
      <c r="QFC83" s="798"/>
      <c r="QFD83" s="798"/>
      <c r="QFE83" s="798"/>
      <c r="QFF83" s="798"/>
      <c r="QFG83" s="798"/>
      <c r="QFH83" s="798"/>
      <c r="QFI83" s="798"/>
      <c r="QFJ83" s="798"/>
      <c r="QFK83" s="798"/>
      <c r="QFL83" s="798"/>
      <c r="QFM83" s="798"/>
      <c r="QFN83" s="798"/>
      <c r="QFO83" s="798"/>
      <c r="QFP83" s="798"/>
      <c r="QFQ83" s="798"/>
      <c r="QFR83" s="798"/>
      <c r="QFS83" s="798"/>
      <c r="QFT83" s="798"/>
      <c r="QFU83" s="798"/>
      <c r="QFV83" s="798"/>
      <c r="QFW83" s="798"/>
      <c r="QFX83" s="798"/>
      <c r="QFY83" s="798"/>
      <c r="QFZ83" s="798"/>
      <c r="QGA83" s="798"/>
      <c r="QGB83" s="798"/>
      <c r="QGC83" s="798"/>
      <c r="QGD83" s="798"/>
      <c r="QGE83" s="798"/>
      <c r="QGF83" s="798"/>
      <c r="QGG83" s="798"/>
      <c r="QGH83" s="798"/>
      <c r="QGI83" s="798"/>
      <c r="QGJ83" s="798"/>
      <c r="QGK83" s="798"/>
      <c r="QGL83" s="798"/>
      <c r="QGM83" s="798"/>
      <c r="QGN83" s="798"/>
      <c r="QGO83" s="798"/>
      <c r="QGP83" s="798"/>
      <c r="QGQ83" s="798"/>
      <c r="QGR83" s="798"/>
      <c r="QGS83" s="798"/>
      <c r="QGT83" s="798"/>
      <c r="QGU83" s="798"/>
      <c r="QGV83" s="798"/>
      <c r="QGW83" s="798"/>
      <c r="QGX83" s="798"/>
      <c r="QGY83" s="798"/>
      <c r="QGZ83" s="798"/>
      <c r="QHA83" s="798"/>
      <c r="QHB83" s="798"/>
      <c r="QHC83" s="798"/>
      <c r="QHD83" s="798"/>
      <c r="QHE83" s="798"/>
      <c r="QHF83" s="798"/>
      <c r="QHG83" s="798"/>
      <c r="QHH83" s="798"/>
      <c r="QHI83" s="798"/>
      <c r="QHJ83" s="798"/>
      <c r="QHK83" s="798"/>
      <c r="QHL83" s="798"/>
      <c r="QHM83" s="798"/>
      <c r="QHN83" s="798"/>
      <c r="QHO83" s="798"/>
      <c r="QHP83" s="798"/>
      <c r="QHQ83" s="798"/>
      <c r="QHR83" s="798"/>
      <c r="QHS83" s="798"/>
      <c r="QHT83" s="798"/>
      <c r="QHU83" s="798"/>
      <c r="QHV83" s="798"/>
      <c r="QHW83" s="798"/>
      <c r="QHX83" s="798"/>
      <c r="QHY83" s="798"/>
      <c r="QHZ83" s="798"/>
      <c r="QIA83" s="798"/>
      <c r="QIB83" s="798"/>
      <c r="QIC83" s="798"/>
      <c r="QID83" s="798"/>
      <c r="QIE83" s="798"/>
      <c r="QIF83" s="798"/>
      <c r="QIG83" s="798"/>
      <c r="QIH83" s="798"/>
      <c r="QII83" s="798"/>
      <c r="QIJ83" s="798"/>
      <c r="QIK83" s="798"/>
      <c r="QIL83" s="798"/>
      <c r="QIM83" s="798"/>
      <c r="QIN83" s="798"/>
      <c r="QIO83" s="798"/>
      <c r="QIP83" s="798"/>
      <c r="QIQ83" s="798"/>
      <c r="QIR83" s="798"/>
      <c r="QIS83" s="798"/>
      <c r="QIT83" s="798"/>
      <c r="QIU83" s="798"/>
      <c r="QIV83" s="798"/>
      <c r="QIW83" s="798"/>
      <c r="QIX83" s="798"/>
      <c r="QIY83" s="798"/>
      <c r="QIZ83" s="798"/>
      <c r="QJA83" s="798"/>
      <c r="QJB83" s="798"/>
      <c r="QJC83" s="798"/>
      <c r="QJD83" s="798"/>
      <c r="QJE83" s="798"/>
      <c r="QJF83" s="798"/>
      <c r="QJG83" s="798"/>
      <c r="QJH83" s="798"/>
      <c r="QJI83" s="798"/>
      <c r="QJJ83" s="798"/>
      <c r="QJK83" s="798"/>
      <c r="QJL83" s="798"/>
      <c r="QJM83" s="798"/>
      <c r="QJN83" s="798"/>
      <c r="QJO83" s="798"/>
      <c r="QJP83" s="798"/>
      <c r="QJQ83" s="798"/>
      <c r="QJR83" s="798"/>
      <c r="QJS83" s="798"/>
      <c r="QJT83" s="798"/>
      <c r="QJU83" s="798"/>
      <c r="QJV83" s="798"/>
      <c r="QJW83" s="798"/>
      <c r="QJX83" s="798"/>
      <c r="QJY83" s="798"/>
      <c r="QJZ83" s="798"/>
      <c r="QKA83" s="798"/>
      <c r="QKB83" s="798"/>
      <c r="QKC83" s="798"/>
      <c r="QKD83" s="798"/>
      <c r="QKE83" s="798"/>
      <c r="QKF83" s="798"/>
      <c r="QKG83" s="798"/>
      <c r="QKH83" s="798"/>
      <c r="QKI83" s="798"/>
      <c r="QKJ83" s="798"/>
      <c r="QKK83" s="798"/>
      <c r="QKL83" s="798"/>
      <c r="QKM83" s="798"/>
      <c r="QKN83" s="798"/>
      <c r="QKO83" s="798"/>
      <c r="QKP83" s="798"/>
      <c r="QKQ83" s="798"/>
      <c r="QKR83" s="798"/>
      <c r="QKS83" s="798"/>
      <c r="QKT83" s="798"/>
      <c r="QKU83" s="798"/>
      <c r="QKV83" s="798"/>
      <c r="QKW83" s="798"/>
      <c r="QKX83" s="798"/>
      <c r="QKY83" s="798"/>
      <c r="QKZ83" s="798"/>
      <c r="QLA83" s="798"/>
      <c r="QLB83" s="798"/>
      <c r="QLC83" s="798"/>
      <c r="QLD83" s="798"/>
      <c r="QLE83" s="798"/>
      <c r="QLF83" s="798"/>
      <c r="QLG83" s="798"/>
      <c r="QLH83" s="798"/>
      <c r="QLI83" s="798"/>
      <c r="QLJ83" s="798"/>
      <c r="QLK83" s="798"/>
      <c r="QLL83" s="798"/>
      <c r="QLM83" s="798"/>
      <c r="QLN83" s="798"/>
      <c r="QLO83" s="798"/>
      <c r="QLP83" s="798"/>
      <c r="QLQ83" s="798"/>
      <c r="QLR83" s="798"/>
      <c r="QLS83" s="798"/>
      <c r="QLT83" s="798"/>
      <c r="QLU83" s="798"/>
      <c r="QLV83" s="798"/>
      <c r="QLW83" s="798"/>
      <c r="QLX83" s="798"/>
      <c r="QLY83" s="798"/>
      <c r="QLZ83" s="798"/>
      <c r="QMA83" s="798"/>
      <c r="QMB83" s="798"/>
      <c r="QMC83" s="798"/>
      <c r="QMD83" s="798"/>
      <c r="QME83" s="798"/>
      <c r="QMF83" s="798"/>
      <c r="QMG83" s="798"/>
      <c r="QMH83" s="798"/>
      <c r="QMI83" s="798"/>
      <c r="QMJ83" s="798"/>
      <c r="QMK83" s="798"/>
      <c r="QML83" s="798"/>
      <c r="QMM83" s="798"/>
      <c r="QMN83" s="798"/>
      <c r="QMO83" s="798"/>
      <c r="QMP83" s="798"/>
      <c r="QMQ83" s="798"/>
      <c r="QMR83" s="798"/>
      <c r="QMS83" s="798"/>
      <c r="QMT83" s="798"/>
      <c r="QMU83" s="798"/>
      <c r="QMV83" s="798"/>
      <c r="QMW83" s="798"/>
      <c r="QMX83" s="798"/>
      <c r="QMY83" s="798"/>
      <c r="QMZ83" s="798"/>
      <c r="QNA83" s="798"/>
      <c r="QNB83" s="798"/>
      <c r="QNC83" s="798"/>
      <c r="QND83" s="798"/>
      <c r="QNE83" s="798"/>
      <c r="QNF83" s="798"/>
      <c r="QNG83" s="798"/>
      <c r="QNH83" s="798"/>
      <c r="QNI83" s="798"/>
      <c r="QNJ83" s="798"/>
      <c r="QNK83" s="798"/>
      <c r="QNL83" s="798"/>
      <c r="QNM83" s="798"/>
      <c r="QNN83" s="798"/>
      <c r="QNO83" s="798"/>
      <c r="QNP83" s="798"/>
      <c r="QNQ83" s="798"/>
      <c r="QNR83" s="798"/>
      <c r="QNS83" s="798"/>
      <c r="QNT83" s="798"/>
      <c r="QNU83" s="798"/>
      <c r="QNV83" s="798"/>
      <c r="QNW83" s="798"/>
      <c r="QNX83" s="798"/>
      <c r="QNY83" s="798"/>
      <c r="QNZ83" s="798"/>
      <c r="QOA83" s="798"/>
      <c r="QOB83" s="798"/>
      <c r="QOC83" s="798"/>
      <c r="QOD83" s="798"/>
      <c r="QOE83" s="798"/>
      <c r="QOF83" s="798"/>
      <c r="QOG83" s="798"/>
      <c r="QOH83" s="798"/>
      <c r="QOI83" s="798"/>
      <c r="QOJ83" s="798"/>
      <c r="QOK83" s="798"/>
      <c r="QOL83" s="798"/>
      <c r="QOM83" s="798"/>
      <c r="QON83" s="798"/>
      <c r="QOO83" s="798"/>
      <c r="QOP83" s="798"/>
      <c r="QOQ83" s="798"/>
      <c r="QOR83" s="798"/>
      <c r="QOS83" s="798"/>
      <c r="QOT83" s="798"/>
      <c r="QOU83" s="798"/>
      <c r="QOV83" s="798"/>
      <c r="QOW83" s="798"/>
      <c r="QOX83" s="798"/>
      <c r="QOY83" s="798"/>
      <c r="QOZ83" s="798"/>
      <c r="QPA83" s="798"/>
      <c r="QPB83" s="798"/>
      <c r="QPC83" s="798"/>
      <c r="QPD83" s="798"/>
      <c r="QPE83" s="798"/>
      <c r="QPF83" s="798"/>
      <c r="QPG83" s="798"/>
      <c r="QPH83" s="798"/>
      <c r="QPI83" s="798"/>
      <c r="QPJ83" s="798"/>
      <c r="QPK83" s="798"/>
      <c r="QPL83" s="798"/>
      <c r="QPM83" s="798"/>
      <c r="QPN83" s="798"/>
      <c r="QPO83" s="798"/>
      <c r="QPP83" s="798"/>
      <c r="QPQ83" s="798"/>
      <c r="QPR83" s="798"/>
      <c r="QPS83" s="798"/>
      <c r="QPT83" s="798"/>
      <c r="QPU83" s="798"/>
      <c r="QPV83" s="798"/>
      <c r="QPW83" s="798"/>
      <c r="QPX83" s="798"/>
      <c r="QPY83" s="798"/>
      <c r="QPZ83" s="798"/>
      <c r="QQA83" s="798"/>
      <c r="QQB83" s="798"/>
      <c r="QQC83" s="798"/>
      <c r="QQD83" s="798"/>
      <c r="QQE83" s="798"/>
      <c r="QQF83" s="798"/>
      <c r="QQG83" s="798"/>
      <c r="QQH83" s="798"/>
      <c r="QQI83" s="798"/>
      <c r="QQJ83" s="798"/>
      <c r="QQK83" s="798"/>
      <c r="QQL83" s="798"/>
      <c r="QQM83" s="798"/>
      <c r="QQN83" s="798"/>
      <c r="QQO83" s="798"/>
      <c r="QQP83" s="798"/>
      <c r="QQQ83" s="798"/>
      <c r="QQR83" s="798"/>
      <c r="QQS83" s="798"/>
      <c r="QQT83" s="798"/>
      <c r="QQU83" s="798"/>
      <c r="QQV83" s="798"/>
      <c r="QQW83" s="798"/>
      <c r="QQX83" s="798"/>
      <c r="QQY83" s="798"/>
      <c r="QQZ83" s="798"/>
      <c r="QRA83" s="798"/>
      <c r="QRB83" s="798"/>
      <c r="QRC83" s="798"/>
      <c r="QRD83" s="798"/>
      <c r="QRE83" s="798"/>
      <c r="QRF83" s="798"/>
      <c r="QRG83" s="798"/>
      <c r="QRH83" s="798"/>
      <c r="QRI83" s="798"/>
      <c r="QRJ83" s="798"/>
      <c r="QRK83" s="798"/>
      <c r="QRL83" s="798"/>
      <c r="QRM83" s="798"/>
      <c r="QRN83" s="798"/>
      <c r="QRO83" s="798"/>
      <c r="QRP83" s="798"/>
      <c r="QRQ83" s="798"/>
      <c r="QRR83" s="798"/>
      <c r="QRS83" s="798"/>
      <c r="QRT83" s="798"/>
      <c r="QRU83" s="798"/>
      <c r="QRV83" s="798"/>
      <c r="QRW83" s="798"/>
      <c r="QRX83" s="798"/>
      <c r="QRY83" s="798"/>
      <c r="QRZ83" s="798"/>
      <c r="QSA83" s="798"/>
      <c r="QSB83" s="798"/>
      <c r="QSC83" s="798"/>
      <c r="QSD83" s="798"/>
      <c r="QSE83" s="798"/>
      <c r="QSF83" s="798"/>
      <c r="QSG83" s="798"/>
      <c r="QSH83" s="798"/>
      <c r="QSI83" s="798"/>
      <c r="QSJ83" s="798"/>
      <c r="QSK83" s="798"/>
      <c r="QSL83" s="798"/>
      <c r="QSM83" s="798"/>
      <c r="QSN83" s="798"/>
      <c r="QSO83" s="798"/>
      <c r="QSP83" s="798"/>
      <c r="QSQ83" s="798"/>
      <c r="QSR83" s="798"/>
      <c r="QSS83" s="798"/>
      <c r="QST83" s="798"/>
      <c r="QSU83" s="798"/>
      <c r="QSV83" s="798"/>
      <c r="QSW83" s="798"/>
      <c r="QSX83" s="798"/>
      <c r="QSY83" s="798"/>
      <c r="QSZ83" s="798"/>
      <c r="QTA83" s="798"/>
      <c r="QTB83" s="798"/>
      <c r="QTC83" s="798"/>
      <c r="QTD83" s="798"/>
      <c r="QTE83" s="798"/>
      <c r="QTF83" s="798"/>
      <c r="QTG83" s="798"/>
      <c r="QTH83" s="798"/>
      <c r="QTI83" s="798"/>
      <c r="QTJ83" s="798"/>
      <c r="QTK83" s="798"/>
      <c r="QTL83" s="798"/>
      <c r="QTM83" s="798"/>
      <c r="QTN83" s="798"/>
      <c r="QTO83" s="798"/>
      <c r="QTP83" s="798"/>
      <c r="QTQ83" s="798"/>
      <c r="QTR83" s="798"/>
      <c r="QTS83" s="798"/>
      <c r="QTT83" s="798"/>
      <c r="QTU83" s="798"/>
      <c r="QTV83" s="798"/>
      <c r="QTW83" s="798"/>
      <c r="QTX83" s="798"/>
      <c r="QTY83" s="798"/>
      <c r="QTZ83" s="798"/>
      <c r="QUA83" s="798"/>
      <c r="QUB83" s="798"/>
      <c r="QUC83" s="798"/>
      <c r="QUD83" s="798"/>
      <c r="QUE83" s="798"/>
      <c r="QUF83" s="798"/>
      <c r="QUG83" s="798"/>
      <c r="QUH83" s="798"/>
      <c r="QUI83" s="798"/>
      <c r="QUJ83" s="798"/>
      <c r="QUK83" s="798"/>
      <c r="QUL83" s="798"/>
      <c r="QUM83" s="798"/>
      <c r="QUN83" s="798"/>
      <c r="QUO83" s="798"/>
      <c r="QUP83" s="798"/>
      <c r="QUQ83" s="798"/>
      <c r="QUR83" s="798"/>
      <c r="QUS83" s="798"/>
      <c r="QUT83" s="798"/>
      <c r="QUU83" s="798"/>
      <c r="QUV83" s="798"/>
      <c r="QUW83" s="798"/>
      <c r="QUX83" s="798"/>
      <c r="QUY83" s="798"/>
      <c r="QUZ83" s="798"/>
      <c r="QVA83" s="798"/>
      <c r="QVB83" s="798"/>
      <c r="QVC83" s="798"/>
      <c r="QVD83" s="798"/>
      <c r="QVE83" s="798"/>
      <c r="QVF83" s="798"/>
      <c r="QVG83" s="798"/>
      <c r="QVH83" s="798"/>
      <c r="QVI83" s="798"/>
      <c r="QVJ83" s="798"/>
      <c r="QVK83" s="798"/>
      <c r="QVL83" s="798"/>
      <c r="QVM83" s="798"/>
      <c r="QVN83" s="798"/>
      <c r="QVO83" s="798"/>
      <c r="QVP83" s="798"/>
      <c r="QVQ83" s="798"/>
      <c r="QVR83" s="798"/>
      <c r="QVS83" s="798"/>
      <c r="QVT83" s="798"/>
      <c r="QVU83" s="798"/>
      <c r="QVV83" s="798"/>
      <c r="QVW83" s="798"/>
      <c r="QVX83" s="798"/>
      <c r="QVY83" s="798"/>
      <c r="QVZ83" s="798"/>
      <c r="QWA83" s="798"/>
      <c r="QWB83" s="798"/>
      <c r="QWC83" s="798"/>
      <c r="QWD83" s="798"/>
      <c r="QWE83" s="798"/>
      <c r="QWF83" s="798"/>
      <c r="QWG83" s="798"/>
      <c r="QWH83" s="798"/>
      <c r="QWI83" s="798"/>
      <c r="QWJ83" s="798"/>
      <c r="QWK83" s="798"/>
      <c r="QWL83" s="798"/>
      <c r="QWM83" s="798"/>
      <c r="QWN83" s="798"/>
      <c r="QWO83" s="798"/>
      <c r="QWP83" s="798"/>
      <c r="QWQ83" s="798"/>
      <c r="QWR83" s="798"/>
      <c r="QWS83" s="798"/>
      <c r="QWT83" s="798"/>
      <c r="QWU83" s="798"/>
      <c r="QWV83" s="798"/>
      <c r="QWW83" s="798"/>
      <c r="QWX83" s="798"/>
      <c r="QWY83" s="798"/>
      <c r="QWZ83" s="798"/>
      <c r="QXA83" s="798"/>
      <c r="QXB83" s="798"/>
      <c r="QXC83" s="798"/>
      <c r="QXD83" s="798"/>
      <c r="QXE83" s="798"/>
      <c r="QXF83" s="798"/>
      <c r="QXG83" s="798"/>
      <c r="QXH83" s="798"/>
      <c r="QXI83" s="798"/>
      <c r="QXJ83" s="798"/>
      <c r="QXK83" s="798"/>
      <c r="QXL83" s="798"/>
      <c r="QXM83" s="798"/>
      <c r="QXN83" s="798"/>
      <c r="QXO83" s="798"/>
      <c r="QXP83" s="798"/>
      <c r="QXQ83" s="798"/>
      <c r="QXR83" s="798"/>
      <c r="QXS83" s="798"/>
      <c r="QXT83" s="798"/>
      <c r="QXU83" s="798"/>
      <c r="QXV83" s="798"/>
      <c r="QXW83" s="798"/>
      <c r="QXX83" s="798"/>
      <c r="QXY83" s="798"/>
      <c r="QXZ83" s="798"/>
      <c r="QYA83" s="798"/>
      <c r="QYB83" s="798"/>
      <c r="QYC83" s="798"/>
      <c r="QYD83" s="798"/>
      <c r="QYE83" s="798"/>
      <c r="QYF83" s="798"/>
      <c r="QYG83" s="798"/>
      <c r="QYH83" s="798"/>
      <c r="QYI83" s="798"/>
      <c r="QYJ83" s="798"/>
      <c r="QYK83" s="798"/>
      <c r="QYL83" s="798"/>
      <c r="QYM83" s="798"/>
      <c r="QYN83" s="798"/>
      <c r="QYO83" s="798"/>
      <c r="QYP83" s="798"/>
      <c r="QYQ83" s="798"/>
      <c r="QYR83" s="798"/>
      <c r="QYS83" s="798"/>
      <c r="QYT83" s="798"/>
      <c r="QYU83" s="798"/>
      <c r="QYV83" s="798"/>
      <c r="QYW83" s="798"/>
      <c r="QYX83" s="798"/>
      <c r="QYY83" s="798"/>
      <c r="QYZ83" s="798"/>
      <c r="QZA83" s="798"/>
      <c r="QZB83" s="798"/>
      <c r="QZC83" s="798"/>
      <c r="QZD83" s="798"/>
      <c r="QZE83" s="798"/>
      <c r="QZF83" s="798"/>
      <c r="QZG83" s="798"/>
      <c r="QZH83" s="798"/>
      <c r="QZI83" s="798"/>
      <c r="QZJ83" s="798"/>
      <c r="QZK83" s="798"/>
      <c r="QZL83" s="798"/>
      <c r="QZM83" s="798"/>
      <c r="QZN83" s="798"/>
      <c r="QZO83" s="798"/>
      <c r="QZP83" s="798"/>
      <c r="QZQ83" s="798"/>
      <c r="QZR83" s="798"/>
      <c r="QZS83" s="798"/>
      <c r="QZT83" s="798"/>
      <c r="QZU83" s="798"/>
      <c r="QZV83" s="798"/>
      <c r="QZW83" s="798"/>
      <c r="QZX83" s="798"/>
      <c r="QZY83" s="798"/>
      <c r="QZZ83" s="798"/>
      <c r="RAA83" s="798"/>
      <c r="RAB83" s="798"/>
      <c r="RAC83" s="798"/>
      <c r="RAD83" s="798"/>
      <c r="RAE83" s="798"/>
      <c r="RAF83" s="798"/>
      <c r="RAG83" s="798"/>
      <c r="RAH83" s="798"/>
      <c r="RAI83" s="798"/>
      <c r="RAJ83" s="798"/>
      <c r="RAK83" s="798"/>
      <c r="RAL83" s="798"/>
      <c r="RAM83" s="798"/>
      <c r="RAN83" s="798"/>
      <c r="RAO83" s="798"/>
      <c r="RAP83" s="798"/>
      <c r="RAQ83" s="798"/>
      <c r="RAR83" s="798"/>
      <c r="RAS83" s="798"/>
      <c r="RAT83" s="798"/>
      <c r="RAU83" s="798"/>
      <c r="RAV83" s="798"/>
      <c r="RAW83" s="798"/>
      <c r="RAX83" s="798"/>
      <c r="RAY83" s="798"/>
      <c r="RAZ83" s="798"/>
      <c r="RBA83" s="798"/>
      <c r="RBB83" s="798"/>
      <c r="RBC83" s="798"/>
      <c r="RBD83" s="798"/>
      <c r="RBE83" s="798"/>
      <c r="RBF83" s="798"/>
      <c r="RBG83" s="798"/>
      <c r="RBH83" s="798"/>
      <c r="RBI83" s="798"/>
      <c r="RBJ83" s="798"/>
      <c r="RBK83" s="798"/>
      <c r="RBL83" s="798"/>
      <c r="RBM83" s="798"/>
      <c r="RBN83" s="798"/>
      <c r="RBO83" s="798"/>
      <c r="RBP83" s="798"/>
      <c r="RBQ83" s="798"/>
      <c r="RBR83" s="798"/>
      <c r="RBS83" s="798"/>
      <c r="RBT83" s="798"/>
      <c r="RBU83" s="798"/>
      <c r="RBV83" s="798"/>
      <c r="RBW83" s="798"/>
      <c r="RBX83" s="798"/>
      <c r="RBY83" s="798"/>
      <c r="RBZ83" s="798"/>
      <c r="RCA83" s="798"/>
      <c r="RCB83" s="798"/>
      <c r="RCC83" s="798"/>
      <c r="RCD83" s="798"/>
      <c r="RCE83" s="798"/>
      <c r="RCF83" s="798"/>
      <c r="RCG83" s="798"/>
      <c r="RCH83" s="798"/>
      <c r="RCI83" s="798"/>
      <c r="RCJ83" s="798"/>
      <c r="RCK83" s="798"/>
      <c r="RCL83" s="798"/>
      <c r="RCM83" s="798"/>
      <c r="RCN83" s="798"/>
      <c r="RCO83" s="798"/>
      <c r="RCP83" s="798"/>
      <c r="RCQ83" s="798"/>
      <c r="RCR83" s="798"/>
      <c r="RCS83" s="798"/>
      <c r="RCT83" s="798"/>
      <c r="RCU83" s="798"/>
      <c r="RCV83" s="798"/>
      <c r="RCW83" s="798"/>
      <c r="RCX83" s="798"/>
      <c r="RCY83" s="798"/>
      <c r="RCZ83" s="798"/>
      <c r="RDA83" s="798"/>
      <c r="RDB83" s="798"/>
      <c r="RDC83" s="798"/>
      <c r="RDD83" s="798"/>
      <c r="RDE83" s="798"/>
      <c r="RDF83" s="798"/>
      <c r="RDG83" s="798"/>
      <c r="RDH83" s="798"/>
      <c r="RDI83" s="798"/>
      <c r="RDJ83" s="798"/>
      <c r="RDK83" s="798"/>
      <c r="RDL83" s="798"/>
      <c r="RDM83" s="798"/>
      <c r="RDN83" s="798"/>
      <c r="RDO83" s="798"/>
      <c r="RDP83" s="798"/>
      <c r="RDQ83" s="798"/>
      <c r="RDR83" s="798"/>
      <c r="RDS83" s="798"/>
      <c r="RDT83" s="798"/>
      <c r="RDU83" s="798"/>
      <c r="RDV83" s="798"/>
      <c r="RDW83" s="798"/>
      <c r="RDX83" s="798"/>
      <c r="RDY83" s="798"/>
      <c r="RDZ83" s="798"/>
      <c r="REA83" s="798"/>
      <c r="REB83" s="798"/>
      <c r="REC83" s="798"/>
      <c r="RED83" s="798"/>
      <c r="REE83" s="798"/>
      <c r="REF83" s="798"/>
      <c r="REG83" s="798"/>
      <c r="REH83" s="798"/>
      <c r="REI83" s="798"/>
      <c r="REJ83" s="798"/>
      <c r="REK83" s="798"/>
      <c r="REL83" s="798"/>
      <c r="REM83" s="798"/>
      <c r="REN83" s="798"/>
      <c r="REO83" s="798"/>
      <c r="REP83" s="798"/>
      <c r="REQ83" s="798"/>
      <c r="RER83" s="798"/>
      <c r="RES83" s="798"/>
      <c r="RET83" s="798"/>
      <c r="REU83" s="798"/>
      <c r="REV83" s="798"/>
      <c r="REW83" s="798"/>
      <c r="REX83" s="798"/>
      <c r="REY83" s="798"/>
      <c r="REZ83" s="798"/>
      <c r="RFA83" s="798"/>
      <c r="RFB83" s="798"/>
      <c r="RFC83" s="798"/>
      <c r="RFD83" s="798"/>
      <c r="RFE83" s="798"/>
      <c r="RFF83" s="798"/>
      <c r="RFG83" s="798"/>
      <c r="RFH83" s="798"/>
      <c r="RFI83" s="798"/>
      <c r="RFJ83" s="798"/>
      <c r="RFK83" s="798"/>
      <c r="RFL83" s="798"/>
      <c r="RFM83" s="798"/>
      <c r="RFN83" s="798"/>
      <c r="RFO83" s="798"/>
      <c r="RFP83" s="798"/>
      <c r="RFQ83" s="798"/>
      <c r="RFR83" s="798"/>
      <c r="RFS83" s="798"/>
      <c r="RFT83" s="798"/>
      <c r="RFU83" s="798"/>
      <c r="RFV83" s="798"/>
      <c r="RFW83" s="798"/>
      <c r="RFX83" s="798"/>
      <c r="RFY83" s="798"/>
      <c r="RFZ83" s="798"/>
      <c r="RGA83" s="798"/>
      <c r="RGB83" s="798"/>
      <c r="RGC83" s="798"/>
      <c r="RGD83" s="798"/>
      <c r="RGE83" s="798"/>
      <c r="RGF83" s="798"/>
      <c r="RGG83" s="798"/>
      <c r="RGH83" s="798"/>
      <c r="RGI83" s="798"/>
      <c r="RGJ83" s="798"/>
      <c r="RGK83" s="798"/>
      <c r="RGL83" s="798"/>
      <c r="RGM83" s="798"/>
      <c r="RGN83" s="798"/>
      <c r="RGO83" s="798"/>
      <c r="RGP83" s="798"/>
      <c r="RGQ83" s="798"/>
      <c r="RGR83" s="798"/>
      <c r="RGS83" s="798"/>
      <c r="RGT83" s="798"/>
      <c r="RGU83" s="798"/>
      <c r="RGV83" s="798"/>
      <c r="RGW83" s="798"/>
      <c r="RGX83" s="798"/>
      <c r="RGY83" s="798"/>
      <c r="RGZ83" s="798"/>
      <c r="RHA83" s="798"/>
      <c r="RHB83" s="798"/>
      <c r="RHC83" s="798"/>
      <c r="RHD83" s="798"/>
      <c r="RHE83" s="798"/>
      <c r="RHF83" s="798"/>
      <c r="RHG83" s="798"/>
      <c r="RHH83" s="798"/>
      <c r="RHI83" s="798"/>
      <c r="RHJ83" s="798"/>
      <c r="RHK83" s="798"/>
      <c r="RHL83" s="798"/>
      <c r="RHM83" s="798"/>
      <c r="RHN83" s="798"/>
      <c r="RHO83" s="798"/>
      <c r="RHP83" s="798"/>
      <c r="RHQ83" s="798"/>
      <c r="RHR83" s="798"/>
      <c r="RHS83" s="798"/>
      <c r="RHT83" s="798"/>
      <c r="RHU83" s="798"/>
      <c r="RHV83" s="798"/>
      <c r="RHW83" s="798"/>
      <c r="RHX83" s="798"/>
      <c r="RHY83" s="798"/>
      <c r="RHZ83" s="798"/>
      <c r="RIA83" s="798"/>
      <c r="RIB83" s="798"/>
      <c r="RIC83" s="798"/>
      <c r="RID83" s="798"/>
      <c r="RIE83" s="798"/>
      <c r="RIF83" s="798"/>
      <c r="RIG83" s="798"/>
      <c r="RIH83" s="798"/>
      <c r="RII83" s="798"/>
      <c r="RIJ83" s="798"/>
      <c r="RIK83" s="798"/>
      <c r="RIL83" s="798"/>
      <c r="RIM83" s="798"/>
      <c r="RIN83" s="798"/>
      <c r="RIO83" s="798"/>
      <c r="RIP83" s="798"/>
      <c r="RIQ83" s="798"/>
      <c r="RIR83" s="798"/>
      <c r="RIS83" s="798"/>
      <c r="RIT83" s="798"/>
      <c r="RIU83" s="798"/>
      <c r="RIV83" s="798"/>
      <c r="RIW83" s="798"/>
      <c r="RIX83" s="798"/>
      <c r="RIY83" s="798"/>
      <c r="RIZ83" s="798"/>
      <c r="RJA83" s="798"/>
      <c r="RJB83" s="798"/>
      <c r="RJC83" s="798"/>
      <c r="RJD83" s="798"/>
      <c r="RJE83" s="798"/>
      <c r="RJF83" s="798"/>
      <c r="RJG83" s="798"/>
      <c r="RJH83" s="798"/>
      <c r="RJI83" s="798"/>
      <c r="RJJ83" s="798"/>
      <c r="RJK83" s="798"/>
      <c r="RJL83" s="798"/>
      <c r="RJM83" s="798"/>
      <c r="RJN83" s="798"/>
      <c r="RJO83" s="798"/>
      <c r="RJP83" s="798"/>
      <c r="RJQ83" s="798"/>
      <c r="RJR83" s="798"/>
      <c r="RJS83" s="798"/>
      <c r="RJT83" s="798"/>
      <c r="RJU83" s="798"/>
      <c r="RJV83" s="798"/>
      <c r="RJW83" s="798"/>
      <c r="RJX83" s="798"/>
      <c r="RJY83" s="798"/>
      <c r="RJZ83" s="798"/>
      <c r="RKA83" s="798"/>
      <c r="RKB83" s="798"/>
      <c r="RKC83" s="798"/>
      <c r="RKD83" s="798"/>
      <c r="RKE83" s="798"/>
      <c r="RKF83" s="798"/>
      <c r="RKG83" s="798"/>
      <c r="RKH83" s="798"/>
      <c r="RKI83" s="798"/>
      <c r="RKJ83" s="798"/>
      <c r="RKK83" s="798"/>
      <c r="RKL83" s="798"/>
      <c r="RKM83" s="798"/>
      <c r="RKN83" s="798"/>
      <c r="RKO83" s="798"/>
      <c r="RKP83" s="798"/>
      <c r="RKQ83" s="798"/>
      <c r="RKR83" s="798"/>
      <c r="RKS83" s="798"/>
      <c r="RKT83" s="798"/>
      <c r="RKU83" s="798"/>
      <c r="RKV83" s="798"/>
      <c r="RKW83" s="798"/>
      <c r="RKX83" s="798"/>
      <c r="RKY83" s="798"/>
      <c r="RKZ83" s="798"/>
      <c r="RLA83" s="798"/>
      <c r="RLB83" s="798"/>
      <c r="RLC83" s="798"/>
      <c r="RLD83" s="798"/>
      <c r="RLE83" s="798"/>
      <c r="RLF83" s="798"/>
      <c r="RLG83" s="798"/>
      <c r="RLH83" s="798"/>
      <c r="RLI83" s="798"/>
      <c r="RLJ83" s="798"/>
      <c r="RLK83" s="798"/>
      <c r="RLL83" s="798"/>
      <c r="RLM83" s="798"/>
      <c r="RLN83" s="798"/>
      <c r="RLO83" s="798"/>
      <c r="RLP83" s="798"/>
      <c r="RLQ83" s="798"/>
      <c r="RLR83" s="798"/>
      <c r="RLS83" s="798"/>
      <c r="RLT83" s="798"/>
      <c r="RLU83" s="798"/>
      <c r="RLV83" s="798"/>
      <c r="RLW83" s="798"/>
      <c r="RLX83" s="798"/>
      <c r="RLY83" s="798"/>
      <c r="RLZ83" s="798"/>
      <c r="RMA83" s="798"/>
      <c r="RMB83" s="798"/>
      <c r="RMC83" s="798"/>
      <c r="RMD83" s="798"/>
      <c r="RME83" s="798"/>
      <c r="RMF83" s="798"/>
      <c r="RMG83" s="798"/>
      <c r="RMH83" s="798"/>
      <c r="RMI83" s="798"/>
      <c r="RMJ83" s="798"/>
      <c r="RMK83" s="798"/>
      <c r="RML83" s="798"/>
      <c r="RMM83" s="798"/>
      <c r="RMN83" s="798"/>
      <c r="RMO83" s="798"/>
      <c r="RMP83" s="798"/>
      <c r="RMQ83" s="798"/>
      <c r="RMR83" s="798"/>
      <c r="RMS83" s="798"/>
      <c r="RMT83" s="798"/>
      <c r="RMU83" s="798"/>
      <c r="RMV83" s="798"/>
      <c r="RMW83" s="798"/>
      <c r="RMX83" s="798"/>
      <c r="RMY83" s="798"/>
      <c r="RMZ83" s="798"/>
      <c r="RNA83" s="798"/>
      <c r="RNB83" s="798"/>
      <c r="RNC83" s="798"/>
      <c r="RND83" s="798"/>
      <c r="RNE83" s="798"/>
      <c r="RNF83" s="798"/>
      <c r="RNG83" s="798"/>
      <c r="RNH83" s="798"/>
      <c r="RNI83" s="798"/>
      <c r="RNJ83" s="798"/>
      <c r="RNK83" s="798"/>
      <c r="RNL83" s="798"/>
      <c r="RNM83" s="798"/>
      <c r="RNN83" s="798"/>
      <c r="RNO83" s="798"/>
      <c r="RNP83" s="798"/>
      <c r="RNQ83" s="798"/>
      <c r="RNR83" s="798"/>
      <c r="RNS83" s="798"/>
      <c r="RNT83" s="798"/>
      <c r="RNU83" s="798"/>
      <c r="RNV83" s="798"/>
      <c r="RNW83" s="798"/>
      <c r="RNX83" s="798"/>
      <c r="RNY83" s="798"/>
      <c r="RNZ83" s="798"/>
      <c r="ROA83" s="798"/>
      <c r="ROB83" s="798"/>
      <c r="ROC83" s="798"/>
      <c r="ROD83" s="798"/>
      <c r="ROE83" s="798"/>
      <c r="ROF83" s="798"/>
      <c r="ROG83" s="798"/>
      <c r="ROH83" s="798"/>
      <c r="ROI83" s="798"/>
      <c r="ROJ83" s="798"/>
      <c r="ROK83" s="798"/>
      <c r="ROL83" s="798"/>
      <c r="ROM83" s="798"/>
      <c r="RON83" s="798"/>
      <c r="ROO83" s="798"/>
      <c r="ROP83" s="798"/>
      <c r="ROQ83" s="798"/>
      <c r="ROR83" s="798"/>
      <c r="ROS83" s="798"/>
      <c r="ROT83" s="798"/>
      <c r="ROU83" s="798"/>
      <c r="ROV83" s="798"/>
      <c r="ROW83" s="798"/>
      <c r="ROX83" s="798"/>
      <c r="ROY83" s="798"/>
      <c r="ROZ83" s="798"/>
      <c r="RPA83" s="798"/>
      <c r="RPB83" s="798"/>
      <c r="RPC83" s="798"/>
      <c r="RPD83" s="798"/>
      <c r="RPE83" s="798"/>
      <c r="RPF83" s="798"/>
      <c r="RPG83" s="798"/>
      <c r="RPH83" s="798"/>
      <c r="RPI83" s="798"/>
      <c r="RPJ83" s="798"/>
      <c r="RPK83" s="798"/>
      <c r="RPL83" s="798"/>
      <c r="RPM83" s="798"/>
      <c r="RPN83" s="798"/>
      <c r="RPO83" s="798"/>
      <c r="RPP83" s="798"/>
      <c r="RPQ83" s="798"/>
      <c r="RPR83" s="798"/>
      <c r="RPS83" s="798"/>
      <c r="RPT83" s="798"/>
      <c r="RPU83" s="798"/>
      <c r="RPV83" s="798"/>
      <c r="RPW83" s="798"/>
      <c r="RPX83" s="798"/>
      <c r="RPY83" s="798"/>
      <c r="RPZ83" s="798"/>
      <c r="RQA83" s="798"/>
      <c r="RQB83" s="798"/>
      <c r="RQC83" s="798"/>
      <c r="RQD83" s="798"/>
      <c r="RQE83" s="798"/>
      <c r="RQF83" s="798"/>
      <c r="RQG83" s="798"/>
      <c r="RQH83" s="798"/>
      <c r="RQI83" s="798"/>
      <c r="RQJ83" s="798"/>
      <c r="RQK83" s="798"/>
      <c r="RQL83" s="798"/>
      <c r="RQM83" s="798"/>
      <c r="RQN83" s="798"/>
      <c r="RQO83" s="798"/>
      <c r="RQP83" s="798"/>
      <c r="RQQ83" s="798"/>
      <c r="RQR83" s="798"/>
      <c r="RQS83" s="798"/>
      <c r="RQT83" s="798"/>
      <c r="RQU83" s="798"/>
      <c r="RQV83" s="798"/>
      <c r="RQW83" s="798"/>
      <c r="RQX83" s="798"/>
      <c r="RQY83" s="798"/>
      <c r="RQZ83" s="798"/>
      <c r="RRA83" s="798"/>
      <c r="RRB83" s="798"/>
      <c r="RRC83" s="798"/>
      <c r="RRD83" s="798"/>
      <c r="RRE83" s="798"/>
      <c r="RRF83" s="798"/>
      <c r="RRG83" s="798"/>
      <c r="RRH83" s="798"/>
      <c r="RRI83" s="798"/>
      <c r="RRJ83" s="798"/>
      <c r="RRK83" s="798"/>
      <c r="RRL83" s="798"/>
      <c r="RRM83" s="798"/>
      <c r="RRN83" s="798"/>
      <c r="RRO83" s="798"/>
      <c r="RRP83" s="798"/>
      <c r="RRQ83" s="798"/>
      <c r="RRR83" s="798"/>
      <c r="RRS83" s="798"/>
      <c r="RRT83" s="798"/>
      <c r="RRU83" s="798"/>
      <c r="RRV83" s="798"/>
      <c r="RRW83" s="798"/>
      <c r="RRX83" s="798"/>
      <c r="RRY83" s="798"/>
      <c r="RRZ83" s="798"/>
      <c r="RSA83" s="798"/>
      <c r="RSB83" s="798"/>
      <c r="RSC83" s="798"/>
      <c r="RSD83" s="798"/>
      <c r="RSE83" s="798"/>
      <c r="RSF83" s="798"/>
      <c r="RSG83" s="798"/>
      <c r="RSH83" s="798"/>
      <c r="RSI83" s="798"/>
      <c r="RSJ83" s="798"/>
      <c r="RSK83" s="798"/>
      <c r="RSL83" s="798"/>
      <c r="RSM83" s="798"/>
      <c r="RSN83" s="798"/>
      <c r="RSO83" s="798"/>
      <c r="RSP83" s="798"/>
      <c r="RSQ83" s="798"/>
      <c r="RSR83" s="798"/>
      <c r="RSS83" s="798"/>
      <c r="RST83" s="798"/>
      <c r="RSU83" s="798"/>
      <c r="RSV83" s="798"/>
      <c r="RSW83" s="798"/>
      <c r="RSX83" s="798"/>
      <c r="RSY83" s="798"/>
      <c r="RSZ83" s="798"/>
      <c r="RTA83" s="798"/>
      <c r="RTB83" s="798"/>
      <c r="RTC83" s="798"/>
      <c r="RTD83" s="798"/>
      <c r="RTE83" s="798"/>
      <c r="RTF83" s="798"/>
      <c r="RTG83" s="798"/>
      <c r="RTH83" s="798"/>
      <c r="RTI83" s="798"/>
      <c r="RTJ83" s="798"/>
      <c r="RTK83" s="798"/>
      <c r="RTL83" s="798"/>
      <c r="RTM83" s="798"/>
      <c r="RTN83" s="798"/>
      <c r="RTO83" s="798"/>
      <c r="RTP83" s="798"/>
      <c r="RTQ83" s="798"/>
      <c r="RTR83" s="798"/>
      <c r="RTS83" s="798"/>
      <c r="RTT83" s="798"/>
      <c r="RTU83" s="798"/>
      <c r="RTV83" s="798"/>
      <c r="RTW83" s="798"/>
      <c r="RTX83" s="798"/>
      <c r="RTY83" s="798"/>
      <c r="RTZ83" s="798"/>
      <c r="RUA83" s="798"/>
      <c r="RUB83" s="798"/>
      <c r="RUC83" s="798"/>
      <c r="RUD83" s="798"/>
      <c r="RUE83" s="798"/>
      <c r="RUF83" s="798"/>
      <c r="RUG83" s="798"/>
      <c r="RUH83" s="798"/>
      <c r="RUI83" s="798"/>
      <c r="RUJ83" s="798"/>
      <c r="RUK83" s="798"/>
      <c r="RUL83" s="798"/>
      <c r="RUM83" s="798"/>
      <c r="RUN83" s="798"/>
      <c r="RUO83" s="798"/>
      <c r="RUP83" s="798"/>
      <c r="RUQ83" s="798"/>
      <c r="RUR83" s="798"/>
      <c r="RUS83" s="798"/>
      <c r="RUT83" s="798"/>
      <c r="RUU83" s="798"/>
      <c r="RUV83" s="798"/>
      <c r="RUW83" s="798"/>
      <c r="RUX83" s="798"/>
      <c r="RUY83" s="798"/>
      <c r="RUZ83" s="798"/>
      <c r="RVA83" s="798"/>
      <c r="RVB83" s="798"/>
      <c r="RVC83" s="798"/>
      <c r="RVD83" s="798"/>
      <c r="RVE83" s="798"/>
      <c r="RVF83" s="798"/>
      <c r="RVG83" s="798"/>
      <c r="RVH83" s="798"/>
      <c r="RVI83" s="798"/>
      <c r="RVJ83" s="798"/>
      <c r="RVK83" s="798"/>
      <c r="RVL83" s="798"/>
      <c r="RVM83" s="798"/>
      <c r="RVN83" s="798"/>
      <c r="RVO83" s="798"/>
      <c r="RVP83" s="798"/>
      <c r="RVQ83" s="798"/>
      <c r="RVR83" s="798"/>
      <c r="RVS83" s="798"/>
      <c r="RVT83" s="798"/>
      <c r="RVU83" s="798"/>
      <c r="RVV83" s="798"/>
      <c r="RVW83" s="798"/>
      <c r="RVX83" s="798"/>
      <c r="RVY83" s="798"/>
      <c r="RVZ83" s="798"/>
      <c r="RWA83" s="798"/>
      <c r="RWB83" s="798"/>
      <c r="RWC83" s="798"/>
      <c r="RWD83" s="798"/>
      <c r="RWE83" s="798"/>
      <c r="RWF83" s="798"/>
      <c r="RWG83" s="798"/>
      <c r="RWH83" s="798"/>
      <c r="RWI83" s="798"/>
      <c r="RWJ83" s="798"/>
      <c r="RWK83" s="798"/>
      <c r="RWL83" s="798"/>
      <c r="RWM83" s="798"/>
      <c r="RWN83" s="798"/>
      <c r="RWO83" s="798"/>
      <c r="RWP83" s="798"/>
      <c r="RWQ83" s="798"/>
      <c r="RWR83" s="798"/>
      <c r="RWS83" s="798"/>
      <c r="RWT83" s="798"/>
      <c r="RWU83" s="798"/>
      <c r="RWV83" s="798"/>
      <c r="RWW83" s="798"/>
      <c r="RWX83" s="798"/>
      <c r="RWY83" s="798"/>
      <c r="RWZ83" s="798"/>
      <c r="RXA83" s="798"/>
      <c r="RXB83" s="798"/>
      <c r="RXC83" s="798"/>
      <c r="RXD83" s="798"/>
      <c r="RXE83" s="798"/>
      <c r="RXF83" s="798"/>
      <c r="RXG83" s="798"/>
      <c r="RXH83" s="798"/>
      <c r="RXI83" s="798"/>
      <c r="RXJ83" s="798"/>
      <c r="RXK83" s="798"/>
      <c r="RXL83" s="798"/>
      <c r="RXM83" s="798"/>
      <c r="RXN83" s="798"/>
      <c r="RXO83" s="798"/>
      <c r="RXP83" s="798"/>
      <c r="RXQ83" s="798"/>
      <c r="RXR83" s="798"/>
      <c r="RXS83" s="798"/>
      <c r="RXT83" s="798"/>
      <c r="RXU83" s="798"/>
      <c r="RXV83" s="798"/>
      <c r="RXW83" s="798"/>
      <c r="RXX83" s="798"/>
      <c r="RXY83" s="798"/>
      <c r="RXZ83" s="798"/>
      <c r="RYA83" s="798"/>
      <c r="RYB83" s="798"/>
      <c r="RYC83" s="798"/>
      <c r="RYD83" s="798"/>
      <c r="RYE83" s="798"/>
      <c r="RYF83" s="798"/>
      <c r="RYG83" s="798"/>
      <c r="RYH83" s="798"/>
      <c r="RYI83" s="798"/>
      <c r="RYJ83" s="798"/>
      <c r="RYK83" s="798"/>
      <c r="RYL83" s="798"/>
      <c r="RYM83" s="798"/>
      <c r="RYN83" s="798"/>
      <c r="RYO83" s="798"/>
      <c r="RYP83" s="798"/>
      <c r="RYQ83" s="798"/>
      <c r="RYR83" s="798"/>
      <c r="RYS83" s="798"/>
      <c r="RYT83" s="798"/>
      <c r="RYU83" s="798"/>
      <c r="RYV83" s="798"/>
      <c r="RYW83" s="798"/>
      <c r="RYX83" s="798"/>
      <c r="RYY83" s="798"/>
      <c r="RYZ83" s="798"/>
      <c r="RZA83" s="798"/>
      <c r="RZB83" s="798"/>
      <c r="RZC83" s="798"/>
      <c r="RZD83" s="798"/>
      <c r="RZE83" s="798"/>
      <c r="RZF83" s="798"/>
      <c r="RZG83" s="798"/>
      <c r="RZH83" s="798"/>
      <c r="RZI83" s="798"/>
      <c r="RZJ83" s="798"/>
      <c r="RZK83" s="798"/>
      <c r="RZL83" s="798"/>
      <c r="RZM83" s="798"/>
      <c r="RZN83" s="798"/>
      <c r="RZO83" s="798"/>
      <c r="RZP83" s="798"/>
      <c r="RZQ83" s="798"/>
      <c r="RZR83" s="798"/>
      <c r="RZS83" s="798"/>
      <c r="RZT83" s="798"/>
      <c r="RZU83" s="798"/>
      <c r="RZV83" s="798"/>
      <c r="RZW83" s="798"/>
      <c r="RZX83" s="798"/>
      <c r="RZY83" s="798"/>
      <c r="RZZ83" s="798"/>
      <c r="SAA83" s="798"/>
      <c r="SAB83" s="798"/>
      <c r="SAC83" s="798"/>
      <c r="SAD83" s="798"/>
      <c r="SAE83" s="798"/>
      <c r="SAF83" s="798"/>
      <c r="SAG83" s="798"/>
      <c r="SAH83" s="798"/>
      <c r="SAI83" s="798"/>
      <c r="SAJ83" s="798"/>
      <c r="SAK83" s="798"/>
      <c r="SAL83" s="798"/>
      <c r="SAM83" s="798"/>
      <c r="SAN83" s="798"/>
      <c r="SAO83" s="798"/>
      <c r="SAP83" s="798"/>
      <c r="SAQ83" s="798"/>
      <c r="SAR83" s="798"/>
      <c r="SAS83" s="798"/>
      <c r="SAT83" s="798"/>
      <c r="SAU83" s="798"/>
      <c r="SAV83" s="798"/>
      <c r="SAW83" s="798"/>
      <c r="SAX83" s="798"/>
      <c r="SAY83" s="798"/>
      <c r="SAZ83" s="798"/>
      <c r="SBA83" s="798"/>
      <c r="SBB83" s="798"/>
      <c r="SBC83" s="798"/>
      <c r="SBD83" s="798"/>
      <c r="SBE83" s="798"/>
      <c r="SBF83" s="798"/>
      <c r="SBG83" s="798"/>
      <c r="SBH83" s="798"/>
      <c r="SBI83" s="798"/>
      <c r="SBJ83" s="798"/>
      <c r="SBK83" s="798"/>
      <c r="SBL83" s="798"/>
      <c r="SBM83" s="798"/>
      <c r="SBN83" s="798"/>
      <c r="SBO83" s="798"/>
      <c r="SBP83" s="798"/>
      <c r="SBQ83" s="798"/>
      <c r="SBR83" s="798"/>
      <c r="SBS83" s="798"/>
      <c r="SBT83" s="798"/>
      <c r="SBU83" s="798"/>
      <c r="SBV83" s="798"/>
      <c r="SBW83" s="798"/>
      <c r="SBX83" s="798"/>
      <c r="SBY83" s="798"/>
      <c r="SBZ83" s="798"/>
      <c r="SCA83" s="798"/>
      <c r="SCB83" s="798"/>
      <c r="SCC83" s="798"/>
      <c r="SCD83" s="798"/>
      <c r="SCE83" s="798"/>
      <c r="SCF83" s="798"/>
      <c r="SCG83" s="798"/>
      <c r="SCH83" s="798"/>
      <c r="SCI83" s="798"/>
      <c r="SCJ83" s="798"/>
      <c r="SCK83" s="798"/>
      <c r="SCL83" s="798"/>
      <c r="SCM83" s="798"/>
      <c r="SCN83" s="798"/>
      <c r="SCO83" s="798"/>
      <c r="SCP83" s="798"/>
      <c r="SCQ83" s="798"/>
      <c r="SCR83" s="798"/>
      <c r="SCS83" s="798"/>
      <c r="SCT83" s="798"/>
      <c r="SCU83" s="798"/>
      <c r="SCV83" s="798"/>
      <c r="SCW83" s="798"/>
      <c r="SCX83" s="798"/>
      <c r="SCY83" s="798"/>
      <c r="SCZ83" s="798"/>
      <c r="SDA83" s="798"/>
      <c r="SDB83" s="798"/>
      <c r="SDC83" s="798"/>
      <c r="SDD83" s="798"/>
      <c r="SDE83" s="798"/>
      <c r="SDF83" s="798"/>
      <c r="SDG83" s="798"/>
      <c r="SDH83" s="798"/>
      <c r="SDI83" s="798"/>
      <c r="SDJ83" s="798"/>
      <c r="SDK83" s="798"/>
      <c r="SDL83" s="798"/>
      <c r="SDM83" s="798"/>
      <c r="SDN83" s="798"/>
      <c r="SDO83" s="798"/>
      <c r="SDP83" s="798"/>
      <c r="SDQ83" s="798"/>
      <c r="SDR83" s="798"/>
      <c r="SDS83" s="798"/>
      <c r="SDT83" s="798"/>
      <c r="SDU83" s="798"/>
      <c r="SDV83" s="798"/>
      <c r="SDW83" s="798"/>
      <c r="SDX83" s="798"/>
      <c r="SDY83" s="798"/>
      <c r="SDZ83" s="798"/>
      <c r="SEA83" s="798"/>
      <c r="SEB83" s="798"/>
      <c r="SEC83" s="798"/>
      <c r="SED83" s="798"/>
      <c r="SEE83" s="798"/>
      <c r="SEF83" s="798"/>
      <c r="SEG83" s="798"/>
      <c r="SEH83" s="798"/>
      <c r="SEI83" s="798"/>
      <c r="SEJ83" s="798"/>
      <c r="SEK83" s="798"/>
      <c r="SEL83" s="798"/>
      <c r="SEM83" s="798"/>
      <c r="SEN83" s="798"/>
      <c r="SEO83" s="798"/>
      <c r="SEP83" s="798"/>
      <c r="SEQ83" s="798"/>
      <c r="SER83" s="798"/>
      <c r="SES83" s="798"/>
      <c r="SET83" s="798"/>
      <c r="SEU83" s="798"/>
      <c r="SEV83" s="798"/>
      <c r="SEW83" s="798"/>
      <c r="SEX83" s="798"/>
      <c r="SEY83" s="798"/>
      <c r="SEZ83" s="798"/>
      <c r="SFA83" s="798"/>
      <c r="SFB83" s="798"/>
      <c r="SFC83" s="798"/>
      <c r="SFD83" s="798"/>
      <c r="SFE83" s="798"/>
      <c r="SFF83" s="798"/>
      <c r="SFG83" s="798"/>
      <c r="SFH83" s="798"/>
      <c r="SFI83" s="798"/>
      <c r="SFJ83" s="798"/>
      <c r="SFK83" s="798"/>
      <c r="SFL83" s="798"/>
      <c r="SFM83" s="798"/>
      <c r="SFN83" s="798"/>
      <c r="SFO83" s="798"/>
      <c r="SFP83" s="798"/>
      <c r="SFQ83" s="798"/>
      <c r="SFR83" s="798"/>
      <c r="SFS83" s="798"/>
      <c r="SFT83" s="798"/>
      <c r="SFU83" s="798"/>
      <c r="SFV83" s="798"/>
      <c r="SFW83" s="798"/>
      <c r="SFX83" s="798"/>
      <c r="SFY83" s="798"/>
      <c r="SFZ83" s="798"/>
      <c r="SGA83" s="798"/>
      <c r="SGB83" s="798"/>
      <c r="SGC83" s="798"/>
      <c r="SGD83" s="798"/>
      <c r="SGE83" s="798"/>
      <c r="SGF83" s="798"/>
      <c r="SGG83" s="798"/>
      <c r="SGH83" s="798"/>
      <c r="SGI83" s="798"/>
      <c r="SGJ83" s="798"/>
      <c r="SGK83" s="798"/>
      <c r="SGL83" s="798"/>
      <c r="SGM83" s="798"/>
      <c r="SGN83" s="798"/>
      <c r="SGO83" s="798"/>
      <c r="SGP83" s="798"/>
      <c r="SGQ83" s="798"/>
      <c r="SGR83" s="798"/>
      <c r="SGS83" s="798"/>
      <c r="SGT83" s="798"/>
      <c r="SGU83" s="798"/>
      <c r="SGV83" s="798"/>
      <c r="SGW83" s="798"/>
      <c r="SGX83" s="798"/>
      <c r="SGY83" s="798"/>
      <c r="SGZ83" s="798"/>
      <c r="SHA83" s="798"/>
      <c r="SHB83" s="798"/>
      <c r="SHC83" s="798"/>
      <c r="SHD83" s="798"/>
      <c r="SHE83" s="798"/>
      <c r="SHF83" s="798"/>
      <c r="SHG83" s="798"/>
      <c r="SHH83" s="798"/>
      <c r="SHI83" s="798"/>
      <c r="SHJ83" s="798"/>
      <c r="SHK83" s="798"/>
      <c r="SHL83" s="798"/>
      <c r="SHM83" s="798"/>
      <c r="SHN83" s="798"/>
      <c r="SHO83" s="798"/>
      <c r="SHP83" s="798"/>
      <c r="SHQ83" s="798"/>
      <c r="SHR83" s="798"/>
      <c r="SHS83" s="798"/>
      <c r="SHT83" s="798"/>
      <c r="SHU83" s="798"/>
      <c r="SHV83" s="798"/>
      <c r="SHW83" s="798"/>
      <c r="SHX83" s="798"/>
      <c r="SHY83" s="798"/>
      <c r="SHZ83" s="798"/>
      <c r="SIA83" s="798"/>
      <c r="SIB83" s="798"/>
      <c r="SIC83" s="798"/>
      <c r="SID83" s="798"/>
      <c r="SIE83" s="798"/>
      <c r="SIF83" s="798"/>
      <c r="SIG83" s="798"/>
      <c r="SIH83" s="798"/>
      <c r="SII83" s="798"/>
      <c r="SIJ83" s="798"/>
      <c r="SIK83" s="798"/>
      <c r="SIL83" s="798"/>
      <c r="SIM83" s="798"/>
      <c r="SIN83" s="798"/>
      <c r="SIO83" s="798"/>
      <c r="SIP83" s="798"/>
      <c r="SIQ83" s="798"/>
      <c r="SIR83" s="798"/>
      <c r="SIS83" s="798"/>
      <c r="SIT83" s="798"/>
      <c r="SIU83" s="798"/>
      <c r="SIV83" s="798"/>
      <c r="SIW83" s="798"/>
      <c r="SIX83" s="798"/>
      <c r="SIY83" s="798"/>
      <c r="SIZ83" s="798"/>
      <c r="SJA83" s="798"/>
      <c r="SJB83" s="798"/>
      <c r="SJC83" s="798"/>
      <c r="SJD83" s="798"/>
      <c r="SJE83" s="798"/>
      <c r="SJF83" s="798"/>
      <c r="SJG83" s="798"/>
      <c r="SJH83" s="798"/>
      <c r="SJI83" s="798"/>
      <c r="SJJ83" s="798"/>
      <c r="SJK83" s="798"/>
      <c r="SJL83" s="798"/>
      <c r="SJM83" s="798"/>
      <c r="SJN83" s="798"/>
      <c r="SJO83" s="798"/>
      <c r="SJP83" s="798"/>
      <c r="SJQ83" s="798"/>
      <c r="SJR83" s="798"/>
      <c r="SJS83" s="798"/>
      <c r="SJT83" s="798"/>
      <c r="SJU83" s="798"/>
      <c r="SJV83" s="798"/>
      <c r="SJW83" s="798"/>
      <c r="SJX83" s="798"/>
      <c r="SJY83" s="798"/>
      <c r="SJZ83" s="798"/>
      <c r="SKA83" s="798"/>
      <c r="SKB83" s="798"/>
      <c r="SKC83" s="798"/>
      <c r="SKD83" s="798"/>
      <c r="SKE83" s="798"/>
      <c r="SKF83" s="798"/>
      <c r="SKG83" s="798"/>
      <c r="SKH83" s="798"/>
      <c r="SKI83" s="798"/>
      <c r="SKJ83" s="798"/>
      <c r="SKK83" s="798"/>
      <c r="SKL83" s="798"/>
      <c r="SKM83" s="798"/>
      <c r="SKN83" s="798"/>
      <c r="SKO83" s="798"/>
      <c r="SKP83" s="798"/>
      <c r="SKQ83" s="798"/>
      <c r="SKR83" s="798"/>
      <c r="SKS83" s="798"/>
      <c r="SKT83" s="798"/>
      <c r="SKU83" s="798"/>
      <c r="SKV83" s="798"/>
      <c r="SKW83" s="798"/>
      <c r="SKX83" s="798"/>
      <c r="SKY83" s="798"/>
      <c r="SKZ83" s="798"/>
      <c r="SLA83" s="798"/>
      <c r="SLB83" s="798"/>
      <c r="SLC83" s="798"/>
      <c r="SLD83" s="798"/>
      <c r="SLE83" s="798"/>
      <c r="SLF83" s="798"/>
      <c r="SLG83" s="798"/>
      <c r="SLH83" s="798"/>
      <c r="SLI83" s="798"/>
      <c r="SLJ83" s="798"/>
      <c r="SLK83" s="798"/>
      <c r="SLL83" s="798"/>
      <c r="SLM83" s="798"/>
      <c r="SLN83" s="798"/>
      <c r="SLO83" s="798"/>
      <c r="SLP83" s="798"/>
      <c r="SLQ83" s="798"/>
      <c r="SLR83" s="798"/>
      <c r="SLS83" s="798"/>
      <c r="SLT83" s="798"/>
      <c r="SLU83" s="798"/>
      <c r="SLV83" s="798"/>
      <c r="SLW83" s="798"/>
      <c r="SLX83" s="798"/>
      <c r="SLY83" s="798"/>
      <c r="SLZ83" s="798"/>
      <c r="SMA83" s="798"/>
      <c r="SMB83" s="798"/>
      <c r="SMC83" s="798"/>
      <c r="SMD83" s="798"/>
      <c r="SME83" s="798"/>
      <c r="SMF83" s="798"/>
      <c r="SMG83" s="798"/>
      <c r="SMH83" s="798"/>
      <c r="SMI83" s="798"/>
      <c r="SMJ83" s="798"/>
      <c r="SMK83" s="798"/>
      <c r="SML83" s="798"/>
      <c r="SMM83" s="798"/>
      <c r="SMN83" s="798"/>
      <c r="SMO83" s="798"/>
      <c r="SMP83" s="798"/>
      <c r="SMQ83" s="798"/>
      <c r="SMR83" s="798"/>
      <c r="SMS83" s="798"/>
      <c r="SMT83" s="798"/>
      <c r="SMU83" s="798"/>
      <c r="SMV83" s="798"/>
      <c r="SMW83" s="798"/>
      <c r="SMX83" s="798"/>
      <c r="SMY83" s="798"/>
      <c r="SMZ83" s="798"/>
      <c r="SNA83" s="798"/>
      <c r="SNB83" s="798"/>
      <c r="SNC83" s="798"/>
      <c r="SND83" s="798"/>
      <c r="SNE83" s="798"/>
      <c r="SNF83" s="798"/>
      <c r="SNG83" s="798"/>
      <c r="SNH83" s="798"/>
      <c r="SNI83" s="798"/>
      <c r="SNJ83" s="798"/>
      <c r="SNK83" s="798"/>
      <c r="SNL83" s="798"/>
      <c r="SNM83" s="798"/>
      <c r="SNN83" s="798"/>
      <c r="SNO83" s="798"/>
      <c r="SNP83" s="798"/>
      <c r="SNQ83" s="798"/>
      <c r="SNR83" s="798"/>
      <c r="SNS83" s="798"/>
      <c r="SNT83" s="798"/>
      <c r="SNU83" s="798"/>
      <c r="SNV83" s="798"/>
      <c r="SNW83" s="798"/>
      <c r="SNX83" s="798"/>
      <c r="SNY83" s="798"/>
      <c r="SNZ83" s="798"/>
      <c r="SOA83" s="798"/>
      <c r="SOB83" s="798"/>
      <c r="SOC83" s="798"/>
      <c r="SOD83" s="798"/>
      <c r="SOE83" s="798"/>
      <c r="SOF83" s="798"/>
      <c r="SOG83" s="798"/>
      <c r="SOH83" s="798"/>
      <c r="SOI83" s="798"/>
      <c r="SOJ83" s="798"/>
      <c r="SOK83" s="798"/>
      <c r="SOL83" s="798"/>
      <c r="SOM83" s="798"/>
      <c r="SON83" s="798"/>
      <c r="SOO83" s="798"/>
      <c r="SOP83" s="798"/>
      <c r="SOQ83" s="798"/>
      <c r="SOR83" s="798"/>
      <c r="SOS83" s="798"/>
      <c r="SOT83" s="798"/>
      <c r="SOU83" s="798"/>
      <c r="SOV83" s="798"/>
      <c r="SOW83" s="798"/>
      <c r="SOX83" s="798"/>
      <c r="SOY83" s="798"/>
      <c r="SOZ83" s="798"/>
      <c r="SPA83" s="798"/>
      <c r="SPB83" s="798"/>
      <c r="SPC83" s="798"/>
      <c r="SPD83" s="798"/>
      <c r="SPE83" s="798"/>
      <c r="SPF83" s="798"/>
      <c r="SPG83" s="798"/>
      <c r="SPH83" s="798"/>
      <c r="SPI83" s="798"/>
      <c r="SPJ83" s="798"/>
      <c r="SPK83" s="798"/>
      <c r="SPL83" s="798"/>
      <c r="SPM83" s="798"/>
      <c r="SPN83" s="798"/>
      <c r="SPO83" s="798"/>
      <c r="SPP83" s="798"/>
      <c r="SPQ83" s="798"/>
      <c r="SPR83" s="798"/>
      <c r="SPS83" s="798"/>
      <c r="SPT83" s="798"/>
      <c r="SPU83" s="798"/>
      <c r="SPV83" s="798"/>
      <c r="SPW83" s="798"/>
      <c r="SPX83" s="798"/>
      <c r="SPY83" s="798"/>
      <c r="SPZ83" s="798"/>
      <c r="SQA83" s="798"/>
      <c r="SQB83" s="798"/>
      <c r="SQC83" s="798"/>
      <c r="SQD83" s="798"/>
      <c r="SQE83" s="798"/>
      <c r="SQF83" s="798"/>
      <c r="SQG83" s="798"/>
      <c r="SQH83" s="798"/>
      <c r="SQI83" s="798"/>
      <c r="SQJ83" s="798"/>
      <c r="SQK83" s="798"/>
      <c r="SQL83" s="798"/>
      <c r="SQM83" s="798"/>
      <c r="SQN83" s="798"/>
      <c r="SQO83" s="798"/>
      <c r="SQP83" s="798"/>
      <c r="SQQ83" s="798"/>
      <c r="SQR83" s="798"/>
      <c r="SQS83" s="798"/>
      <c r="SQT83" s="798"/>
      <c r="SQU83" s="798"/>
      <c r="SQV83" s="798"/>
      <c r="SQW83" s="798"/>
      <c r="SQX83" s="798"/>
      <c r="SQY83" s="798"/>
      <c r="SQZ83" s="798"/>
      <c r="SRA83" s="798"/>
      <c r="SRB83" s="798"/>
      <c r="SRC83" s="798"/>
      <c r="SRD83" s="798"/>
      <c r="SRE83" s="798"/>
      <c r="SRF83" s="798"/>
      <c r="SRG83" s="798"/>
      <c r="SRH83" s="798"/>
      <c r="SRI83" s="798"/>
      <c r="SRJ83" s="798"/>
      <c r="SRK83" s="798"/>
      <c r="SRL83" s="798"/>
      <c r="SRM83" s="798"/>
      <c r="SRN83" s="798"/>
      <c r="SRO83" s="798"/>
      <c r="SRP83" s="798"/>
      <c r="SRQ83" s="798"/>
      <c r="SRR83" s="798"/>
      <c r="SRS83" s="798"/>
      <c r="SRT83" s="798"/>
      <c r="SRU83" s="798"/>
      <c r="SRV83" s="798"/>
      <c r="SRW83" s="798"/>
      <c r="SRX83" s="798"/>
      <c r="SRY83" s="798"/>
      <c r="SRZ83" s="798"/>
      <c r="SSA83" s="798"/>
      <c r="SSB83" s="798"/>
      <c r="SSC83" s="798"/>
      <c r="SSD83" s="798"/>
      <c r="SSE83" s="798"/>
      <c r="SSF83" s="798"/>
      <c r="SSG83" s="798"/>
      <c r="SSH83" s="798"/>
      <c r="SSI83" s="798"/>
      <c r="SSJ83" s="798"/>
      <c r="SSK83" s="798"/>
      <c r="SSL83" s="798"/>
      <c r="SSM83" s="798"/>
      <c r="SSN83" s="798"/>
      <c r="SSO83" s="798"/>
      <c r="SSP83" s="798"/>
      <c r="SSQ83" s="798"/>
      <c r="SSR83" s="798"/>
      <c r="SSS83" s="798"/>
      <c r="SST83" s="798"/>
      <c r="SSU83" s="798"/>
      <c r="SSV83" s="798"/>
      <c r="SSW83" s="798"/>
      <c r="SSX83" s="798"/>
      <c r="SSY83" s="798"/>
      <c r="SSZ83" s="798"/>
      <c r="STA83" s="798"/>
      <c r="STB83" s="798"/>
      <c r="STC83" s="798"/>
      <c r="STD83" s="798"/>
      <c r="STE83" s="798"/>
      <c r="STF83" s="798"/>
      <c r="STG83" s="798"/>
      <c r="STH83" s="798"/>
      <c r="STI83" s="798"/>
      <c r="STJ83" s="798"/>
      <c r="STK83" s="798"/>
      <c r="STL83" s="798"/>
      <c r="STM83" s="798"/>
      <c r="STN83" s="798"/>
      <c r="STO83" s="798"/>
      <c r="STP83" s="798"/>
      <c r="STQ83" s="798"/>
      <c r="STR83" s="798"/>
      <c r="STS83" s="798"/>
      <c r="STT83" s="798"/>
      <c r="STU83" s="798"/>
      <c r="STV83" s="798"/>
      <c r="STW83" s="798"/>
      <c r="STX83" s="798"/>
      <c r="STY83" s="798"/>
      <c r="STZ83" s="798"/>
      <c r="SUA83" s="798"/>
      <c r="SUB83" s="798"/>
      <c r="SUC83" s="798"/>
      <c r="SUD83" s="798"/>
      <c r="SUE83" s="798"/>
      <c r="SUF83" s="798"/>
      <c r="SUG83" s="798"/>
      <c r="SUH83" s="798"/>
      <c r="SUI83" s="798"/>
      <c r="SUJ83" s="798"/>
      <c r="SUK83" s="798"/>
      <c r="SUL83" s="798"/>
      <c r="SUM83" s="798"/>
      <c r="SUN83" s="798"/>
      <c r="SUO83" s="798"/>
      <c r="SUP83" s="798"/>
      <c r="SUQ83" s="798"/>
      <c r="SUR83" s="798"/>
      <c r="SUS83" s="798"/>
      <c r="SUT83" s="798"/>
      <c r="SUU83" s="798"/>
      <c r="SUV83" s="798"/>
      <c r="SUW83" s="798"/>
      <c r="SUX83" s="798"/>
      <c r="SUY83" s="798"/>
      <c r="SUZ83" s="798"/>
      <c r="SVA83" s="798"/>
      <c r="SVB83" s="798"/>
      <c r="SVC83" s="798"/>
      <c r="SVD83" s="798"/>
      <c r="SVE83" s="798"/>
      <c r="SVF83" s="798"/>
      <c r="SVG83" s="798"/>
      <c r="SVH83" s="798"/>
      <c r="SVI83" s="798"/>
      <c r="SVJ83" s="798"/>
      <c r="SVK83" s="798"/>
      <c r="SVL83" s="798"/>
      <c r="SVM83" s="798"/>
      <c r="SVN83" s="798"/>
      <c r="SVO83" s="798"/>
      <c r="SVP83" s="798"/>
      <c r="SVQ83" s="798"/>
      <c r="SVR83" s="798"/>
      <c r="SVS83" s="798"/>
      <c r="SVT83" s="798"/>
      <c r="SVU83" s="798"/>
      <c r="SVV83" s="798"/>
      <c r="SVW83" s="798"/>
      <c r="SVX83" s="798"/>
      <c r="SVY83" s="798"/>
      <c r="SVZ83" s="798"/>
      <c r="SWA83" s="798"/>
      <c r="SWB83" s="798"/>
      <c r="SWC83" s="798"/>
      <c r="SWD83" s="798"/>
      <c r="SWE83" s="798"/>
      <c r="SWF83" s="798"/>
      <c r="SWG83" s="798"/>
      <c r="SWH83" s="798"/>
      <c r="SWI83" s="798"/>
      <c r="SWJ83" s="798"/>
      <c r="SWK83" s="798"/>
      <c r="SWL83" s="798"/>
      <c r="SWM83" s="798"/>
      <c r="SWN83" s="798"/>
      <c r="SWO83" s="798"/>
      <c r="SWP83" s="798"/>
      <c r="SWQ83" s="798"/>
      <c r="SWR83" s="798"/>
      <c r="SWS83" s="798"/>
      <c r="SWT83" s="798"/>
      <c r="SWU83" s="798"/>
      <c r="SWV83" s="798"/>
      <c r="SWW83" s="798"/>
      <c r="SWX83" s="798"/>
      <c r="SWY83" s="798"/>
      <c r="SWZ83" s="798"/>
      <c r="SXA83" s="798"/>
      <c r="SXB83" s="798"/>
      <c r="SXC83" s="798"/>
      <c r="SXD83" s="798"/>
      <c r="SXE83" s="798"/>
      <c r="SXF83" s="798"/>
      <c r="SXG83" s="798"/>
      <c r="SXH83" s="798"/>
      <c r="SXI83" s="798"/>
      <c r="SXJ83" s="798"/>
      <c r="SXK83" s="798"/>
      <c r="SXL83" s="798"/>
      <c r="SXM83" s="798"/>
      <c r="SXN83" s="798"/>
      <c r="SXO83" s="798"/>
      <c r="SXP83" s="798"/>
      <c r="SXQ83" s="798"/>
      <c r="SXR83" s="798"/>
      <c r="SXS83" s="798"/>
      <c r="SXT83" s="798"/>
      <c r="SXU83" s="798"/>
      <c r="SXV83" s="798"/>
      <c r="SXW83" s="798"/>
      <c r="SXX83" s="798"/>
      <c r="SXY83" s="798"/>
      <c r="SXZ83" s="798"/>
      <c r="SYA83" s="798"/>
      <c r="SYB83" s="798"/>
      <c r="SYC83" s="798"/>
      <c r="SYD83" s="798"/>
      <c r="SYE83" s="798"/>
      <c r="SYF83" s="798"/>
      <c r="SYG83" s="798"/>
      <c r="SYH83" s="798"/>
      <c r="SYI83" s="798"/>
      <c r="SYJ83" s="798"/>
      <c r="SYK83" s="798"/>
      <c r="SYL83" s="798"/>
      <c r="SYM83" s="798"/>
      <c r="SYN83" s="798"/>
      <c r="SYO83" s="798"/>
      <c r="SYP83" s="798"/>
      <c r="SYQ83" s="798"/>
      <c r="SYR83" s="798"/>
      <c r="SYS83" s="798"/>
      <c r="SYT83" s="798"/>
      <c r="SYU83" s="798"/>
      <c r="SYV83" s="798"/>
      <c r="SYW83" s="798"/>
      <c r="SYX83" s="798"/>
      <c r="SYY83" s="798"/>
      <c r="SYZ83" s="798"/>
      <c r="SZA83" s="798"/>
      <c r="SZB83" s="798"/>
      <c r="SZC83" s="798"/>
      <c r="SZD83" s="798"/>
      <c r="SZE83" s="798"/>
      <c r="SZF83" s="798"/>
      <c r="SZG83" s="798"/>
      <c r="SZH83" s="798"/>
      <c r="SZI83" s="798"/>
      <c r="SZJ83" s="798"/>
      <c r="SZK83" s="798"/>
      <c r="SZL83" s="798"/>
      <c r="SZM83" s="798"/>
      <c r="SZN83" s="798"/>
      <c r="SZO83" s="798"/>
      <c r="SZP83" s="798"/>
      <c r="SZQ83" s="798"/>
      <c r="SZR83" s="798"/>
      <c r="SZS83" s="798"/>
      <c r="SZT83" s="798"/>
      <c r="SZU83" s="798"/>
      <c r="SZV83" s="798"/>
      <c r="SZW83" s="798"/>
      <c r="SZX83" s="798"/>
      <c r="SZY83" s="798"/>
      <c r="SZZ83" s="798"/>
      <c r="TAA83" s="798"/>
      <c r="TAB83" s="798"/>
      <c r="TAC83" s="798"/>
      <c r="TAD83" s="798"/>
      <c r="TAE83" s="798"/>
      <c r="TAF83" s="798"/>
      <c r="TAG83" s="798"/>
      <c r="TAH83" s="798"/>
      <c r="TAI83" s="798"/>
      <c r="TAJ83" s="798"/>
      <c r="TAK83" s="798"/>
      <c r="TAL83" s="798"/>
      <c r="TAM83" s="798"/>
      <c r="TAN83" s="798"/>
      <c r="TAO83" s="798"/>
      <c r="TAP83" s="798"/>
      <c r="TAQ83" s="798"/>
      <c r="TAR83" s="798"/>
      <c r="TAS83" s="798"/>
      <c r="TAT83" s="798"/>
      <c r="TAU83" s="798"/>
      <c r="TAV83" s="798"/>
      <c r="TAW83" s="798"/>
      <c r="TAX83" s="798"/>
      <c r="TAY83" s="798"/>
      <c r="TAZ83" s="798"/>
      <c r="TBA83" s="798"/>
      <c r="TBB83" s="798"/>
      <c r="TBC83" s="798"/>
      <c r="TBD83" s="798"/>
      <c r="TBE83" s="798"/>
      <c r="TBF83" s="798"/>
      <c r="TBG83" s="798"/>
      <c r="TBH83" s="798"/>
      <c r="TBI83" s="798"/>
      <c r="TBJ83" s="798"/>
      <c r="TBK83" s="798"/>
      <c r="TBL83" s="798"/>
      <c r="TBM83" s="798"/>
      <c r="TBN83" s="798"/>
      <c r="TBO83" s="798"/>
      <c r="TBP83" s="798"/>
      <c r="TBQ83" s="798"/>
      <c r="TBR83" s="798"/>
      <c r="TBS83" s="798"/>
      <c r="TBT83" s="798"/>
      <c r="TBU83" s="798"/>
      <c r="TBV83" s="798"/>
      <c r="TBW83" s="798"/>
      <c r="TBX83" s="798"/>
      <c r="TBY83" s="798"/>
      <c r="TBZ83" s="798"/>
      <c r="TCA83" s="798"/>
      <c r="TCB83" s="798"/>
      <c r="TCC83" s="798"/>
      <c r="TCD83" s="798"/>
      <c r="TCE83" s="798"/>
      <c r="TCF83" s="798"/>
      <c r="TCG83" s="798"/>
      <c r="TCH83" s="798"/>
      <c r="TCI83" s="798"/>
      <c r="TCJ83" s="798"/>
      <c r="TCK83" s="798"/>
      <c r="TCL83" s="798"/>
      <c r="TCM83" s="798"/>
      <c r="TCN83" s="798"/>
      <c r="TCO83" s="798"/>
      <c r="TCP83" s="798"/>
      <c r="TCQ83" s="798"/>
      <c r="TCR83" s="798"/>
      <c r="TCS83" s="798"/>
      <c r="TCT83" s="798"/>
      <c r="TCU83" s="798"/>
      <c r="TCV83" s="798"/>
      <c r="TCW83" s="798"/>
      <c r="TCX83" s="798"/>
      <c r="TCY83" s="798"/>
      <c r="TCZ83" s="798"/>
      <c r="TDA83" s="798"/>
      <c r="TDB83" s="798"/>
      <c r="TDC83" s="798"/>
      <c r="TDD83" s="798"/>
      <c r="TDE83" s="798"/>
      <c r="TDF83" s="798"/>
      <c r="TDG83" s="798"/>
      <c r="TDH83" s="798"/>
      <c r="TDI83" s="798"/>
      <c r="TDJ83" s="798"/>
      <c r="TDK83" s="798"/>
      <c r="TDL83" s="798"/>
      <c r="TDM83" s="798"/>
      <c r="TDN83" s="798"/>
      <c r="TDO83" s="798"/>
      <c r="TDP83" s="798"/>
      <c r="TDQ83" s="798"/>
      <c r="TDR83" s="798"/>
      <c r="TDS83" s="798"/>
      <c r="TDT83" s="798"/>
      <c r="TDU83" s="798"/>
      <c r="TDV83" s="798"/>
      <c r="TDW83" s="798"/>
      <c r="TDX83" s="798"/>
      <c r="TDY83" s="798"/>
      <c r="TDZ83" s="798"/>
      <c r="TEA83" s="798"/>
      <c r="TEB83" s="798"/>
      <c r="TEC83" s="798"/>
      <c r="TED83" s="798"/>
      <c r="TEE83" s="798"/>
      <c r="TEF83" s="798"/>
      <c r="TEG83" s="798"/>
      <c r="TEH83" s="798"/>
      <c r="TEI83" s="798"/>
      <c r="TEJ83" s="798"/>
      <c r="TEK83" s="798"/>
      <c r="TEL83" s="798"/>
      <c r="TEM83" s="798"/>
      <c r="TEN83" s="798"/>
      <c r="TEO83" s="798"/>
      <c r="TEP83" s="798"/>
      <c r="TEQ83" s="798"/>
      <c r="TER83" s="798"/>
      <c r="TES83" s="798"/>
      <c r="TET83" s="798"/>
      <c r="TEU83" s="798"/>
      <c r="TEV83" s="798"/>
      <c r="TEW83" s="798"/>
      <c r="TEX83" s="798"/>
      <c r="TEY83" s="798"/>
      <c r="TEZ83" s="798"/>
      <c r="TFA83" s="798"/>
      <c r="TFB83" s="798"/>
      <c r="TFC83" s="798"/>
      <c r="TFD83" s="798"/>
      <c r="TFE83" s="798"/>
      <c r="TFF83" s="798"/>
      <c r="TFG83" s="798"/>
      <c r="TFH83" s="798"/>
      <c r="TFI83" s="798"/>
      <c r="TFJ83" s="798"/>
      <c r="TFK83" s="798"/>
      <c r="TFL83" s="798"/>
      <c r="TFM83" s="798"/>
      <c r="TFN83" s="798"/>
      <c r="TFO83" s="798"/>
      <c r="TFP83" s="798"/>
      <c r="TFQ83" s="798"/>
      <c r="TFR83" s="798"/>
      <c r="TFS83" s="798"/>
      <c r="TFT83" s="798"/>
      <c r="TFU83" s="798"/>
      <c r="TFV83" s="798"/>
      <c r="TFW83" s="798"/>
      <c r="TFX83" s="798"/>
      <c r="TFY83" s="798"/>
      <c r="TFZ83" s="798"/>
      <c r="TGA83" s="798"/>
      <c r="TGB83" s="798"/>
      <c r="TGC83" s="798"/>
      <c r="TGD83" s="798"/>
      <c r="TGE83" s="798"/>
      <c r="TGF83" s="798"/>
      <c r="TGG83" s="798"/>
      <c r="TGH83" s="798"/>
      <c r="TGI83" s="798"/>
      <c r="TGJ83" s="798"/>
      <c r="TGK83" s="798"/>
      <c r="TGL83" s="798"/>
      <c r="TGM83" s="798"/>
      <c r="TGN83" s="798"/>
      <c r="TGO83" s="798"/>
      <c r="TGP83" s="798"/>
      <c r="TGQ83" s="798"/>
      <c r="TGR83" s="798"/>
      <c r="TGS83" s="798"/>
      <c r="TGT83" s="798"/>
      <c r="TGU83" s="798"/>
      <c r="TGV83" s="798"/>
      <c r="TGW83" s="798"/>
      <c r="TGX83" s="798"/>
      <c r="TGY83" s="798"/>
      <c r="TGZ83" s="798"/>
      <c r="THA83" s="798"/>
      <c r="THB83" s="798"/>
      <c r="THC83" s="798"/>
      <c r="THD83" s="798"/>
      <c r="THE83" s="798"/>
      <c r="THF83" s="798"/>
      <c r="THG83" s="798"/>
      <c r="THH83" s="798"/>
      <c r="THI83" s="798"/>
      <c r="THJ83" s="798"/>
      <c r="THK83" s="798"/>
      <c r="THL83" s="798"/>
      <c r="THM83" s="798"/>
      <c r="THN83" s="798"/>
      <c r="THO83" s="798"/>
      <c r="THP83" s="798"/>
      <c r="THQ83" s="798"/>
      <c r="THR83" s="798"/>
      <c r="THS83" s="798"/>
      <c r="THT83" s="798"/>
      <c r="THU83" s="798"/>
      <c r="THV83" s="798"/>
      <c r="THW83" s="798"/>
      <c r="THX83" s="798"/>
      <c r="THY83" s="798"/>
      <c r="THZ83" s="798"/>
      <c r="TIA83" s="798"/>
      <c r="TIB83" s="798"/>
      <c r="TIC83" s="798"/>
      <c r="TID83" s="798"/>
      <c r="TIE83" s="798"/>
      <c r="TIF83" s="798"/>
      <c r="TIG83" s="798"/>
      <c r="TIH83" s="798"/>
      <c r="TII83" s="798"/>
      <c r="TIJ83" s="798"/>
      <c r="TIK83" s="798"/>
      <c r="TIL83" s="798"/>
      <c r="TIM83" s="798"/>
      <c r="TIN83" s="798"/>
      <c r="TIO83" s="798"/>
      <c r="TIP83" s="798"/>
      <c r="TIQ83" s="798"/>
      <c r="TIR83" s="798"/>
      <c r="TIS83" s="798"/>
      <c r="TIT83" s="798"/>
      <c r="TIU83" s="798"/>
      <c r="TIV83" s="798"/>
      <c r="TIW83" s="798"/>
      <c r="TIX83" s="798"/>
      <c r="TIY83" s="798"/>
      <c r="TIZ83" s="798"/>
      <c r="TJA83" s="798"/>
      <c r="TJB83" s="798"/>
      <c r="TJC83" s="798"/>
      <c r="TJD83" s="798"/>
      <c r="TJE83" s="798"/>
      <c r="TJF83" s="798"/>
      <c r="TJG83" s="798"/>
      <c r="TJH83" s="798"/>
      <c r="TJI83" s="798"/>
      <c r="TJJ83" s="798"/>
      <c r="TJK83" s="798"/>
      <c r="TJL83" s="798"/>
      <c r="TJM83" s="798"/>
      <c r="TJN83" s="798"/>
      <c r="TJO83" s="798"/>
      <c r="TJP83" s="798"/>
      <c r="TJQ83" s="798"/>
      <c r="TJR83" s="798"/>
      <c r="TJS83" s="798"/>
      <c r="TJT83" s="798"/>
      <c r="TJU83" s="798"/>
      <c r="TJV83" s="798"/>
      <c r="TJW83" s="798"/>
      <c r="TJX83" s="798"/>
      <c r="TJY83" s="798"/>
      <c r="TJZ83" s="798"/>
      <c r="TKA83" s="798"/>
      <c r="TKB83" s="798"/>
      <c r="TKC83" s="798"/>
      <c r="TKD83" s="798"/>
      <c r="TKE83" s="798"/>
      <c r="TKF83" s="798"/>
      <c r="TKG83" s="798"/>
      <c r="TKH83" s="798"/>
      <c r="TKI83" s="798"/>
      <c r="TKJ83" s="798"/>
      <c r="TKK83" s="798"/>
      <c r="TKL83" s="798"/>
      <c r="TKM83" s="798"/>
      <c r="TKN83" s="798"/>
      <c r="TKO83" s="798"/>
      <c r="TKP83" s="798"/>
      <c r="TKQ83" s="798"/>
      <c r="TKR83" s="798"/>
      <c r="TKS83" s="798"/>
      <c r="TKT83" s="798"/>
      <c r="TKU83" s="798"/>
      <c r="TKV83" s="798"/>
      <c r="TKW83" s="798"/>
      <c r="TKX83" s="798"/>
      <c r="TKY83" s="798"/>
      <c r="TKZ83" s="798"/>
      <c r="TLA83" s="798"/>
      <c r="TLB83" s="798"/>
      <c r="TLC83" s="798"/>
      <c r="TLD83" s="798"/>
      <c r="TLE83" s="798"/>
      <c r="TLF83" s="798"/>
      <c r="TLG83" s="798"/>
      <c r="TLH83" s="798"/>
      <c r="TLI83" s="798"/>
      <c r="TLJ83" s="798"/>
      <c r="TLK83" s="798"/>
      <c r="TLL83" s="798"/>
      <c r="TLM83" s="798"/>
      <c r="TLN83" s="798"/>
      <c r="TLO83" s="798"/>
      <c r="TLP83" s="798"/>
      <c r="TLQ83" s="798"/>
      <c r="TLR83" s="798"/>
      <c r="TLS83" s="798"/>
      <c r="TLT83" s="798"/>
      <c r="TLU83" s="798"/>
      <c r="TLV83" s="798"/>
      <c r="TLW83" s="798"/>
      <c r="TLX83" s="798"/>
      <c r="TLY83" s="798"/>
      <c r="TLZ83" s="798"/>
      <c r="TMA83" s="798"/>
      <c r="TMB83" s="798"/>
      <c r="TMC83" s="798"/>
      <c r="TMD83" s="798"/>
      <c r="TME83" s="798"/>
      <c r="TMF83" s="798"/>
      <c r="TMG83" s="798"/>
      <c r="TMH83" s="798"/>
      <c r="TMI83" s="798"/>
      <c r="TMJ83" s="798"/>
      <c r="TMK83" s="798"/>
      <c r="TML83" s="798"/>
      <c r="TMM83" s="798"/>
      <c r="TMN83" s="798"/>
      <c r="TMO83" s="798"/>
      <c r="TMP83" s="798"/>
      <c r="TMQ83" s="798"/>
      <c r="TMR83" s="798"/>
      <c r="TMS83" s="798"/>
      <c r="TMT83" s="798"/>
      <c r="TMU83" s="798"/>
      <c r="TMV83" s="798"/>
      <c r="TMW83" s="798"/>
      <c r="TMX83" s="798"/>
      <c r="TMY83" s="798"/>
      <c r="TMZ83" s="798"/>
      <c r="TNA83" s="798"/>
      <c r="TNB83" s="798"/>
      <c r="TNC83" s="798"/>
      <c r="TND83" s="798"/>
      <c r="TNE83" s="798"/>
      <c r="TNF83" s="798"/>
      <c r="TNG83" s="798"/>
      <c r="TNH83" s="798"/>
      <c r="TNI83" s="798"/>
      <c r="TNJ83" s="798"/>
      <c r="TNK83" s="798"/>
      <c r="TNL83" s="798"/>
      <c r="TNM83" s="798"/>
      <c r="TNN83" s="798"/>
      <c r="TNO83" s="798"/>
      <c r="TNP83" s="798"/>
      <c r="TNQ83" s="798"/>
      <c r="TNR83" s="798"/>
      <c r="TNS83" s="798"/>
      <c r="TNT83" s="798"/>
      <c r="TNU83" s="798"/>
      <c r="TNV83" s="798"/>
      <c r="TNW83" s="798"/>
      <c r="TNX83" s="798"/>
      <c r="TNY83" s="798"/>
      <c r="TNZ83" s="798"/>
      <c r="TOA83" s="798"/>
      <c r="TOB83" s="798"/>
      <c r="TOC83" s="798"/>
      <c r="TOD83" s="798"/>
      <c r="TOE83" s="798"/>
      <c r="TOF83" s="798"/>
      <c r="TOG83" s="798"/>
      <c r="TOH83" s="798"/>
      <c r="TOI83" s="798"/>
      <c r="TOJ83" s="798"/>
      <c r="TOK83" s="798"/>
      <c r="TOL83" s="798"/>
      <c r="TOM83" s="798"/>
      <c r="TON83" s="798"/>
      <c r="TOO83" s="798"/>
      <c r="TOP83" s="798"/>
      <c r="TOQ83" s="798"/>
      <c r="TOR83" s="798"/>
      <c r="TOS83" s="798"/>
      <c r="TOT83" s="798"/>
      <c r="TOU83" s="798"/>
      <c r="TOV83" s="798"/>
      <c r="TOW83" s="798"/>
      <c r="TOX83" s="798"/>
      <c r="TOY83" s="798"/>
      <c r="TOZ83" s="798"/>
      <c r="TPA83" s="798"/>
      <c r="TPB83" s="798"/>
      <c r="TPC83" s="798"/>
      <c r="TPD83" s="798"/>
      <c r="TPE83" s="798"/>
      <c r="TPF83" s="798"/>
      <c r="TPG83" s="798"/>
      <c r="TPH83" s="798"/>
      <c r="TPI83" s="798"/>
      <c r="TPJ83" s="798"/>
      <c r="TPK83" s="798"/>
      <c r="TPL83" s="798"/>
      <c r="TPM83" s="798"/>
      <c r="TPN83" s="798"/>
      <c r="TPO83" s="798"/>
      <c r="TPP83" s="798"/>
      <c r="TPQ83" s="798"/>
      <c r="TPR83" s="798"/>
      <c r="TPS83" s="798"/>
      <c r="TPT83" s="798"/>
      <c r="TPU83" s="798"/>
      <c r="TPV83" s="798"/>
      <c r="TPW83" s="798"/>
      <c r="TPX83" s="798"/>
      <c r="TPY83" s="798"/>
      <c r="TPZ83" s="798"/>
      <c r="TQA83" s="798"/>
      <c r="TQB83" s="798"/>
      <c r="TQC83" s="798"/>
      <c r="TQD83" s="798"/>
      <c r="TQE83" s="798"/>
      <c r="TQF83" s="798"/>
      <c r="TQG83" s="798"/>
      <c r="TQH83" s="798"/>
      <c r="TQI83" s="798"/>
      <c r="TQJ83" s="798"/>
      <c r="TQK83" s="798"/>
      <c r="TQL83" s="798"/>
      <c r="TQM83" s="798"/>
      <c r="TQN83" s="798"/>
      <c r="TQO83" s="798"/>
      <c r="TQP83" s="798"/>
      <c r="TQQ83" s="798"/>
      <c r="TQR83" s="798"/>
      <c r="TQS83" s="798"/>
      <c r="TQT83" s="798"/>
      <c r="TQU83" s="798"/>
      <c r="TQV83" s="798"/>
      <c r="TQW83" s="798"/>
      <c r="TQX83" s="798"/>
      <c r="TQY83" s="798"/>
      <c r="TQZ83" s="798"/>
      <c r="TRA83" s="798"/>
      <c r="TRB83" s="798"/>
      <c r="TRC83" s="798"/>
      <c r="TRD83" s="798"/>
      <c r="TRE83" s="798"/>
      <c r="TRF83" s="798"/>
      <c r="TRG83" s="798"/>
      <c r="TRH83" s="798"/>
      <c r="TRI83" s="798"/>
      <c r="TRJ83" s="798"/>
      <c r="TRK83" s="798"/>
      <c r="TRL83" s="798"/>
      <c r="TRM83" s="798"/>
      <c r="TRN83" s="798"/>
      <c r="TRO83" s="798"/>
      <c r="TRP83" s="798"/>
      <c r="TRQ83" s="798"/>
      <c r="TRR83" s="798"/>
      <c r="TRS83" s="798"/>
      <c r="TRT83" s="798"/>
      <c r="TRU83" s="798"/>
      <c r="TRV83" s="798"/>
      <c r="TRW83" s="798"/>
      <c r="TRX83" s="798"/>
      <c r="TRY83" s="798"/>
      <c r="TRZ83" s="798"/>
      <c r="TSA83" s="798"/>
      <c r="TSB83" s="798"/>
      <c r="TSC83" s="798"/>
      <c r="TSD83" s="798"/>
      <c r="TSE83" s="798"/>
      <c r="TSF83" s="798"/>
      <c r="TSG83" s="798"/>
      <c r="TSH83" s="798"/>
      <c r="TSI83" s="798"/>
      <c r="TSJ83" s="798"/>
      <c r="TSK83" s="798"/>
      <c r="TSL83" s="798"/>
      <c r="TSM83" s="798"/>
      <c r="TSN83" s="798"/>
      <c r="TSO83" s="798"/>
      <c r="TSP83" s="798"/>
      <c r="TSQ83" s="798"/>
      <c r="TSR83" s="798"/>
      <c r="TSS83" s="798"/>
      <c r="TST83" s="798"/>
      <c r="TSU83" s="798"/>
      <c r="TSV83" s="798"/>
      <c r="TSW83" s="798"/>
      <c r="TSX83" s="798"/>
      <c r="TSY83" s="798"/>
      <c r="TSZ83" s="798"/>
      <c r="TTA83" s="798"/>
      <c r="TTB83" s="798"/>
      <c r="TTC83" s="798"/>
      <c r="TTD83" s="798"/>
      <c r="TTE83" s="798"/>
      <c r="TTF83" s="798"/>
      <c r="TTG83" s="798"/>
      <c r="TTH83" s="798"/>
      <c r="TTI83" s="798"/>
      <c r="TTJ83" s="798"/>
      <c r="TTK83" s="798"/>
      <c r="TTL83" s="798"/>
      <c r="TTM83" s="798"/>
      <c r="TTN83" s="798"/>
      <c r="TTO83" s="798"/>
      <c r="TTP83" s="798"/>
      <c r="TTQ83" s="798"/>
      <c r="TTR83" s="798"/>
      <c r="TTS83" s="798"/>
      <c r="TTT83" s="798"/>
      <c r="TTU83" s="798"/>
      <c r="TTV83" s="798"/>
      <c r="TTW83" s="798"/>
      <c r="TTX83" s="798"/>
      <c r="TTY83" s="798"/>
      <c r="TTZ83" s="798"/>
      <c r="TUA83" s="798"/>
      <c r="TUB83" s="798"/>
      <c r="TUC83" s="798"/>
      <c r="TUD83" s="798"/>
      <c r="TUE83" s="798"/>
      <c r="TUF83" s="798"/>
      <c r="TUG83" s="798"/>
      <c r="TUH83" s="798"/>
      <c r="TUI83" s="798"/>
      <c r="TUJ83" s="798"/>
      <c r="TUK83" s="798"/>
      <c r="TUL83" s="798"/>
      <c r="TUM83" s="798"/>
      <c r="TUN83" s="798"/>
      <c r="TUO83" s="798"/>
      <c r="TUP83" s="798"/>
      <c r="TUQ83" s="798"/>
      <c r="TUR83" s="798"/>
      <c r="TUS83" s="798"/>
      <c r="TUT83" s="798"/>
      <c r="TUU83" s="798"/>
      <c r="TUV83" s="798"/>
      <c r="TUW83" s="798"/>
      <c r="TUX83" s="798"/>
      <c r="TUY83" s="798"/>
      <c r="TUZ83" s="798"/>
      <c r="TVA83" s="798"/>
      <c r="TVB83" s="798"/>
      <c r="TVC83" s="798"/>
      <c r="TVD83" s="798"/>
      <c r="TVE83" s="798"/>
      <c r="TVF83" s="798"/>
      <c r="TVG83" s="798"/>
      <c r="TVH83" s="798"/>
      <c r="TVI83" s="798"/>
      <c r="TVJ83" s="798"/>
      <c r="TVK83" s="798"/>
      <c r="TVL83" s="798"/>
      <c r="TVM83" s="798"/>
      <c r="TVN83" s="798"/>
      <c r="TVO83" s="798"/>
      <c r="TVP83" s="798"/>
      <c r="TVQ83" s="798"/>
      <c r="TVR83" s="798"/>
      <c r="TVS83" s="798"/>
      <c r="TVT83" s="798"/>
      <c r="TVU83" s="798"/>
      <c r="TVV83" s="798"/>
      <c r="TVW83" s="798"/>
      <c r="TVX83" s="798"/>
      <c r="TVY83" s="798"/>
      <c r="TVZ83" s="798"/>
      <c r="TWA83" s="798"/>
      <c r="TWB83" s="798"/>
      <c r="TWC83" s="798"/>
      <c r="TWD83" s="798"/>
      <c r="TWE83" s="798"/>
      <c r="TWF83" s="798"/>
      <c r="TWG83" s="798"/>
      <c r="TWH83" s="798"/>
      <c r="TWI83" s="798"/>
      <c r="TWJ83" s="798"/>
      <c r="TWK83" s="798"/>
      <c r="TWL83" s="798"/>
      <c r="TWM83" s="798"/>
      <c r="TWN83" s="798"/>
      <c r="TWO83" s="798"/>
      <c r="TWP83" s="798"/>
      <c r="TWQ83" s="798"/>
      <c r="TWR83" s="798"/>
      <c r="TWS83" s="798"/>
      <c r="TWT83" s="798"/>
      <c r="TWU83" s="798"/>
      <c r="TWV83" s="798"/>
      <c r="TWW83" s="798"/>
      <c r="TWX83" s="798"/>
      <c r="TWY83" s="798"/>
      <c r="TWZ83" s="798"/>
      <c r="TXA83" s="798"/>
      <c r="TXB83" s="798"/>
      <c r="TXC83" s="798"/>
      <c r="TXD83" s="798"/>
      <c r="TXE83" s="798"/>
      <c r="TXF83" s="798"/>
      <c r="TXG83" s="798"/>
      <c r="TXH83" s="798"/>
      <c r="TXI83" s="798"/>
      <c r="TXJ83" s="798"/>
      <c r="TXK83" s="798"/>
      <c r="TXL83" s="798"/>
      <c r="TXM83" s="798"/>
      <c r="TXN83" s="798"/>
      <c r="TXO83" s="798"/>
      <c r="TXP83" s="798"/>
      <c r="TXQ83" s="798"/>
      <c r="TXR83" s="798"/>
      <c r="TXS83" s="798"/>
      <c r="TXT83" s="798"/>
      <c r="TXU83" s="798"/>
      <c r="TXV83" s="798"/>
      <c r="TXW83" s="798"/>
      <c r="TXX83" s="798"/>
      <c r="TXY83" s="798"/>
      <c r="TXZ83" s="798"/>
      <c r="TYA83" s="798"/>
      <c r="TYB83" s="798"/>
      <c r="TYC83" s="798"/>
      <c r="TYD83" s="798"/>
      <c r="TYE83" s="798"/>
      <c r="TYF83" s="798"/>
      <c r="TYG83" s="798"/>
      <c r="TYH83" s="798"/>
      <c r="TYI83" s="798"/>
      <c r="TYJ83" s="798"/>
      <c r="TYK83" s="798"/>
      <c r="TYL83" s="798"/>
      <c r="TYM83" s="798"/>
      <c r="TYN83" s="798"/>
      <c r="TYO83" s="798"/>
      <c r="TYP83" s="798"/>
      <c r="TYQ83" s="798"/>
      <c r="TYR83" s="798"/>
      <c r="TYS83" s="798"/>
      <c r="TYT83" s="798"/>
      <c r="TYU83" s="798"/>
      <c r="TYV83" s="798"/>
      <c r="TYW83" s="798"/>
      <c r="TYX83" s="798"/>
      <c r="TYY83" s="798"/>
      <c r="TYZ83" s="798"/>
      <c r="TZA83" s="798"/>
      <c r="TZB83" s="798"/>
      <c r="TZC83" s="798"/>
      <c r="TZD83" s="798"/>
      <c r="TZE83" s="798"/>
      <c r="TZF83" s="798"/>
      <c r="TZG83" s="798"/>
      <c r="TZH83" s="798"/>
      <c r="TZI83" s="798"/>
      <c r="TZJ83" s="798"/>
      <c r="TZK83" s="798"/>
      <c r="TZL83" s="798"/>
      <c r="TZM83" s="798"/>
      <c r="TZN83" s="798"/>
      <c r="TZO83" s="798"/>
      <c r="TZP83" s="798"/>
      <c r="TZQ83" s="798"/>
      <c r="TZR83" s="798"/>
      <c r="TZS83" s="798"/>
      <c r="TZT83" s="798"/>
      <c r="TZU83" s="798"/>
      <c r="TZV83" s="798"/>
      <c r="TZW83" s="798"/>
      <c r="TZX83" s="798"/>
      <c r="TZY83" s="798"/>
      <c r="TZZ83" s="798"/>
      <c r="UAA83" s="798"/>
      <c r="UAB83" s="798"/>
      <c r="UAC83" s="798"/>
      <c r="UAD83" s="798"/>
      <c r="UAE83" s="798"/>
      <c r="UAF83" s="798"/>
      <c r="UAG83" s="798"/>
      <c r="UAH83" s="798"/>
      <c r="UAI83" s="798"/>
      <c r="UAJ83" s="798"/>
      <c r="UAK83" s="798"/>
      <c r="UAL83" s="798"/>
      <c r="UAM83" s="798"/>
      <c r="UAN83" s="798"/>
      <c r="UAO83" s="798"/>
      <c r="UAP83" s="798"/>
      <c r="UAQ83" s="798"/>
      <c r="UAR83" s="798"/>
      <c r="UAS83" s="798"/>
      <c r="UAT83" s="798"/>
      <c r="UAU83" s="798"/>
      <c r="UAV83" s="798"/>
      <c r="UAW83" s="798"/>
      <c r="UAX83" s="798"/>
      <c r="UAY83" s="798"/>
      <c r="UAZ83" s="798"/>
      <c r="UBA83" s="798"/>
      <c r="UBB83" s="798"/>
      <c r="UBC83" s="798"/>
      <c r="UBD83" s="798"/>
      <c r="UBE83" s="798"/>
      <c r="UBF83" s="798"/>
      <c r="UBG83" s="798"/>
      <c r="UBH83" s="798"/>
      <c r="UBI83" s="798"/>
      <c r="UBJ83" s="798"/>
      <c r="UBK83" s="798"/>
      <c r="UBL83" s="798"/>
      <c r="UBM83" s="798"/>
      <c r="UBN83" s="798"/>
      <c r="UBO83" s="798"/>
      <c r="UBP83" s="798"/>
      <c r="UBQ83" s="798"/>
      <c r="UBR83" s="798"/>
      <c r="UBS83" s="798"/>
      <c r="UBT83" s="798"/>
      <c r="UBU83" s="798"/>
      <c r="UBV83" s="798"/>
      <c r="UBW83" s="798"/>
      <c r="UBX83" s="798"/>
      <c r="UBY83" s="798"/>
      <c r="UBZ83" s="798"/>
      <c r="UCA83" s="798"/>
      <c r="UCB83" s="798"/>
      <c r="UCC83" s="798"/>
      <c r="UCD83" s="798"/>
      <c r="UCE83" s="798"/>
      <c r="UCF83" s="798"/>
      <c r="UCG83" s="798"/>
      <c r="UCH83" s="798"/>
      <c r="UCI83" s="798"/>
      <c r="UCJ83" s="798"/>
      <c r="UCK83" s="798"/>
      <c r="UCL83" s="798"/>
      <c r="UCM83" s="798"/>
      <c r="UCN83" s="798"/>
      <c r="UCO83" s="798"/>
      <c r="UCP83" s="798"/>
      <c r="UCQ83" s="798"/>
      <c r="UCR83" s="798"/>
      <c r="UCS83" s="798"/>
      <c r="UCT83" s="798"/>
      <c r="UCU83" s="798"/>
      <c r="UCV83" s="798"/>
      <c r="UCW83" s="798"/>
      <c r="UCX83" s="798"/>
      <c r="UCY83" s="798"/>
      <c r="UCZ83" s="798"/>
      <c r="UDA83" s="798"/>
      <c r="UDB83" s="798"/>
      <c r="UDC83" s="798"/>
      <c r="UDD83" s="798"/>
      <c r="UDE83" s="798"/>
      <c r="UDF83" s="798"/>
      <c r="UDG83" s="798"/>
      <c r="UDH83" s="798"/>
      <c r="UDI83" s="798"/>
      <c r="UDJ83" s="798"/>
      <c r="UDK83" s="798"/>
      <c r="UDL83" s="798"/>
      <c r="UDM83" s="798"/>
      <c r="UDN83" s="798"/>
      <c r="UDO83" s="798"/>
      <c r="UDP83" s="798"/>
      <c r="UDQ83" s="798"/>
      <c r="UDR83" s="798"/>
      <c r="UDS83" s="798"/>
      <c r="UDT83" s="798"/>
      <c r="UDU83" s="798"/>
      <c r="UDV83" s="798"/>
      <c r="UDW83" s="798"/>
      <c r="UDX83" s="798"/>
      <c r="UDY83" s="798"/>
      <c r="UDZ83" s="798"/>
      <c r="UEA83" s="798"/>
      <c r="UEB83" s="798"/>
      <c r="UEC83" s="798"/>
      <c r="UED83" s="798"/>
      <c r="UEE83" s="798"/>
      <c r="UEF83" s="798"/>
      <c r="UEG83" s="798"/>
      <c r="UEH83" s="798"/>
      <c r="UEI83" s="798"/>
      <c r="UEJ83" s="798"/>
      <c r="UEK83" s="798"/>
      <c r="UEL83" s="798"/>
      <c r="UEM83" s="798"/>
      <c r="UEN83" s="798"/>
      <c r="UEO83" s="798"/>
      <c r="UEP83" s="798"/>
      <c r="UEQ83" s="798"/>
      <c r="UER83" s="798"/>
      <c r="UES83" s="798"/>
      <c r="UET83" s="798"/>
      <c r="UEU83" s="798"/>
      <c r="UEV83" s="798"/>
      <c r="UEW83" s="798"/>
      <c r="UEX83" s="798"/>
      <c r="UEY83" s="798"/>
      <c r="UEZ83" s="798"/>
      <c r="UFA83" s="798"/>
      <c r="UFB83" s="798"/>
      <c r="UFC83" s="798"/>
      <c r="UFD83" s="798"/>
      <c r="UFE83" s="798"/>
      <c r="UFF83" s="798"/>
      <c r="UFG83" s="798"/>
      <c r="UFH83" s="798"/>
      <c r="UFI83" s="798"/>
      <c r="UFJ83" s="798"/>
      <c r="UFK83" s="798"/>
      <c r="UFL83" s="798"/>
      <c r="UFM83" s="798"/>
      <c r="UFN83" s="798"/>
      <c r="UFO83" s="798"/>
      <c r="UFP83" s="798"/>
      <c r="UFQ83" s="798"/>
      <c r="UFR83" s="798"/>
      <c r="UFS83" s="798"/>
      <c r="UFT83" s="798"/>
      <c r="UFU83" s="798"/>
      <c r="UFV83" s="798"/>
      <c r="UFW83" s="798"/>
      <c r="UFX83" s="798"/>
      <c r="UFY83" s="798"/>
      <c r="UFZ83" s="798"/>
      <c r="UGA83" s="798"/>
      <c r="UGB83" s="798"/>
      <c r="UGC83" s="798"/>
      <c r="UGD83" s="798"/>
      <c r="UGE83" s="798"/>
      <c r="UGF83" s="798"/>
      <c r="UGG83" s="798"/>
      <c r="UGH83" s="798"/>
      <c r="UGI83" s="798"/>
      <c r="UGJ83" s="798"/>
      <c r="UGK83" s="798"/>
      <c r="UGL83" s="798"/>
      <c r="UGM83" s="798"/>
      <c r="UGN83" s="798"/>
      <c r="UGO83" s="798"/>
      <c r="UGP83" s="798"/>
      <c r="UGQ83" s="798"/>
      <c r="UGR83" s="798"/>
      <c r="UGS83" s="798"/>
      <c r="UGT83" s="798"/>
      <c r="UGU83" s="798"/>
      <c r="UGV83" s="798"/>
      <c r="UGW83" s="798"/>
      <c r="UGX83" s="798"/>
      <c r="UGY83" s="798"/>
      <c r="UGZ83" s="798"/>
      <c r="UHA83" s="798"/>
      <c r="UHB83" s="798"/>
      <c r="UHC83" s="798"/>
      <c r="UHD83" s="798"/>
      <c r="UHE83" s="798"/>
      <c r="UHF83" s="798"/>
      <c r="UHG83" s="798"/>
      <c r="UHH83" s="798"/>
      <c r="UHI83" s="798"/>
      <c r="UHJ83" s="798"/>
      <c r="UHK83" s="798"/>
      <c r="UHL83" s="798"/>
      <c r="UHM83" s="798"/>
      <c r="UHN83" s="798"/>
      <c r="UHO83" s="798"/>
      <c r="UHP83" s="798"/>
      <c r="UHQ83" s="798"/>
      <c r="UHR83" s="798"/>
      <c r="UHS83" s="798"/>
      <c r="UHT83" s="798"/>
      <c r="UHU83" s="798"/>
      <c r="UHV83" s="798"/>
      <c r="UHW83" s="798"/>
      <c r="UHX83" s="798"/>
      <c r="UHY83" s="798"/>
      <c r="UHZ83" s="798"/>
      <c r="UIA83" s="798"/>
      <c r="UIB83" s="798"/>
      <c r="UIC83" s="798"/>
      <c r="UID83" s="798"/>
      <c r="UIE83" s="798"/>
      <c r="UIF83" s="798"/>
      <c r="UIG83" s="798"/>
      <c r="UIH83" s="798"/>
      <c r="UII83" s="798"/>
      <c r="UIJ83" s="798"/>
      <c r="UIK83" s="798"/>
      <c r="UIL83" s="798"/>
      <c r="UIM83" s="798"/>
      <c r="UIN83" s="798"/>
      <c r="UIO83" s="798"/>
      <c r="UIP83" s="798"/>
      <c r="UIQ83" s="798"/>
      <c r="UIR83" s="798"/>
      <c r="UIS83" s="798"/>
      <c r="UIT83" s="798"/>
      <c r="UIU83" s="798"/>
      <c r="UIV83" s="798"/>
      <c r="UIW83" s="798"/>
      <c r="UIX83" s="798"/>
      <c r="UIY83" s="798"/>
      <c r="UIZ83" s="798"/>
      <c r="UJA83" s="798"/>
      <c r="UJB83" s="798"/>
      <c r="UJC83" s="798"/>
      <c r="UJD83" s="798"/>
      <c r="UJE83" s="798"/>
      <c r="UJF83" s="798"/>
      <c r="UJG83" s="798"/>
      <c r="UJH83" s="798"/>
      <c r="UJI83" s="798"/>
      <c r="UJJ83" s="798"/>
      <c r="UJK83" s="798"/>
      <c r="UJL83" s="798"/>
      <c r="UJM83" s="798"/>
      <c r="UJN83" s="798"/>
      <c r="UJO83" s="798"/>
      <c r="UJP83" s="798"/>
      <c r="UJQ83" s="798"/>
      <c r="UJR83" s="798"/>
      <c r="UJS83" s="798"/>
      <c r="UJT83" s="798"/>
      <c r="UJU83" s="798"/>
      <c r="UJV83" s="798"/>
      <c r="UJW83" s="798"/>
      <c r="UJX83" s="798"/>
      <c r="UJY83" s="798"/>
      <c r="UJZ83" s="798"/>
      <c r="UKA83" s="798"/>
      <c r="UKB83" s="798"/>
      <c r="UKC83" s="798"/>
      <c r="UKD83" s="798"/>
      <c r="UKE83" s="798"/>
      <c r="UKF83" s="798"/>
      <c r="UKG83" s="798"/>
      <c r="UKH83" s="798"/>
      <c r="UKI83" s="798"/>
      <c r="UKJ83" s="798"/>
      <c r="UKK83" s="798"/>
      <c r="UKL83" s="798"/>
      <c r="UKM83" s="798"/>
      <c r="UKN83" s="798"/>
      <c r="UKO83" s="798"/>
      <c r="UKP83" s="798"/>
      <c r="UKQ83" s="798"/>
      <c r="UKR83" s="798"/>
      <c r="UKS83" s="798"/>
      <c r="UKT83" s="798"/>
      <c r="UKU83" s="798"/>
      <c r="UKV83" s="798"/>
      <c r="UKW83" s="798"/>
      <c r="UKX83" s="798"/>
      <c r="UKY83" s="798"/>
      <c r="UKZ83" s="798"/>
      <c r="ULA83" s="798"/>
      <c r="ULB83" s="798"/>
      <c r="ULC83" s="798"/>
      <c r="ULD83" s="798"/>
      <c r="ULE83" s="798"/>
      <c r="ULF83" s="798"/>
      <c r="ULG83" s="798"/>
      <c r="ULH83" s="798"/>
      <c r="ULI83" s="798"/>
      <c r="ULJ83" s="798"/>
      <c r="ULK83" s="798"/>
      <c r="ULL83" s="798"/>
      <c r="ULM83" s="798"/>
      <c r="ULN83" s="798"/>
      <c r="ULO83" s="798"/>
      <c r="ULP83" s="798"/>
      <c r="ULQ83" s="798"/>
      <c r="ULR83" s="798"/>
      <c r="ULS83" s="798"/>
      <c r="ULT83" s="798"/>
      <c r="ULU83" s="798"/>
      <c r="ULV83" s="798"/>
      <c r="ULW83" s="798"/>
      <c r="ULX83" s="798"/>
      <c r="ULY83" s="798"/>
      <c r="ULZ83" s="798"/>
      <c r="UMA83" s="798"/>
      <c r="UMB83" s="798"/>
      <c r="UMC83" s="798"/>
      <c r="UMD83" s="798"/>
      <c r="UME83" s="798"/>
      <c r="UMF83" s="798"/>
      <c r="UMG83" s="798"/>
      <c r="UMH83" s="798"/>
      <c r="UMI83" s="798"/>
      <c r="UMJ83" s="798"/>
      <c r="UMK83" s="798"/>
      <c r="UML83" s="798"/>
      <c r="UMM83" s="798"/>
      <c r="UMN83" s="798"/>
      <c r="UMO83" s="798"/>
      <c r="UMP83" s="798"/>
      <c r="UMQ83" s="798"/>
      <c r="UMR83" s="798"/>
      <c r="UMS83" s="798"/>
      <c r="UMT83" s="798"/>
      <c r="UMU83" s="798"/>
      <c r="UMV83" s="798"/>
      <c r="UMW83" s="798"/>
      <c r="UMX83" s="798"/>
      <c r="UMY83" s="798"/>
      <c r="UMZ83" s="798"/>
      <c r="UNA83" s="798"/>
      <c r="UNB83" s="798"/>
      <c r="UNC83" s="798"/>
      <c r="UND83" s="798"/>
      <c r="UNE83" s="798"/>
      <c r="UNF83" s="798"/>
      <c r="UNG83" s="798"/>
      <c r="UNH83" s="798"/>
      <c r="UNI83" s="798"/>
      <c r="UNJ83" s="798"/>
      <c r="UNK83" s="798"/>
      <c r="UNL83" s="798"/>
      <c r="UNM83" s="798"/>
      <c r="UNN83" s="798"/>
      <c r="UNO83" s="798"/>
      <c r="UNP83" s="798"/>
      <c r="UNQ83" s="798"/>
      <c r="UNR83" s="798"/>
      <c r="UNS83" s="798"/>
      <c r="UNT83" s="798"/>
      <c r="UNU83" s="798"/>
      <c r="UNV83" s="798"/>
      <c r="UNW83" s="798"/>
      <c r="UNX83" s="798"/>
      <c r="UNY83" s="798"/>
      <c r="UNZ83" s="798"/>
      <c r="UOA83" s="798"/>
      <c r="UOB83" s="798"/>
      <c r="UOC83" s="798"/>
      <c r="UOD83" s="798"/>
      <c r="UOE83" s="798"/>
      <c r="UOF83" s="798"/>
      <c r="UOG83" s="798"/>
      <c r="UOH83" s="798"/>
      <c r="UOI83" s="798"/>
      <c r="UOJ83" s="798"/>
      <c r="UOK83" s="798"/>
      <c r="UOL83" s="798"/>
      <c r="UOM83" s="798"/>
      <c r="UON83" s="798"/>
      <c r="UOO83" s="798"/>
      <c r="UOP83" s="798"/>
      <c r="UOQ83" s="798"/>
      <c r="UOR83" s="798"/>
      <c r="UOS83" s="798"/>
      <c r="UOT83" s="798"/>
      <c r="UOU83" s="798"/>
      <c r="UOV83" s="798"/>
      <c r="UOW83" s="798"/>
      <c r="UOX83" s="798"/>
      <c r="UOY83" s="798"/>
      <c r="UOZ83" s="798"/>
      <c r="UPA83" s="798"/>
      <c r="UPB83" s="798"/>
      <c r="UPC83" s="798"/>
      <c r="UPD83" s="798"/>
      <c r="UPE83" s="798"/>
      <c r="UPF83" s="798"/>
      <c r="UPG83" s="798"/>
      <c r="UPH83" s="798"/>
      <c r="UPI83" s="798"/>
      <c r="UPJ83" s="798"/>
      <c r="UPK83" s="798"/>
      <c r="UPL83" s="798"/>
      <c r="UPM83" s="798"/>
      <c r="UPN83" s="798"/>
      <c r="UPO83" s="798"/>
      <c r="UPP83" s="798"/>
      <c r="UPQ83" s="798"/>
      <c r="UPR83" s="798"/>
      <c r="UPS83" s="798"/>
      <c r="UPT83" s="798"/>
      <c r="UPU83" s="798"/>
      <c r="UPV83" s="798"/>
      <c r="UPW83" s="798"/>
      <c r="UPX83" s="798"/>
      <c r="UPY83" s="798"/>
      <c r="UPZ83" s="798"/>
      <c r="UQA83" s="798"/>
      <c r="UQB83" s="798"/>
      <c r="UQC83" s="798"/>
      <c r="UQD83" s="798"/>
      <c r="UQE83" s="798"/>
      <c r="UQF83" s="798"/>
      <c r="UQG83" s="798"/>
      <c r="UQH83" s="798"/>
      <c r="UQI83" s="798"/>
      <c r="UQJ83" s="798"/>
      <c r="UQK83" s="798"/>
      <c r="UQL83" s="798"/>
      <c r="UQM83" s="798"/>
      <c r="UQN83" s="798"/>
      <c r="UQO83" s="798"/>
      <c r="UQP83" s="798"/>
      <c r="UQQ83" s="798"/>
      <c r="UQR83" s="798"/>
      <c r="UQS83" s="798"/>
      <c r="UQT83" s="798"/>
      <c r="UQU83" s="798"/>
      <c r="UQV83" s="798"/>
      <c r="UQW83" s="798"/>
      <c r="UQX83" s="798"/>
      <c r="UQY83" s="798"/>
      <c r="UQZ83" s="798"/>
      <c r="URA83" s="798"/>
      <c r="URB83" s="798"/>
      <c r="URC83" s="798"/>
      <c r="URD83" s="798"/>
      <c r="URE83" s="798"/>
      <c r="URF83" s="798"/>
      <c r="URG83" s="798"/>
      <c r="URH83" s="798"/>
      <c r="URI83" s="798"/>
      <c r="URJ83" s="798"/>
      <c r="URK83" s="798"/>
      <c r="URL83" s="798"/>
      <c r="URM83" s="798"/>
      <c r="URN83" s="798"/>
      <c r="URO83" s="798"/>
      <c r="URP83" s="798"/>
      <c r="URQ83" s="798"/>
      <c r="URR83" s="798"/>
      <c r="URS83" s="798"/>
      <c r="URT83" s="798"/>
      <c r="URU83" s="798"/>
      <c r="URV83" s="798"/>
      <c r="URW83" s="798"/>
      <c r="URX83" s="798"/>
      <c r="URY83" s="798"/>
      <c r="URZ83" s="798"/>
      <c r="USA83" s="798"/>
      <c r="USB83" s="798"/>
      <c r="USC83" s="798"/>
      <c r="USD83" s="798"/>
      <c r="USE83" s="798"/>
      <c r="USF83" s="798"/>
      <c r="USG83" s="798"/>
      <c r="USH83" s="798"/>
      <c r="USI83" s="798"/>
      <c r="USJ83" s="798"/>
      <c r="USK83" s="798"/>
      <c r="USL83" s="798"/>
      <c r="USM83" s="798"/>
      <c r="USN83" s="798"/>
      <c r="USO83" s="798"/>
      <c r="USP83" s="798"/>
      <c r="USQ83" s="798"/>
      <c r="USR83" s="798"/>
      <c r="USS83" s="798"/>
      <c r="UST83" s="798"/>
      <c r="USU83" s="798"/>
      <c r="USV83" s="798"/>
      <c r="USW83" s="798"/>
      <c r="USX83" s="798"/>
      <c r="USY83" s="798"/>
      <c r="USZ83" s="798"/>
      <c r="UTA83" s="798"/>
      <c r="UTB83" s="798"/>
      <c r="UTC83" s="798"/>
      <c r="UTD83" s="798"/>
      <c r="UTE83" s="798"/>
      <c r="UTF83" s="798"/>
      <c r="UTG83" s="798"/>
      <c r="UTH83" s="798"/>
      <c r="UTI83" s="798"/>
      <c r="UTJ83" s="798"/>
      <c r="UTK83" s="798"/>
      <c r="UTL83" s="798"/>
      <c r="UTM83" s="798"/>
      <c r="UTN83" s="798"/>
      <c r="UTO83" s="798"/>
      <c r="UTP83" s="798"/>
      <c r="UTQ83" s="798"/>
      <c r="UTR83" s="798"/>
      <c r="UTS83" s="798"/>
      <c r="UTT83" s="798"/>
      <c r="UTU83" s="798"/>
      <c r="UTV83" s="798"/>
      <c r="UTW83" s="798"/>
      <c r="UTX83" s="798"/>
      <c r="UTY83" s="798"/>
      <c r="UTZ83" s="798"/>
      <c r="UUA83" s="798"/>
      <c r="UUB83" s="798"/>
      <c r="UUC83" s="798"/>
      <c r="UUD83" s="798"/>
      <c r="UUE83" s="798"/>
      <c r="UUF83" s="798"/>
      <c r="UUG83" s="798"/>
      <c r="UUH83" s="798"/>
      <c r="UUI83" s="798"/>
      <c r="UUJ83" s="798"/>
      <c r="UUK83" s="798"/>
      <c r="UUL83" s="798"/>
      <c r="UUM83" s="798"/>
      <c r="UUN83" s="798"/>
      <c r="UUO83" s="798"/>
      <c r="UUP83" s="798"/>
      <c r="UUQ83" s="798"/>
      <c r="UUR83" s="798"/>
      <c r="UUS83" s="798"/>
      <c r="UUT83" s="798"/>
      <c r="UUU83" s="798"/>
      <c r="UUV83" s="798"/>
      <c r="UUW83" s="798"/>
      <c r="UUX83" s="798"/>
      <c r="UUY83" s="798"/>
      <c r="UUZ83" s="798"/>
      <c r="UVA83" s="798"/>
      <c r="UVB83" s="798"/>
      <c r="UVC83" s="798"/>
      <c r="UVD83" s="798"/>
      <c r="UVE83" s="798"/>
      <c r="UVF83" s="798"/>
      <c r="UVG83" s="798"/>
      <c r="UVH83" s="798"/>
      <c r="UVI83" s="798"/>
      <c r="UVJ83" s="798"/>
      <c r="UVK83" s="798"/>
      <c r="UVL83" s="798"/>
      <c r="UVM83" s="798"/>
      <c r="UVN83" s="798"/>
      <c r="UVO83" s="798"/>
      <c r="UVP83" s="798"/>
      <c r="UVQ83" s="798"/>
      <c r="UVR83" s="798"/>
      <c r="UVS83" s="798"/>
      <c r="UVT83" s="798"/>
      <c r="UVU83" s="798"/>
      <c r="UVV83" s="798"/>
      <c r="UVW83" s="798"/>
      <c r="UVX83" s="798"/>
      <c r="UVY83" s="798"/>
      <c r="UVZ83" s="798"/>
      <c r="UWA83" s="798"/>
      <c r="UWB83" s="798"/>
      <c r="UWC83" s="798"/>
      <c r="UWD83" s="798"/>
      <c r="UWE83" s="798"/>
      <c r="UWF83" s="798"/>
      <c r="UWG83" s="798"/>
      <c r="UWH83" s="798"/>
      <c r="UWI83" s="798"/>
      <c r="UWJ83" s="798"/>
      <c r="UWK83" s="798"/>
      <c r="UWL83" s="798"/>
      <c r="UWM83" s="798"/>
      <c r="UWN83" s="798"/>
      <c r="UWO83" s="798"/>
      <c r="UWP83" s="798"/>
      <c r="UWQ83" s="798"/>
      <c r="UWR83" s="798"/>
      <c r="UWS83" s="798"/>
      <c r="UWT83" s="798"/>
      <c r="UWU83" s="798"/>
      <c r="UWV83" s="798"/>
      <c r="UWW83" s="798"/>
      <c r="UWX83" s="798"/>
      <c r="UWY83" s="798"/>
      <c r="UWZ83" s="798"/>
      <c r="UXA83" s="798"/>
      <c r="UXB83" s="798"/>
      <c r="UXC83" s="798"/>
      <c r="UXD83" s="798"/>
      <c r="UXE83" s="798"/>
      <c r="UXF83" s="798"/>
      <c r="UXG83" s="798"/>
      <c r="UXH83" s="798"/>
      <c r="UXI83" s="798"/>
      <c r="UXJ83" s="798"/>
      <c r="UXK83" s="798"/>
      <c r="UXL83" s="798"/>
      <c r="UXM83" s="798"/>
      <c r="UXN83" s="798"/>
      <c r="UXO83" s="798"/>
      <c r="UXP83" s="798"/>
      <c r="UXQ83" s="798"/>
      <c r="UXR83" s="798"/>
      <c r="UXS83" s="798"/>
      <c r="UXT83" s="798"/>
      <c r="UXU83" s="798"/>
      <c r="UXV83" s="798"/>
      <c r="UXW83" s="798"/>
      <c r="UXX83" s="798"/>
      <c r="UXY83" s="798"/>
      <c r="UXZ83" s="798"/>
      <c r="UYA83" s="798"/>
      <c r="UYB83" s="798"/>
      <c r="UYC83" s="798"/>
      <c r="UYD83" s="798"/>
      <c r="UYE83" s="798"/>
      <c r="UYF83" s="798"/>
      <c r="UYG83" s="798"/>
      <c r="UYH83" s="798"/>
      <c r="UYI83" s="798"/>
      <c r="UYJ83" s="798"/>
      <c r="UYK83" s="798"/>
      <c r="UYL83" s="798"/>
      <c r="UYM83" s="798"/>
      <c r="UYN83" s="798"/>
      <c r="UYO83" s="798"/>
      <c r="UYP83" s="798"/>
      <c r="UYQ83" s="798"/>
      <c r="UYR83" s="798"/>
      <c r="UYS83" s="798"/>
      <c r="UYT83" s="798"/>
      <c r="UYU83" s="798"/>
      <c r="UYV83" s="798"/>
      <c r="UYW83" s="798"/>
      <c r="UYX83" s="798"/>
      <c r="UYY83" s="798"/>
      <c r="UYZ83" s="798"/>
      <c r="UZA83" s="798"/>
      <c r="UZB83" s="798"/>
      <c r="UZC83" s="798"/>
      <c r="UZD83" s="798"/>
      <c r="UZE83" s="798"/>
      <c r="UZF83" s="798"/>
      <c r="UZG83" s="798"/>
      <c r="UZH83" s="798"/>
      <c r="UZI83" s="798"/>
      <c r="UZJ83" s="798"/>
      <c r="UZK83" s="798"/>
      <c r="UZL83" s="798"/>
      <c r="UZM83" s="798"/>
      <c r="UZN83" s="798"/>
      <c r="UZO83" s="798"/>
      <c r="UZP83" s="798"/>
      <c r="UZQ83" s="798"/>
      <c r="UZR83" s="798"/>
      <c r="UZS83" s="798"/>
      <c r="UZT83" s="798"/>
      <c r="UZU83" s="798"/>
      <c r="UZV83" s="798"/>
      <c r="UZW83" s="798"/>
      <c r="UZX83" s="798"/>
      <c r="UZY83" s="798"/>
      <c r="UZZ83" s="798"/>
      <c r="VAA83" s="798"/>
      <c r="VAB83" s="798"/>
      <c r="VAC83" s="798"/>
      <c r="VAD83" s="798"/>
      <c r="VAE83" s="798"/>
      <c r="VAF83" s="798"/>
      <c r="VAG83" s="798"/>
      <c r="VAH83" s="798"/>
      <c r="VAI83" s="798"/>
      <c r="VAJ83" s="798"/>
      <c r="VAK83" s="798"/>
      <c r="VAL83" s="798"/>
      <c r="VAM83" s="798"/>
      <c r="VAN83" s="798"/>
      <c r="VAO83" s="798"/>
      <c r="VAP83" s="798"/>
      <c r="VAQ83" s="798"/>
      <c r="VAR83" s="798"/>
      <c r="VAS83" s="798"/>
      <c r="VAT83" s="798"/>
      <c r="VAU83" s="798"/>
      <c r="VAV83" s="798"/>
      <c r="VAW83" s="798"/>
      <c r="VAX83" s="798"/>
      <c r="VAY83" s="798"/>
      <c r="VAZ83" s="798"/>
      <c r="VBA83" s="798"/>
      <c r="VBB83" s="798"/>
      <c r="VBC83" s="798"/>
      <c r="VBD83" s="798"/>
      <c r="VBE83" s="798"/>
      <c r="VBF83" s="798"/>
      <c r="VBG83" s="798"/>
      <c r="VBH83" s="798"/>
      <c r="VBI83" s="798"/>
      <c r="VBJ83" s="798"/>
      <c r="VBK83" s="798"/>
      <c r="VBL83" s="798"/>
      <c r="VBM83" s="798"/>
      <c r="VBN83" s="798"/>
      <c r="VBO83" s="798"/>
      <c r="VBP83" s="798"/>
      <c r="VBQ83" s="798"/>
      <c r="VBR83" s="798"/>
      <c r="VBS83" s="798"/>
      <c r="VBT83" s="798"/>
      <c r="VBU83" s="798"/>
      <c r="VBV83" s="798"/>
      <c r="VBW83" s="798"/>
      <c r="VBX83" s="798"/>
      <c r="VBY83" s="798"/>
      <c r="VBZ83" s="798"/>
      <c r="VCA83" s="798"/>
      <c r="VCB83" s="798"/>
      <c r="VCC83" s="798"/>
      <c r="VCD83" s="798"/>
      <c r="VCE83" s="798"/>
      <c r="VCF83" s="798"/>
      <c r="VCG83" s="798"/>
      <c r="VCH83" s="798"/>
      <c r="VCI83" s="798"/>
      <c r="VCJ83" s="798"/>
      <c r="VCK83" s="798"/>
      <c r="VCL83" s="798"/>
      <c r="VCM83" s="798"/>
      <c r="VCN83" s="798"/>
      <c r="VCO83" s="798"/>
      <c r="VCP83" s="798"/>
      <c r="VCQ83" s="798"/>
      <c r="VCR83" s="798"/>
      <c r="VCS83" s="798"/>
      <c r="VCT83" s="798"/>
      <c r="VCU83" s="798"/>
      <c r="VCV83" s="798"/>
      <c r="VCW83" s="798"/>
      <c r="VCX83" s="798"/>
      <c r="VCY83" s="798"/>
      <c r="VCZ83" s="798"/>
      <c r="VDA83" s="798"/>
      <c r="VDB83" s="798"/>
      <c r="VDC83" s="798"/>
      <c r="VDD83" s="798"/>
      <c r="VDE83" s="798"/>
      <c r="VDF83" s="798"/>
      <c r="VDG83" s="798"/>
      <c r="VDH83" s="798"/>
      <c r="VDI83" s="798"/>
      <c r="VDJ83" s="798"/>
      <c r="VDK83" s="798"/>
      <c r="VDL83" s="798"/>
      <c r="VDM83" s="798"/>
      <c r="VDN83" s="798"/>
      <c r="VDO83" s="798"/>
      <c r="VDP83" s="798"/>
      <c r="VDQ83" s="798"/>
      <c r="VDR83" s="798"/>
      <c r="VDS83" s="798"/>
      <c r="VDT83" s="798"/>
      <c r="VDU83" s="798"/>
      <c r="VDV83" s="798"/>
      <c r="VDW83" s="798"/>
      <c r="VDX83" s="798"/>
      <c r="VDY83" s="798"/>
      <c r="VDZ83" s="798"/>
      <c r="VEA83" s="798"/>
      <c r="VEB83" s="798"/>
      <c r="VEC83" s="798"/>
      <c r="VED83" s="798"/>
      <c r="VEE83" s="798"/>
      <c r="VEF83" s="798"/>
      <c r="VEG83" s="798"/>
      <c r="VEH83" s="798"/>
      <c r="VEI83" s="798"/>
      <c r="VEJ83" s="798"/>
      <c r="VEK83" s="798"/>
      <c r="VEL83" s="798"/>
      <c r="VEM83" s="798"/>
      <c r="VEN83" s="798"/>
      <c r="VEO83" s="798"/>
      <c r="VEP83" s="798"/>
      <c r="VEQ83" s="798"/>
      <c r="VER83" s="798"/>
      <c r="VES83" s="798"/>
      <c r="VET83" s="798"/>
      <c r="VEU83" s="798"/>
      <c r="VEV83" s="798"/>
      <c r="VEW83" s="798"/>
      <c r="VEX83" s="798"/>
      <c r="VEY83" s="798"/>
      <c r="VEZ83" s="798"/>
      <c r="VFA83" s="798"/>
      <c r="VFB83" s="798"/>
      <c r="VFC83" s="798"/>
      <c r="VFD83" s="798"/>
      <c r="VFE83" s="798"/>
      <c r="VFF83" s="798"/>
      <c r="VFG83" s="798"/>
      <c r="VFH83" s="798"/>
      <c r="VFI83" s="798"/>
      <c r="VFJ83" s="798"/>
      <c r="VFK83" s="798"/>
      <c r="VFL83" s="798"/>
      <c r="VFM83" s="798"/>
      <c r="VFN83" s="798"/>
      <c r="VFO83" s="798"/>
      <c r="VFP83" s="798"/>
      <c r="VFQ83" s="798"/>
      <c r="VFR83" s="798"/>
      <c r="VFS83" s="798"/>
      <c r="VFT83" s="798"/>
      <c r="VFU83" s="798"/>
      <c r="VFV83" s="798"/>
      <c r="VFW83" s="798"/>
      <c r="VFX83" s="798"/>
      <c r="VFY83" s="798"/>
      <c r="VFZ83" s="798"/>
      <c r="VGA83" s="798"/>
      <c r="VGB83" s="798"/>
      <c r="VGC83" s="798"/>
      <c r="VGD83" s="798"/>
      <c r="VGE83" s="798"/>
      <c r="VGF83" s="798"/>
      <c r="VGG83" s="798"/>
      <c r="VGH83" s="798"/>
      <c r="VGI83" s="798"/>
      <c r="VGJ83" s="798"/>
      <c r="VGK83" s="798"/>
      <c r="VGL83" s="798"/>
      <c r="VGM83" s="798"/>
      <c r="VGN83" s="798"/>
      <c r="VGO83" s="798"/>
      <c r="VGP83" s="798"/>
      <c r="VGQ83" s="798"/>
      <c r="VGR83" s="798"/>
      <c r="VGS83" s="798"/>
      <c r="VGT83" s="798"/>
      <c r="VGU83" s="798"/>
      <c r="VGV83" s="798"/>
      <c r="VGW83" s="798"/>
      <c r="VGX83" s="798"/>
      <c r="VGY83" s="798"/>
      <c r="VGZ83" s="798"/>
      <c r="VHA83" s="798"/>
      <c r="VHB83" s="798"/>
      <c r="VHC83" s="798"/>
      <c r="VHD83" s="798"/>
      <c r="VHE83" s="798"/>
      <c r="VHF83" s="798"/>
      <c r="VHG83" s="798"/>
      <c r="VHH83" s="798"/>
      <c r="VHI83" s="798"/>
      <c r="VHJ83" s="798"/>
      <c r="VHK83" s="798"/>
      <c r="VHL83" s="798"/>
      <c r="VHM83" s="798"/>
      <c r="VHN83" s="798"/>
      <c r="VHO83" s="798"/>
      <c r="VHP83" s="798"/>
      <c r="VHQ83" s="798"/>
      <c r="VHR83" s="798"/>
      <c r="VHS83" s="798"/>
      <c r="VHT83" s="798"/>
      <c r="VHU83" s="798"/>
      <c r="VHV83" s="798"/>
      <c r="VHW83" s="798"/>
      <c r="VHX83" s="798"/>
      <c r="VHY83" s="798"/>
      <c r="VHZ83" s="798"/>
      <c r="VIA83" s="798"/>
      <c r="VIB83" s="798"/>
      <c r="VIC83" s="798"/>
      <c r="VID83" s="798"/>
      <c r="VIE83" s="798"/>
      <c r="VIF83" s="798"/>
      <c r="VIG83" s="798"/>
      <c r="VIH83" s="798"/>
      <c r="VII83" s="798"/>
      <c r="VIJ83" s="798"/>
      <c r="VIK83" s="798"/>
      <c r="VIL83" s="798"/>
      <c r="VIM83" s="798"/>
      <c r="VIN83" s="798"/>
      <c r="VIO83" s="798"/>
      <c r="VIP83" s="798"/>
      <c r="VIQ83" s="798"/>
      <c r="VIR83" s="798"/>
      <c r="VIS83" s="798"/>
      <c r="VIT83" s="798"/>
      <c r="VIU83" s="798"/>
      <c r="VIV83" s="798"/>
      <c r="VIW83" s="798"/>
      <c r="VIX83" s="798"/>
      <c r="VIY83" s="798"/>
      <c r="VIZ83" s="798"/>
      <c r="VJA83" s="798"/>
      <c r="VJB83" s="798"/>
      <c r="VJC83" s="798"/>
      <c r="VJD83" s="798"/>
      <c r="VJE83" s="798"/>
      <c r="VJF83" s="798"/>
      <c r="VJG83" s="798"/>
      <c r="VJH83" s="798"/>
      <c r="VJI83" s="798"/>
      <c r="VJJ83" s="798"/>
      <c r="VJK83" s="798"/>
      <c r="VJL83" s="798"/>
      <c r="VJM83" s="798"/>
      <c r="VJN83" s="798"/>
      <c r="VJO83" s="798"/>
      <c r="VJP83" s="798"/>
      <c r="VJQ83" s="798"/>
      <c r="VJR83" s="798"/>
      <c r="VJS83" s="798"/>
      <c r="VJT83" s="798"/>
      <c r="VJU83" s="798"/>
      <c r="VJV83" s="798"/>
      <c r="VJW83" s="798"/>
      <c r="VJX83" s="798"/>
      <c r="VJY83" s="798"/>
      <c r="VJZ83" s="798"/>
      <c r="VKA83" s="798"/>
      <c r="VKB83" s="798"/>
      <c r="VKC83" s="798"/>
      <c r="VKD83" s="798"/>
      <c r="VKE83" s="798"/>
      <c r="VKF83" s="798"/>
      <c r="VKG83" s="798"/>
      <c r="VKH83" s="798"/>
      <c r="VKI83" s="798"/>
      <c r="VKJ83" s="798"/>
      <c r="VKK83" s="798"/>
      <c r="VKL83" s="798"/>
      <c r="VKM83" s="798"/>
      <c r="VKN83" s="798"/>
      <c r="VKO83" s="798"/>
      <c r="VKP83" s="798"/>
      <c r="VKQ83" s="798"/>
      <c r="VKR83" s="798"/>
      <c r="VKS83" s="798"/>
      <c r="VKT83" s="798"/>
      <c r="VKU83" s="798"/>
      <c r="VKV83" s="798"/>
      <c r="VKW83" s="798"/>
      <c r="VKX83" s="798"/>
      <c r="VKY83" s="798"/>
      <c r="VKZ83" s="798"/>
      <c r="VLA83" s="798"/>
      <c r="VLB83" s="798"/>
      <c r="VLC83" s="798"/>
      <c r="VLD83" s="798"/>
      <c r="VLE83" s="798"/>
      <c r="VLF83" s="798"/>
      <c r="VLG83" s="798"/>
      <c r="VLH83" s="798"/>
      <c r="VLI83" s="798"/>
      <c r="VLJ83" s="798"/>
      <c r="VLK83" s="798"/>
      <c r="VLL83" s="798"/>
      <c r="VLM83" s="798"/>
      <c r="VLN83" s="798"/>
      <c r="VLO83" s="798"/>
      <c r="VLP83" s="798"/>
      <c r="VLQ83" s="798"/>
      <c r="VLR83" s="798"/>
      <c r="VLS83" s="798"/>
      <c r="VLT83" s="798"/>
      <c r="VLU83" s="798"/>
      <c r="VLV83" s="798"/>
      <c r="VLW83" s="798"/>
      <c r="VLX83" s="798"/>
      <c r="VLY83" s="798"/>
      <c r="VLZ83" s="798"/>
      <c r="VMA83" s="798"/>
      <c r="VMB83" s="798"/>
      <c r="VMC83" s="798"/>
      <c r="VMD83" s="798"/>
      <c r="VME83" s="798"/>
      <c r="VMF83" s="798"/>
      <c r="VMG83" s="798"/>
      <c r="VMH83" s="798"/>
      <c r="VMI83" s="798"/>
      <c r="VMJ83" s="798"/>
      <c r="VMK83" s="798"/>
      <c r="VML83" s="798"/>
      <c r="VMM83" s="798"/>
      <c r="VMN83" s="798"/>
      <c r="VMO83" s="798"/>
      <c r="VMP83" s="798"/>
      <c r="VMQ83" s="798"/>
      <c r="VMR83" s="798"/>
      <c r="VMS83" s="798"/>
      <c r="VMT83" s="798"/>
      <c r="VMU83" s="798"/>
      <c r="VMV83" s="798"/>
      <c r="VMW83" s="798"/>
      <c r="VMX83" s="798"/>
      <c r="VMY83" s="798"/>
      <c r="VMZ83" s="798"/>
      <c r="VNA83" s="798"/>
      <c r="VNB83" s="798"/>
      <c r="VNC83" s="798"/>
      <c r="VND83" s="798"/>
      <c r="VNE83" s="798"/>
      <c r="VNF83" s="798"/>
      <c r="VNG83" s="798"/>
      <c r="VNH83" s="798"/>
      <c r="VNI83" s="798"/>
      <c r="VNJ83" s="798"/>
      <c r="VNK83" s="798"/>
      <c r="VNL83" s="798"/>
      <c r="VNM83" s="798"/>
      <c r="VNN83" s="798"/>
      <c r="VNO83" s="798"/>
      <c r="VNP83" s="798"/>
      <c r="VNQ83" s="798"/>
      <c r="VNR83" s="798"/>
      <c r="VNS83" s="798"/>
      <c r="VNT83" s="798"/>
      <c r="VNU83" s="798"/>
      <c r="VNV83" s="798"/>
      <c r="VNW83" s="798"/>
      <c r="VNX83" s="798"/>
      <c r="VNY83" s="798"/>
      <c r="VNZ83" s="798"/>
      <c r="VOA83" s="798"/>
      <c r="VOB83" s="798"/>
      <c r="VOC83" s="798"/>
      <c r="VOD83" s="798"/>
      <c r="VOE83" s="798"/>
      <c r="VOF83" s="798"/>
      <c r="VOG83" s="798"/>
      <c r="VOH83" s="798"/>
      <c r="VOI83" s="798"/>
      <c r="VOJ83" s="798"/>
      <c r="VOK83" s="798"/>
      <c r="VOL83" s="798"/>
      <c r="VOM83" s="798"/>
      <c r="VON83" s="798"/>
      <c r="VOO83" s="798"/>
      <c r="VOP83" s="798"/>
      <c r="VOQ83" s="798"/>
      <c r="VOR83" s="798"/>
      <c r="VOS83" s="798"/>
      <c r="VOT83" s="798"/>
      <c r="VOU83" s="798"/>
      <c r="VOV83" s="798"/>
      <c r="VOW83" s="798"/>
      <c r="VOX83" s="798"/>
      <c r="VOY83" s="798"/>
      <c r="VOZ83" s="798"/>
      <c r="VPA83" s="798"/>
      <c r="VPB83" s="798"/>
      <c r="VPC83" s="798"/>
      <c r="VPD83" s="798"/>
      <c r="VPE83" s="798"/>
      <c r="VPF83" s="798"/>
      <c r="VPG83" s="798"/>
      <c r="VPH83" s="798"/>
      <c r="VPI83" s="798"/>
      <c r="VPJ83" s="798"/>
      <c r="VPK83" s="798"/>
      <c r="VPL83" s="798"/>
      <c r="VPM83" s="798"/>
      <c r="VPN83" s="798"/>
      <c r="VPO83" s="798"/>
      <c r="VPP83" s="798"/>
      <c r="VPQ83" s="798"/>
      <c r="VPR83" s="798"/>
      <c r="VPS83" s="798"/>
      <c r="VPT83" s="798"/>
      <c r="VPU83" s="798"/>
      <c r="VPV83" s="798"/>
      <c r="VPW83" s="798"/>
      <c r="VPX83" s="798"/>
      <c r="VPY83" s="798"/>
      <c r="VPZ83" s="798"/>
      <c r="VQA83" s="798"/>
      <c r="VQB83" s="798"/>
      <c r="VQC83" s="798"/>
      <c r="VQD83" s="798"/>
      <c r="VQE83" s="798"/>
      <c r="VQF83" s="798"/>
      <c r="VQG83" s="798"/>
      <c r="VQH83" s="798"/>
      <c r="VQI83" s="798"/>
      <c r="VQJ83" s="798"/>
      <c r="VQK83" s="798"/>
      <c r="VQL83" s="798"/>
      <c r="VQM83" s="798"/>
      <c r="VQN83" s="798"/>
      <c r="VQO83" s="798"/>
      <c r="VQP83" s="798"/>
      <c r="VQQ83" s="798"/>
      <c r="VQR83" s="798"/>
      <c r="VQS83" s="798"/>
      <c r="VQT83" s="798"/>
      <c r="VQU83" s="798"/>
      <c r="VQV83" s="798"/>
      <c r="VQW83" s="798"/>
      <c r="VQX83" s="798"/>
      <c r="VQY83" s="798"/>
      <c r="VQZ83" s="798"/>
      <c r="VRA83" s="798"/>
      <c r="VRB83" s="798"/>
      <c r="VRC83" s="798"/>
      <c r="VRD83" s="798"/>
      <c r="VRE83" s="798"/>
      <c r="VRF83" s="798"/>
      <c r="VRG83" s="798"/>
      <c r="VRH83" s="798"/>
      <c r="VRI83" s="798"/>
      <c r="VRJ83" s="798"/>
      <c r="VRK83" s="798"/>
      <c r="VRL83" s="798"/>
      <c r="VRM83" s="798"/>
      <c r="VRN83" s="798"/>
      <c r="VRO83" s="798"/>
      <c r="VRP83" s="798"/>
      <c r="VRQ83" s="798"/>
      <c r="VRR83" s="798"/>
      <c r="VRS83" s="798"/>
      <c r="VRT83" s="798"/>
      <c r="VRU83" s="798"/>
      <c r="VRV83" s="798"/>
      <c r="VRW83" s="798"/>
      <c r="VRX83" s="798"/>
      <c r="VRY83" s="798"/>
      <c r="VRZ83" s="798"/>
      <c r="VSA83" s="798"/>
      <c r="VSB83" s="798"/>
      <c r="VSC83" s="798"/>
      <c r="VSD83" s="798"/>
      <c r="VSE83" s="798"/>
      <c r="VSF83" s="798"/>
      <c r="VSG83" s="798"/>
      <c r="VSH83" s="798"/>
      <c r="VSI83" s="798"/>
      <c r="VSJ83" s="798"/>
      <c r="VSK83" s="798"/>
      <c r="VSL83" s="798"/>
      <c r="VSM83" s="798"/>
      <c r="VSN83" s="798"/>
      <c r="VSO83" s="798"/>
      <c r="VSP83" s="798"/>
      <c r="VSQ83" s="798"/>
      <c r="VSR83" s="798"/>
      <c r="VSS83" s="798"/>
      <c r="VST83" s="798"/>
      <c r="VSU83" s="798"/>
      <c r="VSV83" s="798"/>
      <c r="VSW83" s="798"/>
      <c r="VSX83" s="798"/>
      <c r="VSY83" s="798"/>
      <c r="VSZ83" s="798"/>
      <c r="VTA83" s="798"/>
      <c r="VTB83" s="798"/>
      <c r="VTC83" s="798"/>
      <c r="VTD83" s="798"/>
      <c r="VTE83" s="798"/>
      <c r="VTF83" s="798"/>
      <c r="VTG83" s="798"/>
      <c r="VTH83" s="798"/>
      <c r="VTI83" s="798"/>
      <c r="VTJ83" s="798"/>
      <c r="VTK83" s="798"/>
      <c r="VTL83" s="798"/>
      <c r="VTM83" s="798"/>
      <c r="VTN83" s="798"/>
      <c r="VTO83" s="798"/>
      <c r="VTP83" s="798"/>
      <c r="VTQ83" s="798"/>
      <c r="VTR83" s="798"/>
      <c r="VTS83" s="798"/>
      <c r="VTT83" s="798"/>
      <c r="VTU83" s="798"/>
      <c r="VTV83" s="798"/>
      <c r="VTW83" s="798"/>
      <c r="VTX83" s="798"/>
      <c r="VTY83" s="798"/>
      <c r="VTZ83" s="798"/>
      <c r="VUA83" s="798"/>
      <c r="VUB83" s="798"/>
      <c r="VUC83" s="798"/>
      <c r="VUD83" s="798"/>
      <c r="VUE83" s="798"/>
      <c r="VUF83" s="798"/>
      <c r="VUG83" s="798"/>
      <c r="VUH83" s="798"/>
      <c r="VUI83" s="798"/>
      <c r="VUJ83" s="798"/>
      <c r="VUK83" s="798"/>
      <c r="VUL83" s="798"/>
      <c r="VUM83" s="798"/>
      <c r="VUN83" s="798"/>
      <c r="VUO83" s="798"/>
      <c r="VUP83" s="798"/>
      <c r="VUQ83" s="798"/>
      <c r="VUR83" s="798"/>
      <c r="VUS83" s="798"/>
      <c r="VUT83" s="798"/>
      <c r="VUU83" s="798"/>
      <c r="VUV83" s="798"/>
      <c r="VUW83" s="798"/>
      <c r="VUX83" s="798"/>
      <c r="VUY83" s="798"/>
      <c r="VUZ83" s="798"/>
      <c r="VVA83" s="798"/>
      <c r="VVB83" s="798"/>
      <c r="VVC83" s="798"/>
      <c r="VVD83" s="798"/>
      <c r="VVE83" s="798"/>
      <c r="VVF83" s="798"/>
      <c r="VVG83" s="798"/>
      <c r="VVH83" s="798"/>
      <c r="VVI83" s="798"/>
      <c r="VVJ83" s="798"/>
      <c r="VVK83" s="798"/>
      <c r="VVL83" s="798"/>
      <c r="VVM83" s="798"/>
      <c r="VVN83" s="798"/>
      <c r="VVO83" s="798"/>
      <c r="VVP83" s="798"/>
      <c r="VVQ83" s="798"/>
      <c r="VVR83" s="798"/>
      <c r="VVS83" s="798"/>
      <c r="VVT83" s="798"/>
      <c r="VVU83" s="798"/>
      <c r="VVV83" s="798"/>
      <c r="VVW83" s="798"/>
      <c r="VVX83" s="798"/>
      <c r="VVY83" s="798"/>
      <c r="VVZ83" s="798"/>
      <c r="VWA83" s="798"/>
      <c r="VWB83" s="798"/>
      <c r="VWC83" s="798"/>
      <c r="VWD83" s="798"/>
      <c r="VWE83" s="798"/>
      <c r="VWF83" s="798"/>
      <c r="VWG83" s="798"/>
      <c r="VWH83" s="798"/>
      <c r="VWI83" s="798"/>
      <c r="VWJ83" s="798"/>
      <c r="VWK83" s="798"/>
      <c r="VWL83" s="798"/>
      <c r="VWM83" s="798"/>
      <c r="VWN83" s="798"/>
      <c r="VWO83" s="798"/>
      <c r="VWP83" s="798"/>
      <c r="VWQ83" s="798"/>
      <c r="VWR83" s="798"/>
      <c r="VWS83" s="798"/>
      <c r="VWT83" s="798"/>
      <c r="VWU83" s="798"/>
      <c r="VWV83" s="798"/>
      <c r="VWW83" s="798"/>
      <c r="VWX83" s="798"/>
      <c r="VWY83" s="798"/>
      <c r="VWZ83" s="798"/>
      <c r="VXA83" s="798"/>
      <c r="VXB83" s="798"/>
      <c r="VXC83" s="798"/>
      <c r="VXD83" s="798"/>
      <c r="VXE83" s="798"/>
      <c r="VXF83" s="798"/>
      <c r="VXG83" s="798"/>
      <c r="VXH83" s="798"/>
      <c r="VXI83" s="798"/>
      <c r="VXJ83" s="798"/>
      <c r="VXK83" s="798"/>
      <c r="VXL83" s="798"/>
      <c r="VXM83" s="798"/>
      <c r="VXN83" s="798"/>
      <c r="VXO83" s="798"/>
      <c r="VXP83" s="798"/>
      <c r="VXQ83" s="798"/>
      <c r="VXR83" s="798"/>
      <c r="VXS83" s="798"/>
      <c r="VXT83" s="798"/>
      <c r="VXU83" s="798"/>
      <c r="VXV83" s="798"/>
      <c r="VXW83" s="798"/>
      <c r="VXX83" s="798"/>
      <c r="VXY83" s="798"/>
      <c r="VXZ83" s="798"/>
      <c r="VYA83" s="798"/>
      <c r="VYB83" s="798"/>
      <c r="VYC83" s="798"/>
      <c r="VYD83" s="798"/>
      <c r="VYE83" s="798"/>
      <c r="VYF83" s="798"/>
      <c r="VYG83" s="798"/>
      <c r="VYH83" s="798"/>
      <c r="VYI83" s="798"/>
      <c r="VYJ83" s="798"/>
      <c r="VYK83" s="798"/>
      <c r="VYL83" s="798"/>
      <c r="VYM83" s="798"/>
      <c r="VYN83" s="798"/>
      <c r="VYO83" s="798"/>
      <c r="VYP83" s="798"/>
      <c r="VYQ83" s="798"/>
      <c r="VYR83" s="798"/>
      <c r="VYS83" s="798"/>
      <c r="VYT83" s="798"/>
      <c r="VYU83" s="798"/>
      <c r="VYV83" s="798"/>
      <c r="VYW83" s="798"/>
      <c r="VYX83" s="798"/>
      <c r="VYY83" s="798"/>
      <c r="VYZ83" s="798"/>
      <c r="VZA83" s="798"/>
      <c r="VZB83" s="798"/>
      <c r="VZC83" s="798"/>
      <c r="VZD83" s="798"/>
      <c r="VZE83" s="798"/>
      <c r="VZF83" s="798"/>
      <c r="VZG83" s="798"/>
      <c r="VZH83" s="798"/>
      <c r="VZI83" s="798"/>
      <c r="VZJ83" s="798"/>
      <c r="VZK83" s="798"/>
      <c r="VZL83" s="798"/>
      <c r="VZM83" s="798"/>
      <c r="VZN83" s="798"/>
      <c r="VZO83" s="798"/>
      <c r="VZP83" s="798"/>
      <c r="VZQ83" s="798"/>
      <c r="VZR83" s="798"/>
      <c r="VZS83" s="798"/>
      <c r="VZT83" s="798"/>
      <c r="VZU83" s="798"/>
      <c r="VZV83" s="798"/>
      <c r="VZW83" s="798"/>
      <c r="VZX83" s="798"/>
      <c r="VZY83" s="798"/>
      <c r="VZZ83" s="798"/>
      <c r="WAA83" s="798"/>
      <c r="WAB83" s="798"/>
      <c r="WAC83" s="798"/>
      <c r="WAD83" s="798"/>
      <c r="WAE83" s="798"/>
      <c r="WAF83" s="798"/>
      <c r="WAG83" s="798"/>
      <c r="WAH83" s="798"/>
      <c r="WAI83" s="798"/>
      <c r="WAJ83" s="798"/>
      <c r="WAK83" s="798"/>
      <c r="WAL83" s="798"/>
      <c r="WAM83" s="798"/>
      <c r="WAN83" s="798"/>
      <c r="WAO83" s="798"/>
      <c r="WAP83" s="798"/>
      <c r="WAQ83" s="798"/>
      <c r="WAR83" s="798"/>
      <c r="WAS83" s="798"/>
      <c r="WAT83" s="798"/>
      <c r="WAU83" s="798"/>
      <c r="WAV83" s="798"/>
      <c r="WAW83" s="798"/>
      <c r="WAX83" s="798"/>
      <c r="WAY83" s="798"/>
      <c r="WAZ83" s="798"/>
      <c r="WBA83" s="798"/>
      <c r="WBB83" s="798"/>
      <c r="WBC83" s="798"/>
      <c r="WBD83" s="798"/>
      <c r="WBE83" s="798"/>
      <c r="WBF83" s="798"/>
      <c r="WBG83" s="798"/>
      <c r="WBH83" s="798"/>
      <c r="WBI83" s="798"/>
      <c r="WBJ83" s="798"/>
      <c r="WBK83" s="798"/>
      <c r="WBL83" s="798"/>
      <c r="WBM83" s="798"/>
      <c r="WBN83" s="798"/>
      <c r="WBO83" s="798"/>
      <c r="WBP83" s="798"/>
      <c r="WBQ83" s="798"/>
      <c r="WBR83" s="798"/>
      <c r="WBS83" s="798"/>
      <c r="WBT83" s="798"/>
      <c r="WBU83" s="798"/>
      <c r="WBV83" s="798"/>
      <c r="WBW83" s="798"/>
      <c r="WBX83" s="798"/>
      <c r="WBY83" s="798"/>
      <c r="WBZ83" s="798"/>
      <c r="WCA83" s="798"/>
      <c r="WCB83" s="798"/>
      <c r="WCC83" s="798"/>
      <c r="WCD83" s="798"/>
      <c r="WCE83" s="798"/>
      <c r="WCF83" s="798"/>
      <c r="WCG83" s="798"/>
      <c r="WCH83" s="798"/>
      <c r="WCI83" s="798"/>
      <c r="WCJ83" s="798"/>
      <c r="WCK83" s="798"/>
      <c r="WCL83" s="798"/>
      <c r="WCM83" s="798"/>
      <c r="WCN83" s="798"/>
      <c r="WCO83" s="798"/>
      <c r="WCP83" s="798"/>
      <c r="WCQ83" s="798"/>
      <c r="WCR83" s="798"/>
      <c r="WCS83" s="798"/>
      <c r="WCT83" s="798"/>
      <c r="WCU83" s="798"/>
      <c r="WCV83" s="798"/>
      <c r="WCW83" s="798"/>
      <c r="WCX83" s="798"/>
      <c r="WCY83" s="798"/>
      <c r="WCZ83" s="798"/>
      <c r="WDA83" s="798"/>
      <c r="WDB83" s="798"/>
      <c r="WDC83" s="798"/>
      <c r="WDD83" s="798"/>
      <c r="WDE83" s="798"/>
      <c r="WDF83" s="798"/>
      <c r="WDG83" s="798"/>
      <c r="WDH83" s="798"/>
      <c r="WDI83" s="798"/>
      <c r="WDJ83" s="798"/>
      <c r="WDK83" s="798"/>
      <c r="WDL83" s="798"/>
      <c r="WDM83" s="798"/>
      <c r="WDN83" s="798"/>
      <c r="WDO83" s="798"/>
      <c r="WDP83" s="798"/>
      <c r="WDQ83" s="798"/>
      <c r="WDR83" s="798"/>
      <c r="WDS83" s="798"/>
      <c r="WDT83" s="798"/>
      <c r="WDU83" s="798"/>
      <c r="WDV83" s="798"/>
      <c r="WDW83" s="798"/>
      <c r="WDX83" s="798"/>
      <c r="WDY83" s="798"/>
      <c r="WDZ83" s="798"/>
      <c r="WEA83" s="798"/>
      <c r="WEB83" s="798"/>
      <c r="WEC83" s="798"/>
      <c r="WED83" s="798"/>
      <c r="WEE83" s="798"/>
      <c r="WEF83" s="798"/>
      <c r="WEG83" s="798"/>
      <c r="WEH83" s="798"/>
      <c r="WEI83" s="798"/>
      <c r="WEJ83" s="798"/>
      <c r="WEK83" s="798"/>
      <c r="WEL83" s="798"/>
      <c r="WEM83" s="798"/>
      <c r="WEN83" s="798"/>
      <c r="WEO83" s="798"/>
      <c r="WEP83" s="798"/>
      <c r="WEQ83" s="798"/>
      <c r="WER83" s="798"/>
      <c r="WES83" s="798"/>
      <c r="WET83" s="798"/>
      <c r="WEU83" s="798"/>
      <c r="WEV83" s="798"/>
      <c r="WEW83" s="798"/>
      <c r="WEX83" s="798"/>
      <c r="WEY83" s="798"/>
      <c r="WEZ83" s="798"/>
      <c r="WFA83" s="798"/>
      <c r="WFB83" s="798"/>
      <c r="WFC83" s="798"/>
      <c r="WFD83" s="798"/>
      <c r="WFE83" s="798"/>
      <c r="WFF83" s="798"/>
      <c r="WFG83" s="798"/>
      <c r="WFH83" s="798"/>
      <c r="WFI83" s="798"/>
      <c r="WFJ83" s="798"/>
      <c r="WFK83" s="798"/>
      <c r="WFL83" s="798"/>
      <c r="WFM83" s="798"/>
      <c r="WFN83" s="798"/>
      <c r="WFO83" s="798"/>
      <c r="WFP83" s="798"/>
      <c r="WFQ83" s="798"/>
      <c r="WFR83" s="798"/>
      <c r="WFS83" s="798"/>
      <c r="WFT83" s="798"/>
      <c r="WFU83" s="798"/>
      <c r="WFV83" s="798"/>
      <c r="WFW83" s="798"/>
      <c r="WFX83" s="798"/>
      <c r="WFY83" s="798"/>
      <c r="WFZ83" s="798"/>
      <c r="WGA83" s="798"/>
      <c r="WGB83" s="798"/>
      <c r="WGC83" s="798"/>
      <c r="WGD83" s="798"/>
      <c r="WGE83" s="798"/>
      <c r="WGF83" s="798"/>
      <c r="WGG83" s="798"/>
      <c r="WGH83" s="798"/>
      <c r="WGI83" s="798"/>
      <c r="WGJ83" s="798"/>
      <c r="WGK83" s="798"/>
      <c r="WGL83" s="798"/>
      <c r="WGM83" s="798"/>
      <c r="WGN83" s="798"/>
      <c r="WGO83" s="798"/>
      <c r="WGP83" s="798"/>
      <c r="WGQ83" s="798"/>
      <c r="WGR83" s="798"/>
      <c r="WGS83" s="798"/>
      <c r="WGT83" s="798"/>
      <c r="WGU83" s="798"/>
      <c r="WGV83" s="798"/>
      <c r="WGW83" s="798"/>
      <c r="WGX83" s="798"/>
      <c r="WGY83" s="798"/>
      <c r="WGZ83" s="798"/>
      <c r="WHA83" s="798"/>
      <c r="WHB83" s="798"/>
      <c r="WHC83" s="798"/>
      <c r="WHD83" s="798"/>
      <c r="WHE83" s="798"/>
      <c r="WHF83" s="798"/>
      <c r="WHG83" s="798"/>
      <c r="WHH83" s="798"/>
      <c r="WHI83" s="798"/>
      <c r="WHJ83" s="798"/>
      <c r="WHK83" s="798"/>
      <c r="WHL83" s="798"/>
      <c r="WHM83" s="798"/>
      <c r="WHN83" s="798"/>
      <c r="WHO83" s="798"/>
      <c r="WHP83" s="798"/>
      <c r="WHQ83" s="798"/>
      <c r="WHR83" s="798"/>
      <c r="WHS83" s="798"/>
      <c r="WHT83" s="798"/>
      <c r="WHU83" s="798"/>
      <c r="WHV83" s="798"/>
      <c r="WHW83" s="798"/>
      <c r="WHX83" s="798"/>
      <c r="WHY83" s="798"/>
      <c r="WHZ83" s="798"/>
      <c r="WIA83" s="798"/>
      <c r="WIB83" s="798"/>
      <c r="WIC83" s="798"/>
      <c r="WID83" s="798"/>
      <c r="WIE83" s="798"/>
      <c r="WIF83" s="798"/>
      <c r="WIG83" s="798"/>
      <c r="WIH83" s="798"/>
      <c r="WII83" s="798"/>
      <c r="WIJ83" s="798"/>
      <c r="WIK83" s="798"/>
      <c r="WIL83" s="798"/>
      <c r="WIM83" s="798"/>
      <c r="WIN83" s="798"/>
      <c r="WIO83" s="798"/>
      <c r="WIP83" s="798"/>
      <c r="WIQ83" s="798"/>
      <c r="WIR83" s="798"/>
      <c r="WIS83" s="798"/>
      <c r="WIT83" s="798"/>
      <c r="WIU83" s="798"/>
      <c r="WIV83" s="798"/>
      <c r="WIW83" s="798"/>
      <c r="WIX83" s="798"/>
      <c r="WIY83" s="798"/>
      <c r="WIZ83" s="798"/>
      <c r="WJA83" s="798"/>
      <c r="WJB83" s="798"/>
      <c r="WJC83" s="798"/>
      <c r="WJD83" s="798"/>
      <c r="WJE83" s="798"/>
      <c r="WJF83" s="798"/>
      <c r="WJG83" s="798"/>
      <c r="WJH83" s="798"/>
      <c r="WJI83" s="798"/>
      <c r="WJJ83" s="798"/>
      <c r="WJK83" s="798"/>
      <c r="WJL83" s="798"/>
      <c r="WJM83" s="798"/>
      <c r="WJN83" s="798"/>
      <c r="WJO83" s="798"/>
      <c r="WJP83" s="798"/>
      <c r="WJQ83" s="798"/>
      <c r="WJR83" s="798"/>
      <c r="WJS83" s="798"/>
      <c r="WJT83" s="798"/>
      <c r="WJU83" s="798"/>
      <c r="WJV83" s="798"/>
      <c r="WJW83" s="798"/>
      <c r="WJX83" s="798"/>
      <c r="WJY83" s="798"/>
      <c r="WJZ83" s="798"/>
      <c r="WKA83" s="798"/>
      <c r="WKB83" s="798"/>
      <c r="WKC83" s="798"/>
      <c r="WKD83" s="798"/>
      <c r="WKE83" s="798"/>
      <c r="WKF83" s="798"/>
      <c r="WKG83" s="798"/>
      <c r="WKH83" s="798"/>
      <c r="WKI83" s="798"/>
      <c r="WKJ83" s="798"/>
      <c r="WKK83" s="798"/>
      <c r="WKL83" s="798"/>
      <c r="WKM83" s="798"/>
      <c r="WKN83" s="798"/>
      <c r="WKO83" s="798"/>
      <c r="WKP83" s="798"/>
      <c r="WKQ83" s="798"/>
      <c r="WKR83" s="798"/>
      <c r="WKS83" s="798"/>
      <c r="WKT83" s="798"/>
      <c r="WKU83" s="798"/>
      <c r="WKV83" s="798"/>
      <c r="WKW83" s="798"/>
      <c r="WKX83" s="798"/>
      <c r="WKY83" s="798"/>
      <c r="WKZ83" s="798"/>
      <c r="WLA83" s="798"/>
      <c r="WLB83" s="798"/>
      <c r="WLC83" s="798"/>
      <c r="WLD83" s="798"/>
      <c r="WLE83" s="798"/>
      <c r="WLF83" s="798"/>
      <c r="WLG83" s="798"/>
      <c r="WLH83" s="798"/>
      <c r="WLI83" s="798"/>
      <c r="WLJ83" s="798"/>
      <c r="WLK83" s="798"/>
      <c r="WLL83" s="798"/>
      <c r="WLM83" s="798"/>
      <c r="WLN83" s="798"/>
      <c r="WLO83" s="798"/>
      <c r="WLP83" s="798"/>
      <c r="WLQ83" s="798"/>
      <c r="WLR83" s="798"/>
      <c r="WLS83" s="798"/>
      <c r="WLT83" s="798"/>
      <c r="WLU83" s="798"/>
      <c r="WLV83" s="798"/>
      <c r="WLW83" s="798"/>
      <c r="WLX83" s="798"/>
      <c r="WLY83" s="798"/>
      <c r="WLZ83" s="798"/>
      <c r="WMA83" s="798"/>
      <c r="WMB83" s="798"/>
      <c r="WMC83" s="798"/>
      <c r="WMD83" s="798"/>
      <c r="WME83" s="798"/>
      <c r="WMF83" s="798"/>
      <c r="WMG83" s="798"/>
      <c r="WMH83" s="798"/>
      <c r="WMI83" s="798"/>
      <c r="WMJ83" s="798"/>
      <c r="WMK83" s="798"/>
      <c r="WML83" s="798"/>
      <c r="WMM83" s="798"/>
      <c r="WMN83" s="798"/>
      <c r="WMO83" s="798"/>
      <c r="WMP83" s="798"/>
      <c r="WMQ83" s="798"/>
      <c r="WMR83" s="798"/>
      <c r="WMS83" s="798"/>
      <c r="WMT83" s="798"/>
      <c r="WMU83" s="798"/>
      <c r="WMV83" s="798"/>
      <c r="WMW83" s="798"/>
      <c r="WMX83" s="798"/>
      <c r="WMY83" s="798"/>
      <c r="WMZ83" s="798"/>
      <c r="WNA83" s="798"/>
      <c r="WNB83" s="798"/>
      <c r="WNC83" s="798"/>
      <c r="WND83" s="798"/>
      <c r="WNE83" s="798"/>
      <c r="WNF83" s="798"/>
      <c r="WNG83" s="798"/>
      <c r="WNH83" s="798"/>
      <c r="WNI83" s="798"/>
      <c r="WNJ83" s="798"/>
      <c r="WNK83" s="798"/>
      <c r="WNL83" s="798"/>
      <c r="WNM83" s="798"/>
      <c r="WNN83" s="798"/>
      <c r="WNO83" s="798"/>
      <c r="WNP83" s="798"/>
      <c r="WNQ83" s="798"/>
      <c r="WNR83" s="798"/>
      <c r="WNS83" s="798"/>
      <c r="WNT83" s="798"/>
      <c r="WNU83" s="798"/>
      <c r="WNV83" s="798"/>
      <c r="WNW83" s="798"/>
      <c r="WNX83" s="798"/>
      <c r="WNY83" s="798"/>
      <c r="WNZ83" s="798"/>
      <c r="WOA83" s="798"/>
      <c r="WOB83" s="798"/>
      <c r="WOC83" s="798"/>
      <c r="WOD83" s="798"/>
      <c r="WOE83" s="798"/>
      <c r="WOF83" s="798"/>
      <c r="WOG83" s="798"/>
      <c r="WOH83" s="798"/>
      <c r="WOI83" s="798"/>
      <c r="WOJ83" s="798"/>
      <c r="WOK83" s="798"/>
      <c r="WOL83" s="798"/>
      <c r="WOM83" s="798"/>
      <c r="WON83" s="798"/>
      <c r="WOO83" s="798"/>
      <c r="WOP83" s="798"/>
      <c r="WOQ83" s="798"/>
      <c r="WOR83" s="798"/>
      <c r="WOS83" s="798"/>
      <c r="WOT83" s="798"/>
      <c r="WOU83" s="798"/>
      <c r="WOV83" s="798"/>
      <c r="WOW83" s="798"/>
      <c r="WOX83" s="798"/>
      <c r="WOY83" s="798"/>
      <c r="WOZ83" s="798"/>
      <c r="WPA83" s="798"/>
      <c r="WPB83" s="798"/>
      <c r="WPC83" s="798"/>
      <c r="WPD83" s="798"/>
      <c r="WPE83" s="798"/>
      <c r="WPF83" s="798"/>
      <c r="WPG83" s="798"/>
      <c r="WPH83" s="798"/>
      <c r="WPI83" s="798"/>
      <c r="WPJ83" s="798"/>
      <c r="WPK83" s="798"/>
      <c r="WPL83" s="798"/>
      <c r="WPM83" s="798"/>
      <c r="WPN83" s="798"/>
      <c r="WPO83" s="798"/>
      <c r="WPP83" s="798"/>
      <c r="WPQ83" s="798"/>
      <c r="WPR83" s="798"/>
      <c r="WPS83" s="798"/>
      <c r="WPT83" s="798"/>
      <c r="WPU83" s="798"/>
      <c r="WPV83" s="798"/>
      <c r="WPW83" s="798"/>
      <c r="WPX83" s="798"/>
      <c r="WPY83" s="798"/>
      <c r="WPZ83" s="798"/>
      <c r="WQA83" s="798"/>
      <c r="WQB83" s="798"/>
      <c r="WQC83" s="798"/>
      <c r="WQD83" s="798"/>
      <c r="WQE83" s="798"/>
      <c r="WQF83" s="798"/>
      <c r="WQG83" s="798"/>
      <c r="WQH83" s="798"/>
      <c r="WQI83" s="798"/>
      <c r="WQJ83" s="798"/>
      <c r="WQK83" s="798"/>
      <c r="WQL83" s="798"/>
      <c r="WQM83" s="798"/>
      <c r="WQN83" s="798"/>
      <c r="WQO83" s="798"/>
      <c r="WQP83" s="798"/>
      <c r="WQQ83" s="798"/>
      <c r="WQR83" s="798"/>
      <c r="WQS83" s="798"/>
      <c r="WQT83" s="798"/>
      <c r="WQU83" s="798"/>
      <c r="WQV83" s="798"/>
      <c r="WQW83" s="798"/>
      <c r="WQX83" s="798"/>
      <c r="WQY83" s="798"/>
      <c r="WQZ83" s="798"/>
      <c r="WRA83" s="798"/>
      <c r="WRB83" s="798"/>
      <c r="WRC83" s="798"/>
      <c r="WRD83" s="798"/>
      <c r="WRE83" s="798"/>
      <c r="WRF83" s="798"/>
      <c r="WRG83" s="798"/>
      <c r="WRH83" s="798"/>
      <c r="WRI83" s="798"/>
      <c r="WRJ83" s="798"/>
      <c r="WRK83" s="798"/>
      <c r="WRL83" s="798"/>
      <c r="WRM83" s="798"/>
      <c r="WRN83" s="798"/>
      <c r="WRO83" s="798"/>
      <c r="WRP83" s="798"/>
      <c r="WRQ83" s="798"/>
      <c r="WRR83" s="798"/>
      <c r="WRS83" s="798"/>
      <c r="WRT83" s="798"/>
      <c r="WRU83" s="798"/>
      <c r="WRV83" s="798"/>
      <c r="WRW83" s="798"/>
      <c r="WRX83" s="798"/>
      <c r="WRY83" s="798"/>
      <c r="WRZ83" s="798"/>
      <c r="WSA83" s="798"/>
      <c r="WSB83" s="798"/>
      <c r="WSC83" s="798"/>
      <c r="WSD83" s="798"/>
      <c r="WSE83" s="798"/>
      <c r="WSF83" s="798"/>
      <c r="WSG83" s="798"/>
      <c r="WSH83" s="798"/>
      <c r="WSI83" s="798"/>
      <c r="WSJ83" s="798"/>
      <c r="WSK83" s="798"/>
      <c r="WSL83" s="798"/>
      <c r="WSM83" s="798"/>
      <c r="WSN83" s="798"/>
      <c r="WSO83" s="798"/>
      <c r="WSP83" s="798"/>
      <c r="WSQ83" s="798"/>
      <c r="WSR83" s="798"/>
      <c r="WSS83" s="798"/>
      <c r="WST83" s="798"/>
      <c r="WSU83" s="798"/>
      <c r="WSV83" s="798"/>
      <c r="WSW83" s="798"/>
      <c r="WSX83" s="798"/>
      <c r="WSY83" s="798"/>
      <c r="WSZ83" s="798"/>
      <c r="WTA83" s="798"/>
      <c r="WTB83" s="798"/>
      <c r="WTC83" s="798"/>
      <c r="WTD83" s="798"/>
      <c r="WTE83" s="798"/>
      <c r="WTF83" s="798"/>
      <c r="WTG83" s="798"/>
      <c r="WTH83" s="798"/>
      <c r="WTI83" s="798"/>
      <c r="WTJ83" s="798"/>
      <c r="WTK83" s="798"/>
      <c r="WTL83" s="798"/>
      <c r="WTM83" s="798"/>
      <c r="WTN83" s="798"/>
      <c r="WTO83" s="798"/>
      <c r="WTP83" s="798"/>
      <c r="WTQ83" s="798"/>
      <c r="WTR83" s="798"/>
      <c r="WTS83" s="798"/>
      <c r="WTT83" s="798"/>
      <c r="WTU83" s="798"/>
      <c r="WTV83" s="798"/>
      <c r="WTW83" s="798"/>
      <c r="WTX83" s="798"/>
      <c r="WTY83" s="798"/>
      <c r="WTZ83" s="798"/>
      <c r="WUA83" s="798"/>
      <c r="WUB83" s="798"/>
      <c r="WUC83" s="798"/>
      <c r="WUD83" s="798"/>
      <c r="WUE83" s="798"/>
      <c r="WUF83" s="798"/>
      <c r="WUG83" s="798"/>
      <c r="WUH83" s="798"/>
      <c r="WUI83" s="798"/>
      <c r="WUJ83" s="798"/>
      <c r="WUK83" s="798"/>
      <c r="WUL83" s="798"/>
      <c r="WUM83" s="798"/>
      <c r="WUN83" s="798"/>
      <c r="WUO83" s="798"/>
      <c r="WUP83" s="798"/>
      <c r="WUQ83" s="798"/>
      <c r="WUR83" s="798"/>
      <c r="WUS83" s="798"/>
      <c r="WUT83" s="798"/>
      <c r="WUU83" s="798"/>
      <c r="WUV83" s="798"/>
      <c r="WUW83" s="798"/>
      <c r="WUX83" s="798"/>
      <c r="WUY83" s="798"/>
      <c r="WUZ83" s="798"/>
      <c r="WVA83" s="798"/>
      <c r="WVB83" s="798"/>
      <c r="WVC83" s="798"/>
      <c r="WVD83" s="798"/>
      <c r="WVE83" s="798"/>
      <c r="WVF83" s="798"/>
      <c r="WVG83" s="798"/>
      <c r="WVH83" s="798"/>
      <c r="WVI83" s="798"/>
      <c r="WVJ83" s="798"/>
      <c r="WVK83" s="798"/>
      <c r="WVL83" s="798"/>
      <c r="WVM83" s="798"/>
      <c r="WVN83" s="798"/>
      <c r="WVO83" s="798"/>
      <c r="WVP83" s="798"/>
      <c r="WVQ83" s="798"/>
      <c r="WVR83" s="798"/>
      <c r="WVS83" s="798"/>
      <c r="WVT83" s="798"/>
      <c r="WVU83" s="798"/>
      <c r="WVV83" s="798"/>
      <c r="WVW83" s="798"/>
      <c r="WVX83" s="798"/>
      <c r="WVY83" s="798"/>
      <c r="WVZ83" s="798"/>
      <c r="WWA83" s="798"/>
      <c r="WWB83" s="798"/>
      <c r="WWC83" s="798"/>
      <c r="WWD83" s="798"/>
      <c r="WWE83" s="798"/>
      <c r="WWF83" s="798"/>
      <c r="WWG83" s="798"/>
      <c r="WWH83" s="798"/>
      <c r="WWI83" s="798"/>
      <c r="WWJ83" s="798"/>
      <c r="WWK83" s="798"/>
      <c r="WWL83" s="798"/>
      <c r="WWM83" s="798"/>
      <c r="WWN83" s="798"/>
      <c r="WWO83" s="798"/>
      <c r="WWP83" s="798"/>
      <c r="WWQ83" s="798"/>
      <c r="WWR83" s="798"/>
      <c r="WWS83" s="798"/>
      <c r="WWT83" s="798"/>
      <c r="WWU83" s="798"/>
      <c r="WWV83" s="798"/>
      <c r="WWW83" s="798"/>
      <c r="WWX83" s="798"/>
      <c r="WWY83" s="798"/>
      <c r="WWZ83" s="798"/>
      <c r="WXA83" s="798"/>
      <c r="WXB83" s="798"/>
      <c r="WXC83" s="798"/>
      <c r="WXD83" s="798"/>
      <c r="WXE83" s="798"/>
      <c r="WXF83" s="798"/>
      <c r="WXG83" s="798"/>
      <c r="WXH83" s="798"/>
      <c r="WXI83" s="798"/>
      <c r="WXJ83" s="798"/>
      <c r="WXK83" s="798"/>
      <c r="WXL83" s="798"/>
      <c r="WXM83" s="798"/>
      <c r="WXN83" s="798"/>
      <c r="WXO83" s="798"/>
      <c r="WXP83" s="798"/>
      <c r="WXQ83" s="798"/>
      <c r="WXR83" s="798"/>
      <c r="WXS83" s="798"/>
      <c r="WXT83" s="798"/>
      <c r="WXU83" s="798"/>
      <c r="WXV83" s="798"/>
      <c r="WXW83" s="798"/>
      <c r="WXX83" s="798"/>
      <c r="WXY83" s="798"/>
      <c r="WXZ83" s="798"/>
      <c r="WYA83" s="798"/>
      <c r="WYB83" s="798"/>
      <c r="WYC83" s="798"/>
      <c r="WYD83" s="798"/>
      <c r="WYE83" s="798"/>
      <c r="WYF83" s="798"/>
      <c r="WYG83" s="798"/>
      <c r="WYH83" s="798"/>
      <c r="WYI83" s="798"/>
      <c r="WYJ83" s="798"/>
      <c r="WYK83" s="798"/>
      <c r="WYL83" s="798"/>
      <c r="WYM83" s="798"/>
      <c r="WYN83" s="798"/>
      <c r="WYO83" s="798"/>
      <c r="WYP83" s="798"/>
      <c r="WYQ83" s="798"/>
      <c r="WYR83" s="798"/>
      <c r="WYS83" s="798"/>
      <c r="WYT83" s="798"/>
      <c r="WYU83" s="798"/>
      <c r="WYV83" s="798"/>
      <c r="WYW83" s="798"/>
      <c r="WYX83" s="798"/>
      <c r="WYY83" s="798"/>
      <c r="WYZ83" s="798"/>
      <c r="WZA83" s="798"/>
      <c r="WZB83" s="798"/>
      <c r="WZC83" s="798"/>
      <c r="WZD83" s="798"/>
      <c r="WZE83" s="798"/>
      <c r="WZF83" s="798"/>
      <c r="WZG83" s="798"/>
      <c r="WZH83" s="798"/>
      <c r="WZI83" s="798"/>
      <c r="WZJ83" s="798"/>
      <c r="WZK83" s="798"/>
      <c r="WZL83" s="798"/>
      <c r="WZM83" s="798"/>
      <c r="WZN83" s="798"/>
      <c r="WZO83" s="798"/>
      <c r="WZP83" s="798"/>
      <c r="WZQ83" s="798"/>
      <c r="WZR83" s="798"/>
      <c r="WZS83" s="798"/>
      <c r="WZT83" s="798"/>
      <c r="WZU83" s="798"/>
      <c r="WZV83" s="798"/>
      <c r="WZW83" s="798"/>
      <c r="WZX83" s="798"/>
      <c r="WZY83" s="798"/>
      <c r="WZZ83" s="798"/>
      <c r="XAA83" s="798"/>
      <c r="XAB83" s="798"/>
      <c r="XAC83" s="798"/>
      <c r="XAD83" s="798"/>
      <c r="XAE83" s="798"/>
      <c r="XAF83" s="798"/>
      <c r="XAG83" s="798"/>
      <c r="XAH83" s="798"/>
      <c r="XAI83" s="798"/>
      <c r="XAJ83" s="798"/>
      <c r="XAK83" s="798"/>
      <c r="XAL83" s="798"/>
      <c r="XAM83" s="798"/>
      <c r="XAN83" s="798"/>
      <c r="XAO83" s="798"/>
      <c r="XAP83" s="798"/>
      <c r="XAQ83" s="798"/>
      <c r="XAR83" s="798"/>
      <c r="XAS83" s="798"/>
      <c r="XAT83" s="798"/>
      <c r="XAU83" s="798"/>
      <c r="XAV83" s="798"/>
      <c r="XAW83" s="798"/>
      <c r="XAX83" s="798"/>
      <c r="XAY83" s="798"/>
      <c r="XAZ83" s="798"/>
      <c r="XBA83" s="798"/>
      <c r="XBB83" s="798"/>
      <c r="XBC83" s="798"/>
      <c r="XBD83" s="798"/>
    </row>
    <row r="84" spans="1:16280" ht="28.8" x14ac:dyDescent="0.3">
      <c r="A84" s="212">
        <v>81</v>
      </c>
      <c r="B84" s="212"/>
      <c r="C84" s="212" t="s">
        <v>415</v>
      </c>
      <c r="D84" s="212" t="s">
        <v>639</v>
      </c>
      <c r="E84" s="212" t="s">
        <v>677</v>
      </c>
      <c r="F84" s="489" t="s">
        <v>974</v>
      </c>
      <c r="G84" s="212" t="s">
        <v>941</v>
      </c>
      <c r="H84" s="276" t="s">
        <v>35</v>
      </c>
      <c r="I84" s="276" t="s">
        <v>414</v>
      </c>
      <c r="J84" s="276" t="s">
        <v>884</v>
      </c>
      <c r="K84" s="277" t="s">
        <v>642</v>
      </c>
      <c r="L84" s="277"/>
      <c r="M84" s="277"/>
      <c r="N84" s="374" t="s">
        <v>635</v>
      </c>
      <c r="O84" s="281"/>
      <c r="P84" s="291" t="s">
        <v>801</v>
      </c>
      <c r="Q84" s="192"/>
      <c r="R84" s="192"/>
      <c r="S84" s="192"/>
      <c r="T84" s="190"/>
      <c r="U84" s="190"/>
      <c r="V84" s="190"/>
      <c r="W84" s="190"/>
      <c r="X84" s="190"/>
      <c r="Y84" s="190"/>
      <c r="Z84" s="190"/>
      <c r="AA84" s="190"/>
      <c r="AB84" s="190"/>
      <c r="AC84" s="798"/>
      <c r="AD84" s="798"/>
      <c r="AE84" s="798"/>
      <c r="AF84" s="798"/>
      <c r="AG84" s="798"/>
      <c r="AH84" s="798"/>
      <c r="AI84" s="798"/>
      <c r="AJ84" s="798"/>
      <c r="AK84" s="798"/>
      <c r="AL84" s="798"/>
      <c r="AM84" s="798"/>
      <c r="AN84" s="798"/>
      <c r="AO84" s="798"/>
      <c r="AP84" s="798"/>
      <c r="AQ84" s="798"/>
      <c r="AR84" s="798"/>
      <c r="AS84" s="798"/>
      <c r="AT84" s="798"/>
      <c r="AU84" s="798"/>
      <c r="AV84" s="798"/>
      <c r="AW84" s="798"/>
      <c r="AX84" s="798"/>
      <c r="AY84" s="798"/>
      <c r="AZ84" s="798"/>
      <c r="BA84" s="798"/>
      <c r="BB84" s="798"/>
      <c r="BC84" s="798"/>
      <c r="BD84" s="798"/>
      <c r="BE84" s="798"/>
      <c r="BF84" s="798"/>
      <c r="BG84" s="798"/>
      <c r="BH84" s="798"/>
      <c r="BI84" s="798"/>
      <c r="BJ84" s="798"/>
      <c r="BK84" s="798"/>
      <c r="BL84" s="798"/>
      <c r="BM84" s="798"/>
      <c r="BN84" s="798"/>
      <c r="BO84" s="798"/>
      <c r="BP84" s="798"/>
      <c r="BQ84" s="798"/>
      <c r="BR84" s="798"/>
      <c r="BS84" s="798"/>
      <c r="BT84" s="798"/>
      <c r="BU84" s="798"/>
      <c r="BV84" s="798"/>
      <c r="BW84" s="798"/>
      <c r="BX84" s="798"/>
      <c r="BY84" s="798"/>
      <c r="BZ84" s="798"/>
      <c r="CA84" s="798"/>
      <c r="CB84" s="798"/>
      <c r="CC84" s="798"/>
      <c r="CD84" s="798"/>
      <c r="CE84" s="798"/>
      <c r="CF84" s="798"/>
      <c r="CG84" s="798"/>
      <c r="CH84" s="798"/>
      <c r="CI84" s="798"/>
      <c r="CJ84" s="798"/>
      <c r="CK84" s="798"/>
      <c r="CL84" s="798"/>
      <c r="CM84" s="798"/>
      <c r="CN84" s="798"/>
      <c r="CO84" s="798"/>
      <c r="CP84" s="798"/>
      <c r="CQ84" s="798"/>
      <c r="CR84" s="798"/>
      <c r="CS84" s="798"/>
      <c r="CT84" s="798"/>
      <c r="CU84" s="798"/>
      <c r="CV84" s="798"/>
      <c r="CW84" s="798"/>
      <c r="CX84" s="798"/>
      <c r="CY84" s="798"/>
      <c r="CZ84" s="798"/>
      <c r="DA84" s="798"/>
      <c r="DB84" s="798"/>
      <c r="DC84" s="798"/>
      <c r="DD84" s="798"/>
      <c r="DE84" s="798"/>
      <c r="DF84" s="798"/>
      <c r="DG84" s="798"/>
      <c r="DH84" s="798"/>
      <c r="DI84" s="798"/>
      <c r="DJ84" s="798"/>
      <c r="DK84" s="798"/>
      <c r="DL84" s="798"/>
      <c r="DM84" s="798"/>
      <c r="DN84" s="798"/>
      <c r="DO84" s="798"/>
      <c r="DP84" s="798"/>
      <c r="DQ84" s="798"/>
      <c r="DR84" s="798"/>
      <c r="DS84" s="798"/>
      <c r="DT84" s="798"/>
      <c r="DU84" s="798"/>
      <c r="DV84" s="798"/>
      <c r="DW84" s="798"/>
      <c r="DX84" s="798"/>
      <c r="DY84" s="798"/>
      <c r="DZ84" s="798"/>
      <c r="EA84" s="798"/>
      <c r="EB84" s="798"/>
      <c r="EC84" s="798"/>
      <c r="ED84" s="798"/>
      <c r="EE84" s="798"/>
      <c r="EF84" s="798"/>
      <c r="EG84" s="798"/>
      <c r="EH84" s="798"/>
      <c r="EI84" s="798"/>
      <c r="EJ84" s="798"/>
      <c r="EK84" s="798"/>
      <c r="EL84" s="798"/>
      <c r="EM84" s="798"/>
      <c r="EN84" s="798"/>
      <c r="EO84" s="798"/>
      <c r="EP84" s="798"/>
      <c r="EQ84" s="798"/>
      <c r="ER84" s="798"/>
      <c r="ES84" s="798"/>
      <c r="ET84" s="798"/>
      <c r="EU84" s="798"/>
      <c r="EV84" s="798"/>
      <c r="EW84" s="798"/>
      <c r="EX84" s="798"/>
      <c r="EY84" s="798"/>
      <c r="EZ84" s="798"/>
      <c r="FA84" s="798"/>
      <c r="FB84" s="798"/>
      <c r="FC84" s="798"/>
      <c r="FD84" s="798"/>
      <c r="FE84" s="798"/>
      <c r="FF84" s="798"/>
      <c r="FG84" s="798"/>
      <c r="FH84" s="798"/>
      <c r="FI84" s="798"/>
      <c r="FJ84" s="798"/>
      <c r="FK84" s="798"/>
      <c r="FL84" s="798"/>
      <c r="FM84" s="798"/>
      <c r="FN84" s="798"/>
      <c r="FO84" s="798"/>
      <c r="FP84" s="798"/>
      <c r="FQ84" s="798"/>
      <c r="FR84" s="798"/>
      <c r="FS84" s="798"/>
      <c r="FT84" s="798"/>
      <c r="FU84" s="798"/>
      <c r="FV84" s="798"/>
      <c r="FW84" s="798"/>
      <c r="FX84" s="798"/>
      <c r="FY84" s="798"/>
      <c r="FZ84" s="798"/>
      <c r="GA84" s="798"/>
      <c r="GB84" s="798"/>
      <c r="GC84" s="798"/>
      <c r="GD84" s="798"/>
      <c r="GE84" s="798"/>
      <c r="GF84" s="798"/>
      <c r="GG84" s="798"/>
      <c r="GH84" s="798"/>
      <c r="GI84" s="798"/>
      <c r="GJ84" s="798"/>
      <c r="GK84" s="798"/>
      <c r="GL84" s="798"/>
      <c r="GM84" s="798"/>
      <c r="GN84" s="798"/>
      <c r="GO84" s="798"/>
      <c r="GP84" s="798"/>
      <c r="GQ84" s="798"/>
      <c r="GR84" s="798"/>
      <c r="GS84" s="798"/>
      <c r="GT84" s="798"/>
      <c r="GU84" s="798"/>
      <c r="GV84" s="798"/>
      <c r="GW84" s="798"/>
      <c r="GX84" s="798"/>
      <c r="GY84" s="798"/>
      <c r="GZ84" s="798"/>
      <c r="HA84" s="798"/>
      <c r="HB84" s="798"/>
      <c r="HC84" s="798"/>
      <c r="HD84" s="798"/>
      <c r="HE84" s="798"/>
      <c r="HF84" s="798"/>
      <c r="HG84" s="798"/>
      <c r="HH84" s="798"/>
      <c r="HI84" s="798"/>
      <c r="HJ84" s="798"/>
      <c r="HK84" s="798"/>
      <c r="HL84" s="798"/>
      <c r="HM84" s="798"/>
      <c r="HN84" s="798"/>
      <c r="HO84" s="798"/>
      <c r="HP84" s="798"/>
      <c r="HQ84" s="798"/>
      <c r="HR84" s="798"/>
      <c r="HS84" s="798"/>
      <c r="HT84" s="798"/>
      <c r="HU84" s="798"/>
      <c r="HV84" s="798"/>
      <c r="HW84" s="798"/>
      <c r="HX84" s="798"/>
      <c r="HY84" s="798"/>
      <c r="HZ84" s="798"/>
      <c r="IA84" s="798"/>
      <c r="IB84" s="798"/>
      <c r="IC84" s="798"/>
      <c r="ID84" s="798"/>
      <c r="IE84" s="798"/>
      <c r="IF84" s="798"/>
      <c r="IG84" s="798"/>
      <c r="IH84" s="798"/>
      <c r="II84" s="798"/>
      <c r="IJ84" s="798"/>
      <c r="IK84" s="798"/>
      <c r="IL84" s="798"/>
      <c r="IM84" s="798"/>
      <c r="IN84" s="798"/>
      <c r="IO84" s="798"/>
      <c r="IP84" s="798"/>
      <c r="IQ84" s="798"/>
      <c r="IR84" s="798"/>
      <c r="IS84" s="798"/>
      <c r="IT84" s="798"/>
      <c r="IU84" s="798"/>
      <c r="IV84" s="798"/>
      <c r="IW84" s="798"/>
      <c r="IX84" s="798"/>
      <c r="IY84" s="798"/>
      <c r="IZ84" s="798"/>
      <c r="JA84" s="798"/>
      <c r="JB84" s="798"/>
      <c r="JC84" s="798"/>
      <c r="JD84" s="798"/>
      <c r="JE84" s="798"/>
      <c r="JF84" s="798"/>
      <c r="JG84" s="798"/>
      <c r="JH84" s="798"/>
      <c r="JI84" s="798"/>
      <c r="JJ84" s="798"/>
      <c r="JK84" s="798"/>
      <c r="JL84" s="798"/>
      <c r="JM84" s="798"/>
      <c r="JN84" s="798"/>
      <c r="JO84" s="798"/>
      <c r="JP84" s="798"/>
      <c r="JQ84" s="798"/>
      <c r="JR84" s="798"/>
      <c r="JS84" s="798"/>
      <c r="JT84" s="798"/>
      <c r="JU84" s="798"/>
      <c r="JV84" s="798"/>
      <c r="JW84" s="798"/>
      <c r="JX84" s="798"/>
      <c r="JY84" s="798"/>
      <c r="JZ84" s="798"/>
      <c r="KA84" s="798"/>
      <c r="KB84" s="798"/>
      <c r="KC84" s="798"/>
      <c r="KD84" s="798"/>
      <c r="KE84" s="798"/>
      <c r="KF84" s="798"/>
      <c r="KG84" s="798"/>
      <c r="KH84" s="798"/>
      <c r="KI84" s="798"/>
      <c r="KJ84" s="798"/>
      <c r="KK84" s="798"/>
      <c r="KL84" s="798"/>
      <c r="KM84" s="798"/>
      <c r="KN84" s="798"/>
      <c r="KO84" s="798"/>
      <c r="KP84" s="798"/>
      <c r="KQ84" s="798"/>
      <c r="KR84" s="798"/>
      <c r="KS84" s="798"/>
      <c r="KT84" s="798"/>
      <c r="KU84" s="798"/>
      <c r="KV84" s="798"/>
      <c r="KW84" s="798"/>
      <c r="KX84" s="798"/>
      <c r="KY84" s="798"/>
      <c r="KZ84" s="798"/>
      <c r="LA84" s="798"/>
      <c r="LB84" s="798"/>
      <c r="LC84" s="798"/>
      <c r="LD84" s="798"/>
      <c r="LE84" s="798"/>
      <c r="LF84" s="798"/>
      <c r="LG84" s="798"/>
      <c r="LH84" s="798"/>
      <c r="LI84" s="798"/>
      <c r="LJ84" s="798"/>
      <c r="LK84" s="798"/>
      <c r="LL84" s="798"/>
      <c r="LM84" s="798"/>
      <c r="LN84" s="798"/>
      <c r="LO84" s="798"/>
      <c r="LP84" s="798"/>
      <c r="LQ84" s="798"/>
      <c r="LR84" s="798"/>
      <c r="LS84" s="798"/>
      <c r="LT84" s="798"/>
      <c r="LU84" s="798"/>
      <c r="LV84" s="798"/>
      <c r="LW84" s="798"/>
      <c r="LX84" s="798"/>
      <c r="LY84" s="798"/>
      <c r="LZ84" s="798"/>
      <c r="MA84" s="798"/>
      <c r="MB84" s="798"/>
      <c r="MC84" s="798"/>
      <c r="MD84" s="798"/>
      <c r="ME84" s="798"/>
      <c r="MF84" s="798"/>
      <c r="MG84" s="798"/>
      <c r="MH84" s="798"/>
      <c r="MI84" s="798"/>
      <c r="MJ84" s="798"/>
      <c r="MK84" s="798"/>
      <c r="ML84" s="798"/>
      <c r="MM84" s="798"/>
      <c r="MN84" s="798"/>
      <c r="MO84" s="798"/>
      <c r="MP84" s="798"/>
      <c r="MQ84" s="798"/>
      <c r="MR84" s="798"/>
      <c r="MS84" s="798"/>
      <c r="MT84" s="798"/>
      <c r="MU84" s="798"/>
      <c r="MV84" s="798"/>
      <c r="MW84" s="798"/>
      <c r="MX84" s="798"/>
      <c r="MY84" s="798"/>
      <c r="MZ84" s="798"/>
      <c r="NA84" s="798"/>
      <c r="NB84" s="798"/>
      <c r="NC84" s="798"/>
      <c r="ND84" s="798"/>
      <c r="NE84" s="798"/>
      <c r="NF84" s="798"/>
      <c r="NG84" s="798"/>
      <c r="NH84" s="798"/>
      <c r="NI84" s="798"/>
      <c r="NJ84" s="798"/>
      <c r="NK84" s="798"/>
      <c r="NL84" s="798"/>
      <c r="NM84" s="798"/>
      <c r="NN84" s="798"/>
      <c r="NO84" s="798"/>
      <c r="NP84" s="798"/>
      <c r="NQ84" s="798"/>
      <c r="NR84" s="798"/>
      <c r="NS84" s="798"/>
      <c r="NT84" s="798"/>
      <c r="NU84" s="798"/>
      <c r="NV84" s="798"/>
      <c r="NW84" s="798"/>
      <c r="NX84" s="798"/>
      <c r="NY84" s="798"/>
      <c r="NZ84" s="798"/>
      <c r="OA84" s="798"/>
      <c r="OB84" s="798"/>
      <c r="OC84" s="798"/>
      <c r="OD84" s="798"/>
      <c r="OE84" s="798"/>
      <c r="OF84" s="798"/>
      <c r="OG84" s="798"/>
      <c r="OH84" s="798"/>
      <c r="OI84" s="798"/>
      <c r="OJ84" s="798"/>
      <c r="OK84" s="798"/>
      <c r="OL84" s="798"/>
      <c r="OM84" s="798"/>
      <c r="ON84" s="798"/>
      <c r="OO84" s="798"/>
      <c r="OP84" s="798"/>
      <c r="OQ84" s="798"/>
      <c r="OR84" s="798"/>
      <c r="OS84" s="798"/>
      <c r="OT84" s="798"/>
      <c r="OU84" s="798"/>
      <c r="OV84" s="798"/>
      <c r="OW84" s="798"/>
      <c r="OX84" s="798"/>
      <c r="OY84" s="798"/>
      <c r="OZ84" s="798"/>
      <c r="PA84" s="798"/>
      <c r="PB84" s="798"/>
      <c r="PC84" s="798"/>
      <c r="PD84" s="798"/>
      <c r="PE84" s="798"/>
      <c r="PF84" s="798"/>
      <c r="PG84" s="798"/>
      <c r="PH84" s="798"/>
      <c r="PI84" s="798"/>
      <c r="PJ84" s="798"/>
      <c r="PK84" s="798"/>
      <c r="PL84" s="798"/>
      <c r="PM84" s="798"/>
      <c r="PN84" s="798"/>
      <c r="PO84" s="798"/>
      <c r="PP84" s="798"/>
      <c r="PQ84" s="798"/>
      <c r="PR84" s="798"/>
      <c r="PS84" s="798"/>
      <c r="PT84" s="798"/>
      <c r="PU84" s="798"/>
      <c r="PV84" s="798"/>
      <c r="PW84" s="798"/>
      <c r="PX84" s="798"/>
      <c r="PY84" s="798"/>
      <c r="PZ84" s="798"/>
      <c r="QA84" s="798"/>
      <c r="QB84" s="798"/>
      <c r="QC84" s="798"/>
      <c r="QD84" s="798"/>
      <c r="QE84" s="798"/>
      <c r="QF84" s="798"/>
      <c r="QG84" s="798"/>
      <c r="QH84" s="798"/>
      <c r="QI84" s="798"/>
      <c r="QJ84" s="798"/>
      <c r="QK84" s="798"/>
      <c r="QL84" s="798"/>
      <c r="QM84" s="798"/>
      <c r="QN84" s="798"/>
      <c r="QO84" s="798"/>
      <c r="QP84" s="798"/>
      <c r="QQ84" s="798"/>
      <c r="QR84" s="798"/>
      <c r="QS84" s="798"/>
      <c r="QT84" s="798"/>
      <c r="QU84" s="798"/>
      <c r="QV84" s="798"/>
      <c r="QW84" s="798"/>
      <c r="QX84" s="798"/>
      <c r="QY84" s="798"/>
      <c r="QZ84" s="798"/>
      <c r="RA84" s="798"/>
      <c r="RB84" s="798"/>
      <c r="RC84" s="798"/>
      <c r="RD84" s="798"/>
      <c r="RE84" s="798"/>
      <c r="RF84" s="798"/>
      <c r="RG84" s="798"/>
      <c r="RH84" s="798"/>
      <c r="RI84" s="798"/>
      <c r="RJ84" s="798"/>
      <c r="RK84" s="798"/>
      <c r="RL84" s="798"/>
      <c r="RM84" s="798"/>
      <c r="RN84" s="798"/>
      <c r="RO84" s="798"/>
      <c r="RP84" s="798"/>
      <c r="RQ84" s="798"/>
      <c r="RR84" s="798"/>
      <c r="RS84" s="798"/>
      <c r="RT84" s="798"/>
      <c r="RU84" s="798"/>
      <c r="RV84" s="798"/>
      <c r="RW84" s="798"/>
      <c r="RX84" s="798"/>
      <c r="RY84" s="798"/>
      <c r="RZ84" s="798"/>
      <c r="SA84" s="798"/>
      <c r="SB84" s="798"/>
      <c r="SC84" s="798"/>
      <c r="SD84" s="798"/>
      <c r="SE84" s="798"/>
      <c r="SF84" s="798"/>
      <c r="SG84" s="798"/>
      <c r="SH84" s="798"/>
      <c r="SI84" s="798"/>
      <c r="SJ84" s="798"/>
      <c r="SK84" s="798"/>
      <c r="SL84" s="798"/>
      <c r="SM84" s="798"/>
      <c r="SN84" s="798"/>
      <c r="SO84" s="798"/>
      <c r="SP84" s="798"/>
      <c r="SQ84" s="798"/>
      <c r="SR84" s="798"/>
      <c r="SS84" s="798"/>
      <c r="ST84" s="798"/>
      <c r="SU84" s="798"/>
      <c r="SV84" s="798"/>
      <c r="SW84" s="798"/>
      <c r="SX84" s="798"/>
      <c r="SY84" s="798"/>
      <c r="SZ84" s="798"/>
      <c r="TA84" s="798"/>
      <c r="TB84" s="798"/>
      <c r="TC84" s="798"/>
      <c r="TD84" s="798"/>
      <c r="TE84" s="798"/>
      <c r="TF84" s="798"/>
      <c r="TG84" s="798"/>
      <c r="TH84" s="798"/>
      <c r="TI84" s="798"/>
      <c r="TJ84" s="798"/>
      <c r="TK84" s="798"/>
      <c r="TL84" s="798"/>
      <c r="TM84" s="798"/>
      <c r="TN84" s="798"/>
      <c r="TO84" s="798"/>
      <c r="TP84" s="798"/>
      <c r="TQ84" s="798"/>
      <c r="TR84" s="798"/>
      <c r="TS84" s="798"/>
      <c r="TT84" s="798"/>
      <c r="TU84" s="798"/>
      <c r="TV84" s="798"/>
      <c r="TW84" s="798"/>
      <c r="TX84" s="798"/>
      <c r="TY84" s="798"/>
      <c r="TZ84" s="798"/>
      <c r="UA84" s="798"/>
      <c r="UB84" s="798"/>
      <c r="UC84" s="798"/>
      <c r="UD84" s="798"/>
      <c r="UE84" s="798"/>
      <c r="UF84" s="798"/>
      <c r="UG84" s="798"/>
      <c r="UH84" s="798"/>
      <c r="UI84" s="798"/>
      <c r="UJ84" s="798"/>
      <c r="UK84" s="798"/>
      <c r="UL84" s="798"/>
      <c r="UM84" s="798"/>
      <c r="UN84" s="798"/>
      <c r="UO84" s="798"/>
      <c r="UP84" s="798"/>
      <c r="UQ84" s="798"/>
      <c r="UR84" s="798"/>
      <c r="US84" s="798"/>
      <c r="UT84" s="798"/>
      <c r="UU84" s="798"/>
      <c r="UV84" s="798"/>
      <c r="UW84" s="798"/>
      <c r="UX84" s="798"/>
      <c r="UY84" s="798"/>
      <c r="UZ84" s="798"/>
      <c r="VA84" s="798"/>
      <c r="VB84" s="798"/>
      <c r="VC84" s="798"/>
      <c r="VD84" s="798"/>
      <c r="VE84" s="798"/>
      <c r="VF84" s="798"/>
      <c r="VG84" s="798"/>
      <c r="VH84" s="798"/>
      <c r="VI84" s="798"/>
      <c r="VJ84" s="798"/>
      <c r="VK84" s="798"/>
      <c r="VL84" s="798"/>
      <c r="VM84" s="798"/>
      <c r="VN84" s="798"/>
      <c r="VO84" s="798"/>
      <c r="VP84" s="798"/>
      <c r="VQ84" s="798"/>
      <c r="VR84" s="798"/>
      <c r="VS84" s="798"/>
      <c r="VT84" s="798"/>
      <c r="VU84" s="798"/>
      <c r="VV84" s="798"/>
      <c r="VW84" s="798"/>
      <c r="VX84" s="798"/>
      <c r="VY84" s="798"/>
      <c r="VZ84" s="798"/>
      <c r="WA84" s="798"/>
      <c r="WB84" s="798"/>
      <c r="WC84" s="798"/>
      <c r="WD84" s="798"/>
      <c r="WE84" s="798"/>
      <c r="WF84" s="798"/>
      <c r="WG84" s="798"/>
      <c r="WH84" s="798"/>
      <c r="WI84" s="798"/>
      <c r="WJ84" s="798"/>
      <c r="WK84" s="798"/>
      <c r="WL84" s="798"/>
      <c r="WM84" s="798"/>
      <c r="WN84" s="798"/>
      <c r="WO84" s="798"/>
      <c r="WP84" s="798"/>
      <c r="WQ84" s="798"/>
      <c r="WR84" s="798"/>
      <c r="WS84" s="798"/>
      <c r="WT84" s="798"/>
      <c r="WU84" s="798"/>
      <c r="WV84" s="798"/>
      <c r="WW84" s="798"/>
      <c r="WX84" s="798"/>
      <c r="WY84" s="798"/>
      <c r="WZ84" s="798"/>
      <c r="XA84" s="798"/>
      <c r="XB84" s="798"/>
      <c r="XC84" s="798"/>
      <c r="XD84" s="798"/>
      <c r="XE84" s="798"/>
      <c r="XF84" s="798"/>
      <c r="XG84" s="798"/>
      <c r="XH84" s="798"/>
      <c r="XI84" s="798"/>
      <c r="XJ84" s="798"/>
      <c r="XK84" s="798"/>
      <c r="XL84" s="798"/>
      <c r="XM84" s="798"/>
      <c r="XN84" s="798"/>
      <c r="XO84" s="798"/>
      <c r="XP84" s="798"/>
      <c r="XQ84" s="798"/>
      <c r="XR84" s="798"/>
      <c r="XS84" s="798"/>
      <c r="XT84" s="798"/>
      <c r="XU84" s="798"/>
      <c r="XV84" s="798"/>
      <c r="XW84" s="798"/>
      <c r="XX84" s="798"/>
      <c r="XY84" s="798"/>
      <c r="XZ84" s="798"/>
      <c r="YA84" s="798"/>
      <c r="YB84" s="798"/>
      <c r="YC84" s="798"/>
      <c r="YD84" s="798"/>
      <c r="YE84" s="798"/>
      <c r="YF84" s="798"/>
      <c r="YG84" s="798"/>
      <c r="YH84" s="798"/>
      <c r="YI84" s="798"/>
      <c r="YJ84" s="798"/>
      <c r="YK84" s="798"/>
      <c r="YL84" s="798"/>
      <c r="YM84" s="798"/>
      <c r="YN84" s="798"/>
      <c r="YO84" s="798"/>
      <c r="YP84" s="798"/>
      <c r="YQ84" s="798"/>
      <c r="YR84" s="798"/>
      <c r="YS84" s="798"/>
      <c r="YT84" s="798"/>
      <c r="YU84" s="798"/>
      <c r="YV84" s="798"/>
      <c r="YW84" s="798"/>
      <c r="YX84" s="798"/>
      <c r="YY84" s="798"/>
      <c r="YZ84" s="798"/>
      <c r="ZA84" s="798"/>
      <c r="ZB84" s="798"/>
      <c r="ZC84" s="798"/>
      <c r="ZD84" s="798"/>
      <c r="ZE84" s="798"/>
      <c r="ZF84" s="798"/>
      <c r="ZG84" s="798"/>
      <c r="ZH84" s="798"/>
      <c r="ZI84" s="798"/>
      <c r="ZJ84" s="798"/>
      <c r="ZK84" s="798"/>
      <c r="ZL84" s="798"/>
      <c r="ZM84" s="798"/>
      <c r="ZN84" s="798"/>
      <c r="ZO84" s="798"/>
      <c r="ZP84" s="798"/>
      <c r="ZQ84" s="798"/>
      <c r="ZR84" s="798"/>
      <c r="ZS84" s="798"/>
      <c r="ZT84" s="798"/>
      <c r="ZU84" s="798"/>
      <c r="ZV84" s="798"/>
      <c r="ZW84" s="798"/>
      <c r="ZX84" s="798"/>
      <c r="ZY84" s="798"/>
      <c r="ZZ84" s="798"/>
      <c r="AAA84" s="798"/>
      <c r="AAB84" s="798"/>
      <c r="AAC84" s="798"/>
      <c r="AAD84" s="798"/>
      <c r="AAE84" s="798"/>
      <c r="AAF84" s="798"/>
      <c r="AAG84" s="798"/>
      <c r="AAH84" s="798"/>
      <c r="AAI84" s="798"/>
      <c r="AAJ84" s="798"/>
      <c r="AAK84" s="798"/>
      <c r="AAL84" s="798"/>
      <c r="AAM84" s="798"/>
      <c r="AAN84" s="798"/>
      <c r="AAO84" s="798"/>
      <c r="AAP84" s="798"/>
      <c r="AAQ84" s="798"/>
      <c r="AAR84" s="798"/>
      <c r="AAS84" s="798"/>
      <c r="AAT84" s="798"/>
      <c r="AAU84" s="798"/>
      <c r="AAV84" s="798"/>
      <c r="AAW84" s="798"/>
      <c r="AAX84" s="798"/>
      <c r="AAY84" s="798"/>
      <c r="AAZ84" s="798"/>
      <c r="ABA84" s="798"/>
      <c r="ABB84" s="798"/>
      <c r="ABC84" s="798"/>
      <c r="ABD84" s="798"/>
      <c r="ABE84" s="798"/>
      <c r="ABF84" s="798"/>
      <c r="ABG84" s="798"/>
      <c r="ABH84" s="798"/>
      <c r="ABI84" s="798"/>
      <c r="ABJ84" s="798"/>
      <c r="ABK84" s="798"/>
      <c r="ABL84" s="798"/>
      <c r="ABM84" s="798"/>
      <c r="ABN84" s="798"/>
      <c r="ABO84" s="798"/>
      <c r="ABP84" s="798"/>
      <c r="ABQ84" s="798"/>
      <c r="ABR84" s="798"/>
      <c r="ABS84" s="798"/>
      <c r="ABT84" s="798"/>
      <c r="ABU84" s="798"/>
      <c r="ABV84" s="798"/>
      <c r="ABW84" s="798"/>
      <c r="ABX84" s="798"/>
      <c r="ABY84" s="798"/>
      <c r="ABZ84" s="798"/>
      <c r="ACA84" s="798"/>
      <c r="ACB84" s="798"/>
      <c r="ACC84" s="798"/>
      <c r="ACD84" s="798"/>
      <c r="ACE84" s="798"/>
      <c r="ACF84" s="798"/>
      <c r="ACG84" s="798"/>
      <c r="ACH84" s="798"/>
      <c r="ACI84" s="798"/>
      <c r="ACJ84" s="798"/>
      <c r="ACK84" s="798"/>
      <c r="ACL84" s="798"/>
      <c r="ACM84" s="798"/>
      <c r="ACN84" s="798"/>
      <c r="ACO84" s="798"/>
      <c r="ACP84" s="798"/>
      <c r="ACQ84" s="798"/>
      <c r="ACR84" s="798"/>
      <c r="ACS84" s="798"/>
      <c r="ACT84" s="798"/>
      <c r="ACU84" s="798"/>
      <c r="ACV84" s="798"/>
      <c r="ACW84" s="798"/>
      <c r="ACX84" s="798"/>
      <c r="ACY84" s="798"/>
      <c r="ACZ84" s="798"/>
      <c r="ADA84" s="798"/>
      <c r="ADB84" s="798"/>
      <c r="ADC84" s="798"/>
      <c r="ADD84" s="798"/>
      <c r="ADE84" s="798"/>
      <c r="ADF84" s="798"/>
      <c r="ADG84" s="798"/>
      <c r="ADH84" s="798"/>
      <c r="ADI84" s="798"/>
      <c r="ADJ84" s="798"/>
      <c r="ADK84" s="798"/>
      <c r="ADL84" s="798"/>
      <c r="ADM84" s="798"/>
      <c r="ADN84" s="798"/>
      <c r="ADO84" s="798"/>
      <c r="ADP84" s="798"/>
      <c r="ADQ84" s="798"/>
      <c r="ADR84" s="798"/>
      <c r="ADS84" s="798"/>
      <c r="ADT84" s="798"/>
      <c r="ADU84" s="798"/>
      <c r="ADV84" s="798"/>
      <c r="ADW84" s="798"/>
      <c r="ADX84" s="798"/>
      <c r="ADY84" s="798"/>
      <c r="ADZ84" s="798"/>
      <c r="AEA84" s="798"/>
      <c r="AEB84" s="798"/>
      <c r="AEC84" s="798"/>
      <c r="AED84" s="798"/>
      <c r="AEE84" s="798"/>
      <c r="AEF84" s="798"/>
      <c r="AEG84" s="798"/>
      <c r="AEH84" s="798"/>
      <c r="AEI84" s="798"/>
      <c r="AEJ84" s="798"/>
      <c r="AEK84" s="798"/>
      <c r="AEL84" s="798"/>
      <c r="AEM84" s="798"/>
      <c r="AEN84" s="798"/>
      <c r="AEO84" s="798"/>
      <c r="AEP84" s="798"/>
      <c r="AEQ84" s="798"/>
      <c r="AER84" s="798"/>
      <c r="AES84" s="798"/>
      <c r="AET84" s="798"/>
      <c r="AEU84" s="798"/>
      <c r="AEV84" s="798"/>
      <c r="AEW84" s="798"/>
      <c r="AEX84" s="798"/>
      <c r="AEY84" s="798"/>
      <c r="AEZ84" s="798"/>
      <c r="AFA84" s="798"/>
      <c r="AFB84" s="798"/>
      <c r="AFC84" s="798"/>
      <c r="AFD84" s="798"/>
      <c r="AFE84" s="798"/>
      <c r="AFF84" s="798"/>
      <c r="AFG84" s="798"/>
      <c r="AFH84" s="798"/>
      <c r="AFI84" s="798"/>
      <c r="AFJ84" s="798"/>
      <c r="AFK84" s="798"/>
      <c r="AFL84" s="798"/>
      <c r="AFM84" s="798"/>
      <c r="AFN84" s="798"/>
      <c r="AFO84" s="798"/>
      <c r="AFP84" s="798"/>
      <c r="AFQ84" s="798"/>
      <c r="AFR84" s="798"/>
      <c r="AFS84" s="798"/>
      <c r="AFT84" s="798"/>
      <c r="AFU84" s="798"/>
      <c r="AFV84" s="798"/>
      <c r="AFW84" s="798"/>
      <c r="AFX84" s="798"/>
      <c r="AFY84" s="798"/>
      <c r="AFZ84" s="798"/>
      <c r="AGA84" s="798"/>
      <c r="AGB84" s="798"/>
      <c r="AGC84" s="798"/>
      <c r="AGD84" s="798"/>
      <c r="AGE84" s="798"/>
      <c r="AGF84" s="798"/>
      <c r="AGG84" s="798"/>
      <c r="AGH84" s="798"/>
      <c r="AGI84" s="798"/>
      <c r="AGJ84" s="798"/>
      <c r="AGK84" s="798"/>
      <c r="AGL84" s="798"/>
      <c r="AGM84" s="798"/>
      <c r="AGN84" s="798"/>
      <c r="AGO84" s="798"/>
      <c r="AGP84" s="798"/>
      <c r="AGQ84" s="798"/>
      <c r="AGR84" s="798"/>
      <c r="AGS84" s="798"/>
      <c r="AGT84" s="798"/>
      <c r="AGU84" s="798"/>
      <c r="AGV84" s="798"/>
      <c r="AGW84" s="798"/>
      <c r="AGX84" s="798"/>
      <c r="AGY84" s="798"/>
      <c r="AGZ84" s="798"/>
      <c r="AHA84" s="798"/>
      <c r="AHB84" s="798"/>
      <c r="AHC84" s="798"/>
      <c r="AHD84" s="798"/>
      <c r="AHE84" s="798"/>
      <c r="AHF84" s="798"/>
      <c r="AHG84" s="798"/>
      <c r="AHH84" s="798"/>
      <c r="AHI84" s="798"/>
      <c r="AHJ84" s="798"/>
      <c r="AHK84" s="798"/>
      <c r="AHL84" s="798"/>
      <c r="AHM84" s="798"/>
      <c r="AHN84" s="798"/>
      <c r="AHO84" s="798"/>
      <c r="AHP84" s="798"/>
      <c r="AHQ84" s="798"/>
      <c r="AHR84" s="798"/>
      <c r="AHS84" s="798"/>
      <c r="AHT84" s="798"/>
      <c r="AHU84" s="798"/>
      <c r="AHV84" s="798"/>
      <c r="AHW84" s="798"/>
      <c r="AHX84" s="798"/>
      <c r="AHY84" s="798"/>
      <c r="AHZ84" s="798"/>
      <c r="AIA84" s="798"/>
      <c r="AIB84" s="798"/>
      <c r="AIC84" s="798"/>
      <c r="AID84" s="798"/>
      <c r="AIE84" s="798"/>
      <c r="AIF84" s="798"/>
      <c r="AIG84" s="798"/>
      <c r="AIH84" s="798"/>
      <c r="AII84" s="798"/>
      <c r="AIJ84" s="798"/>
      <c r="AIK84" s="798"/>
      <c r="AIL84" s="798"/>
      <c r="AIM84" s="798"/>
      <c r="AIN84" s="798"/>
      <c r="AIO84" s="798"/>
      <c r="AIP84" s="798"/>
      <c r="AIQ84" s="798"/>
      <c r="AIR84" s="798"/>
      <c r="AIS84" s="798"/>
      <c r="AIT84" s="798"/>
      <c r="AIU84" s="798"/>
      <c r="AIV84" s="798"/>
      <c r="AIW84" s="798"/>
      <c r="AIX84" s="798"/>
      <c r="AIY84" s="798"/>
      <c r="AIZ84" s="798"/>
      <c r="AJA84" s="798"/>
      <c r="AJB84" s="798"/>
      <c r="AJC84" s="798"/>
      <c r="AJD84" s="798"/>
      <c r="AJE84" s="798"/>
      <c r="AJF84" s="798"/>
      <c r="AJG84" s="798"/>
      <c r="AJH84" s="798"/>
      <c r="AJI84" s="798"/>
      <c r="AJJ84" s="798"/>
      <c r="AJK84" s="798"/>
      <c r="AJL84" s="798"/>
      <c r="AJM84" s="798"/>
      <c r="AJN84" s="798"/>
      <c r="AJO84" s="798"/>
      <c r="AJP84" s="798"/>
      <c r="AJQ84" s="798"/>
      <c r="AJR84" s="798"/>
      <c r="AJS84" s="798"/>
      <c r="AJT84" s="798"/>
      <c r="AJU84" s="798"/>
      <c r="AJV84" s="798"/>
      <c r="AJW84" s="798"/>
      <c r="AJX84" s="798"/>
      <c r="AJY84" s="798"/>
      <c r="AJZ84" s="798"/>
      <c r="AKA84" s="798"/>
      <c r="AKB84" s="798"/>
      <c r="AKC84" s="798"/>
      <c r="AKD84" s="798"/>
      <c r="AKE84" s="798"/>
      <c r="AKF84" s="798"/>
      <c r="AKG84" s="798"/>
      <c r="AKH84" s="798"/>
      <c r="AKI84" s="798"/>
      <c r="AKJ84" s="798"/>
      <c r="AKK84" s="798"/>
      <c r="AKL84" s="798"/>
      <c r="AKM84" s="798"/>
      <c r="AKN84" s="798"/>
      <c r="AKO84" s="798"/>
      <c r="AKP84" s="798"/>
      <c r="AKQ84" s="798"/>
      <c r="AKR84" s="798"/>
      <c r="AKS84" s="798"/>
      <c r="AKT84" s="798"/>
      <c r="AKU84" s="798"/>
      <c r="AKV84" s="798"/>
      <c r="AKW84" s="798"/>
      <c r="AKX84" s="798"/>
      <c r="AKY84" s="798"/>
      <c r="AKZ84" s="798"/>
      <c r="ALA84" s="798"/>
      <c r="ALB84" s="798"/>
      <c r="ALC84" s="798"/>
      <c r="ALD84" s="798"/>
      <c r="ALE84" s="798"/>
      <c r="ALF84" s="798"/>
      <c r="ALG84" s="798"/>
      <c r="ALH84" s="798"/>
      <c r="ALI84" s="798"/>
      <c r="ALJ84" s="798"/>
      <c r="ALK84" s="798"/>
      <c r="ALL84" s="798"/>
      <c r="ALM84" s="798"/>
      <c r="ALN84" s="798"/>
      <c r="ALO84" s="798"/>
      <c r="ALP84" s="798"/>
      <c r="ALQ84" s="798"/>
      <c r="ALR84" s="798"/>
      <c r="ALS84" s="798"/>
      <c r="ALT84" s="798"/>
      <c r="ALU84" s="798"/>
      <c r="ALV84" s="798"/>
      <c r="ALW84" s="798"/>
      <c r="ALX84" s="798"/>
      <c r="ALY84" s="798"/>
      <c r="ALZ84" s="798"/>
      <c r="AMA84" s="798"/>
      <c r="AMB84" s="798"/>
      <c r="AMC84" s="798"/>
      <c r="AMD84" s="798"/>
      <c r="AME84" s="798"/>
      <c r="AMF84" s="798"/>
      <c r="AMG84" s="798"/>
      <c r="AMH84" s="798"/>
      <c r="AMI84" s="798"/>
      <c r="AMJ84" s="798"/>
      <c r="AMK84" s="798"/>
      <c r="AML84" s="798"/>
      <c r="AMM84" s="798"/>
      <c r="AMN84" s="798"/>
      <c r="AMO84" s="798"/>
      <c r="AMP84" s="798"/>
      <c r="AMQ84" s="798"/>
      <c r="AMR84" s="798"/>
      <c r="AMS84" s="798"/>
      <c r="AMT84" s="798"/>
      <c r="AMU84" s="798"/>
      <c r="AMV84" s="798"/>
      <c r="AMW84" s="798"/>
      <c r="AMX84" s="798"/>
      <c r="AMY84" s="798"/>
      <c r="AMZ84" s="798"/>
      <c r="ANA84" s="798"/>
      <c r="ANB84" s="798"/>
      <c r="ANC84" s="798"/>
      <c r="AND84" s="798"/>
      <c r="ANE84" s="798"/>
      <c r="ANF84" s="798"/>
      <c r="ANG84" s="798"/>
      <c r="ANH84" s="798"/>
      <c r="ANI84" s="798"/>
      <c r="ANJ84" s="798"/>
      <c r="ANK84" s="798"/>
      <c r="ANL84" s="798"/>
      <c r="ANM84" s="798"/>
      <c r="ANN84" s="798"/>
      <c r="ANO84" s="798"/>
      <c r="ANP84" s="798"/>
      <c r="ANQ84" s="798"/>
      <c r="ANR84" s="798"/>
      <c r="ANS84" s="798"/>
      <c r="ANT84" s="798"/>
      <c r="ANU84" s="798"/>
      <c r="ANV84" s="798"/>
      <c r="ANW84" s="798"/>
      <c r="ANX84" s="798"/>
      <c r="ANY84" s="798"/>
      <c r="ANZ84" s="798"/>
      <c r="AOA84" s="798"/>
      <c r="AOB84" s="798"/>
      <c r="AOC84" s="798"/>
      <c r="AOD84" s="798"/>
      <c r="AOE84" s="798"/>
      <c r="AOF84" s="798"/>
      <c r="AOG84" s="798"/>
      <c r="AOH84" s="798"/>
      <c r="AOI84" s="798"/>
      <c r="AOJ84" s="798"/>
      <c r="AOK84" s="798"/>
      <c r="AOL84" s="798"/>
      <c r="AOM84" s="798"/>
      <c r="AON84" s="798"/>
      <c r="AOO84" s="798"/>
      <c r="AOP84" s="798"/>
      <c r="AOQ84" s="798"/>
      <c r="AOR84" s="798"/>
      <c r="AOS84" s="798"/>
      <c r="AOT84" s="798"/>
      <c r="AOU84" s="798"/>
      <c r="AOV84" s="798"/>
      <c r="AOW84" s="798"/>
      <c r="AOX84" s="798"/>
      <c r="AOY84" s="798"/>
      <c r="AOZ84" s="798"/>
      <c r="APA84" s="798"/>
      <c r="APB84" s="798"/>
      <c r="APC84" s="798"/>
      <c r="APD84" s="798"/>
      <c r="APE84" s="798"/>
      <c r="APF84" s="798"/>
      <c r="APG84" s="798"/>
      <c r="APH84" s="798"/>
      <c r="API84" s="798"/>
      <c r="APJ84" s="798"/>
      <c r="APK84" s="798"/>
      <c r="APL84" s="798"/>
      <c r="APM84" s="798"/>
      <c r="APN84" s="798"/>
      <c r="APO84" s="798"/>
      <c r="APP84" s="798"/>
      <c r="APQ84" s="798"/>
      <c r="APR84" s="798"/>
      <c r="APS84" s="798"/>
      <c r="APT84" s="798"/>
      <c r="APU84" s="798"/>
      <c r="APV84" s="798"/>
      <c r="APW84" s="798"/>
      <c r="APX84" s="798"/>
      <c r="APY84" s="798"/>
      <c r="APZ84" s="798"/>
      <c r="AQA84" s="798"/>
      <c r="AQB84" s="798"/>
      <c r="AQC84" s="798"/>
      <c r="AQD84" s="798"/>
      <c r="AQE84" s="798"/>
      <c r="AQF84" s="798"/>
      <c r="AQG84" s="798"/>
      <c r="AQH84" s="798"/>
      <c r="AQI84" s="798"/>
      <c r="AQJ84" s="798"/>
      <c r="AQK84" s="798"/>
      <c r="AQL84" s="798"/>
      <c r="AQM84" s="798"/>
      <c r="AQN84" s="798"/>
      <c r="AQO84" s="798"/>
      <c r="AQP84" s="798"/>
      <c r="AQQ84" s="798"/>
      <c r="AQR84" s="798"/>
      <c r="AQS84" s="798"/>
      <c r="AQT84" s="798"/>
      <c r="AQU84" s="798"/>
      <c r="AQV84" s="798"/>
      <c r="AQW84" s="798"/>
      <c r="AQX84" s="798"/>
      <c r="AQY84" s="798"/>
      <c r="AQZ84" s="798"/>
      <c r="ARA84" s="798"/>
      <c r="ARB84" s="798"/>
      <c r="ARC84" s="798"/>
      <c r="ARD84" s="798"/>
      <c r="ARE84" s="798"/>
      <c r="ARF84" s="798"/>
      <c r="ARG84" s="798"/>
      <c r="ARH84" s="798"/>
      <c r="ARI84" s="798"/>
      <c r="ARJ84" s="798"/>
      <c r="ARK84" s="798"/>
      <c r="ARL84" s="798"/>
      <c r="ARM84" s="798"/>
      <c r="ARN84" s="798"/>
      <c r="ARO84" s="798"/>
      <c r="ARP84" s="798"/>
      <c r="ARQ84" s="798"/>
      <c r="ARR84" s="798"/>
      <c r="ARS84" s="798"/>
      <c r="ART84" s="798"/>
      <c r="ARU84" s="798"/>
      <c r="ARV84" s="798"/>
      <c r="ARW84" s="798"/>
      <c r="ARX84" s="798"/>
      <c r="ARY84" s="798"/>
      <c r="ARZ84" s="798"/>
      <c r="ASA84" s="798"/>
      <c r="ASB84" s="798"/>
      <c r="ASC84" s="798"/>
      <c r="ASD84" s="798"/>
      <c r="ASE84" s="798"/>
      <c r="ASF84" s="798"/>
      <c r="ASG84" s="798"/>
      <c r="ASH84" s="798"/>
      <c r="ASI84" s="798"/>
      <c r="ASJ84" s="798"/>
      <c r="ASK84" s="798"/>
      <c r="ASL84" s="798"/>
      <c r="ASM84" s="798"/>
      <c r="ASN84" s="798"/>
      <c r="ASO84" s="798"/>
      <c r="ASP84" s="798"/>
      <c r="ASQ84" s="798"/>
      <c r="ASR84" s="798"/>
      <c r="ASS84" s="798"/>
      <c r="AST84" s="798"/>
      <c r="ASU84" s="798"/>
      <c r="ASV84" s="798"/>
      <c r="ASW84" s="798"/>
      <c r="ASX84" s="798"/>
      <c r="ASY84" s="798"/>
      <c r="ASZ84" s="798"/>
      <c r="ATA84" s="798"/>
      <c r="ATB84" s="798"/>
      <c r="ATC84" s="798"/>
      <c r="ATD84" s="798"/>
      <c r="ATE84" s="798"/>
      <c r="ATF84" s="798"/>
      <c r="ATG84" s="798"/>
      <c r="ATH84" s="798"/>
      <c r="ATI84" s="798"/>
      <c r="ATJ84" s="798"/>
      <c r="ATK84" s="798"/>
      <c r="ATL84" s="798"/>
      <c r="ATM84" s="798"/>
      <c r="ATN84" s="798"/>
      <c r="ATO84" s="798"/>
      <c r="ATP84" s="798"/>
      <c r="ATQ84" s="798"/>
      <c r="ATR84" s="798"/>
      <c r="ATS84" s="798"/>
      <c r="ATT84" s="798"/>
      <c r="ATU84" s="798"/>
      <c r="ATV84" s="798"/>
      <c r="ATW84" s="798"/>
      <c r="ATX84" s="798"/>
      <c r="ATY84" s="798"/>
      <c r="ATZ84" s="798"/>
      <c r="AUA84" s="798"/>
      <c r="AUB84" s="798"/>
      <c r="AUC84" s="798"/>
      <c r="AUD84" s="798"/>
      <c r="AUE84" s="798"/>
      <c r="AUF84" s="798"/>
      <c r="AUG84" s="798"/>
      <c r="AUH84" s="798"/>
      <c r="AUI84" s="798"/>
      <c r="AUJ84" s="798"/>
      <c r="AUK84" s="798"/>
      <c r="AUL84" s="798"/>
      <c r="AUM84" s="798"/>
      <c r="AUN84" s="798"/>
      <c r="AUO84" s="798"/>
      <c r="AUP84" s="798"/>
      <c r="AUQ84" s="798"/>
      <c r="AUR84" s="798"/>
      <c r="AUS84" s="798"/>
      <c r="AUT84" s="798"/>
      <c r="AUU84" s="798"/>
      <c r="AUV84" s="798"/>
      <c r="AUW84" s="798"/>
      <c r="AUX84" s="798"/>
      <c r="AUY84" s="798"/>
      <c r="AUZ84" s="798"/>
      <c r="AVA84" s="798"/>
      <c r="AVB84" s="798"/>
      <c r="AVC84" s="798"/>
      <c r="AVD84" s="798"/>
      <c r="AVE84" s="798"/>
      <c r="AVF84" s="798"/>
      <c r="AVG84" s="798"/>
      <c r="AVH84" s="798"/>
      <c r="AVI84" s="798"/>
      <c r="AVJ84" s="798"/>
      <c r="AVK84" s="798"/>
      <c r="AVL84" s="798"/>
      <c r="AVM84" s="798"/>
      <c r="AVN84" s="798"/>
      <c r="AVO84" s="798"/>
      <c r="AVP84" s="798"/>
      <c r="AVQ84" s="798"/>
      <c r="AVR84" s="798"/>
      <c r="AVS84" s="798"/>
      <c r="AVT84" s="798"/>
      <c r="AVU84" s="798"/>
      <c r="AVV84" s="798"/>
      <c r="AVW84" s="798"/>
      <c r="AVX84" s="798"/>
      <c r="AVY84" s="798"/>
      <c r="AVZ84" s="798"/>
      <c r="AWA84" s="798"/>
      <c r="AWB84" s="798"/>
      <c r="AWC84" s="798"/>
      <c r="AWD84" s="798"/>
      <c r="AWE84" s="798"/>
      <c r="AWF84" s="798"/>
      <c r="AWG84" s="798"/>
      <c r="AWH84" s="798"/>
      <c r="AWI84" s="798"/>
      <c r="AWJ84" s="798"/>
      <c r="AWK84" s="798"/>
      <c r="AWL84" s="798"/>
      <c r="AWM84" s="798"/>
      <c r="AWN84" s="798"/>
      <c r="AWO84" s="798"/>
      <c r="AWP84" s="798"/>
      <c r="AWQ84" s="798"/>
      <c r="AWR84" s="798"/>
      <c r="AWS84" s="798"/>
      <c r="AWT84" s="798"/>
      <c r="AWU84" s="798"/>
      <c r="AWV84" s="798"/>
      <c r="AWW84" s="798"/>
      <c r="AWX84" s="798"/>
      <c r="AWY84" s="798"/>
      <c r="AWZ84" s="798"/>
      <c r="AXA84" s="798"/>
      <c r="AXB84" s="798"/>
      <c r="AXC84" s="798"/>
      <c r="AXD84" s="798"/>
      <c r="AXE84" s="798"/>
      <c r="AXF84" s="798"/>
      <c r="AXG84" s="798"/>
      <c r="AXH84" s="798"/>
      <c r="AXI84" s="798"/>
      <c r="AXJ84" s="798"/>
      <c r="AXK84" s="798"/>
      <c r="AXL84" s="798"/>
      <c r="AXM84" s="798"/>
      <c r="AXN84" s="798"/>
      <c r="AXO84" s="798"/>
      <c r="AXP84" s="798"/>
      <c r="AXQ84" s="798"/>
      <c r="AXR84" s="798"/>
      <c r="AXS84" s="798"/>
      <c r="AXT84" s="798"/>
      <c r="AXU84" s="798"/>
      <c r="AXV84" s="798"/>
      <c r="AXW84" s="798"/>
      <c r="AXX84" s="798"/>
      <c r="AXY84" s="798"/>
      <c r="AXZ84" s="798"/>
      <c r="AYA84" s="798"/>
      <c r="AYB84" s="798"/>
      <c r="AYC84" s="798"/>
      <c r="AYD84" s="798"/>
      <c r="AYE84" s="798"/>
      <c r="AYF84" s="798"/>
      <c r="AYG84" s="798"/>
      <c r="AYH84" s="798"/>
      <c r="AYI84" s="798"/>
      <c r="AYJ84" s="798"/>
      <c r="AYK84" s="798"/>
      <c r="AYL84" s="798"/>
      <c r="AYM84" s="798"/>
      <c r="AYN84" s="798"/>
      <c r="AYO84" s="798"/>
      <c r="AYP84" s="798"/>
      <c r="AYQ84" s="798"/>
      <c r="AYR84" s="798"/>
      <c r="AYS84" s="798"/>
      <c r="AYT84" s="798"/>
      <c r="AYU84" s="798"/>
      <c r="AYV84" s="798"/>
      <c r="AYW84" s="798"/>
      <c r="AYX84" s="798"/>
      <c r="AYY84" s="798"/>
      <c r="AYZ84" s="798"/>
      <c r="AZA84" s="798"/>
      <c r="AZB84" s="798"/>
      <c r="AZC84" s="798"/>
      <c r="AZD84" s="798"/>
      <c r="AZE84" s="798"/>
      <c r="AZF84" s="798"/>
      <c r="AZG84" s="798"/>
      <c r="AZH84" s="798"/>
      <c r="AZI84" s="798"/>
      <c r="AZJ84" s="798"/>
      <c r="AZK84" s="798"/>
      <c r="AZL84" s="798"/>
      <c r="AZM84" s="798"/>
      <c r="AZN84" s="798"/>
      <c r="AZO84" s="798"/>
      <c r="AZP84" s="798"/>
      <c r="AZQ84" s="798"/>
      <c r="AZR84" s="798"/>
      <c r="AZS84" s="798"/>
      <c r="AZT84" s="798"/>
      <c r="AZU84" s="798"/>
      <c r="AZV84" s="798"/>
      <c r="AZW84" s="798"/>
      <c r="AZX84" s="798"/>
      <c r="AZY84" s="798"/>
      <c r="AZZ84" s="798"/>
      <c r="BAA84" s="798"/>
      <c r="BAB84" s="798"/>
      <c r="BAC84" s="798"/>
      <c r="BAD84" s="798"/>
      <c r="BAE84" s="798"/>
      <c r="BAF84" s="798"/>
      <c r="BAG84" s="798"/>
      <c r="BAH84" s="798"/>
      <c r="BAI84" s="798"/>
      <c r="BAJ84" s="798"/>
      <c r="BAK84" s="798"/>
      <c r="BAL84" s="798"/>
      <c r="BAM84" s="798"/>
      <c r="BAN84" s="798"/>
      <c r="BAO84" s="798"/>
      <c r="BAP84" s="798"/>
      <c r="BAQ84" s="798"/>
      <c r="BAR84" s="798"/>
      <c r="BAS84" s="798"/>
      <c r="BAT84" s="798"/>
      <c r="BAU84" s="798"/>
      <c r="BAV84" s="798"/>
      <c r="BAW84" s="798"/>
      <c r="BAX84" s="798"/>
      <c r="BAY84" s="798"/>
      <c r="BAZ84" s="798"/>
      <c r="BBA84" s="798"/>
      <c r="BBB84" s="798"/>
      <c r="BBC84" s="798"/>
      <c r="BBD84" s="798"/>
      <c r="BBE84" s="798"/>
      <c r="BBF84" s="798"/>
      <c r="BBG84" s="798"/>
      <c r="BBH84" s="798"/>
      <c r="BBI84" s="798"/>
      <c r="BBJ84" s="798"/>
      <c r="BBK84" s="798"/>
      <c r="BBL84" s="798"/>
      <c r="BBM84" s="798"/>
      <c r="BBN84" s="798"/>
      <c r="BBO84" s="798"/>
      <c r="BBP84" s="798"/>
      <c r="BBQ84" s="798"/>
      <c r="BBR84" s="798"/>
      <c r="BBS84" s="798"/>
      <c r="BBT84" s="798"/>
      <c r="BBU84" s="798"/>
      <c r="BBV84" s="798"/>
      <c r="BBW84" s="798"/>
      <c r="BBX84" s="798"/>
      <c r="BBY84" s="798"/>
      <c r="BBZ84" s="798"/>
      <c r="BCA84" s="798"/>
      <c r="BCB84" s="798"/>
      <c r="BCC84" s="798"/>
      <c r="BCD84" s="798"/>
      <c r="BCE84" s="798"/>
      <c r="BCF84" s="798"/>
      <c r="BCG84" s="798"/>
      <c r="BCH84" s="798"/>
      <c r="BCI84" s="798"/>
      <c r="BCJ84" s="798"/>
      <c r="BCK84" s="798"/>
      <c r="BCL84" s="798"/>
      <c r="BCM84" s="798"/>
      <c r="BCN84" s="798"/>
      <c r="BCO84" s="798"/>
      <c r="BCP84" s="798"/>
      <c r="BCQ84" s="798"/>
      <c r="BCR84" s="798"/>
      <c r="BCS84" s="798"/>
      <c r="BCT84" s="798"/>
      <c r="BCU84" s="798"/>
      <c r="BCV84" s="798"/>
      <c r="BCW84" s="798"/>
      <c r="BCX84" s="798"/>
      <c r="BCY84" s="798"/>
      <c r="BCZ84" s="798"/>
      <c r="BDA84" s="798"/>
      <c r="BDB84" s="798"/>
      <c r="BDC84" s="798"/>
      <c r="BDD84" s="798"/>
      <c r="BDE84" s="798"/>
      <c r="BDF84" s="798"/>
      <c r="BDG84" s="798"/>
      <c r="BDH84" s="798"/>
      <c r="BDI84" s="798"/>
      <c r="BDJ84" s="798"/>
      <c r="BDK84" s="798"/>
      <c r="BDL84" s="798"/>
      <c r="BDM84" s="798"/>
      <c r="BDN84" s="798"/>
      <c r="BDO84" s="798"/>
      <c r="BDP84" s="798"/>
      <c r="BDQ84" s="798"/>
      <c r="BDR84" s="798"/>
      <c r="BDS84" s="798"/>
      <c r="BDT84" s="798"/>
      <c r="BDU84" s="798"/>
      <c r="BDV84" s="798"/>
      <c r="BDW84" s="798"/>
      <c r="BDX84" s="798"/>
      <c r="BDY84" s="798"/>
      <c r="BDZ84" s="798"/>
      <c r="BEA84" s="798"/>
      <c r="BEB84" s="798"/>
      <c r="BEC84" s="798"/>
      <c r="BED84" s="798"/>
      <c r="BEE84" s="798"/>
      <c r="BEF84" s="798"/>
      <c r="BEG84" s="798"/>
      <c r="BEH84" s="798"/>
      <c r="BEI84" s="798"/>
      <c r="BEJ84" s="798"/>
      <c r="BEK84" s="798"/>
      <c r="BEL84" s="798"/>
      <c r="BEM84" s="798"/>
      <c r="BEN84" s="798"/>
      <c r="BEO84" s="798"/>
      <c r="BEP84" s="798"/>
      <c r="BEQ84" s="798"/>
      <c r="BER84" s="798"/>
      <c r="BES84" s="798"/>
      <c r="BET84" s="798"/>
      <c r="BEU84" s="798"/>
      <c r="BEV84" s="798"/>
      <c r="BEW84" s="798"/>
      <c r="BEX84" s="798"/>
      <c r="BEY84" s="798"/>
      <c r="BEZ84" s="798"/>
      <c r="BFA84" s="798"/>
      <c r="BFB84" s="798"/>
      <c r="BFC84" s="798"/>
      <c r="BFD84" s="798"/>
      <c r="BFE84" s="798"/>
      <c r="BFF84" s="798"/>
      <c r="BFG84" s="798"/>
      <c r="BFH84" s="798"/>
      <c r="BFI84" s="798"/>
      <c r="BFJ84" s="798"/>
      <c r="BFK84" s="798"/>
      <c r="BFL84" s="798"/>
      <c r="BFM84" s="798"/>
      <c r="BFN84" s="798"/>
      <c r="BFO84" s="798"/>
      <c r="BFP84" s="798"/>
      <c r="BFQ84" s="798"/>
      <c r="BFR84" s="798"/>
      <c r="BFS84" s="798"/>
      <c r="BFT84" s="798"/>
      <c r="BFU84" s="798"/>
      <c r="BFV84" s="798"/>
      <c r="BFW84" s="798"/>
      <c r="BFX84" s="798"/>
      <c r="BFY84" s="798"/>
      <c r="BFZ84" s="798"/>
      <c r="BGA84" s="798"/>
      <c r="BGB84" s="798"/>
      <c r="BGC84" s="798"/>
      <c r="BGD84" s="798"/>
      <c r="BGE84" s="798"/>
      <c r="BGF84" s="798"/>
      <c r="BGG84" s="798"/>
      <c r="BGH84" s="798"/>
      <c r="BGI84" s="798"/>
      <c r="BGJ84" s="798"/>
      <c r="BGK84" s="798"/>
      <c r="BGL84" s="798"/>
      <c r="BGM84" s="798"/>
      <c r="BGN84" s="798"/>
      <c r="BGO84" s="798"/>
      <c r="BGP84" s="798"/>
      <c r="BGQ84" s="798"/>
      <c r="BGR84" s="798"/>
      <c r="BGS84" s="798"/>
      <c r="BGT84" s="798"/>
      <c r="BGU84" s="798"/>
      <c r="BGV84" s="798"/>
      <c r="BGW84" s="798"/>
      <c r="BGX84" s="798"/>
      <c r="BGY84" s="798"/>
      <c r="BGZ84" s="798"/>
      <c r="BHA84" s="798"/>
      <c r="BHB84" s="798"/>
      <c r="BHC84" s="798"/>
      <c r="BHD84" s="798"/>
      <c r="BHE84" s="798"/>
      <c r="BHF84" s="798"/>
      <c r="BHG84" s="798"/>
      <c r="BHH84" s="798"/>
      <c r="BHI84" s="798"/>
      <c r="BHJ84" s="798"/>
      <c r="BHK84" s="798"/>
      <c r="BHL84" s="798"/>
      <c r="BHM84" s="798"/>
      <c r="BHN84" s="798"/>
      <c r="BHO84" s="798"/>
      <c r="BHP84" s="798"/>
      <c r="BHQ84" s="798"/>
      <c r="BHR84" s="798"/>
      <c r="BHS84" s="798"/>
      <c r="BHT84" s="798"/>
      <c r="BHU84" s="798"/>
      <c r="BHV84" s="798"/>
      <c r="BHW84" s="798"/>
      <c r="BHX84" s="798"/>
      <c r="BHY84" s="798"/>
      <c r="BHZ84" s="798"/>
      <c r="BIA84" s="798"/>
      <c r="BIB84" s="798"/>
      <c r="BIC84" s="798"/>
      <c r="BID84" s="798"/>
      <c r="BIE84" s="798"/>
      <c r="BIF84" s="798"/>
      <c r="BIG84" s="798"/>
      <c r="BIH84" s="798"/>
      <c r="BII84" s="798"/>
      <c r="BIJ84" s="798"/>
      <c r="BIK84" s="798"/>
      <c r="BIL84" s="798"/>
      <c r="BIM84" s="798"/>
      <c r="BIN84" s="798"/>
      <c r="BIO84" s="798"/>
      <c r="BIP84" s="798"/>
      <c r="BIQ84" s="798"/>
      <c r="BIR84" s="798"/>
      <c r="BIS84" s="798"/>
      <c r="BIT84" s="798"/>
      <c r="BIU84" s="798"/>
      <c r="BIV84" s="798"/>
      <c r="BIW84" s="798"/>
      <c r="BIX84" s="798"/>
      <c r="BIY84" s="798"/>
      <c r="BIZ84" s="798"/>
      <c r="BJA84" s="798"/>
      <c r="BJB84" s="798"/>
      <c r="BJC84" s="798"/>
      <c r="BJD84" s="798"/>
      <c r="BJE84" s="798"/>
      <c r="BJF84" s="798"/>
      <c r="BJG84" s="798"/>
      <c r="BJH84" s="798"/>
      <c r="BJI84" s="798"/>
      <c r="BJJ84" s="798"/>
      <c r="BJK84" s="798"/>
      <c r="BJL84" s="798"/>
      <c r="BJM84" s="798"/>
      <c r="BJN84" s="798"/>
      <c r="BJO84" s="798"/>
      <c r="BJP84" s="798"/>
      <c r="BJQ84" s="798"/>
      <c r="BJR84" s="798"/>
      <c r="BJS84" s="798"/>
      <c r="BJT84" s="798"/>
      <c r="BJU84" s="798"/>
      <c r="BJV84" s="798"/>
      <c r="BJW84" s="798"/>
      <c r="BJX84" s="798"/>
      <c r="BJY84" s="798"/>
      <c r="BJZ84" s="798"/>
      <c r="BKA84" s="798"/>
      <c r="BKB84" s="798"/>
      <c r="BKC84" s="798"/>
      <c r="BKD84" s="798"/>
      <c r="BKE84" s="798"/>
      <c r="BKF84" s="798"/>
      <c r="BKG84" s="798"/>
      <c r="BKH84" s="798"/>
      <c r="BKI84" s="798"/>
      <c r="BKJ84" s="798"/>
      <c r="BKK84" s="798"/>
      <c r="BKL84" s="798"/>
      <c r="BKM84" s="798"/>
      <c r="BKN84" s="798"/>
      <c r="BKO84" s="798"/>
      <c r="BKP84" s="798"/>
      <c r="BKQ84" s="798"/>
      <c r="BKR84" s="798"/>
      <c r="BKS84" s="798"/>
      <c r="BKT84" s="798"/>
      <c r="BKU84" s="798"/>
      <c r="BKV84" s="798"/>
      <c r="BKW84" s="798"/>
      <c r="BKX84" s="798"/>
      <c r="BKY84" s="798"/>
      <c r="BKZ84" s="798"/>
      <c r="BLA84" s="798"/>
      <c r="BLB84" s="798"/>
      <c r="BLC84" s="798"/>
      <c r="BLD84" s="798"/>
      <c r="BLE84" s="798"/>
      <c r="BLF84" s="798"/>
      <c r="BLG84" s="798"/>
      <c r="BLH84" s="798"/>
      <c r="BLI84" s="798"/>
      <c r="BLJ84" s="798"/>
      <c r="BLK84" s="798"/>
      <c r="BLL84" s="798"/>
      <c r="BLM84" s="798"/>
      <c r="BLN84" s="798"/>
      <c r="BLO84" s="798"/>
      <c r="BLP84" s="798"/>
      <c r="BLQ84" s="798"/>
      <c r="BLR84" s="798"/>
      <c r="BLS84" s="798"/>
      <c r="BLT84" s="798"/>
      <c r="BLU84" s="798"/>
      <c r="BLV84" s="798"/>
      <c r="BLW84" s="798"/>
      <c r="BLX84" s="798"/>
      <c r="BLY84" s="798"/>
      <c r="BLZ84" s="798"/>
      <c r="BMA84" s="798"/>
      <c r="BMB84" s="798"/>
      <c r="BMC84" s="798"/>
      <c r="BMD84" s="798"/>
      <c r="BME84" s="798"/>
      <c r="BMF84" s="798"/>
      <c r="BMG84" s="798"/>
      <c r="BMH84" s="798"/>
      <c r="BMI84" s="798"/>
      <c r="BMJ84" s="798"/>
      <c r="BMK84" s="798"/>
      <c r="BML84" s="798"/>
      <c r="BMM84" s="798"/>
      <c r="BMN84" s="798"/>
      <c r="BMO84" s="798"/>
      <c r="BMP84" s="798"/>
      <c r="BMQ84" s="798"/>
      <c r="BMR84" s="798"/>
      <c r="BMS84" s="798"/>
      <c r="BMT84" s="798"/>
      <c r="BMU84" s="798"/>
      <c r="BMV84" s="798"/>
      <c r="BMW84" s="798"/>
      <c r="BMX84" s="798"/>
      <c r="BMY84" s="798"/>
      <c r="BMZ84" s="798"/>
      <c r="BNA84" s="798"/>
      <c r="BNB84" s="798"/>
      <c r="BNC84" s="798"/>
      <c r="BND84" s="798"/>
      <c r="BNE84" s="798"/>
      <c r="BNF84" s="798"/>
      <c r="BNG84" s="798"/>
      <c r="BNH84" s="798"/>
      <c r="BNI84" s="798"/>
      <c r="BNJ84" s="798"/>
      <c r="BNK84" s="798"/>
      <c r="BNL84" s="798"/>
      <c r="BNM84" s="798"/>
      <c r="BNN84" s="798"/>
      <c r="BNO84" s="798"/>
      <c r="BNP84" s="798"/>
      <c r="BNQ84" s="798"/>
      <c r="BNR84" s="798"/>
      <c r="BNS84" s="798"/>
      <c r="BNT84" s="798"/>
      <c r="BNU84" s="798"/>
      <c r="BNV84" s="798"/>
      <c r="BNW84" s="798"/>
      <c r="BNX84" s="798"/>
      <c r="BNY84" s="798"/>
      <c r="BNZ84" s="798"/>
      <c r="BOA84" s="798"/>
      <c r="BOB84" s="798"/>
      <c r="BOC84" s="798"/>
      <c r="BOD84" s="798"/>
      <c r="BOE84" s="798"/>
      <c r="BOF84" s="798"/>
      <c r="BOG84" s="798"/>
      <c r="BOH84" s="798"/>
      <c r="BOI84" s="798"/>
      <c r="BOJ84" s="798"/>
      <c r="BOK84" s="798"/>
      <c r="BOL84" s="798"/>
      <c r="BOM84" s="798"/>
      <c r="BON84" s="798"/>
      <c r="BOO84" s="798"/>
      <c r="BOP84" s="798"/>
      <c r="BOQ84" s="798"/>
      <c r="BOR84" s="798"/>
      <c r="BOS84" s="798"/>
      <c r="BOT84" s="798"/>
      <c r="BOU84" s="798"/>
      <c r="BOV84" s="798"/>
      <c r="BOW84" s="798"/>
      <c r="BOX84" s="798"/>
      <c r="BOY84" s="798"/>
      <c r="BOZ84" s="798"/>
      <c r="BPA84" s="798"/>
      <c r="BPB84" s="798"/>
      <c r="BPC84" s="798"/>
      <c r="BPD84" s="798"/>
      <c r="BPE84" s="798"/>
      <c r="BPF84" s="798"/>
      <c r="BPG84" s="798"/>
      <c r="BPH84" s="798"/>
      <c r="BPI84" s="798"/>
      <c r="BPJ84" s="798"/>
      <c r="BPK84" s="798"/>
      <c r="BPL84" s="798"/>
      <c r="BPM84" s="798"/>
      <c r="BPN84" s="798"/>
      <c r="BPO84" s="798"/>
      <c r="BPP84" s="798"/>
      <c r="BPQ84" s="798"/>
      <c r="BPR84" s="798"/>
      <c r="BPS84" s="798"/>
      <c r="BPT84" s="798"/>
      <c r="BPU84" s="798"/>
      <c r="BPV84" s="798"/>
      <c r="BPW84" s="798"/>
      <c r="BPX84" s="798"/>
      <c r="BPY84" s="798"/>
      <c r="BPZ84" s="798"/>
      <c r="BQA84" s="798"/>
      <c r="BQB84" s="798"/>
      <c r="BQC84" s="798"/>
      <c r="BQD84" s="798"/>
      <c r="BQE84" s="798"/>
      <c r="BQF84" s="798"/>
      <c r="BQG84" s="798"/>
      <c r="BQH84" s="798"/>
      <c r="BQI84" s="798"/>
      <c r="BQJ84" s="798"/>
      <c r="BQK84" s="798"/>
      <c r="BQL84" s="798"/>
      <c r="BQM84" s="798"/>
      <c r="BQN84" s="798"/>
      <c r="BQO84" s="798"/>
      <c r="BQP84" s="798"/>
      <c r="BQQ84" s="798"/>
      <c r="BQR84" s="798"/>
      <c r="BQS84" s="798"/>
      <c r="BQT84" s="798"/>
      <c r="BQU84" s="798"/>
      <c r="BQV84" s="798"/>
      <c r="BQW84" s="798"/>
      <c r="BQX84" s="798"/>
      <c r="BQY84" s="798"/>
      <c r="BQZ84" s="798"/>
      <c r="BRA84" s="798"/>
      <c r="BRB84" s="798"/>
      <c r="BRC84" s="798"/>
      <c r="BRD84" s="798"/>
      <c r="BRE84" s="798"/>
      <c r="BRF84" s="798"/>
      <c r="BRG84" s="798"/>
      <c r="BRH84" s="798"/>
      <c r="BRI84" s="798"/>
      <c r="BRJ84" s="798"/>
      <c r="BRK84" s="798"/>
      <c r="BRL84" s="798"/>
      <c r="BRM84" s="798"/>
      <c r="BRN84" s="798"/>
      <c r="BRO84" s="798"/>
      <c r="BRP84" s="798"/>
      <c r="BRQ84" s="798"/>
      <c r="BRR84" s="798"/>
      <c r="BRS84" s="798"/>
      <c r="BRT84" s="798"/>
      <c r="BRU84" s="798"/>
      <c r="BRV84" s="798"/>
      <c r="BRW84" s="798"/>
      <c r="BRX84" s="798"/>
      <c r="BRY84" s="798"/>
      <c r="BRZ84" s="798"/>
      <c r="BSA84" s="798"/>
      <c r="BSB84" s="798"/>
      <c r="BSC84" s="798"/>
      <c r="BSD84" s="798"/>
      <c r="BSE84" s="798"/>
      <c r="BSF84" s="798"/>
      <c r="BSG84" s="798"/>
      <c r="BSH84" s="798"/>
      <c r="BSI84" s="798"/>
      <c r="BSJ84" s="798"/>
      <c r="BSK84" s="798"/>
      <c r="BSL84" s="798"/>
      <c r="BSM84" s="798"/>
      <c r="BSN84" s="798"/>
      <c r="BSO84" s="798"/>
      <c r="BSP84" s="798"/>
      <c r="BSQ84" s="798"/>
      <c r="BSR84" s="798"/>
      <c r="BSS84" s="798"/>
      <c r="BST84" s="798"/>
      <c r="BSU84" s="798"/>
      <c r="BSV84" s="798"/>
      <c r="BSW84" s="798"/>
      <c r="BSX84" s="798"/>
      <c r="BSY84" s="798"/>
      <c r="BSZ84" s="798"/>
      <c r="BTA84" s="798"/>
      <c r="BTB84" s="798"/>
      <c r="BTC84" s="798"/>
      <c r="BTD84" s="798"/>
      <c r="BTE84" s="798"/>
      <c r="BTF84" s="798"/>
      <c r="BTG84" s="798"/>
      <c r="BTH84" s="798"/>
      <c r="BTI84" s="798"/>
      <c r="BTJ84" s="798"/>
      <c r="BTK84" s="798"/>
      <c r="BTL84" s="798"/>
      <c r="BTM84" s="798"/>
      <c r="BTN84" s="798"/>
      <c r="BTO84" s="798"/>
      <c r="BTP84" s="798"/>
      <c r="BTQ84" s="798"/>
      <c r="BTR84" s="798"/>
      <c r="BTS84" s="798"/>
      <c r="BTT84" s="798"/>
      <c r="BTU84" s="798"/>
      <c r="BTV84" s="798"/>
      <c r="BTW84" s="798"/>
      <c r="BTX84" s="798"/>
      <c r="BTY84" s="798"/>
      <c r="BTZ84" s="798"/>
      <c r="BUA84" s="798"/>
      <c r="BUB84" s="798"/>
      <c r="BUC84" s="798"/>
      <c r="BUD84" s="798"/>
      <c r="BUE84" s="798"/>
      <c r="BUF84" s="798"/>
      <c r="BUG84" s="798"/>
      <c r="BUH84" s="798"/>
      <c r="BUI84" s="798"/>
      <c r="BUJ84" s="798"/>
      <c r="BUK84" s="798"/>
      <c r="BUL84" s="798"/>
      <c r="BUM84" s="798"/>
      <c r="BUN84" s="798"/>
      <c r="BUO84" s="798"/>
      <c r="BUP84" s="798"/>
      <c r="BUQ84" s="798"/>
      <c r="BUR84" s="798"/>
      <c r="BUS84" s="798"/>
      <c r="BUT84" s="798"/>
      <c r="BUU84" s="798"/>
      <c r="BUV84" s="798"/>
      <c r="BUW84" s="798"/>
      <c r="BUX84" s="798"/>
      <c r="BUY84" s="798"/>
      <c r="BUZ84" s="798"/>
      <c r="BVA84" s="798"/>
      <c r="BVB84" s="798"/>
      <c r="BVC84" s="798"/>
      <c r="BVD84" s="798"/>
      <c r="BVE84" s="798"/>
      <c r="BVF84" s="798"/>
      <c r="BVG84" s="798"/>
      <c r="BVH84" s="798"/>
      <c r="BVI84" s="798"/>
      <c r="BVJ84" s="798"/>
      <c r="BVK84" s="798"/>
      <c r="BVL84" s="798"/>
      <c r="BVM84" s="798"/>
      <c r="BVN84" s="798"/>
      <c r="BVO84" s="798"/>
      <c r="BVP84" s="798"/>
      <c r="BVQ84" s="798"/>
      <c r="BVR84" s="798"/>
      <c r="BVS84" s="798"/>
      <c r="BVT84" s="798"/>
      <c r="BVU84" s="798"/>
      <c r="BVV84" s="798"/>
      <c r="BVW84" s="798"/>
      <c r="BVX84" s="798"/>
      <c r="BVY84" s="798"/>
      <c r="BVZ84" s="798"/>
      <c r="BWA84" s="798"/>
      <c r="BWB84" s="798"/>
      <c r="BWC84" s="798"/>
      <c r="BWD84" s="798"/>
      <c r="BWE84" s="798"/>
      <c r="BWF84" s="798"/>
      <c r="BWG84" s="798"/>
      <c r="BWH84" s="798"/>
      <c r="BWI84" s="798"/>
      <c r="BWJ84" s="798"/>
      <c r="BWK84" s="798"/>
      <c r="BWL84" s="798"/>
      <c r="BWM84" s="798"/>
      <c r="BWN84" s="798"/>
      <c r="BWO84" s="798"/>
      <c r="BWP84" s="798"/>
      <c r="BWQ84" s="798"/>
      <c r="BWR84" s="798"/>
      <c r="BWS84" s="798"/>
      <c r="BWT84" s="798"/>
      <c r="BWU84" s="798"/>
      <c r="BWV84" s="798"/>
      <c r="BWW84" s="798"/>
      <c r="BWX84" s="798"/>
      <c r="BWY84" s="798"/>
      <c r="BWZ84" s="798"/>
      <c r="BXA84" s="798"/>
      <c r="BXB84" s="798"/>
      <c r="BXC84" s="798"/>
      <c r="BXD84" s="798"/>
      <c r="BXE84" s="798"/>
      <c r="BXF84" s="798"/>
      <c r="BXG84" s="798"/>
      <c r="BXH84" s="798"/>
      <c r="BXI84" s="798"/>
      <c r="BXJ84" s="798"/>
      <c r="BXK84" s="798"/>
      <c r="BXL84" s="798"/>
      <c r="BXM84" s="798"/>
      <c r="BXN84" s="798"/>
      <c r="BXO84" s="798"/>
      <c r="BXP84" s="798"/>
      <c r="BXQ84" s="798"/>
      <c r="BXR84" s="798"/>
      <c r="BXS84" s="798"/>
      <c r="BXT84" s="798"/>
      <c r="BXU84" s="798"/>
      <c r="BXV84" s="798"/>
      <c r="BXW84" s="798"/>
      <c r="BXX84" s="798"/>
      <c r="BXY84" s="798"/>
      <c r="BXZ84" s="798"/>
      <c r="BYA84" s="798"/>
      <c r="BYB84" s="798"/>
      <c r="BYC84" s="798"/>
      <c r="BYD84" s="798"/>
      <c r="BYE84" s="798"/>
      <c r="BYF84" s="798"/>
      <c r="BYG84" s="798"/>
      <c r="BYH84" s="798"/>
      <c r="BYI84" s="798"/>
      <c r="BYJ84" s="798"/>
      <c r="BYK84" s="798"/>
      <c r="BYL84" s="798"/>
      <c r="BYM84" s="798"/>
      <c r="BYN84" s="798"/>
      <c r="BYO84" s="798"/>
      <c r="BYP84" s="798"/>
      <c r="BYQ84" s="798"/>
      <c r="BYR84" s="798"/>
      <c r="BYS84" s="798"/>
      <c r="BYT84" s="798"/>
      <c r="BYU84" s="798"/>
      <c r="BYV84" s="798"/>
      <c r="BYW84" s="798"/>
      <c r="BYX84" s="798"/>
      <c r="BYY84" s="798"/>
      <c r="BYZ84" s="798"/>
      <c r="BZA84" s="798"/>
      <c r="BZB84" s="798"/>
      <c r="BZC84" s="798"/>
      <c r="BZD84" s="798"/>
      <c r="BZE84" s="798"/>
      <c r="BZF84" s="798"/>
      <c r="BZG84" s="798"/>
      <c r="BZH84" s="798"/>
      <c r="BZI84" s="798"/>
      <c r="BZJ84" s="798"/>
      <c r="BZK84" s="798"/>
      <c r="BZL84" s="798"/>
      <c r="BZM84" s="798"/>
      <c r="BZN84" s="798"/>
      <c r="BZO84" s="798"/>
      <c r="BZP84" s="798"/>
      <c r="BZQ84" s="798"/>
      <c r="BZR84" s="798"/>
      <c r="BZS84" s="798"/>
      <c r="BZT84" s="798"/>
      <c r="BZU84" s="798"/>
      <c r="BZV84" s="798"/>
      <c r="BZW84" s="798"/>
      <c r="BZX84" s="798"/>
      <c r="BZY84" s="798"/>
      <c r="BZZ84" s="798"/>
      <c r="CAA84" s="798"/>
      <c r="CAB84" s="798"/>
      <c r="CAC84" s="798"/>
      <c r="CAD84" s="798"/>
      <c r="CAE84" s="798"/>
      <c r="CAF84" s="798"/>
      <c r="CAG84" s="798"/>
      <c r="CAH84" s="798"/>
      <c r="CAI84" s="798"/>
      <c r="CAJ84" s="798"/>
      <c r="CAK84" s="798"/>
      <c r="CAL84" s="798"/>
      <c r="CAM84" s="798"/>
      <c r="CAN84" s="798"/>
      <c r="CAO84" s="798"/>
      <c r="CAP84" s="798"/>
      <c r="CAQ84" s="798"/>
      <c r="CAR84" s="798"/>
      <c r="CAS84" s="798"/>
      <c r="CAT84" s="798"/>
      <c r="CAU84" s="798"/>
      <c r="CAV84" s="798"/>
      <c r="CAW84" s="798"/>
      <c r="CAX84" s="798"/>
      <c r="CAY84" s="798"/>
      <c r="CAZ84" s="798"/>
      <c r="CBA84" s="798"/>
      <c r="CBB84" s="798"/>
      <c r="CBC84" s="798"/>
      <c r="CBD84" s="798"/>
      <c r="CBE84" s="798"/>
      <c r="CBF84" s="798"/>
      <c r="CBG84" s="798"/>
      <c r="CBH84" s="798"/>
      <c r="CBI84" s="798"/>
      <c r="CBJ84" s="798"/>
      <c r="CBK84" s="798"/>
      <c r="CBL84" s="798"/>
      <c r="CBM84" s="798"/>
      <c r="CBN84" s="798"/>
      <c r="CBO84" s="798"/>
      <c r="CBP84" s="798"/>
      <c r="CBQ84" s="798"/>
      <c r="CBR84" s="798"/>
      <c r="CBS84" s="798"/>
      <c r="CBT84" s="798"/>
      <c r="CBU84" s="798"/>
      <c r="CBV84" s="798"/>
      <c r="CBW84" s="798"/>
      <c r="CBX84" s="798"/>
      <c r="CBY84" s="798"/>
      <c r="CBZ84" s="798"/>
      <c r="CCA84" s="798"/>
      <c r="CCB84" s="798"/>
      <c r="CCC84" s="798"/>
      <c r="CCD84" s="798"/>
      <c r="CCE84" s="798"/>
      <c r="CCF84" s="798"/>
      <c r="CCG84" s="798"/>
      <c r="CCH84" s="798"/>
      <c r="CCI84" s="798"/>
      <c r="CCJ84" s="798"/>
      <c r="CCK84" s="798"/>
      <c r="CCL84" s="798"/>
      <c r="CCM84" s="798"/>
      <c r="CCN84" s="798"/>
      <c r="CCO84" s="798"/>
      <c r="CCP84" s="798"/>
      <c r="CCQ84" s="798"/>
      <c r="CCR84" s="798"/>
      <c r="CCS84" s="798"/>
      <c r="CCT84" s="798"/>
      <c r="CCU84" s="798"/>
      <c r="CCV84" s="798"/>
      <c r="CCW84" s="798"/>
      <c r="CCX84" s="798"/>
      <c r="CCY84" s="798"/>
      <c r="CCZ84" s="798"/>
      <c r="CDA84" s="798"/>
      <c r="CDB84" s="798"/>
      <c r="CDC84" s="798"/>
      <c r="CDD84" s="798"/>
      <c r="CDE84" s="798"/>
      <c r="CDF84" s="798"/>
      <c r="CDG84" s="798"/>
      <c r="CDH84" s="798"/>
      <c r="CDI84" s="798"/>
      <c r="CDJ84" s="798"/>
      <c r="CDK84" s="798"/>
      <c r="CDL84" s="798"/>
      <c r="CDM84" s="798"/>
      <c r="CDN84" s="798"/>
      <c r="CDO84" s="798"/>
      <c r="CDP84" s="798"/>
      <c r="CDQ84" s="798"/>
      <c r="CDR84" s="798"/>
      <c r="CDS84" s="798"/>
      <c r="CDT84" s="798"/>
      <c r="CDU84" s="798"/>
      <c r="CDV84" s="798"/>
      <c r="CDW84" s="798"/>
      <c r="CDX84" s="798"/>
      <c r="CDY84" s="798"/>
      <c r="CDZ84" s="798"/>
      <c r="CEA84" s="798"/>
      <c r="CEB84" s="798"/>
      <c r="CEC84" s="798"/>
      <c r="CED84" s="798"/>
      <c r="CEE84" s="798"/>
      <c r="CEF84" s="798"/>
      <c r="CEG84" s="798"/>
      <c r="CEH84" s="798"/>
      <c r="CEI84" s="798"/>
      <c r="CEJ84" s="798"/>
      <c r="CEK84" s="798"/>
      <c r="CEL84" s="798"/>
      <c r="CEM84" s="798"/>
      <c r="CEN84" s="798"/>
      <c r="CEO84" s="798"/>
      <c r="CEP84" s="798"/>
      <c r="CEQ84" s="798"/>
      <c r="CER84" s="798"/>
      <c r="CES84" s="798"/>
      <c r="CET84" s="798"/>
      <c r="CEU84" s="798"/>
      <c r="CEV84" s="798"/>
      <c r="CEW84" s="798"/>
      <c r="CEX84" s="798"/>
      <c r="CEY84" s="798"/>
      <c r="CEZ84" s="798"/>
      <c r="CFA84" s="798"/>
      <c r="CFB84" s="798"/>
      <c r="CFC84" s="798"/>
      <c r="CFD84" s="798"/>
      <c r="CFE84" s="798"/>
      <c r="CFF84" s="798"/>
      <c r="CFG84" s="798"/>
      <c r="CFH84" s="798"/>
      <c r="CFI84" s="798"/>
      <c r="CFJ84" s="798"/>
      <c r="CFK84" s="798"/>
      <c r="CFL84" s="798"/>
      <c r="CFM84" s="798"/>
      <c r="CFN84" s="798"/>
      <c r="CFO84" s="798"/>
      <c r="CFP84" s="798"/>
      <c r="CFQ84" s="798"/>
      <c r="CFR84" s="798"/>
      <c r="CFS84" s="798"/>
      <c r="CFT84" s="798"/>
      <c r="CFU84" s="798"/>
      <c r="CFV84" s="798"/>
      <c r="CFW84" s="798"/>
      <c r="CFX84" s="798"/>
      <c r="CFY84" s="798"/>
      <c r="CFZ84" s="798"/>
      <c r="CGA84" s="798"/>
      <c r="CGB84" s="798"/>
      <c r="CGC84" s="798"/>
      <c r="CGD84" s="798"/>
      <c r="CGE84" s="798"/>
      <c r="CGF84" s="798"/>
      <c r="CGG84" s="798"/>
      <c r="CGH84" s="798"/>
      <c r="CGI84" s="798"/>
      <c r="CGJ84" s="798"/>
      <c r="CGK84" s="798"/>
      <c r="CGL84" s="798"/>
      <c r="CGM84" s="798"/>
      <c r="CGN84" s="798"/>
      <c r="CGO84" s="798"/>
      <c r="CGP84" s="798"/>
      <c r="CGQ84" s="798"/>
      <c r="CGR84" s="798"/>
      <c r="CGS84" s="798"/>
      <c r="CGT84" s="798"/>
      <c r="CGU84" s="798"/>
      <c r="CGV84" s="798"/>
      <c r="CGW84" s="798"/>
      <c r="CGX84" s="798"/>
      <c r="CGY84" s="798"/>
      <c r="CGZ84" s="798"/>
      <c r="CHA84" s="798"/>
      <c r="CHB84" s="798"/>
      <c r="CHC84" s="798"/>
      <c r="CHD84" s="798"/>
      <c r="CHE84" s="798"/>
      <c r="CHF84" s="798"/>
      <c r="CHG84" s="798"/>
      <c r="CHH84" s="798"/>
      <c r="CHI84" s="798"/>
      <c r="CHJ84" s="798"/>
      <c r="CHK84" s="798"/>
      <c r="CHL84" s="798"/>
      <c r="CHM84" s="798"/>
      <c r="CHN84" s="798"/>
      <c r="CHO84" s="798"/>
      <c r="CHP84" s="798"/>
      <c r="CHQ84" s="798"/>
      <c r="CHR84" s="798"/>
      <c r="CHS84" s="798"/>
      <c r="CHT84" s="798"/>
      <c r="CHU84" s="798"/>
      <c r="CHV84" s="798"/>
      <c r="CHW84" s="798"/>
      <c r="CHX84" s="798"/>
      <c r="CHY84" s="798"/>
      <c r="CHZ84" s="798"/>
      <c r="CIA84" s="798"/>
      <c r="CIB84" s="798"/>
      <c r="CIC84" s="798"/>
      <c r="CID84" s="798"/>
      <c r="CIE84" s="798"/>
      <c r="CIF84" s="798"/>
      <c r="CIG84" s="798"/>
      <c r="CIH84" s="798"/>
      <c r="CII84" s="798"/>
      <c r="CIJ84" s="798"/>
      <c r="CIK84" s="798"/>
      <c r="CIL84" s="798"/>
      <c r="CIM84" s="798"/>
      <c r="CIN84" s="798"/>
      <c r="CIO84" s="798"/>
      <c r="CIP84" s="798"/>
      <c r="CIQ84" s="798"/>
      <c r="CIR84" s="798"/>
      <c r="CIS84" s="798"/>
      <c r="CIT84" s="798"/>
      <c r="CIU84" s="798"/>
      <c r="CIV84" s="798"/>
      <c r="CIW84" s="798"/>
      <c r="CIX84" s="798"/>
      <c r="CIY84" s="798"/>
      <c r="CIZ84" s="798"/>
      <c r="CJA84" s="798"/>
      <c r="CJB84" s="798"/>
      <c r="CJC84" s="798"/>
      <c r="CJD84" s="798"/>
      <c r="CJE84" s="798"/>
      <c r="CJF84" s="798"/>
      <c r="CJG84" s="798"/>
      <c r="CJH84" s="798"/>
      <c r="CJI84" s="798"/>
      <c r="CJJ84" s="798"/>
      <c r="CJK84" s="798"/>
      <c r="CJL84" s="798"/>
      <c r="CJM84" s="798"/>
      <c r="CJN84" s="798"/>
      <c r="CJO84" s="798"/>
      <c r="CJP84" s="798"/>
      <c r="CJQ84" s="798"/>
      <c r="CJR84" s="798"/>
      <c r="CJS84" s="798"/>
      <c r="CJT84" s="798"/>
      <c r="CJU84" s="798"/>
      <c r="CJV84" s="798"/>
      <c r="CJW84" s="798"/>
      <c r="CJX84" s="798"/>
      <c r="CJY84" s="798"/>
      <c r="CJZ84" s="798"/>
      <c r="CKA84" s="798"/>
      <c r="CKB84" s="798"/>
      <c r="CKC84" s="798"/>
      <c r="CKD84" s="798"/>
      <c r="CKE84" s="798"/>
      <c r="CKF84" s="798"/>
      <c r="CKG84" s="798"/>
      <c r="CKH84" s="798"/>
      <c r="CKI84" s="798"/>
      <c r="CKJ84" s="798"/>
      <c r="CKK84" s="798"/>
      <c r="CKL84" s="798"/>
      <c r="CKM84" s="798"/>
      <c r="CKN84" s="798"/>
      <c r="CKO84" s="798"/>
      <c r="CKP84" s="798"/>
      <c r="CKQ84" s="798"/>
      <c r="CKR84" s="798"/>
      <c r="CKS84" s="798"/>
      <c r="CKT84" s="798"/>
      <c r="CKU84" s="798"/>
      <c r="CKV84" s="798"/>
      <c r="CKW84" s="798"/>
      <c r="CKX84" s="798"/>
      <c r="CKY84" s="798"/>
      <c r="CKZ84" s="798"/>
      <c r="CLA84" s="798"/>
      <c r="CLB84" s="798"/>
      <c r="CLC84" s="798"/>
      <c r="CLD84" s="798"/>
      <c r="CLE84" s="798"/>
      <c r="CLF84" s="798"/>
      <c r="CLG84" s="798"/>
      <c r="CLH84" s="798"/>
      <c r="CLI84" s="798"/>
      <c r="CLJ84" s="798"/>
      <c r="CLK84" s="798"/>
      <c r="CLL84" s="798"/>
      <c r="CLM84" s="798"/>
      <c r="CLN84" s="798"/>
      <c r="CLO84" s="798"/>
      <c r="CLP84" s="798"/>
      <c r="CLQ84" s="798"/>
      <c r="CLR84" s="798"/>
      <c r="CLS84" s="798"/>
      <c r="CLT84" s="798"/>
      <c r="CLU84" s="798"/>
      <c r="CLV84" s="798"/>
      <c r="CLW84" s="798"/>
      <c r="CLX84" s="798"/>
      <c r="CLY84" s="798"/>
      <c r="CLZ84" s="798"/>
      <c r="CMA84" s="798"/>
      <c r="CMB84" s="798"/>
      <c r="CMC84" s="798"/>
      <c r="CMD84" s="798"/>
      <c r="CME84" s="798"/>
      <c r="CMF84" s="798"/>
      <c r="CMG84" s="798"/>
      <c r="CMH84" s="798"/>
      <c r="CMI84" s="798"/>
      <c r="CMJ84" s="798"/>
      <c r="CMK84" s="798"/>
      <c r="CML84" s="798"/>
      <c r="CMM84" s="798"/>
      <c r="CMN84" s="798"/>
      <c r="CMO84" s="798"/>
      <c r="CMP84" s="798"/>
      <c r="CMQ84" s="798"/>
      <c r="CMR84" s="798"/>
      <c r="CMS84" s="798"/>
      <c r="CMT84" s="798"/>
      <c r="CMU84" s="798"/>
      <c r="CMV84" s="798"/>
      <c r="CMW84" s="798"/>
      <c r="CMX84" s="798"/>
      <c r="CMY84" s="798"/>
      <c r="CMZ84" s="798"/>
      <c r="CNA84" s="798"/>
      <c r="CNB84" s="798"/>
      <c r="CNC84" s="798"/>
      <c r="CND84" s="798"/>
      <c r="CNE84" s="798"/>
      <c r="CNF84" s="798"/>
      <c r="CNG84" s="798"/>
      <c r="CNH84" s="798"/>
      <c r="CNI84" s="798"/>
      <c r="CNJ84" s="798"/>
      <c r="CNK84" s="798"/>
      <c r="CNL84" s="798"/>
      <c r="CNM84" s="798"/>
      <c r="CNN84" s="798"/>
      <c r="CNO84" s="798"/>
      <c r="CNP84" s="798"/>
      <c r="CNQ84" s="798"/>
      <c r="CNR84" s="798"/>
      <c r="CNS84" s="798"/>
      <c r="CNT84" s="798"/>
      <c r="CNU84" s="798"/>
      <c r="CNV84" s="798"/>
      <c r="CNW84" s="798"/>
      <c r="CNX84" s="798"/>
      <c r="CNY84" s="798"/>
      <c r="CNZ84" s="798"/>
      <c r="COA84" s="798"/>
      <c r="COB84" s="798"/>
      <c r="COC84" s="798"/>
      <c r="COD84" s="798"/>
      <c r="COE84" s="798"/>
      <c r="COF84" s="798"/>
      <c r="COG84" s="798"/>
      <c r="COH84" s="798"/>
      <c r="COI84" s="798"/>
      <c r="COJ84" s="798"/>
      <c r="COK84" s="798"/>
      <c r="COL84" s="798"/>
      <c r="COM84" s="798"/>
      <c r="CON84" s="798"/>
      <c r="COO84" s="798"/>
      <c r="COP84" s="798"/>
      <c r="COQ84" s="798"/>
      <c r="COR84" s="798"/>
      <c r="COS84" s="798"/>
      <c r="COT84" s="798"/>
      <c r="COU84" s="798"/>
      <c r="COV84" s="798"/>
      <c r="COW84" s="798"/>
      <c r="COX84" s="798"/>
      <c r="COY84" s="798"/>
      <c r="COZ84" s="798"/>
      <c r="CPA84" s="798"/>
      <c r="CPB84" s="798"/>
      <c r="CPC84" s="798"/>
      <c r="CPD84" s="798"/>
      <c r="CPE84" s="798"/>
      <c r="CPF84" s="798"/>
      <c r="CPG84" s="798"/>
      <c r="CPH84" s="798"/>
      <c r="CPI84" s="798"/>
      <c r="CPJ84" s="798"/>
      <c r="CPK84" s="798"/>
      <c r="CPL84" s="798"/>
      <c r="CPM84" s="798"/>
      <c r="CPN84" s="798"/>
      <c r="CPO84" s="798"/>
      <c r="CPP84" s="798"/>
      <c r="CPQ84" s="798"/>
      <c r="CPR84" s="798"/>
      <c r="CPS84" s="798"/>
      <c r="CPT84" s="798"/>
      <c r="CPU84" s="798"/>
      <c r="CPV84" s="798"/>
      <c r="CPW84" s="798"/>
      <c r="CPX84" s="798"/>
      <c r="CPY84" s="798"/>
      <c r="CPZ84" s="798"/>
      <c r="CQA84" s="798"/>
      <c r="CQB84" s="798"/>
      <c r="CQC84" s="798"/>
      <c r="CQD84" s="798"/>
      <c r="CQE84" s="798"/>
      <c r="CQF84" s="798"/>
      <c r="CQG84" s="798"/>
      <c r="CQH84" s="798"/>
      <c r="CQI84" s="798"/>
      <c r="CQJ84" s="798"/>
      <c r="CQK84" s="798"/>
      <c r="CQL84" s="798"/>
      <c r="CQM84" s="798"/>
      <c r="CQN84" s="798"/>
      <c r="CQO84" s="798"/>
      <c r="CQP84" s="798"/>
      <c r="CQQ84" s="798"/>
      <c r="CQR84" s="798"/>
      <c r="CQS84" s="798"/>
      <c r="CQT84" s="798"/>
      <c r="CQU84" s="798"/>
      <c r="CQV84" s="798"/>
      <c r="CQW84" s="798"/>
      <c r="CQX84" s="798"/>
      <c r="CQY84" s="798"/>
      <c r="CQZ84" s="798"/>
      <c r="CRA84" s="798"/>
      <c r="CRB84" s="798"/>
      <c r="CRC84" s="798"/>
      <c r="CRD84" s="798"/>
      <c r="CRE84" s="798"/>
      <c r="CRF84" s="798"/>
      <c r="CRG84" s="798"/>
      <c r="CRH84" s="798"/>
      <c r="CRI84" s="798"/>
      <c r="CRJ84" s="798"/>
      <c r="CRK84" s="798"/>
      <c r="CRL84" s="798"/>
      <c r="CRM84" s="798"/>
      <c r="CRN84" s="798"/>
      <c r="CRO84" s="798"/>
      <c r="CRP84" s="798"/>
      <c r="CRQ84" s="798"/>
      <c r="CRR84" s="798"/>
      <c r="CRS84" s="798"/>
      <c r="CRT84" s="798"/>
      <c r="CRU84" s="798"/>
      <c r="CRV84" s="798"/>
      <c r="CRW84" s="798"/>
      <c r="CRX84" s="798"/>
      <c r="CRY84" s="798"/>
      <c r="CRZ84" s="798"/>
      <c r="CSA84" s="798"/>
      <c r="CSB84" s="798"/>
      <c r="CSC84" s="798"/>
      <c r="CSD84" s="798"/>
      <c r="CSE84" s="798"/>
      <c r="CSF84" s="798"/>
      <c r="CSG84" s="798"/>
      <c r="CSH84" s="798"/>
      <c r="CSI84" s="798"/>
      <c r="CSJ84" s="798"/>
      <c r="CSK84" s="798"/>
      <c r="CSL84" s="798"/>
      <c r="CSM84" s="798"/>
      <c r="CSN84" s="798"/>
      <c r="CSO84" s="798"/>
      <c r="CSP84" s="798"/>
      <c r="CSQ84" s="798"/>
      <c r="CSR84" s="798"/>
      <c r="CSS84" s="798"/>
      <c r="CST84" s="798"/>
      <c r="CSU84" s="798"/>
      <c r="CSV84" s="798"/>
      <c r="CSW84" s="798"/>
      <c r="CSX84" s="798"/>
      <c r="CSY84" s="798"/>
      <c r="CSZ84" s="798"/>
      <c r="CTA84" s="798"/>
      <c r="CTB84" s="798"/>
      <c r="CTC84" s="798"/>
      <c r="CTD84" s="798"/>
      <c r="CTE84" s="798"/>
      <c r="CTF84" s="798"/>
      <c r="CTG84" s="798"/>
      <c r="CTH84" s="798"/>
      <c r="CTI84" s="798"/>
      <c r="CTJ84" s="798"/>
      <c r="CTK84" s="798"/>
      <c r="CTL84" s="798"/>
      <c r="CTM84" s="798"/>
      <c r="CTN84" s="798"/>
      <c r="CTO84" s="798"/>
      <c r="CTP84" s="798"/>
      <c r="CTQ84" s="798"/>
      <c r="CTR84" s="798"/>
      <c r="CTS84" s="798"/>
      <c r="CTT84" s="798"/>
      <c r="CTU84" s="798"/>
      <c r="CTV84" s="798"/>
      <c r="CTW84" s="798"/>
      <c r="CTX84" s="798"/>
      <c r="CTY84" s="798"/>
      <c r="CTZ84" s="798"/>
      <c r="CUA84" s="798"/>
      <c r="CUB84" s="798"/>
      <c r="CUC84" s="798"/>
      <c r="CUD84" s="798"/>
      <c r="CUE84" s="798"/>
      <c r="CUF84" s="798"/>
      <c r="CUG84" s="798"/>
      <c r="CUH84" s="798"/>
      <c r="CUI84" s="798"/>
      <c r="CUJ84" s="798"/>
      <c r="CUK84" s="798"/>
      <c r="CUL84" s="798"/>
      <c r="CUM84" s="798"/>
      <c r="CUN84" s="798"/>
      <c r="CUO84" s="798"/>
      <c r="CUP84" s="798"/>
      <c r="CUQ84" s="798"/>
      <c r="CUR84" s="798"/>
      <c r="CUS84" s="798"/>
      <c r="CUT84" s="798"/>
      <c r="CUU84" s="798"/>
      <c r="CUV84" s="798"/>
      <c r="CUW84" s="798"/>
      <c r="CUX84" s="798"/>
      <c r="CUY84" s="798"/>
      <c r="CUZ84" s="798"/>
      <c r="CVA84" s="798"/>
      <c r="CVB84" s="798"/>
      <c r="CVC84" s="798"/>
      <c r="CVD84" s="798"/>
      <c r="CVE84" s="798"/>
      <c r="CVF84" s="798"/>
      <c r="CVG84" s="798"/>
      <c r="CVH84" s="798"/>
      <c r="CVI84" s="798"/>
      <c r="CVJ84" s="798"/>
      <c r="CVK84" s="798"/>
      <c r="CVL84" s="798"/>
      <c r="CVM84" s="798"/>
      <c r="CVN84" s="798"/>
      <c r="CVO84" s="798"/>
      <c r="CVP84" s="798"/>
      <c r="CVQ84" s="798"/>
      <c r="CVR84" s="798"/>
      <c r="CVS84" s="798"/>
      <c r="CVT84" s="798"/>
      <c r="CVU84" s="798"/>
      <c r="CVV84" s="798"/>
      <c r="CVW84" s="798"/>
      <c r="CVX84" s="798"/>
      <c r="CVY84" s="798"/>
      <c r="CVZ84" s="798"/>
      <c r="CWA84" s="798"/>
      <c r="CWB84" s="798"/>
      <c r="CWC84" s="798"/>
      <c r="CWD84" s="798"/>
      <c r="CWE84" s="798"/>
      <c r="CWF84" s="798"/>
      <c r="CWG84" s="798"/>
      <c r="CWH84" s="798"/>
      <c r="CWI84" s="798"/>
      <c r="CWJ84" s="798"/>
      <c r="CWK84" s="798"/>
      <c r="CWL84" s="798"/>
      <c r="CWM84" s="798"/>
      <c r="CWN84" s="798"/>
      <c r="CWO84" s="798"/>
      <c r="CWP84" s="798"/>
      <c r="CWQ84" s="798"/>
      <c r="CWR84" s="798"/>
      <c r="CWS84" s="798"/>
      <c r="CWT84" s="798"/>
      <c r="CWU84" s="798"/>
      <c r="CWV84" s="798"/>
      <c r="CWW84" s="798"/>
      <c r="CWX84" s="798"/>
      <c r="CWY84" s="798"/>
      <c r="CWZ84" s="798"/>
      <c r="CXA84" s="798"/>
      <c r="CXB84" s="798"/>
      <c r="CXC84" s="798"/>
      <c r="CXD84" s="798"/>
      <c r="CXE84" s="798"/>
      <c r="CXF84" s="798"/>
      <c r="CXG84" s="798"/>
      <c r="CXH84" s="798"/>
      <c r="CXI84" s="798"/>
      <c r="CXJ84" s="798"/>
      <c r="CXK84" s="798"/>
      <c r="CXL84" s="798"/>
      <c r="CXM84" s="798"/>
      <c r="CXN84" s="798"/>
      <c r="CXO84" s="798"/>
      <c r="CXP84" s="798"/>
      <c r="CXQ84" s="798"/>
      <c r="CXR84" s="798"/>
      <c r="CXS84" s="798"/>
      <c r="CXT84" s="798"/>
      <c r="CXU84" s="798"/>
      <c r="CXV84" s="798"/>
      <c r="CXW84" s="798"/>
      <c r="CXX84" s="798"/>
      <c r="CXY84" s="798"/>
      <c r="CXZ84" s="798"/>
      <c r="CYA84" s="798"/>
      <c r="CYB84" s="798"/>
      <c r="CYC84" s="798"/>
      <c r="CYD84" s="798"/>
      <c r="CYE84" s="798"/>
      <c r="CYF84" s="798"/>
      <c r="CYG84" s="798"/>
      <c r="CYH84" s="798"/>
      <c r="CYI84" s="798"/>
      <c r="CYJ84" s="798"/>
      <c r="CYK84" s="798"/>
      <c r="CYL84" s="798"/>
      <c r="CYM84" s="798"/>
      <c r="CYN84" s="798"/>
      <c r="CYO84" s="798"/>
      <c r="CYP84" s="798"/>
      <c r="CYQ84" s="798"/>
      <c r="CYR84" s="798"/>
      <c r="CYS84" s="798"/>
      <c r="CYT84" s="798"/>
      <c r="CYU84" s="798"/>
      <c r="CYV84" s="798"/>
      <c r="CYW84" s="798"/>
      <c r="CYX84" s="798"/>
      <c r="CYY84" s="798"/>
      <c r="CYZ84" s="798"/>
      <c r="CZA84" s="798"/>
      <c r="CZB84" s="798"/>
      <c r="CZC84" s="798"/>
      <c r="CZD84" s="798"/>
      <c r="CZE84" s="798"/>
      <c r="CZF84" s="798"/>
      <c r="CZG84" s="798"/>
      <c r="CZH84" s="798"/>
      <c r="CZI84" s="798"/>
      <c r="CZJ84" s="798"/>
      <c r="CZK84" s="798"/>
      <c r="CZL84" s="798"/>
      <c r="CZM84" s="798"/>
      <c r="CZN84" s="798"/>
      <c r="CZO84" s="798"/>
      <c r="CZP84" s="798"/>
      <c r="CZQ84" s="798"/>
      <c r="CZR84" s="798"/>
      <c r="CZS84" s="798"/>
      <c r="CZT84" s="798"/>
      <c r="CZU84" s="798"/>
      <c r="CZV84" s="798"/>
      <c r="CZW84" s="798"/>
      <c r="CZX84" s="798"/>
      <c r="CZY84" s="798"/>
      <c r="CZZ84" s="798"/>
      <c r="DAA84" s="798"/>
      <c r="DAB84" s="798"/>
      <c r="DAC84" s="798"/>
      <c r="DAD84" s="798"/>
      <c r="DAE84" s="798"/>
      <c r="DAF84" s="798"/>
      <c r="DAG84" s="798"/>
      <c r="DAH84" s="798"/>
      <c r="DAI84" s="798"/>
      <c r="DAJ84" s="798"/>
      <c r="DAK84" s="798"/>
      <c r="DAL84" s="798"/>
      <c r="DAM84" s="798"/>
      <c r="DAN84" s="798"/>
      <c r="DAO84" s="798"/>
      <c r="DAP84" s="798"/>
      <c r="DAQ84" s="798"/>
      <c r="DAR84" s="798"/>
      <c r="DAS84" s="798"/>
      <c r="DAT84" s="798"/>
      <c r="DAU84" s="798"/>
      <c r="DAV84" s="798"/>
      <c r="DAW84" s="798"/>
      <c r="DAX84" s="798"/>
      <c r="DAY84" s="798"/>
      <c r="DAZ84" s="798"/>
      <c r="DBA84" s="798"/>
      <c r="DBB84" s="798"/>
      <c r="DBC84" s="798"/>
      <c r="DBD84" s="798"/>
      <c r="DBE84" s="798"/>
      <c r="DBF84" s="798"/>
      <c r="DBG84" s="798"/>
      <c r="DBH84" s="798"/>
      <c r="DBI84" s="798"/>
      <c r="DBJ84" s="798"/>
      <c r="DBK84" s="798"/>
      <c r="DBL84" s="798"/>
      <c r="DBM84" s="798"/>
      <c r="DBN84" s="798"/>
      <c r="DBO84" s="798"/>
      <c r="DBP84" s="798"/>
      <c r="DBQ84" s="798"/>
      <c r="DBR84" s="798"/>
      <c r="DBS84" s="798"/>
      <c r="DBT84" s="798"/>
      <c r="DBU84" s="798"/>
      <c r="DBV84" s="798"/>
      <c r="DBW84" s="798"/>
      <c r="DBX84" s="798"/>
      <c r="DBY84" s="798"/>
      <c r="DBZ84" s="798"/>
      <c r="DCA84" s="798"/>
      <c r="DCB84" s="798"/>
      <c r="DCC84" s="798"/>
      <c r="DCD84" s="798"/>
      <c r="DCE84" s="798"/>
      <c r="DCF84" s="798"/>
      <c r="DCG84" s="798"/>
      <c r="DCH84" s="798"/>
      <c r="DCI84" s="798"/>
      <c r="DCJ84" s="798"/>
      <c r="DCK84" s="798"/>
      <c r="DCL84" s="798"/>
      <c r="DCM84" s="798"/>
      <c r="DCN84" s="798"/>
      <c r="DCO84" s="798"/>
      <c r="DCP84" s="798"/>
      <c r="DCQ84" s="798"/>
      <c r="DCR84" s="798"/>
      <c r="DCS84" s="798"/>
      <c r="DCT84" s="798"/>
      <c r="DCU84" s="798"/>
      <c r="DCV84" s="798"/>
      <c r="DCW84" s="798"/>
      <c r="DCX84" s="798"/>
      <c r="DCY84" s="798"/>
      <c r="DCZ84" s="798"/>
      <c r="DDA84" s="798"/>
      <c r="DDB84" s="798"/>
      <c r="DDC84" s="798"/>
      <c r="DDD84" s="798"/>
      <c r="DDE84" s="798"/>
      <c r="DDF84" s="798"/>
      <c r="DDG84" s="798"/>
      <c r="DDH84" s="798"/>
      <c r="DDI84" s="798"/>
      <c r="DDJ84" s="798"/>
      <c r="DDK84" s="798"/>
      <c r="DDL84" s="798"/>
      <c r="DDM84" s="798"/>
      <c r="DDN84" s="798"/>
      <c r="DDO84" s="798"/>
      <c r="DDP84" s="798"/>
      <c r="DDQ84" s="798"/>
      <c r="DDR84" s="798"/>
      <c r="DDS84" s="798"/>
      <c r="DDT84" s="798"/>
      <c r="DDU84" s="798"/>
      <c r="DDV84" s="798"/>
      <c r="DDW84" s="798"/>
      <c r="DDX84" s="798"/>
      <c r="DDY84" s="798"/>
      <c r="DDZ84" s="798"/>
      <c r="DEA84" s="798"/>
      <c r="DEB84" s="798"/>
      <c r="DEC84" s="798"/>
      <c r="DED84" s="798"/>
      <c r="DEE84" s="798"/>
      <c r="DEF84" s="798"/>
      <c r="DEG84" s="798"/>
      <c r="DEH84" s="798"/>
      <c r="DEI84" s="798"/>
      <c r="DEJ84" s="798"/>
      <c r="DEK84" s="798"/>
      <c r="DEL84" s="798"/>
      <c r="DEM84" s="798"/>
      <c r="DEN84" s="798"/>
      <c r="DEO84" s="798"/>
      <c r="DEP84" s="798"/>
      <c r="DEQ84" s="798"/>
      <c r="DER84" s="798"/>
      <c r="DES84" s="798"/>
      <c r="DET84" s="798"/>
      <c r="DEU84" s="798"/>
      <c r="DEV84" s="798"/>
      <c r="DEW84" s="798"/>
      <c r="DEX84" s="798"/>
      <c r="DEY84" s="798"/>
      <c r="DEZ84" s="798"/>
      <c r="DFA84" s="798"/>
      <c r="DFB84" s="798"/>
      <c r="DFC84" s="798"/>
      <c r="DFD84" s="798"/>
      <c r="DFE84" s="798"/>
      <c r="DFF84" s="798"/>
      <c r="DFG84" s="798"/>
      <c r="DFH84" s="798"/>
      <c r="DFI84" s="798"/>
      <c r="DFJ84" s="798"/>
      <c r="DFK84" s="798"/>
      <c r="DFL84" s="798"/>
      <c r="DFM84" s="798"/>
      <c r="DFN84" s="798"/>
      <c r="DFO84" s="798"/>
      <c r="DFP84" s="798"/>
      <c r="DFQ84" s="798"/>
      <c r="DFR84" s="798"/>
      <c r="DFS84" s="798"/>
      <c r="DFT84" s="798"/>
      <c r="DFU84" s="798"/>
      <c r="DFV84" s="798"/>
      <c r="DFW84" s="798"/>
      <c r="DFX84" s="798"/>
      <c r="DFY84" s="798"/>
      <c r="DFZ84" s="798"/>
      <c r="DGA84" s="798"/>
      <c r="DGB84" s="798"/>
      <c r="DGC84" s="798"/>
      <c r="DGD84" s="798"/>
      <c r="DGE84" s="798"/>
      <c r="DGF84" s="798"/>
      <c r="DGG84" s="798"/>
      <c r="DGH84" s="798"/>
      <c r="DGI84" s="798"/>
      <c r="DGJ84" s="798"/>
      <c r="DGK84" s="798"/>
      <c r="DGL84" s="798"/>
      <c r="DGM84" s="798"/>
      <c r="DGN84" s="798"/>
      <c r="DGO84" s="798"/>
      <c r="DGP84" s="798"/>
      <c r="DGQ84" s="798"/>
      <c r="DGR84" s="798"/>
      <c r="DGS84" s="798"/>
      <c r="DGT84" s="798"/>
      <c r="DGU84" s="798"/>
      <c r="DGV84" s="798"/>
      <c r="DGW84" s="798"/>
      <c r="DGX84" s="798"/>
      <c r="DGY84" s="798"/>
      <c r="DGZ84" s="798"/>
      <c r="DHA84" s="798"/>
      <c r="DHB84" s="798"/>
      <c r="DHC84" s="798"/>
      <c r="DHD84" s="798"/>
      <c r="DHE84" s="798"/>
      <c r="DHF84" s="798"/>
      <c r="DHG84" s="798"/>
      <c r="DHH84" s="798"/>
      <c r="DHI84" s="798"/>
      <c r="DHJ84" s="798"/>
      <c r="DHK84" s="798"/>
      <c r="DHL84" s="798"/>
      <c r="DHM84" s="798"/>
      <c r="DHN84" s="798"/>
      <c r="DHO84" s="798"/>
      <c r="DHP84" s="798"/>
      <c r="DHQ84" s="798"/>
      <c r="DHR84" s="798"/>
      <c r="DHS84" s="798"/>
      <c r="DHT84" s="798"/>
      <c r="DHU84" s="798"/>
      <c r="DHV84" s="798"/>
      <c r="DHW84" s="798"/>
      <c r="DHX84" s="798"/>
      <c r="DHY84" s="798"/>
      <c r="DHZ84" s="798"/>
      <c r="DIA84" s="798"/>
      <c r="DIB84" s="798"/>
      <c r="DIC84" s="798"/>
      <c r="DID84" s="798"/>
      <c r="DIE84" s="798"/>
      <c r="DIF84" s="798"/>
      <c r="DIG84" s="798"/>
      <c r="DIH84" s="798"/>
      <c r="DII84" s="798"/>
      <c r="DIJ84" s="798"/>
      <c r="DIK84" s="798"/>
      <c r="DIL84" s="798"/>
      <c r="DIM84" s="798"/>
      <c r="DIN84" s="798"/>
      <c r="DIO84" s="798"/>
      <c r="DIP84" s="798"/>
      <c r="DIQ84" s="798"/>
      <c r="DIR84" s="798"/>
      <c r="DIS84" s="798"/>
      <c r="DIT84" s="798"/>
      <c r="DIU84" s="798"/>
      <c r="DIV84" s="798"/>
      <c r="DIW84" s="798"/>
      <c r="DIX84" s="798"/>
      <c r="DIY84" s="798"/>
      <c r="DIZ84" s="798"/>
      <c r="DJA84" s="798"/>
      <c r="DJB84" s="798"/>
      <c r="DJC84" s="798"/>
      <c r="DJD84" s="798"/>
      <c r="DJE84" s="798"/>
      <c r="DJF84" s="798"/>
      <c r="DJG84" s="798"/>
      <c r="DJH84" s="798"/>
      <c r="DJI84" s="798"/>
      <c r="DJJ84" s="798"/>
      <c r="DJK84" s="798"/>
      <c r="DJL84" s="798"/>
      <c r="DJM84" s="798"/>
      <c r="DJN84" s="798"/>
      <c r="DJO84" s="798"/>
      <c r="DJP84" s="798"/>
      <c r="DJQ84" s="798"/>
      <c r="DJR84" s="798"/>
      <c r="DJS84" s="798"/>
      <c r="DJT84" s="798"/>
      <c r="DJU84" s="798"/>
      <c r="DJV84" s="798"/>
      <c r="DJW84" s="798"/>
      <c r="DJX84" s="798"/>
      <c r="DJY84" s="798"/>
      <c r="DJZ84" s="798"/>
      <c r="DKA84" s="798"/>
      <c r="DKB84" s="798"/>
      <c r="DKC84" s="798"/>
      <c r="DKD84" s="798"/>
      <c r="DKE84" s="798"/>
      <c r="DKF84" s="798"/>
      <c r="DKG84" s="798"/>
      <c r="DKH84" s="798"/>
      <c r="DKI84" s="798"/>
      <c r="DKJ84" s="798"/>
      <c r="DKK84" s="798"/>
      <c r="DKL84" s="798"/>
      <c r="DKM84" s="798"/>
      <c r="DKN84" s="798"/>
      <c r="DKO84" s="798"/>
      <c r="DKP84" s="798"/>
      <c r="DKQ84" s="798"/>
      <c r="DKR84" s="798"/>
      <c r="DKS84" s="798"/>
      <c r="DKT84" s="798"/>
      <c r="DKU84" s="798"/>
      <c r="DKV84" s="798"/>
      <c r="DKW84" s="798"/>
      <c r="DKX84" s="798"/>
      <c r="DKY84" s="798"/>
      <c r="DKZ84" s="798"/>
      <c r="DLA84" s="798"/>
      <c r="DLB84" s="798"/>
      <c r="DLC84" s="798"/>
      <c r="DLD84" s="798"/>
      <c r="DLE84" s="798"/>
      <c r="DLF84" s="798"/>
      <c r="DLG84" s="798"/>
      <c r="DLH84" s="798"/>
      <c r="DLI84" s="798"/>
      <c r="DLJ84" s="798"/>
      <c r="DLK84" s="798"/>
      <c r="DLL84" s="798"/>
      <c r="DLM84" s="798"/>
      <c r="DLN84" s="798"/>
      <c r="DLO84" s="798"/>
      <c r="DLP84" s="798"/>
      <c r="DLQ84" s="798"/>
      <c r="DLR84" s="798"/>
      <c r="DLS84" s="798"/>
      <c r="DLT84" s="798"/>
      <c r="DLU84" s="798"/>
      <c r="DLV84" s="798"/>
      <c r="DLW84" s="798"/>
      <c r="DLX84" s="798"/>
      <c r="DLY84" s="798"/>
      <c r="DLZ84" s="798"/>
      <c r="DMA84" s="798"/>
      <c r="DMB84" s="798"/>
      <c r="DMC84" s="798"/>
      <c r="DMD84" s="798"/>
      <c r="DME84" s="798"/>
      <c r="DMF84" s="798"/>
      <c r="DMG84" s="798"/>
      <c r="DMH84" s="798"/>
      <c r="DMI84" s="798"/>
      <c r="DMJ84" s="798"/>
      <c r="DMK84" s="798"/>
      <c r="DML84" s="798"/>
      <c r="DMM84" s="798"/>
      <c r="DMN84" s="798"/>
      <c r="DMO84" s="798"/>
      <c r="DMP84" s="798"/>
      <c r="DMQ84" s="798"/>
      <c r="DMR84" s="798"/>
      <c r="DMS84" s="798"/>
      <c r="DMT84" s="798"/>
      <c r="DMU84" s="798"/>
      <c r="DMV84" s="798"/>
      <c r="DMW84" s="798"/>
      <c r="DMX84" s="798"/>
      <c r="DMY84" s="798"/>
      <c r="DMZ84" s="798"/>
      <c r="DNA84" s="798"/>
      <c r="DNB84" s="798"/>
      <c r="DNC84" s="798"/>
      <c r="DND84" s="798"/>
      <c r="DNE84" s="798"/>
      <c r="DNF84" s="798"/>
      <c r="DNG84" s="798"/>
      <c r="DNH84" s="798"/>
      <c r="DNI84" s="798"/>
      <c r="DNJ84" s="798"/>
      <c r="DNK84" s="798"/>
      <c r="DNL84" s="798"/>
      <c r="DNM84" s="798"/>
      <c r="DNN84" s="798"/>
      <c r="DNO84" s="798"/>
      <c r="DNP84" s="798"/>
      <c r="DNQ84" s="798"/>
      <c r="DNR84" s="798"/>
      <c r="DNS84" s="798"/>
      <c r="DNT84" s="798"/>
      <c r="DNU84" s="798"/>
      <c r="DNV84" s="798"/>
      <c r="DNW84" s="798"/>
      <c r="DNX84" s="798"/>
      <c r="DNY84" s="798"/>
      <c r="DNZ84" s="798"/>
      <c r="DOA84" s="798"/>
      <c r="DOB84" s="798"/>
      <c r="DOC84" s="798"/>
      <c r="DOD84" s="798"/>
      <c r="DOE84" s="798"/>
      <c r="DOF84" s="798"/>
      <c r="DOG84" s="798"/>
      <c r="DOH84" s="798"/>
      <c r="DOI84" s="798"/>
      <c r="DOJ84" s="798"/>
      <c r="DOK84" s="798"/>
      <c r="DOL84" s="798"/>
      <c r="DOM84" s="798"/>
      <c r="DON84" s="798"/>
      <c r="DOO84" s="798"/>
      <c r="DOP84" s="798"/>
      <c r="DOQ84" s="798"/>
      <c r="DOR84" s="798"/>
      <c r="DOS84" s="798"/>
      <c r="DOT84" s="798"/>
      <c r="DOU84" s="798"/>
      <c r="DOV84" s="798"/>
      <c r="DOW84" s="798"/>
      <c r="DOX84" s="798"/>
      <c r="DOY84" s="798"/>
      <c r="DOZ84" s="798"/>
      <c r="DPA84" s="798"/>
      <c r="DPB84" s="798"/>
      <c r="DPC84" s="798"/>
      <c r="DPD84" s="798"/>
      <c r="DPE84" s="798"/>
      <c r="DPF84" s="798"/>
      <c r="DPG84" s="798"/>
      <c r="DPH84" s="798"/>
      <c r="DPI84" s="798"/>
      <c r="DPJ84" s="798"/>
      <c r="DPK84" s="798"/>
      <c r="DPL84" s="798"/>
      <c r="DPM84" s="798"/>
      <c r="DPN84" s="798"/>
      <c r="DPO84" s="798"/>
      <c r="DPP84" s="798"/>
      <c r="DPQ84" s="798"/>
      <c r="DPR84" s="798"/>
      <c r="DPS84" s="798"/>
      <c r="DPT84" s="798"/>
      <c r="DPU84" s="798"/>
      <c r="DPV84" s="798"/>
      <c r="DPW84" s="798"/>
      <c r="DPX84" s="798"/>
      <c r="DPY84" s="798"/>
      <c r="DPZ84" s="798"/>
      <c r="DQA84" s="798"/>
      <c r="DQB84" s="798"/>
      <c r="DQC84" s="798"/>
      <c r="DQD84" s="798"/>
      <c r="DQE84" s="798"/>
      <c r="DQF84" s="798"/>
      <c r="DQG84" s="798"/>
      <c r="DQH84" s="798"/>
      <c r="DQI84" s="798"/>
      <c r="DQJ84" s="798"/>
      <c r="DQK84" s="798"/>
      <c r="DQL84" s="798"/>
      <c r="DQM84" s="798"/>
      <c r="DQN84" s="798"/>
      <c r="DQO84" s="798"/>
      <c r="DQP84" s="798"/>
      <c r="DQQ84" s="798"/>
      <c r="DQR84" s="798"/>
      <c r="DQS84" s="798"/>
      <c r="DQT84" s="798"/>
      <c r="DQU84" s="798"/>
      <c r="DQV84" s="798"/>
      <c r="DQW84" s="798"/>
      <c r="DQX84" s="798"/>
      <c r="DQY84" s="798"/>
      <c r="DQZ84" s="798"/>
      <c r="DRA84" s="798"/>
      <c r="DRB84" s="798"/>
      <c r="DRC84" s="798"/>
      <c r="DRD84" s="798"/>
      <c r="DRE84" s="798"/>
      <c r="DRF84" s="798"/>
      <c r="DRG84" s="798"/>
      <c r="DRH84" s="798"/>
      <c r="DRI84" s="798"/>
      <c r="DRJ84" s="798"/>
      <c r="DRK84" s="798"/>
      <c r="DRL84" s="798"/>
      <c r="DRM84" s="798"/>
      <c r="DRN84" s="798"/>
      <c r="DRO84" s="798"/>
      <c r="DRP84" s="798"/>
      <c r="DRQ84" s="798"/>
      <c r="DRR84" s="798"/>
      <c r="DRS84" s="798"/>
      <c r="DRT84" s="798"/>
      <c r="DRU84" s="798"/>
      <c r="DRV84" s="798"/>
      <c r="DRW84" s="798"/>
      <c r="DRX84" s="798"/>
      <c r="DRY84" s="798"/>
      <c r="DRZ84" s="798"/>
      <c r="DSA84" s="798"/>
      <c r="DSB84" s="798"/>
      <c r="DSC84" s="798"/>
      <c r="DSD84" s="798"/>
      <c r="DSE84" s="798"/>
      <c r="DSF84" s="798"/>
      <c r="DSG84" s="798"/>
      <c r="DSH84" s="798"/>
      <c r="DSI84" s="798"/>
      <c r="DSJ84" s="798"/>
      <c r="DSK84" s="798"/>
      <c r="DSL84" s="798"/>
      <c r="DSM84" s="798"/>
      <c r="DSN84" s="798"/>
      <c r="DSO84" s="798"/>
      <c r="DSP84" s="798"/>
      <c r="DSQ84" s="798"/>
      <c r="DSR84" s="798"/>
      <c r="DSS84" s="798"/>
      <c r="DST84" s="798"/>
      <c r="DSU84" s="798"/>
      <c r="DSV84" s="798"/>
      <c r="DSW84" s="798"/>
      <c r="DSX84" s="798"/>
      <c r="DSY84" s="798"/>
      <c r="DSZ84" s="798"/>
      <c r="DTA84" s="798"/>
      <c r="DTB84" s="798"/>
      <c r="DTC84" s="798"/>
      <c r="DTD84" s="798"/>
      <c r="DTE84" s="798"/>
      <c r="DTF84" s="798"/>
      <c r="DTG84" s="798"/>
      <c r="DTH84" s="798"/>
      <c r="DTI84" s="798"/>
      <c r="DTJ84" s="798"/>
      <c r="DTK84" s="798"/>
      <c r="DTL84" s="798"/>
      <c r="DTM84" s="798"/>
      <c r="DTN84" s="798"/>
      <c r="DTO84" s="798"/>
      <c r="DTP84" s="798"/>
      <c r="DTQ84" s="798"/>
      <c r="DTR84" s="798"/>
      <c r="DTS84" s="798"/>
      <c r="DTT84" s="798"/>
      <c r="DTU84" s="798"/>
      <c r="DTV84" s="798"/>
      <c r="DTW84" s="798"/>
      <c r="DTX84" s="798"/>
      <c r="DTY84" s="798"/>
      <c r="DTZ84" s="798"/>
      <c r="DUA84" s="798"/>
      <c r="DUB84" s="798"/>
      <c r="DUC84" s="798"/>
      <c r="DUD84" s="798"/>
      <c r="DUE84" s="798"/>
      <c r="DUF84" s="798"/>
      <c r="DUG84" s="798"/>
      <c r="DUH84" s="798"/>
      <c r="DUI84" s="798"/>
      <c r="DUJ84" s="798"/>
      <c r="DUK84" s="798"/>
      <c r="DUL84" s="798"/>
      <c r="DUM84" s="798"/>
      <c r="DUN84" s="798"/>
      <c r="DUO84" s="798"/>
      <c r="DUP84" s="798"/>
      <c r="DUQ84" s="798"/>
      <c r="DUR84" s="798"/>
      <c r="DUS84" s="798"/>
      <c r="DUT84" s="798"/>
      <c r="DUU84" s="798"/>
      <c r="DUV84" s="798"/>
      <c r="DUW84" s="798"/>
      <c r="DUX84" s="798"/>
      <c r="DUY84" s="798"/>
      <c r="DUZ84" s="798"/>
      <c r="DVA84" s="798"/>
      <c r="DVB84" s="798"/>
      <c r="DVC84" s="798"/>
      <c r="DVD84" s="798"/>
      <c r="DVE84" s="798"/>
      <c r="DVF84" s="798"/>
      <c r="DVG84" s="798"/>
      <c r="DVH84" s="798"/>
      <c r="DVI84" s="798"/>
      <c r="DVJ84" s="798"/>
      <c r="DVK84" s="798"/>
      <c r="DVL84" s="798"/>
      <c r="DVM84" s="798"/>
      <c r="DVN84" s="798"/>
      <c r="DVO84" s="798"/>
      <c r="DVP84" s="798"/>
      <c r="DVQ84" s="798"/>
      <c r="DVR84" s="798"/>
      <c r="DVS84" s="798"/>
      <c r="DVT84" s="798"/>
      <c r="DVU84" s="798"/>
      <c r="DVV84" s="798"/>
      <c r="DVW84" s="798"/>
      <c r="DVX84" s="798"/>
      <c r="DVY84" s="798"/>
      <c r="DVZ84" s="798"/>
      <c r="DWA84" s="798"/>
      <c r="DWB84" s="798"/>
      <c r="DWC84" s="798"/>
      <c r="DWD84" s="798"/>
      <c r="DWE84" s="798"/>
      <c r="DWF84" s="798"/>
      <c r="DWG84" s="798"/>
      <c r="DWH84" s="798"/>
      <c r="DWI84" s="798"/>
      <c r="DWJ84" s="798"/>
      <c r="DWK84" s="798"/>
      <c r="DWL84" s="798"/>
      <c r="DWM84" s="798"/>
      <c r="DWN84" s="798"/>
      <c r="DWO84" s="798"/>
      <c r="DWP84" s="798"/>
      <c r="DWQ84" s="798"/>
      <c r="DWR84" s="798"/>
      <c r="DWS84" s="798"/>
      <c r="DWT84" s="798"/>
      <c r="DWU84" s="798"/>
      <c r="DWV84" s="798"/>
      <c r="DWW84" s="798"/>
      <c r="DWX84" s="798"/>
      <c r="DWY84" s="798"/>
      <c r="DWZ84" s="798"/>
      <c r="DXA84" s="798"/>
      <c r="DXB84" s="798"/>
      <c r="DXC84" s="798"/>
      <c r="DXD84" s="798"/>
      <c r="DXE84" s="798"/>
      <c r="DXF84" s="798"/>
      <c r="DXG84" s="798"/>
      <c r="DXH84" s="798"/>
      <c r="DXI84" s="798"/>
      <c r="DXJ84" s="798"/>
      <c r="DXK84" s="798"/>
      <c r="DXL84" s="798"/>
      <c r="DXM84" s="798"/>
      <c r="DXN84" s="798"/>
      <c r="DXO84" s="798"/>
      <c r="DXP84" s="798"/>
      <c r="DXQ84" s="798"/>
      <c r="DXR84" s="798"/>
      <c r="DXS84" s="798"/>
      <c r="DXT84" s="798"/>
      <c r="DXU84" s="798"/>
      <c r="DXV84" s="798"/>
      <c r="DXW84" s="798"/>
      <c r="DXX84" s="798"/>
      <c r="DXY84" s="798"/>
      <c r="DXZ84" s="798"/>
      <c r="DYA84" s="798"/>
      <c r="DYB84" s="798"/>
      <c r="DYC84" s="798"/>
      <c r="DYD84" s="798"/>
      <c r="DYE84" s="798"/>
      <c r="DYF84" s="798"/>
      <c r="DYG84" s="798"/>
      <c r="DYH84" s="798"/>
      <c r="DYI84" s="798"/>
      <c r="DYJ84" s="798"/>
      <c r="DYK84" s="798"/>
      <c r="DYL84" s="798"/>
      <c r="DYM84" s="798"/>
      <c r="DYN84" s="798"/>
      <c r="DYO84" s="798"/>
      <c r="DYP84" s="798"/>
      <c r="DYQ84" s="798"/>
      <c r="DYR84" s="798"/>
      <c r="DYS84" s="798"/>
      <c r="DYT84" s="798"/>
      <c r="DYU84" s="798"/>
      <c r="DYV84" s="798"/>
      <c r="DYW84" s="798"/>
      <c r="DYX84" s="798"/>
      <c r="DYY84" s="798"/>
      <c r="DYZ84" s="798"/>
      <c r="DZA84" s="798"/>
      <c r="DZB84" s="798"/>
      <c r="DZC84" s="798"/>
      <c r="DZD84" s="798"/>
      <c r="DZE84" s="798"/>
      <c r="DZF84" s="798"/>
      <c r="DZG84" s="798"/>
      <c r="DZH84" s="798"/>
      <c r="DZI84" s="798"/>
      <c r="DZJ84" s="798"/>
      <c r="DZK84" s="798"/>
      <c r="DZL84" s="798"/>
      <c r="DZM84" s="798"/>
      <c r="DZN84" s="798"/>
      <c r="DZO84" s="798"/>
      <c r="DZP84" s="798"/>
      <c r="DZQ84" s="798"/>
      <c r="DZR84" s="798"/>
      <c r="DZS84" s="798"/>
      <c r="DZT84" s="798"/>
      <c r="DZU84" s="798"/>
      <c r="DZV84" s="798"/>
      <c r="DZW84" s="798"/>
      <c r="DZX84" s="798"/>
      <c r="DZY84" s="798"/>
      <c r="DZZ84" s="798"/>
      <c r="EAA84" s="798"/>
      <c r="EAB84" s="798"/>
      <c r="EAC84" s="798"/>
      <c r="EAD84" s="798"/>
      <c r="EAE84" s="798"/>
      <c r="EAF84" s="798"/>
      <c r="EAG84" s="798"/>
      <c r="EAH84" s="798"/>
      <c r="EAI84" s="798"/>
      <c r="EAJ84" s="798"/>
      <c r="EAK84" s="798"/>
      <c r="EAL84" s="798"/>
      <c r="EAM84" s="798"/>
      <c r="EAN84" s="798"/>
      <c r="EAO84" s="798"/>
      <c r="EAP84" s="798"/>
      <c r="EAQ84" s="798"/>
      <c r="EAR84" s="798"/>
      <c r="EAS84" s="798"/>
      <c r="EAT84" s="798"/>
      <c r="EAU84" s="798"/>
      <c r="EAV84" s="798"/>
      <c r="EAW84" s="798"/>
      <c r="EAX84" s="798"/>
      <c r="EAY84" s="798"/>
      <c r="EAZ84" s="798"/>
      <c r="EBA84" s="798"/>
      <c r="EBB84" s="798"/>
      <c r="EBC84" s="798"/>
      <c r="EBD84" s="798"/>
      <c r="EBE84" s="798"/>
      <c r="EBF84" s="798"/>
      <c r="EBG84" s="798"/>
      <c r="EBH84" s="798"/>
      <c r="EBI84" s="798"/>
      <c r="EBJ84" s="798"/>
      <c r="EBK84" s="798"/>
      <c r="EBL84" s="798"/>
      <c r="EBM84" s="798"/>
      <c r="EBN84" s="798"/>
      <c r="EBO84" s="798"/>
      <c r="EBP84" s="798"/>
      <c r="EBQ84" s="798"/>
      <c r="EBR84" s="798"/>
      <c r="EBS84" s="798"/>
      <c r="EBT84" s="798"/>
      <c r="EBU84" s="798"/>
      <c r="EBV84" s="798"/>
      <c r="EBW84" s="798"/>
      <c r="EBX84" s="798"/>
      <c r="EBY84" s="798"/>
      <c r="EBZ84" s="798"/>
      <c r="ECA84" s="798"/>
      <c r="ECB84" s="798"/>
      <c r="ECC84" s="798"/>
      <c r="ECD84" s="798"/>
      <c r="ECE84" s="798"/>
      <c r="ECF84" s="798"/>
      <c r="ECG84" s="798"/>
      <c r="ECH84" s="798"/>
      <c r="ECI84" s="798"/>
      <c r="ECJ84" s="798"/>
      <c r="ECK84" s="798"/>
      <c r="ECL84" s="798"/>
      <c r="ECM84" s="798"/>
      <c r="ECN84" s="798"/>
      <c r="ECO84" s="798"/>
      <c r="ECP84" s="798"/>
      <c r="ECQ84" s="798"/>
      <c r="ECR84" s="798"/>
      <c r="ECS84" s="798"/>
      <c r="ECT84" s="798"/>
      <c r="ECU84" s="798"/>
      <c r="ECV84" s="798"/>
      <c r="ECW84" s="798"/>
      <c r="ECX84" s="798"/>
      <c r="ECY84" s="798"/>
      <c r="ECZ84" s="798"/>
      <c r="EDA84" s="798"/>
      <c r="EDB84" s="798"/>
      <c r="EDC84" s="798"/>
      <c r="EDD84" s="798"/>
      <c r="EDE84" s="798"/>
      <c r="EDF84" s="798"/>
      <c r="EDG84" s="798"/>
      <c r="EDH84" s="798"/>
      <c r="EDI84" s="798"/>
      <c r="EDJ84" s="798"/>
      <c r="EDK84" s="798"/>
      <c r="EDL84" s="798"/>
      <c r="EDM84" s="798"/>
      <c r="EDN84" s="798"/>
      <c r="EDO84" s="798"/>
      <c r="EDP84" s="798"/>
      <c r="EDQ84" s="798"/>
      <c r="EDR84" s="798"/>
      <c r="EDS84" s="798"/>
      <c r="EDT84" s="798"/>
      <c r="EDU84" s="798"/>
      <c r="EDV84" s="798"/>
      <c r="EDW84" s="798"/>
      <c r="EDX84" s="798"/>
      <c r="EDY84" s="798"/>
      <c r="EDZ84" s="798"/>
      <c r="EEA84" s="798"/>
      <c r="EEB84" s="798"/>
      <c r="EEC84" s="798"/>
      <c r="EED84" s="798"/>
      <c r="EEE84" s="798"/>
      <c r="EEF84" s="798"/>
      <c r="EEG84" s="798"/>
      <c r="EEH84" s="798"/>
      <c r="EEI84" s="798"/>
      <c r="EEJ84" s="798"/>
      <c r="EEK84" s="798"/>
      <c r="EEL84" s="798"/>
      <c r="EEM84" s="798"/>
      <c r="EEN84" s="798"/>
      <c r="EEO84" s="798"/>
      <c r="EEP84" s="798"/>
      <c r="EEQ84" s="798"/>
      <c r="EER84" s="798"/>
      <c r="EES84" s="798"/>
      <c r="EET84" s="798"/>
      <c r="EEU84" s="798"/>
      <c r="EEV84" s="798"/>
      <c r="EEW84" s="798"/>
      <c r="EEX84" s="798"/>
      <c r="EEY84" s="798"/>
      <c r="EEZ84" s="798"/>
      <c r="EFA84" s="798"/>
      <c r="EFB84" s="798"/>
      <c r="EFC84" s="798"/>
      <c r="EFD84" s="798"/>
      <c r="EFE84" s="798"/>
      <c r="EFF84" s="798"/>
      <c r="EFG84" s="798"/>
      <c r="EFH84" s="798"/>
      <c r="EFI84" s="798"/>
      <c r="EFJ84" s="798"/>
      <c r="EFK84" s="798"/>
      <c r="EFL84" s="798"/>
      <c r="EFM84" s="798"/>
      <c r="EFN84" s="798"/>
      <c r="EFO84" s="798"/>
      <c r="EFP84" s="798"/>
      <c r="EFQ84" s="798"/>
      <c r="EFR84" s="798"/>
      <c r="EFS84" s="798"/>
      <c r="EFT84" s="798"/>
      <c r="EFU84" s="798"/>
      <c r="EFV84" s="798"/>
      <c r="EFW84" s="798"/>
      <c r="EFX84" s="798"/>
      <c r="EFY84" s="798"/>
      <c r="EFZ84" s="798"/>
      <c r="EGA84" s="798"/>
      <c r="EGB84" s="798"/>
      <c r="EGC84" s="798"/>
      <c r="EGD84" s="798"/>
      <c r="EGE84" s="798"/>
      <c r="EGF84" s="798"/>
      <c r="EGG84" s="798"/>
      <c r="EGH84" s="798"/>
      <c r="EGI84" s="798"/>
      <c r="EGJ84" s="798"/>
      <c r="EGK84" s="798"/>
      <c r="EGL84" s="798"/>
      <c r="EGM84" s="798"/>
      <c r="EGN84" s="798"/>
      <c r="EGO84" s="798"/>
      <c r="EGP84" s="798"/>
      <c r="EGQ84" s="798"/>
      <c r="EGR84" s="798"/>
      <c r="EGS84" s="798"/>
      <c r="EGT84" s="798"/>
      <c r="EGU84" s="798"/>
      <c r="EGV84" s="798"/>
      <c r="EGW84" s="798"/>
      <c r="EGX84" s="798"/>
      <c r="EGY84" s="798"/>
      <c r="EGZ84" s="798"/>
      <c r="EHA84" s="798"/>
      <c r="EHB84" s="798"/>
      <c r="EHC84" s="798"/>
      <c r="EHD84" s="798"/>
      <c r="EHE84" s="798"/>
      <c r="EHF84" s="798"/>
      <c r="EHG84" s="798"/>
      <c r="EHH84" s="798"/>
      <c r="EHI84" s="798"/>
      <c r="EHJ84" s="798"/>
      <c r="EHK84" s="798"/>
      <c r="EHL84" s="798"/>
      <c r="EHM84" s="798"/>
      <c r="EHN84" s="798"/>
      <c r="EHO84" s="798"/>
      <c r="EHP84" s="798"/>
      <c r="EHQ84" s="798"/>
      <c r="EHR84" s="798"/>
      <c r="EHS84" s="798"/>
      <c r="EHT84" s="798"/>
      <c r="EHU84" s="798"/>
      <c r="EHV84" s="798"/>
      <c r="EHW84" s="798"/>
      <c r="EHX84" s="798"/>
      <c r="EHY84" s="798"/>
      <c r="EHZ84" s="798"/>
      <c r="EIA84" s="798"/>
      <c r="EIB84" s="798"/>
      <c r="EIC84" s="798"/>
      <c r="EID84" s="798"/>
      <c r="EIE84" s="798"/>
      <c r="EIF84" s="798"/>
      <c r="EIG84" s="798"/>
      <c r="EIH84" s="798"/>
      <c r="EII84" s="798"/>
      <c r="EIJ84" s="798"/>
      <c r="EIK84" s="798"/>
      <c r="EIL84" s="798"/>
      <c r="EIM84" s="798"/>
      <c r="EIN84" s="798"/>
      <c r="EIO84" s="798"/>
      <c r="EIP84" s="798"/>
      <c r="EIQ84" s="798"/>
      <c r="EIR84" s="798"/>
      <c r="EIS84" s="798"/>
      <c r="EIT84" s="798"/>
      <c r="EIU84" s="798"/>
      <c r="EIV84" s="798"/>
      <c r="EIW84" s="798"/>
      <c r="EIX84" s="798"/>
      <c r="EIY84" s="798"/>
      <c r="EIZ84" s="798"/>
      <c r="EJA84" s="798"/>
      <c r="EJB84" s="798"/>
      <c r="EJC84" s="798"/>
      <c r="EJD84" s="798"/>
      <c r="EJE84" s="798"/>
      <c r="EJF84" s="798"/>
      <c r="EJG84" s="798"/>
      <c r="EJH84" s="798"/>
      <c r="EJI84" s="798"/>
      <c r="EJJ84" s="798"/>
      <c r="EJK84" s="798"/>
      <c r="EJL84" s="798"/>
      <c r="EJM84" s="798"/>
      <c r="EJN84" s="798"/>
      <c r="EJO84" s="798"/>
      <c r="EJP84" s="798"/>
      <c r="EJQ84" s="798"/>
      <c r="EJR84" s="798"/>
      <c r="EJS84" s="798"/>
      <c r="EJT84" s="798"/>
      <c r="EJU84" s="798"/>
      <c r="EJV84" s="798"/>
      <c r="EJW84" s="798"/>
      <c r="EJX84" s="798"/>
      <c r="EJY84" s="798"/>
      <c r="EJZ84" s="798"/>
      <c r="EKA84" s="798"/>
      <c r="EKB84" s="798"/>
      <c r="EKC84" s="798"/>
      <c r="EKD84" s="798"/>
      <c r="EKE84" s="798"/>
      <c r="EKF84" s="798"/>
      <c r="EKG84" s="798"/>
      <c r="EKH84" s="798"/>
      <c r="EKI84" s="798"/>
      <c r="EKJ84" s="798"/>
      <c r="EKK84" s="798"/>
      <c r="EKL84" s="798"/>
      <c r="EKM84" s="798"/>
      <c r="EKN84" s="798"/>
      <c r="EKO84" s="798"/>
      <c r="EKP84" s="798"/>
      <c r="EKQ84" s="798"/>
      <c r="EKR84" s="798"/>
      <c r="EKS84" s="798"/>
      <c r="EKT84" s="798"/>
      <c r="EKU84" s="798"/>
      <c r="EKV84" s="798"/>
      <c r="EKW84" s="798"/>
      <c r="EKX84" s="798"/>
      <c r="EKY84" s="798"/>
      <c r="EKZ84" s="798"/>
      <c r="ELA84" s="798"/>
      <c r="ELB84" s="798"/>
      <c r="ELC84" s="798"/>
      <c r="ELD84" s="798"/>
      <c r="ELE84" s="798"/>
      <c r="ELF84" s="798"/>
      <c r="ELG84" s="798"/>
      <c r="ELH84" s="798"/>
      <c r="ELI84" s="798"/>
      <c r="ELJ84" s="798"/>
      <c r="ELK84" s="798"/>
      <c r="ELL84" s="798"/>
      <c r="ELM84" s="798"/>
      <c r="ELN84" s="798"/>
      <c r="ELO84" s="798"/>
      <c r="ELP84" s="798"/>
      <c r="ELQ84" s="798"/>
      <c r="ELR84" s="798"/>
      <c r="ELS84" s="798"/>
      <c r="ELT84" s="798"/>
      <c r="ELU84" s="798"/>
      <c r="ELV84" s="798"/>
      <c r="ELW84" s="798"/>
      <c r="ELX84" s="798"/>
      <c r="ELY84" s="798"/>
      <c r="ELZ84" s="798"/>
      <c r="EMA84" s="798"/>
      <c r="EMB84" s="798"/>
      <c r="EMC84" s="798"/>
      <c r="EMD84" s="798"/>
      <c r="EME84" s="798"/>
      <c r="EMF84" s="798"/>
      <c r="EMG84" s="798"/>
      <c r="EMH84" s="798"/>
      <c r="EMI84" s="798"/>
      <c r="EMJ84" s="798"/>
      <c r="EMK84" s="798"/>
      <c r="EML84" s="798"/>
      <c r="EMM84" s="798"/>
      <c r="EMN84" s="798"/>
      <c r="EMO84" s="798"/>
      <c r="EMP84" s="798"/>
      <c r="EMQ84" s="798"/>
      <c r="EMR84" s="798"/>
      <c r="EMS84" s="798"/>
      <c r="EMT84" s="798"/>
      <c r="EMU84" s="798"/>
      <c r="EMV84" s="798"/>
      <c r="EMW84" s="798"/>
      <c r="EMX84" s="798"/>
      <c r="EMY84" s="798"/>
      <c r="EMZ84" s="798"/>
      <c r="ENA84" s="798"/>
      <c r="ENB84" s="798"/>
      <c r="ENC84" s="798"/>
      <c r="END84" s="798"/>
      <c r="ENE84" s="798"/>
      <c r="ENF84" s="798"/>
      <c r="ENG84" s="798"/>
      <c r="ENH84" s="798"/>
      <c r="ENI84" s="798"/>
      <c r="ENJ84" s="798"/>
      <c r="ENK84" s="798"/>
      <c r="ENL84" s="798"/>
      <c r="ENM84" s="798"/>
      <c r="ENN84" s="798"/>
      <c r="ENO84" s="798"/>
      <c r="ENP84" s="798"/>
      <c r="ENQ84" s="798"/>
      <c r="ENR84" s="798"/>
      <c r="ENS84" s="798"/>
      <c r="ENT84" s="798"/>
      <c r="ENU84" s="798"/>
      <c r="ENV84" s="798"/>
      <c r="ENW84" s="798"/>
      <c r="ENX84" s="798"/>
      <c r="ENY84" s="798"/>
      <c r="ENZ84" s="798"/>
      <c r="EOA84" s="798"/>
      <c r="EOB84" s="798"/>
      <c r="EOC84" s="798"/>
      <c r="EOD84" s="798"/>
      <c r="EOE84" s="798"/>
      <c r="EOF84" s="798"/>
      <c r="EOG84" s="798"/>
      <c r="EOH84" s="798"/>
      <c r="EOI84" s="798"/>
      <c r="EOJ84" s="798"/>
      <c r="EOK84" s="798"/>
      <c r="EOL84" s="798"/>
      <c r="EOM84" s="798"/>
      <c r="EON84" s="798"/>
      <c r="EOO84" s="798"/>
      <c r="EOP84" s="798"/>
      <c r="EOQ84" s="798"/>
      <c r="EOR84" s="798"/>
      <c r="EOS84" s="798"/>
      <c r="EOT84" s="798"/>
      <c r="EOU84" s="798"/>
      <c r="EOV84" s="798"/>
      <c r="EOW84" s="798"/>
      <c r="EOX84" s="798"/>
      <c r="EOY84" s="798"/>
      <c r="EOZ84" s="798"/>
      <c r="EPA84" s="798"/>
      <c r="EPB84" s="798"/>
      <c r="EPC84" s="798"/>
      <c r="EPD84" s="798"/>
      <c r="EPE84" s="798"/>
      <c r="EPF84" s="798"/>
      <c r="EPG84" s="798"/>
      <c r="EPH84" s="798"/>
      <c r="EPI84" s="798"/>
      <c r="EPJ84" s="798"/>
      <c r="EPK84" s="798"/>
      <c r="EPL84" s="798"/>
      <c r="EPM84" s="798"/>
      <c r="EPN84" s="798"/>
      <c r="EPO84" s="798"/>
      <c r="EPP84" s="798"/>
      <c r="EPQ84" s="798"/>
      <c r="EPR84" s="798"/>
      <c r="EPS84" s="798"/>
      <c r="EPT84" s="798"/>
      <c r="EPU84" s="798"/>
      <c r="EPV84" s="798"/>
      <c r="EPW84" s="798"/>
      <c r="EPX84" s="798"/>
      <c r="EPY84" s="798"/>
      <c r="EPZ84" s="798"/>
      <c r="EQA84" s="798"/>
      <c r="EQB84" s="798"/>
      <c r="EQC84" s="798"/>
      <c r="EQD84" s="798"/>
      <c r="EQE84" s="798"/>
      <c r="EQF84" s="798"/>
      <c r="EQG84" s="798"/>
      <c r="EQH84" s="798"/>
      <c r="EQI84" s="798"/>
      <c r="EQJ84" s="798"/>
      <c r="EQK84" s="798"/>
      <c r="EQL84" s="798"/>
      <c r="EQM84" s="798"/>
      <c r="EQN84" s="798"/>
      <c r="EQO84" s="798"/>
      <c r="EQP84" s="798"/>
      <c r="EQQ84" s="798"/>
      <c r="EQR84" s="798"/>
      <c r="EQS84" s="798"/>
      <c r="EQT84" s="798"/>
      <c r="EQU84" s="798"/>
      <c r="EQV84" s="798"/>
      <c r="EQW84" s="798"/>
      <c r="EQX84" s="798"/>
      <c r="EQY84" s="798"/>
      <c r="EQZ84" s="798"/>
      <c r="ERA84" s="798"/>
      <c r="ERB84" s="798"/>
      <c r="ERC84" s="798"/>
      <c r="ERD84" s="798"/>
      <c r="ERE84" s="798"/>
      <c r="ERF84" s="798"/>
      <c r="ERG84" s="798"/>
      <c r="ERH84" s="798"/>
      <c r="ERI84" s="798"/>
      <c r="ERJ84" s="798"/>
      <c r="ERK84" s="798"/>
      <c r="ERL84" s="798"/>
      <c r="ERM84" s="798"/>
      <c r="ERN84" s="798"/>
      <c r="ERO84" s="798"/>
      <c r="ERP84" s="798"/>
      <c r="ERQ84" s="798"/>
      <c r="ERR84" s="798"/>
      <c r="ERS84" s="798"/>
      <c r="ERT84" s="798"/>
      <c r="ERU84" s="798"/>
      <c r="ERV84" s="798"/>
      <c r="ERW84" s="798"/>
      <c r="ERX84" s="798"/>
      <c r="ERY84" s="798"/>
      <c r="ERZ84" s="798"/>
      <c r="ESA84" s="798"/>
      <c r="ESB84" s="798"/>
      <c r="ESC84" s="798"/>
      <c r="ESD84" s="798"/>
      <c r="ESE84" s="798"/>
      <c r="ESF84" s="798"/>
      <c r="ESG84" s="798"/>
      <c r="ESH84" s="798"/>
      <c r="ESI84" s="798"/>
      <c r="ESJ84" s="798"/>
      <c r="ESK84" s="798"/>
      <c r="ESL84" s="798"/>
      <c r="ESM84" s="798"/>
      <c r="ESN84" s="798"/>
      <c r="ESO84" s="798"/>
      <c r="ESP84" s="798"/>
      <c r="ESQ84" s="798"/>
      <c r="ESR84" s="798"/>
      <c r="ESS84" s="798"/>
      <c r="EST84" s="798"/>
      <c r="ESU84" s="798"/>
      <c r="ESV84" s="798"/>
      <c r="ESW84" s="798"/>
      <c r="ESX84" s="798"/>
      <c r="ESY84" s="798"/>
      <c r="ESZ84" s="798"/>
      <c r="ETA84" s="798"/>
      <c r="ETB84" s="798"/>
      <c r="ETC84" s="798"/>
      <c r="ETD84" s="798"/>
      <c r="ETE84" s="798"/>
      <c r="ETF84" s="798"/>
      <c r="ETG84" s="798"/>
      <c r="ETH84" s="798"/>
      <c r="ETI84" s="798"/>
      <c r="ETJ84" s="798"/>
      <c r="ETK84" s="798"/>
      <c r="ETL84" s="798"/>
      <c r="ETM84" s="798"/>
      <c r="ETN84" s="798"/>
      <c r="ETO84" s="798"/>
      <c r="ETP84" s="798"/>
      <c r="ETQ84" s="798"/>
      <c r="ETR84" s="798"/>
      <c r="ETS84" s="798"/>
      <c r="ETT84" s="798"/>
      <c r="ETU84" s="798"/>
      <c r="ETV84" s="798"/>
      <c r="ETW84" s="798"/>
      <c r="ETX84" s="798"/>
      <c r="ETY84" s="798"/>
      <c r="ETZ84" s="798"/>
      <c r="EUA84" s="798"/>
      <c r="EUB84" s="798"/>
      <c r="EUC84" s="798"/>
      <c r="EUD84" s="798"/>
      <c r="EUE84" s="798"/>
      <c r="EUF84" s="798"/>
      <c r="EUG84" s="798"/>
      <c r="EUH84" s="798"/>
      <c r="EUI84" s="798"/>
      <c r="EUJ84" s="798"/>
      <c r="EUK84" s="798"/>
      <c r="EUL84" s="798"/>
      <c r="EUM84" s="798"/>
      <c r="EUN84" s="798"/>
      <c r="EUO84" s="798"/>
      <c r="EUP84" s="798"/>
      <c r="EUQ84" s="798"/>
      <c r="EUR84" s="798"/>
      <c r="EUS84" s="798"/>
      <c r="EUT84" s="798"/>
      <c r="EUU84" s="798"/>
      <c r="EUV84" s="798"/>
      <c r="EUW84" s="798"/>
      <c r="EUX84" s="798"/>
      <c r="EUY84" s="798"/>
      <c r="EUZ84" s="798"/>
      <c r="EVA84" s="798"/>
      <c r="EVB84" s="798"/>
      <c r="EVC84" s="798"/>
      <c r="EVD84" s="798"/>
      <c r="EVE84" s="798"/>
      <c r="EVF84" s="798"/>
      <c r="EVG84" s="798"/>
      <c r="EVH84" s="798"/>
      <c r="EVI84" s="798"/>
      <c r="EVJ84" s="798"/>
      <c r="EVK84" s="798"/>
      <c r="EVL84" s="798"/>
      <c r="EVM84" s="798"/>
      <c r="EVN84" s="798"/>
      <c r="EVO84" s="798"/>
      <c r="EVP84" s="798"/>
      <c r="EVQ84" s="798"/>
      <c r="EVR84" s="798"/>
      <c r="EVS84" s="798"/>
      <c r="EVT84" s="798"/>
      <c r="EVU84" s="798"/>
      <c r="EVV84" s="798"/>
      <c r="EVW84" s="798"/>
      <c r="EVX84" s="798"/>
      <c r="EVY84" s="798"/>
      <c r="EVZ84" s="798"/>
      <c r="EWA84" s="798"/>
      <c r="EWB84" s="798"/>
      <c r="EWC84" s="798"/>
      <c r="EWD84" s="798"/>
      <c r="EWE84" s="798"/>
      <c r="EWF84" s="798"/>
      <c r="EWG84" s="798"/>
      <c r="EWH84" s="798"/>
      <c r="EWI84" s="798"/>
      <c r="EWJ84" s="798"/>
      <c r="EWK84" s="798"/>
      <c r="EWL84" s="798"/>
      <c r="EWM84" s="798"/>
      <c r="EWN84" s="798"/>
      <c r="EWO84" s="798"/>
      <c r="EWP84" s="798"/>
      <c r="EWQ84" s="798"/>
      <c r="EWR84" s="798"/>
      <c r="EWS84" s="798"/>
      <c r="EWT84" s="798"/>
      <c r="EWU84" s="798"/>
      <c r="EWV84" s="798"/>
      <c r="EWW84" s="798"/>
      <c r="EWX84" s="798"/>
      <c r="EWY84" s="798"/>
      <c r="EWZ84" s="798"/>
      <c r="EXA84" s="798"/>
      <c r="EXB84" s="798"/>
      <c r="EXC84" s="798"/>
      <c r="EXD84" s="798"/>
      <c r="EXE84" s="798"/>
      <c r="EXF84" s="798"/>
      <c r="EXG84" s="798"/>
      <c r="EXH84" s="798"/>
      <c r="EXI84" s="798"/>
      <c r="EXJ84" s="798"/>
      <c r="EXK84" s="798"/>
      <c r="EXL84" s="798"/>
      <c r="EXM84" s="798"/>
      <c r="EXN84" s="798"/>
      <c r="EXO84" s="798"/>
      <c r="EXP84" s="798"/>
      <c r="EXQ84" s="798"/>
      <c r="EXR84" s="798"/>
      <c r="EXS84" s="798"/>
      <c r="EXT84" s="798"/>
      <c r="EXU84" s="798"/>
      <c r="EXV84" s="798"/>
      <c r="EXW84" s="798"/>
      <c r="EXX84" s="798"/>
      <c r="EXY84" s="798"/>
      <c r="EXZ84" s="798"/>
      <c r="EYA84" s="798"/>
      <c r="EYB84" s="798"/>
      <c r="EYC84" s="798"/>
      <c r="EYD84" s="798"/>
      <c r="EYE84" s="798"/>
      <c r="EYF84" s="798"/>
      <c r="EYG84" s="798"/>
      <c r="EYH84" s="798"/>
      <c r="EYI84" s="798"/>
      <c r="EYJ84" s="798"/>
      <c r="EYK84" s="798"/>
      <c r="EYL84" s="798"/>
      <c r="EYM84" s="798"/>
      <c r="EYN84" s="798"/>
      <c r="EYO84" s="798"/>
      <c r="EYP84" s="798"/>
      <c r="EYQ84" s="798"/>
      <c r="EYR84" s="798"/>
      <c r="EYS84" s="798"/>
      <c r="EYT84" s="798"/>
      <c r="EYU84" s="798"/>
      <c r="EYV84" s="798"/>
      <c r="EYW84" s="798"/>
      <c r="EYX84" s="798"/>
      <c r="EYY84" s="798"/>
      <c r="EYZ84" s="798"/>
      <c r="EZA84" s="798"/>
      <c r="EZB84" s="798"/>
      <c r="EZC84" s="798"/>
      <c r="EZD84" s="798"/>
      <c r="EZE84" s="798"/>
      <c r="EZF84" s="798"/>
      <c r="EZG84" s="798"/>
      <c r="EZH84" s="798"/>
      <c r="EZI84" s="798"/>
      <c r="EZJ84" s="798"/>
      <c r="EZK84" s="798"/>
      <c r="EZL84" s="798"/>
      <c r="EZM84" s="798"/>
      <c r="EZN84" s="798"/>
      <c r="EZO84" s="798"/>
      <c r="EZP84" s="798"/>
      <c r="EZQ84" s="798"/>
      <c r="EZR84" s="798"/>
      <c r="EZS84" s="798"/>
      <c r="EZT84" s="798"/>
      <c r="EZU84" s="798"/>
      <c r="EZV84" s="798"/>
      <c r="EZW84" s="798"/>
      <c r="EZX84" s="798"/>
      <c r="EZY84" s="798"/>
      <c r="EZZ84" s="798"/>
      <c r="FAA84" s="798"/>
      <c r="FAB84" s="798"/>
      <c r="FAC84" s="798"/>
      <c r="FAD84" s="798"/>
      <c r="FAE84" s="798"/>
      <c r="FAF84" s="798"/>
      <c r="FAG84" s="798"/>
      <c r="FAH84" s="798"/>
      <c r="FAI84" s="798"/>
      <c r="FAJ84" s="798"/>
      <c r="FAK84" s="798"/>
      <c r="FAL84" s="798"/>
      <c r="FAM84" s="798"/>
      <c r="FAN84" s="798"/>
      <c r="FAO84" s="798"/>
      <c r="FAP84" s="798"/>
      <c r="FAQ84" s="798"/>
      <c r="FAR84" s="798"/>
      <c r="FAS84" s="798"/>
      <c r="FAT84" s="798"/>
      <c r="FAU84" s="798"/>
      <c r="FAV84" s="798"/>
      <c r="FAW84" s="798"/>
      <c r="FAX84" s="798"/>
      <c r="FAY84" s="798"/>
      <c r="FAZ84" s="798"/>
      <c r="FBA84" s="798"/>
      <c r="FBB84" s="798"/>
      <c r="FBC84" s="798"/>
      <c r="FBD84" s="798"/>
      <c r="FBE84" s="798"/>
      <c r="FBF84" s="798"/>
      <c r="FBG84" s="798"/>
      <c r="FBH84" s="798"/>
      <c r="FBI84" s="798"/>
      <c r="FBJ84" s="798"/>
      <c r="FBK84" s="798"/>
      <c r="FBL84" s="798"/>
      <c r="FBM84" s="798"/>
      <c r="FBN84" s="798"/>
      <c r="FBO84" s="798"/>
      <c r="FBP84" s="798"/>
      <c r="FBQ84" s="798"/>
      <c r="FBR84" s="798"/>
      <c r="FBS84" s="798"/>
      <c r="FBT84" s="798"/>
      <c r="FBU84" s="798"/>
      <c r="FBV84" s="798"/>
      <c r="FBW84" s="798"/>
      <c r="FBX84" s="798"/>
      <c r="FBY84" s="798"/>
      <c r="FBZ84" s="798"/>
      <c r="FCA84" s="798"/>
      <c r="FCB84" s="798"/>
      <c r="FCC84" s="798"/>
      <c r="FCD84" s="798"/>
      <c r="FCE84" s="798"/>
      <c r="FCF84" s="798"/>
      <c r="FCG84" s="798"/>
      <c r="FCH84" s="798"/>
      <c r="FCI84" s="798"/>
      <c r="FCJ84" s="798"/>
      <c r="FCK84" s="798"/>
      <c r="FCL84" s="798"/>
      <c r="FCM84" s="798"/>
      <c r="FCN84" s="798"/>
      <c r="FCO84" s="798"/>
      <c r="FCP84" s="798"/>
      <c r="FCQ84" s="798"/>
      <c r="FCR84" s="798"/>
      <c r="FCS84" s="798"/>
      <c r="FCT84" s="798"/>
      <c r="FCU84" s="798"/>
      <c r="FCV84" s="798"/>
      <c r="FCW84" s="798"/>
      <c r="FCX84" s="798"/>
      <c r="FCY84" s="798"/>
      <c r="FCZ84" s="798"/>
      <c r="FDA84" s="798"/>
      <c r="FDB84" s="798"/>
      <c r="FDC84" s="798"/>
      <c r="FDD84" s="798"/>
      <c r="FDE84" s="798"/>
      <c r="FDF84" s="798"/>
      <c r="FDG84" s="798"/>
      <c r="FDH84" s="798"/>
      <c r="FDI84" s="798"/>
      <c r="FDJ84" s="798"/>
      <c r="FDK84" s="798"/>
      <c r="FDL84" s="798"/>
      <c r="FDM84" s="798"/>
      <c r="FDN84" s="798"/>
      <c r="FDO84" s="798"/>
      <c r="FDP84" s="798"/>
      <c r="FDQ84" s="798"/>
      <c r="FDR84" s="798"/>
      <c r="FDS84" s="798"/>
      <c r="FDT84" s="798"/>
      <c r="FDU84" s="798"/>
      <c r="FDV84" s="798"/>
      <c r="FDW84" s="798"/>
      <c r="FDX84" s="798"/>
      <c r="FDY84" s="798"/>
      <c r="FDZ84" s="798"/>
      <c r="FEA84" s="798"/>
      <c r="FEB84" s="798"/>
      <c r="FEC84" s="798"/>
      <c r="FED84" s="798"/>
      <c r="FEE84" s="798"/>
      <c r="FEF84" s="798"/>
      <c r="FEG84" s="798"/>
      <c r="FEH84" s="798"/>
      <c r="FEI84" s="798"/>
      <c r="FEJ84" s="798"/>
      <c r="FEK84" s="798"/>
      <c r="FEL84" s="798"/>
      <c r="FEM84" s="798"/>
      <c r="FEN84" s="798"/>
      <c r="FEO84" s="798"/>
      <c r="FEP84" s="798"/>
      <c r="FEQ84" s="798"/>
      <c r="FER84" s="798"/>
      <c r="FES84" s="798"/>
      <c r="FET84" s="798"/>
      <c r="FEU84" s="798"/>
      <c r="FEV84" s="798"/>
      <c r="FEW84" s="798"/>
      <c r="FEX84" s="798"/>
      <c r="FEY84" s="798"/>
      <c r="FEZ84" s="798"/>
      <c r="FFA84" s="798"/>
      <c r="FFB84" s="798"/>
      <c r="FFC84" s="798"/>
      <c r="FFD84" s="798"/>
      <c r="FFE84" s="798"/>
      <c r="FFF84" s="798"/>
      <c r="FFG84" s="798"/>
      <c r="FFH84" s="798"/>
      <c r="FFI84" s="798"/>
      <c r="FFJ84" s="798"/>
      <c r="FFK84" s="798"/>
      <c r="FFL84" s="798"/>
      <c r="FFM84" s="798"/>
      <c r="FFN84" s="798"/>
      <c r="FFO84" s="798"/>
      <c r="FFP84" s="798"/>
      <c r="FFQ84" s="798"/>
      <c r="FFR84" s="798"/>
      <c r="FFS84" s="798"/>
      <c r="FFT84" s="798"/>
      <c r="FFU84" s="798"/>
      <c r="FFV84" s="798"/>
      <c r="FFW84" s="798"/>
      <c r="FFX84" s="798"/>
      <c r="FFY84" s="798"/>
      <c r="FFZ84" s="798"/>
      <c r="FGA84" s="798"/>
      <c r="FGB84" s="798"/>
      <c r="FGC84" s="798"/>
      <c r="FGD84" s="798"/>
      <c r="FGE84" s="798"/>
      <c r="FGF84" s="798"/>
      <c r="FGG84" s="798"/>
      <c r="FGH84" s="798"/>
      <c r="FGI84" s="798"/>
      <c r="FGJ84" s="798"/>
      <c r="FGK84" s="798"/>
      <c r="FGL84" s="798"/>
      <c r="FGM84" s="798"/>
      <c r="FGN84" s="798"/>
      <c r="FGO84" s="798"/>
      <c r="FGP84" s="798"/>
      <c r="FGQ84" s="798"/>
      <c r="FGR84" s="798"/>
      <c r="FGS84" s="798"/>
      <c r="FGT84" s="798"/>
      <c r="FGU84" s="798"/>
      <c r="FGV84" s="798"/>
      <c r="FGW84" s="798"/>
      <c r="FGX84" s="798"/>
      <c r="FGY84" s="798"/>
      <c r="FGZ84" s="798"/>
      <c r="FHA84" s="798"/>
      <c r="FHB84" s="798"/>
      <c r="FHC84" s="798"/>
      <c r="FHD84" s="798"/>
      <c r="FHE84" s="798"/>
      <c r="FHF84" s="798"/>
      <c r="FHG84" s="798"/>
      <c r="FHH84" s="798"/>
      <c r="FHI84" s="798"/>
      <c r="FHJ84" s="798"/>
      <c r="FHK84" s="798"/>
      <c r="FHL84" s="798"/>
      <c r="FHM84" s="798"/>
      <c r="FHN84" s="798"/>
      <c r="FHO84" s="798"/>
      <c r="FHP84" s="798"/>
      <c r="FHQ84" s="798"/>
      <c r="FHR84" s="798"/>
      <c r="FHS84" s="798"/>
      <c r="FHT84" s="798"/>
      <c r="FHU84" s="798"/>
      <c r="FHV84" s="798"/>
      <c r="FHW84" s="798"/>
      <c r="FHX84" s="798"/>
      <c r="FHY84" s="798"/>
      <c r="FHZ84" s="798"/>
      <c r="FIA84" s="798"/>
      <c r="FIB84" s="798"/>
      <c r="FIC84" s="798"/>
      <c r="FID84" s="798"/>
      <c r="FIE84" s="798"/>
      <c r="FIF84" s="798"/>
      <c r="FIG84" s="798"/>
      <c r="FIH84" s="798"/>
      <c r="FII84" s="798"/>
      <c r="FIJ84" s="798"/>
      <c r="FIK84" s="798"/>
      <c r="FIL84" s="798"/>
      <c r="FIM84" s="798"/>
      <c r="FIN84" s="798"/>
      <c r="FIO84" s="798"/>
      <c r="FIP84" s="798"/>
      <c r="FIQ84" s="798"/>
      <c r="FIR84" s="798"/>
      <c r="FIS84" s="798"/>
      <c r="FIT84" s="798"/>
      <c r="FIU84" s="798"/>
      <c r="FIV84" s="798"/>
      <c r="FIW84" s="798"/>
      <c r="FIX84" s="798"/>
      <c r="FIY84" s="798"/>
      <c r="FIZ84" s="798"/>
      <c r="FJA84" s="798"/>
      <c r="FJB84" s="798"/>
      <c r="FJC84" s="798"/>
      <c r="FJD84" s="798"/>
      <c r="FJE84" s="798"/>
      <c r="FJF84" s="798"/>
      <c r="FJG84" s="798"/>
      <c r="FJH84" s="798"/>
      <c r="FJI84" s="798"/>
      <c r="FJJ84" s="798"/>
      <c r="FJK84" s="798"/>
      <c r="FJL84" s="798"/>
      <c r="FJM84" s="798"/>
      <c r="FJN84" s="798"/>
      <c r="FJO84" s="798"/>
      <c r="FJP84" s="798"/>
      <c r="FJQ84" s="798"/>
      <c r="FJR84" s="798"/>
      <c r="FJS84" s="798"/>
      <c r="FJT84" s="798"/>
      <c r="FJU84" s="798"/>
      <c r="FJV84" s="798"/>
      <c r="FJW84" s="798"/>
      <c r="FJX84" s="798"/>
      <c r="FJY84" s="798"/>
      <c r="FJZ84" s="798"/>
      <c r="FKA84" s="798"/>
      <c r="FKB84" s="798"/>
      <c r="FKC84" s="798"/>
      <c r="FKD84" s="798"/>
      <c r="FKE84" s="798"/>
      <c r="FKF84" s="798"/>
      <c r="FKG84" s="798"/>
      <c r="FKH84" s="798"/>
      <c r="FKI84" s="798"/>
      <c r="FKJ84" s="798"/>
      <c r="FKK84" s="798"/>
      <c r="FKL84" s="798"/>
      <c r="FKM84" s="798"/>
      <c r="FKN84" s="798"/>
      <c r="FKO84" s="798"/>
      <c r="FKP84" s="798"/>
      <c r="FKQ84" s="798"/>
      <c r="FKR84" s="798"/>
      <c r="FKS84" s="798"/>
      <c r="FKT84" s="798"/>
      <c r="FKU84" s="798"/>
      <c r="FKV84" s="798"/>
      <c r="FKW84" s="798"/>
      <c r="FKX84" s="798"/>
      <c r="FKY84" s="798"/>
      <c r="FKZ84" s="798"/>
      <c r="FLA84" s="798"/>
      <c r="FLB84" s="798"/>
      <c r="FLC84" s="798"/>
      <c r="FLD84" s="798"/>
      <c r="FLE84" s="798"/>
      <c r="FLF84" s="798"/>
      <c r="FLG84" s="798"/>
      <c r="FLH84" s="798"/>
      <c r="FLI84" s="798"/>
      <c r="FLJ84" s="798"/>
      <c r="FLK84" s="798"/>
      <c r="FLL84" s="798"/>
      <c r="FLM84" s="798"/>
      <c r="FLN84" s="798"/>
      <c r="FLO84" s="798"/>
      <c r="FLP84" s="798"/>
      <c r="FLQ84" s="798"/>
      <c r="FLR84" s="798"/>
      <c r="FLS84" s="798"/>
      <c r="FLT84" s="798"/>
      <c r="FLU84" s="798"/>
      <c r="FLV84" s="798"/>
      <c r="FLW84" s="798"/>
      <c r="FLX84" s="798"/>
      <c r="FLY84" s="798"/>
      <c r="FLZ84" s="798"/>
      <c r="FMA84" s="798"/>
      <c r="FMB84" s="798"/>
      <c r="FMC84" s="798"/>
      <c r="FMD84" s="798"/>
      <c r="FME84" s="798"/>
      <c r="FMF84" s="798"/>
      <c r="FMG84" s="798"/>
      <c r="FMH84" s="798"/>
      <c r="FMI84" s="798"/>
      <c r="FMJ84" s="798"/>
      <c r="FMK84" s="798"/>
      <c r="FML84" s="798"/>
      <c r="FMM84" s="798"/>
      <c r="FMN84" s="798"/>
      <c r="FMO84" s="798"/>
      <c r="FMP84" s="798"/>
      <c r="FMQ84" s="798"/>
      <c r="FMR84" s="798"/>
      <c r="FMS84" s="798"/>
      <c r="FMT84" s="798"/>
      <c r="FMU84" s="798"/>
      <c r="FMV84" s="798"/>
      <c r="FMW84" s="798"/>
      <c r="FMX84" s="798"/>
      <c r="FMY84" s="798"/>
      <c r="FMZ84" s="798"/>
      <c r="FNA84" s="798"/>
      <c r="FNB84" s="798"/>
      <c r="FNC84" s="798"/>
      <c r="FND84" s="798"/>
      <c r="FNE84" s="798"/>
      <c r="FNF84" s="798"/>
      <c r="FNG84" s="798"/>
      <c r="FNH84" s="798"/>
      <c r="FNI84" s="798"/>
      <c r="FNJ84" s="798"/>
      <c r="FNK84" s="798"/>
      <c r="FNL84" s="798"/>
      <c r="FNM84" s="798"/>
      <c r="FNN84" s="798"/>
      <c r="FNO84" s="798"/>
      <c r="FNP84" s="798"/>
      <c r="FNQ84" s="798"/>
      <c r="FNR84" s="798"/>
      <c r="FNS84" s="798"/>
      <c r="FNT84" s="798"/>
      <c r="FNU84" s="798"/>
      <c r="FNV84" s="798"/>
      <c r="FNW84" s="798"/>
      <c r="FNX84" s="798"/>
      <c r="FNY84" s="798"/>
      <c r="FNZ84" s="798"/>
      <c r="FOA84" s="798"/>
      <c r="FOB84" s="798"/>
      <c r="FOC84" s="798"/>
      <c r="FOD84" s="798"/>
      <c r="FOE84" s="798"/>
      <c r="FOF84" s="798"/>
      <c r="FOG84" s="798"/>
      <c r="FOH84" s="798"/>
      <c r="FOI84" s="798"/>
      <c r="FOJ84" s="798"/>
      <c r="FOK84" s="798"/>
      <c r="FOL84" s="798"/>
      <c r="FOM84" s="798"/>
      <c r="FON84" s="798"/>
      <c r="FOO84" s="798"/>
      <c r="FOP84" s="798"/>
      <c r="FOQ84" s="798"/>
      <c r="FOR84" s="798"/>
      <c r="FOS84" s="798"/>
      <c r="FOT84" s="798"/>
      <c r="FOU84" s="798"/>
      <c r="FOV84" s="798"/>
      <c r="FOW84" s="798"/>
      <c r="FOX84" s="798"/>
      <c r="FOY84" s="798"/>
      <c r="FOZ84" s="798"/>
      <c r="FPA84" s="798"/>
      <c r="FPB84" s="798"/>
      <c r="FPC84" s="798"/>
      <c r="FPD84" s="798"/>
      <c r="FPE84" s="798"/>
      <c r="FPF84" s="798"/>
      <c r="FPG84" s="798"/>
      <c r="FPH84" s="798"/>
      <c r="FPI84" s="798"/>
      <c r="FPJ84" s="798"/>
      <c r="FPK84" s="798"/>
      <c r="FPL84" s="798"/>
      <c r="FPM84" s="798"/>
      <c r="FPN84" s="798"/>
      <c r="FPO84" s="798"/>
      <c r="FPP84" s="798"/>
      <c r="FPQ84" s="798"/>
      <c r="FPR84" s="798"/>
      <c r="FPS84" s="798"/>
      <c r="FPT84" s="798"/>
      <c r="FPU84" s="798"/>
      <c r="FPV84" s="798"/>
      <c r="FPW84" s="798"/>
      <c r="FPX84" s="798"/>
      <c r="FPY84" s="798"/>
      <c r="FPZ84" s="798"/>
      <c r="FQA84" s="798"/>
      <c r="FQB84" s="798"/>
      <c r="FQC84" s="798"/>
      <c r="FQD84" s="798"/>
      <c r="FQE84" s="798"/>
      <c r="FQF84" s="798"/>
      <c r="FQG84" s="798"/>
      <c r="FQH84" s="798"/>
      <c r="FQI84" s="798"/>
      <c r="FQJ84" s="798"/>
      <c r="FQK84" s="798"/>
      <c r="FQL84" s="798"/>
      <c r="FQM84" s="798"/>
      <c r="FQN84" s="798"/>
      <c r="FQO84" s="798"/>
      <c r="FQP84" s="798"/>
      <c r="FQQ84" s="798"/>
      <c r="FQR84" s="798"/>
      <c r="FQS84" s="798"/>
      <c r="FQT84" s="798"/>
      <c r="FQU84" s="798"/>
      <c r="FQV84" s="798"/>
      <c r="FQW84" s="798"/>
      <c r="FQX84" s="798"/>
      <c r="FQY84" s="798"/>
      <c r="FQZ84" s="798"/>
      <c r="FRA84" s="798"/>
      <c r="FRB84" s="798"/>
      <c r="FRC84" s="798"/>
      <c r="FRD84" s="798"/>
      <c r="FRE84" s="798"/>
      <c r="FRF84" s="798"/>
      <c r="FRG84" s="798"/>
      <c r="FRH84" s="798"/>
      <c r="FRI84" s="798"/>
      <c r="FRJ84" s="798"/>
      <c r="FRK84" s="798"/>
      <c r="FRL84" s="798"/>
      <c r="FRM84" s="798"/>
      <c r="FRN84" s="798"/>
      <c r="FRO84" s="798"/>
      <c r="FRP84" s="798"/>
      <c r="FRQ84" s="798"/>
      <c r="FRR84" s="798"/>
      <c r="FRS84" s="798"/>
      <c r="FRT84" s="798"/>
      <c r="FRU84" s="798"/>
      <c r="FRV84" s="798"/>
      <c r="FRW84" s="798"/>
      <c r="FRX84" s="798"/>
      <c r="FRY84" s="798"/>
      <c r="FRZ84" s="798"/>
      <c r="FSA84" s="798"/>
      <c r="FSB84" s="798"/>
      <c r="FSC84" s="798"/>
      <c r="FSD84" s="798"/>
      <c r="FSE84" s="798"/>
      <c r="FSF84" s="798"/>
      <c r="FSG84" s="798"/>
      <c r="FSH84" s="798"/>
      <c r="FSI84" s="798"/>
      <c r="FSJ84" s="798"/>
      <c r="FSK84" s="798"/>
      <c r="FSL84" s="798"/>
      <c r="FSM84" s="798"/>
      <c r="FSN84" s="798"/>
      <c r="FSO84" s="798"/>
      <c r="FSP84" s="798"/>
      <c r="FSQ84" s="798"/>
      <c r="FSR84" s="798"/>
      <c r="FSS84" s="798"/>
      <c r="FST84" s="798"/>
      <c r="FSU84" s="798"/>
      <c r="FSV84" s="798"/>
      <c r="FSW84" s="798"/>
      <c r="FSX84" s="798"/>
      <c r="FSY84" s="798"/>
      <c r="FSZ84" s="798"/>
      <c r="FTA84" s="798"/>
      <c r="FTB84" s="798"/>
      <c r="FTC84" s="798"/>
      <c r="FTD84" s="798"/>
      <c r="FTE84" s="798"/>
      <c r="FTF84" s="798"/>
      <c r="FTG84" s="798"/>
      <c r="FTH84" s="798"/>
      <c r="FTI84" s="798"/>
      <c r="FTJ84" s="798"/>
      <c r="FTK84" s="798"/>
      <c r="FTL84" s="798"/>
      <c r="FTM84" s="798"/>
      <c r="FTN84" s="798"/>
      <c r="FTO84" s="798"/>
      <c r="FTP84" s="798"/>
      <c r="FTQ84" s="798"/>
      <c r="FTR84" s="798"/>
      <c r="FTS84" s="798"/>
      <c r="FTT84" s="798"/>
      <c r="FTU84" s="798"/>
      <c r="FTV84" s="798"/>
      <c r="FTW84" s="798"/>
      <c r="FTX84" s="798"/>
      <c r="FTY84" s="798"/>
      <c r="FTZ84" s="798"/>
      <c r="FUA84" s="798"/>
      <c r="FUB84" s="798"/>
      <c r="FUC84" s="798"/>
      <c r="FUD84" s="798"/>
      <c r="FUE84" s="798"/>
      <c r="FUF84" s="798"/>
      <c r="FUG84" s="798"/>
      <c r="FUH84" s="798"/>
      <c r="FUI84" s="798"/>
      <c r="FUJ84" s="798"/>
      <c r="FUK84" s="798"/>
      <c r="FUL84" s="798"/>
      <c r="FUM84" s="798"/>
      <c r="FUN84" s="798"/>
      <c r="FUO84" s="798"/>
      <c r="FUP84" s="798"/>
      <c r="FUQ84" s="798"/>
      <c r="FUR84" s="798"/>
      <c r="FUS84" s="798"/>
      <c r="FUT84" s="798"/>
      <c r="FUU84" s="798"/>
      <c r="FUV84" s="798"/>
      <c r="FUW84" s="798"/>
      <c r="FUX84" s="798"/>
      <c r="FUY84" s="798"/>
      <c r="FUZ84" s="798"/>
      <c r="FVA84" s="798"/>
      <c r="FVB84" s="798"/>
      <c r="FVC84" s="798"/>
      <c r="FVD84" s="798"/>
      <c r="FVE84" s="798"/>
      <c r="FVF84" s="798"/>
      <c r="FVG84" s="798"/>
      <c r="FVH84" s="798"/>
      <c r="FVI84" s="798"/>
      <c r="FVJ84" s="798"/>
      <c r="FVK84" s="798"/>
      <c r="FVL84" s="798"/>
      <c r="FVM84" s="798"/>
      <c r="FVN84" s="798"/>
      <c r="FVO84" s="798"/>
      <c r="FVP84" s="798"/>
      <c r="FVQ84" s="798"/>
      <c r="FVR84" s="798"/>
      <c r="FVS84" s="798"/>
      <c r="FVT84" s="798"/>
      <c r="FVU84" s="798"/>
      <c r="FVV84" s="798"/>
      <c r="FVW84" s="798"/>
      <c r="FVX84" s="798"/>
      <c r="FVY84" s="798"/>
      <c r="FVZ84" s="798"/>
      <c r="FWA84" s="798"/>
      <c r="FWB84" s="798"/>
      <c r="FWC84" s="798"/>
      <c r="FWD84" s="798"/>
      <c r="FWE84" s="798"/>
      <c r="FWF84" s="798"/>
      <c r="FWG84" s="798"/>
      <c r="FWH84" s="798"/>
      <c r="FWI84" s="798"/>
      <c r="FWJ84" s="798"/>
      <c r="FWK84" s="798"/>
      <c r="FWL84" s="798"/>
      <c r="FWM84" s="798"/>
      <c r="FWN84" s="798"/>
      <c r="FWO84" s="798"/>
      <c r="FWP84" s="798"/>
      <c r="FWQ84" s="798"/>
      <c r="FWR84" s="798"/>
      <c r="FWS84" s="798"/>
      <c r="FWT84" s="798"/>
      <c r="FWU84" s="798"/>
      <c r="FWV84" s="798"/>
      <c r="FWW84" s="798"/>
      <c r="FWX84" s="798"/>
      <c r="FWY84" s="798"/>
      <c r="FWZ84" s="798"/>
      <c r="FXA84" s="798"/>
      <c r="FXB84" s="798"/>
      <c r="FXC84" s="798"/>
      <c r="FXD84" s="798"/>
      <c r="FXE84" s="798"/>
      <c r="FXF84" s="798"/>
      <c r="FXG84" s="798"/>
      <c r="FXH84" s="798"/>
      <c r="FXI84" s="798"/>
      <c r="FXJ84" s="798"/>
      <c r="FXK84" s="798"/>
      <c r="FXL84" s="798"/>
      <c r="FXM84" s="798"/>
      <c r="FXN84" s="798"/>
      <c r="FXO84" s="798"/>
      <c r="FXP84" s="798"/>
      <c r="FXQ84" s="798"/>
      <c r="FXR84" s="798"/>
      <c r="FXS84" s="798"/>
      <c r="FXT84" s="798"/>
      <c r="FXU84" s="798"/>
      <c r="FXV84" s="798"/>
      <c r="FXW84" s="798"/>
      <c r="FXX84" s="798"/>
      <c r="FXY84" s="798"/>
      <c r="FXZ84" s="798"/>
      <c r="FYA84" s="798"/>
      <c r="FYB84" s="798"/>
      <c r="FYC84" s="798"/>
      <c r="FYD84" s="798"/>
      <c r="FYE84" s="798"/>
      <c r="FYF84" s="798"/>
      <c r="FYG84" s="798"/>
      <c r="FYH84" s="798"/>
      <c r="FYI84" s="798"/>
      <c r="FYJ84" s="798"/>
      <c r="FYK84" s="798"/>
      <c r="FYL84" s="798"/>
      <c r="FYM84" s="798"/>
      <c r="FYN84" s="798"/>
      <c r="FYO84" s="798"/>
      <c r="FYP84" s="798"/>
      <c r="FYQ84" s="798"/>
      <c r="FYR84" s="798"/>
      <c r="FYS84" s="798"/>
      <c r="FYT84" s="798"/>
      <c r="FYU84" s="798"/>
      <c r="FYV84" s="798"/>
      <c r="FYW84" s="798"/>
      <c r="FYX84" s="798"/>
      <c r="FYY84" s="798"/>
      <c r="FYZ84" s="798"/>
      <c r="FZA84" s="798"/>
      <c r="FZB84" s="798"/>
      <c r="FZC84" s="798"/>
      <c r="FZD84" s="798"/>
      <c r="FZE84" s="798"/>
      <c r="FZF84" s="798"/>
      <c r="FZG84" s="798"/>
      <c r="FZH84" s="798"/>
      <c r="FZI84" s="798"/>
      <c r="FZJ84" s="798"/>
      <c r="FZK84" s="798"/>
      <c r="FZL84" s="798"/>
      <c r="FZM84" s="798"/>
      <c r="FZN84" s="798"/>
      <c r="FZO84" s="798"/>
      <c r="FZP84" s="798"/>
      <c r="FZQ84" s="798"/>
      <c r="FZR84" s="798"/>
      <c r="FZS84" s="798"/>
      <c r="FZT84" s="798"/>
      <c r="FZU84" s="798"/>
      <c r="FZV84" s="798"/>
      <c r="FZW84" s="798"/>
      <c r="FZX84" s="798"/>
      <c r="FZY84" s="798"/>
      <c r="FZZ84" s="798"/>
      <c r="GAA84" s="798"/>
      <c r="GAB84" s="798"/>
      <c r="GAC84" s="798"/>
      <c r="GAD84" s="798"/>
      <c r="GAE84" s="798"/>
      <c r="GAF84" s="798"/>
      <c r="GAG84" s="798"/>
      <c r="GAH84" s="798"/>
      <c r="GAI84" s="798"/>
      <c r="GAJ84" s="798"/>
      <c r="GAK84" s="798"/>
      <c r="GAL84" s="798"/>
      <c r="GAM84" s="798"/>
      <c r="GAN84" s="798"/>
      <c r="GAO84" s="798"/>
      <c r="GAP84" s="798"/>
      <c r="GAQ84" s="798"/>
      <c r="GAR84" s="798"/>
      <c r="GAS84" s="798"/>
      <c r="GAT84" s="798"/>
      <c r="GAU84" s="798"/>
      <c r="GAV84" s="798"/>
      <c r="GAW84" s="798"/>
      <c r="GAX84" s="798"/>
      <c r="GAY84" s="798"/>
      <c r="GAZ84" s="798"/>
      <c r="GBA84" s="798"/>
      <c r="GBB84" s="798"/>
      <c r="GBC84" s="798"/>
      <c r="GBD84" s="798"/>
      <c r="GBE84" s="798"/>
      <c r="GBF84" s="798"/>
      <c r="GBG84" s="798"/>
      <c r="GBH84" s="798"/>
      <c r="GBI84" s="798"/>
      <c r="GBJ84" s="798"/>
      <c r="GBK84" s="798"/>
      <c r="GBL84" s="798"/>
      <c r="GBM84" s="798"/>
      <c r="GBN84" s="798"/>
      <c r="GBO84" s="798"/>
      <c r="GBP84" s="798"/>
      <c r="GBQ84" s="798"/>
      <c r="GBR84" s="798"/>
      <c r="GBS84" s="798"/>
      <c r="GBT84" s="798"/>
      <c r="GBU84" s="798"/>
      <c r="GBV84" s="798"/>
      <c r="GBW84" s="798"/>
      <c r="GBX84" s="798"/>
      <c r="GBY84" s="798"/>
      <c r="GBZ84" s="798"/>
      <c r="GCA84" s="798"/>
      <c r="GCB84" s="798"/>
      <c r="GCC84" s="798"/>
      <c r="GCD84" s="798"/>
      <c r="GCE84" s="798"/>
      <c r="GCF84" s="798"/>
      <c r="GCG84" s="798"/>
      <c r="GCH84" s="798"/>
      <c r="GCI84" s="798"/>
      <c r="GCJ84" s="798"/>
      <c r="GCK84" s="798"/>
      <c r="GCL84" s="798"/>
      <c r="GCM84" s="798"/>
      <c r="GCN84" s="798"/>
      <c r="GCO84" s="798"/>
      <c r="GCP84" s="798"/>
      <c r="GCQ84" s="798"/>
      <c r="GCR84" s="798"/>
      <c r="GCS84" s="798"/>
      <c r="GCT84" s="798"/>
      <c r="GCU84" s="798"/>
      <c r="GCV84" s="798"/>
      <c r="GCW84" s="798"/>
      <c r="GCX84" s="798"/>
      <c r="GCY84" s="798"/>
      <c r="GCZ84" s="798"/>
      <c r="GDA84" s="798"/>
      <c r="GDB84" s="798"/>
      <c r="GDC84" s="798"/>
      <c r="GDD84" s="798"/>
      <c r="GDE84" s="798"/>
      <c r="GDF84" s="798"/>
      <c r="GDG84" s="798"/>
      <c r="GDH84" s="798"/>
      <c r="GDI84" s="798"/>
      <c r="GDJ84" s="798"/>
      <c r="GDK84" s="798"/>
      <c r="GDL84" s="798"/>
      <c r="GDM84" s="798"/>
      <c r="GDN84" s="798"/>
      <c r="GDO84" s="798"/>
      <c r="GDP84" s="798"/>
      <c r="GDQ84" s="798"/>
      <c r="GDR84" s="798"/>
      <c r="GDS84" s="798"/>
      <c r="GDT84" s="798"/>
      <c r="GDU84" s="798"/>
      <c r="GDV84" s="798"/>
      <c r="GDW84" s="798"/>
      <c r="GDX84" s="798"/>
      <c r="GDY84" s="798"/>
      <c r="GDZ84" s="798"/>
      <c r="GEA84" s="798"/>
      <c r="GEB84" s="798"/>
      <c r="GEC84" s="798"/>
      <c r="GED84" s="798"/>
      <c r="GEE84" s="798"/>
      <c r="GEF84" s="798"/>
      <c r="GEG84" s="798"/>
      <c r="GEH84" s="798"/>
      <c r="GEI84" s="798"/>
      <c r="GEJ84" s="798"/>
      <c r="GEK84" s="798"/>
      <c r="GEL84" s="798"/>
      <c r="GEM84" s="798"/>
      <c r="GEN84" s="798"/>
      <c r="GEO84" s="798"/>
      <c r="GEP84" s="798"/>
      <c r="GEQ84" s="798"/>
      <c r="GER84" s="798"/>
      <c r="GES84" s="798"/>
      <c r="GET84" s="798"/>
      <c r="GEU84" s="798"/>
      <c r="GEV84" s="798"/>
      <c r="GEW84" s="798"/>
      <c r="GEX84" s="798"/>
      <c r="GEY84" s="798"/>
      <c r="GEZ84" s="798"/>
      <c r="GFA84" s="798"/>
      <c r="GFB84" s="798"/>
      <c r="GFC84" s="798"/>
      <c r="GFD84" s="798"/>
      <c r="GFE84" s="798"/>
      <c r="GFF84" s="798"/>
      <c r="GFG84" s="798"/>
      <c r="GFH84" s="798"/>
      <c r="GFI84" s="798"/>
      <c r="GFJ84" s="798"/>
      <c r="GFK84" s="798"/>
      <c r="GFL84" s="798"/>
      <c r="GFM84" s="798"/>
      <c r="GFN84" s="798"/>
      <c r="GFO84" s="798"/>
      <c r="GFP84" s="798"/>
      <c r="GFQ84" s="798"/>
      <c r="GFR84" s="798"/>
      <c r="GFS84" s="798"/>
      <c r="GFT84" s="798"/>
      <c r="GFU84" s="798"/>
      <c r="GFV84" s="798"/>
      <c r="GFW84" s="798"/>
      <c r="GFX84" s="798"/>
      <c r="GFY84" s="798"/>
      <c r="GFZ84" s="798"/>
      <c r="GGA84" s="798"/>
      <c r="GGB84" s="798"/>
      <c r="GGC84" s="798"/>
      <c r="GGD84" s="798"/>
      <c r="GGE84" s="798"/>
      <c r="GGF84" s="798"/>
      <c r="GGG84" s="798"/>
      <c r="GGH84" s="798"/>
      <c r="GGI84" s="798"/>
      <c r="GGJ84" s="798"/>
      <c r="GGK84" s="798"/>
      <c r="GGL84" s="798"/>
      <c r="GGM84" s="798"/>
      <c r="GGN84" s="798"/>
      <c r="GGO84" s="798"/>
      <c r="GGP84" s="798"/>
      <c r="GGQ84" s="798"/>
      <c r="GGR84" s="798"/>
      <c r="GGS84" s="798"/>
      <c r="GGT84" s="798"/>
      <c r="GGU84" s="798"/>
      <c r="GGV84" s="798"/>
      <c r="GGW84" s="798"/>
      <c r="GGX84" s="798"/>
      <c r="GGY84" s="798"/>
      <c r="GGZ84" s="798"/>
      <c r="GHA84" s="798"/>
      <c r="GHB84" s="798"/>
      <c r="GHC84" s="798"/>
      <c r="GHD84" s="798"/>
      <c r="GHE84" s="798"/>
      <c r="GHF84" s="798"/>
      <c r="GHG84" s="798"/>
      <c r="GHH84" s="798"/>
      <c r="GHI84" s="798"/>
      <c r="GHJ84" s="798"/>
      <c r="GHK84" s="798"/>
      <c r="GHL84" s="798"/>
      <c r="GHM84" s="798"/>
      <c r="GHN84" s="798"/>
      <c r="GHO84" s="798"/>
      <c r="GHP84" s="798"/>
      <c r="GHQ84" s="798"/>
      <c r="GHR84" s="798"/>
      <c r="GHS84" s="798"/>
      <c r="GHT84" s="798"/>
      <c r="GHU84" s="798"/>
      <c r="GHV84" s="798"/>
      <c r="GHW84" s="798"/>
      <c r="GHX84" s="798"/>
      <c r="GHY84" s="798"/>
      <c r="GHZ84" s="798"/>
      <c r="GIA84" s="798"/>
      <c r="GIB84" s="798"/>
      <c r="GIC84" s="798"/>
      <c r="GID84" s="798"/>
      <c r="GIE84" s="798"/>
      <c r="GIF84" s="798"/>
      <c r="GIG84" s="798"/>
      <c r="GIH84" s="798"/>
      <c r="GII84" s="798"/>
      <c r="GIJ84" s="798"/>
      <c r="GIK84" s="798"/>
      <c r="GIL84" s="798"/>
      <c r="GIM84" s="798"/>
      <c r="GIN84" s="798"/>
      <c r="GIO84" s="798"/>
      <c r="GIP84" s="798"/>
      <c r="GIQ84" s="798"/>
      <c r="GIR84" s="798"/>
      <c r="GIS84" s="798"/>
      <c r="GIT84" s="798"/>
      <c r="GIU84" s="798"/>
      <c r="GIV84" s="798"/>
      <c r="GIW84" s="798"/>
      <c r="GIX84" s="798"/>
      <c r="GIY84" s="798"/>
      <c r="GIZ84" s="798"/>
      <c r="GJA84" s="798"/>
      <c r="GJB84" s="798"/>
      <c r="GJC84" s="798"/>
      <c r="GJD84" s="798"/>
      <c r="GJE84" s="798"/>
      <c r="GJF84" s="798"/>
      <c r="GJG84" s="798"/>
      <c r="GJH84" s="798"/>
      <c r="GJI84" s="798"/>
      <c r="GJJ84" s="798"/>
      <c r="GJK84" s="798"/>
      <c r="GJL84" s="798"/>
      <c r="GJM84" s="798"/>
      <c r="GJN84" s="798"/>
      <c r="GJO84" s="798"/>
      <c r="GJP84" s="798"/>
      <c r="GJQ84" s="798"/>
      <c r="GJR84" s="798"/>
      <c r="GJS84" s="798"/>
      <c r="GJT84" s="798"/>
      <c r="GJU84" s="798"/>
      <c r="GJV84" s="798"/>
      <c r="GJW84" s="798"/>
      <c r="GJX84" s="798"/>
      <c r="GJY84" s="798"/>
      <c r="GJZ84" s="798"/>
      <c r="GKA84" s="798"/>
      <c r="GKB84" s="798"/>
      <c r="GKC84" s="798"/>
      <c r="GKD84" s="798"/>
      <c r="GKE84" s="798"/>
      <c r="GKF84" s="798"/>
      <c r="GKG84" s="798"/>
      <c r="GKH84" s="798"/>
      <c r="GKI84" s="798"/>
      <c r="GKJ84" s="798"/>
      <c r="GKK84" s="798"/>
      <c r="GKL84" s="798"/>
      <c r="GKM84" s="798"/>
      <c r="GKN84" s="798"/>
      <c r="GKO84" s="798"/>
      <c r="GKP84" s="798"/>
      <c r="GKQ84" s="798"/>
      <c r="GKR84" s="798"/>
      <c r="GKS84" s="798"/>
      <c r="GKT84" s="798"/>
      <c r="GKU84" s="798"/>
      <c r="GKV84" s="798"/>
      <c r="GKW84" s="798"/>
      <c r="GKX84" s="798"/>
      <c r="GKY84" s="798"/>
      <c r="GKZ84" s="798"/>
      <c r="GLA84" s="798"/>
      <c r="GLB84" s="798"/>
      <c r="GLC84" s="798"/>
      <c r="GLD84" s="798"/>
      <c r="GLE84" s="798"/>
      <c r="GLF84" s="798"/>
      <c r="GLG84" s="798"/>
      <c r="GLH84" s="798"/>
      <c r="GLI84" s="798"/>
      <c r="GLJ84" s="798"/>
      <c r="GLK84" s="798"/>
      <c r="GLL84" s="798"/>
      <c r="GLM84" s="798"/>
      <c r="GLN84" s="798"/>
      <c r="GLO84" s="798"/>
      <c r="GLP84" s="798"/>
      <c r="GLQ84" s="798"/>
      <c r="GLR84" s="798"/>
      <c r="GLS84" s="798"/>
      <c r="GLT84" s="798"/>
      <c r="GLU84" s="798"/>
      <c r="GLV84" s="798"/>
      <c r="GLW84" s="798"/>
      <c r="GLX84" s="798"/>
      <c r="GLY84" s="798"/>
      <c r="GLZ84" s="798"/>
      <c r="GMA84" s="798"/>
      <c r="GMB84" s="798"/>
      <c r="GMC84" s="798"/>
      <c r="GMD84" s="798"/>
      <c r="GME84" s="798"/>
      <c r="GMF84" s="798"/>
      <c r="GMG84" s="798"/>
      <c r="GMH84" s="798"/>
      <c r="GMI84" s="798"/>
      <c r="GMJ84" s="798"/>
      <c r="GMK84" s="798"/>
      <c r="GML84" s="798"/>
      <c r="GMM84" s="798"/>
      <c r="GMN84" s="798"/>
      <c r="GMO84" s="798"/>
      <c r="GMP84" s="798"/>
      <c r="GMQ84" s="798"/>
      <c r="GMR84" s="798"/>
      <c r="GMS84" s="798"/>
      <c r="GMT84" s="798"/>
      <c r="GMU84" s="798"/>
      <c r="GMV84" s="798"/>
      <c r="GMW84" s="798"/>
      <c r="GMX84" s="798"/>
      <c r="GMY84" s="798"/>
      <c r="GMZ84" s="798"/>
      <c r="GNA84" s="798"/>
      <c r="GNB84" s="798"/>
      <c r="GNC84" s="798"/>
      <c r="GND84" s="798"/>
      <c r="GNE84" s="798"/>
      <c r="GNF84" s="798"/>
      <c r="GNG84" s="798"/>
      <c r="GNH84" s="798"/>
      <c r="GNI84" s="798"/>
      <c r="GNJ84" s="798"/>
      <c r="GNK84" s="798"/>
      <c r="GNL84" s="798"/>
      <c r="GNM84" s="798"/>
      <c r="GNN84" s="798"/>
      <c r="GNO84" s="798"/>
      <c r="GNP84" s="798"/>
      <c r="GNQ84" s="798"/>
      <c r="GNR84" s="798"/>
      <c r="GNS84" s="798"/>
      <c r="GNT84" s="798"/>
      <c r="GNU84" s="798"/>
      <c r="GNV84" s="798"/>
      <c r="GNW84" s="798"/>
      <c r="GNX84" s="798"/>
      <c r="GNY84" s="798"/>
      <c r="GNZ84" s="798"/>
      <c r="GOA84" s="798"/>
      <c r="GOB84" s="798"/>
      <c r="GOC84" s="798"/>
      <c r="GOD84" s="798"/>
      <c r="GOE84" s="798"/>
      <c r="GOF84" s="798"/>
      <c r="GOG84" s="798"/>
      <c r="GOH84" s="798"/>
      <c r="GOI84" s="798"/>
      <c r="GOJ84" s="798"/>
      <c r="GOK84" s="798"/>
      <c r="GOL84" s="798"/>
      <c r="GOM84" s="798"/>
      <c r="GON84" s="798"/>
      <c r="GOO84" s="798"/>
      <c r="GOP84" s="798"/>
      <c r="GOQ84" s="798"/>
      <c r="GOR84" s="798"/>
      <c r="GOS84" s="798"/>
      <c r="GOT84" s="798"/>
      <c r="GOU84" s="798"/>
      <c r="GOV84" s="798"/>
      <c r="GOW84" s="798"/>
      <c r="GOX84" s="798"/>
      <c r="GOY84" s="798"/>
      <c r="GOZ84" s="798"/>
      <c r="GPA84" s="798"/>
      <c r="GPB84" s="798"/>
      <c r="GPC84" s="798"/>
      <c r="GPD84" s="798"/>
      <c r="GPE84" s="798"/>
      <c r="GPF84" s="798"/>
      <c r="GPG84" s="798"/>
      <c r="GPH84" s="798"/>
      <c r="GPI84" s="798"/>
      <c r="GPJ84" s="798"/>
      <c r="GPK84" s="798"/>
      <c r="GPL84" s="798"/>
      <c r="GPM84" s="798"/>
      <c r="GPN84" s="798"/>
      <c r="GPO84" s="798"/>
      <c r="GPP84" s="798"/>
      <c r="GPQ84" s="798"/>
      <c r="GPR84" s="798"/>
      <c r="GPS84" s="798"/>
      <c r="GPT84" s="798"/>
      <c r="GPU84" s="798"/>
      <c r="GPV84" s="798"/>
      <c r="GPW84" s="798"/>
      <c r="GPX84" s="798"/>
      <c r="GPY84" s="798"/>
      <c r="GPZ84" s="798"/>
      <c r="GQA84" s="798"/>
      <c r="GQB84" s="798"/>
      <c r="GQC84" s="798"/>
      <c r="GQD84" s="798"/>
      <c r="GQE84" s="798"/>
      <c r="GQF84" s="798"/>
      <c r="GQG84" s="798"/>
      <c r="GQH84" s="798"/>
      <c r="GQI84" s="798"/>
      <c r="GQJ84" s="798"/>
      <c r="GQK84" s="798"/>
      <c r="GQL84" s="798"/>
      <c r="GQM84" s="798"/>
      <c r="GQN84" s="798"/>
      <c r="GQO84" s="798"/>
      <c r="GQP84" s="798"/>
      <c r="GQQ84" s="798"/>
      <c r="GQR84" s="798"/>
      <c r="GQS84" s="798"/>
      <c r="GQT84" s="798"/>
      <c r="GQU84" s="798"/>
      <c r="GQV84" s="798"/>
      <c r="GQW84" s="798"/>
      <c r="GQX84" s="798"/>
      <c r="GQY84" s="798"/>
      <c r="GQZ84" s="798"/>
      <c r="GRA84" s="798"/>
      <c r="GRB84" s="798"/>
      <c r="GRC84" s="798"/>
      <c r="GRD84" s="798"/>
      <c r="GRE84" s="798"/>
      <c r="GRF84" s="798"/>
      <c r="GRG84" s="798"/>
      <c r="GRH84" s="798"/>
      <c r="GRI84" s="798"/>
      <c r="GRJ84" s="798"/>
      <c r="GRK84" s="798"/>
      <c r="GRL84" s="798"/>
      <c r="GRM84" s="798"/>
      <c r="GRN84" s="798"/>
      <c r="GRO84" s="798"/>
      <c r="GRP84" s="798"/>
      <c r="GRQ84" s="798"/>
      <c r="GRR84" s="798"/>
      <c r="GRS84" s="798"/>
      <c r="GRT84" s="798"/>
      <c r="GRU84" s="798"/>
      <c r="GRV84" s="798"/>
      <c r="GRW84" s="798"/>
      <c r="GRX84" s="798"/>
      <c r="GRY84" s="798"/>
      <c r="GRZ84" s="798"/>
      <c r="GSA84" s="798"/>
      <c r="GSB84" s="798"/>
      <c r="GSC84" s="798"/>
      <c r="GSD84" s="798"/>
      <c r="GSE84" s="798"/>
      <c r="GSF84" s="798"/>
      <c r="GSG84" s="798"/>
      <c r="GSH84" s="798"/>
      <c r="GSI84" s="798"/>
      <c r="GSJ84" s="798"/>
      <c r="GSK84" s="798"/>
      <c r="GSL84" s="798"/>
      <c r="GSM84" s="798"/>
      <c r="GSN84" s="798"/>
      <c r="GSO84" s="798"/>
      <c r="GSP84" s="798"/>
      <c r="GSQ84" s="798"/>
      <c r="GSR84" s="798"/>
      <c r="GSS84" s="798"/>
      <c r="GST84" s="798"/>
      <c r="GSU84" s="798"/>
      <c r="GSV84" s="798"/>
      <c r="GSW84" s="798"/>
      <c r="GSX84" s="798"/>
      <c r="GSY84" s="798"/>
      <c r="GSZ84" s="798"/>
      <c r="GTA84" s="798"/>
      <c r="GTB84" s="798"/>
      <c r="GTC84" s="798"/>
      <c r="GTD84" s="798"/>
      <c r="GTE84" s="798"/>
      <c r="GTF84" s="798"/>
      <c r="GTG84" s="798"/>
      <c r="GTH84" s="798"/>
      <c r="GTI84" s="798"/>
      <c r="GTJ84" s="798"/>
      <c r="GTK84" s="798"/>
      <c r="GTL84" s="798"/>
      <c r="GTM84" s="798"/>
      <c r="GTN84" s="798"/>
      <c r="GTO84" s="798"/>
      <c r="GTP84" s="798"/>
      <c r="GTQ84" s="798"/>
      <c r="GTR84" s="798"/>
      <c r="GTS84" s="798"/>
      <c r="GTT84" s="798"/>
      <c r="GTU84" s="798"/>
      <c r="GTV84" s="798"/>
      <c r="GTW84" s="798"/>
      <c r="GTX84" s="798"/>
      <c r="GTY84" s="798"/>
      <c r="GTZ84" s="798"/>
      <c r="GUA84" s="798"/>
      <c r="GUB84" s="798"/>
      <c r="GUC84" s="798"/>
      <c r="GUD84" s="798"/>
      <c r="GUE84" s="798"/>
      <c r="GUF84" s="798"/>
      <c r="GUG84" s="798"/>
      <c r="GUH84" s="798"/>
      <c r="GUI84" s="798"/>
      <c r="GUJ84" s="798"/>
      <c r="GUK84" s="798"/>
      <c r="GUL84" s="798"/>
      <c r="GUM84" s="798"/>
      <c r="GUN84" s="798"/>
      <c r="GUO84" s="798"/>
      <c r="GUP84" s="798"/>
      <c r="GUQ84" s="798"/>
      <c r="GUR84" s="798"/>
      <c r="GUS84" s="798"/>
      <c r="GUT84" s="798"/>
      <c r="GUU84" s="798"/>
      <c r="GUV84" s="798"/>
      <c r="GUW84" s="798"/>
      <c r="GUX84" s="798"/>
      <c r="GUY84" s="798"/>
      <c r="GUZ84" s="798"/>
      <c r="GVA84" s="798"/>
      <c r="GVB84" s="798"/>
      <c r="GVC84" s="798"/>
      <c r="GVD84" s="798"/>
      <c r="GVE84" s="798"/>
      <c r="GVF84" s="798"/>
      <c r="GVG84" s="798"/>
      <c r="GVH84" s="798"/>
      <c r="GVI84" s="798"/>
      <c r="GVJ84" s="798"/>
      <c r="GVK84" s="798"/>
      <c r="GVL84" s="798"/>
      <c r="GVM84" s="798"/>
      <c r="GVN84" s="798"/>
      <c r="GVO84" s="798"/>
      <c r="GVP84" s="798"/>
      <c r="GVQ84" s="798"/>
      <c r="GVR84" s="798"/>
      <c r="GVS84" s="798"/>
      <c r="GVT84" s="798"/>
      <c r="GVU84" s="798"/>
      <c r="GVV84" s="798"/>
      <c r="GVW84" s="798"/>
      <c r="GVX84" s="798"/>
      <c r="GVY84" s="798"/>
      <c r="GVZ84" s="798"/>
      <c r="GWA84" s="798"/>
      <c r="GWB84" s="798"/>
      <c r="GWC84" s="798"/>
      <c r="GWD84" s="798"/>
      <c r="GWE84" s="798"/>
      <c r="GWF84" s="798"/>
      <c r="GWG84" s="798"/>
      <c r="GWH84" s="798"/>
      <c r="GWI84" s="798"/>
      <c r="GWJ84" s="798"/>
      <c r="GWK84" s="798"/>
      <c r="GWL84" s="798"/>
      <c r="GWM84" s="798"/>
      <c r="GWN84" s="798"/>
      <c r="GWO84" s="798"/>
      <c r="GWP84" s="798"/>
      <c r="GWQ84" s="798"/>
      <c r="GWR84" s="798"/>
      <c r="GWS84" s="798"/>
      <c r="GWT84" s="798"/>
      <c r="GWU84" s="798"/>
      <c r="GWV84" s="798"/>
      <c r="GWW84" s="798"/>
      <c r="GWX84" s="798"/>
      <c r="GWY84" s="798"/>
      <c r="GWZ84" s="798"/>
      <c r="GXA84" s="798"/>
      <c r="GXB84" s="798"/>
      <c r="GXC84" s="798"/>
      <c r="GXD84" s="798"/>
      <c r="GXE84" s="798"/>
      <c r="GXF84" s="798"/>
      <c r="GXG84" s="798"/>
      <c r="GXH84" s="798"/>
      <c r="GXI84" s="798"/>
      <c r="GXJ84" s="798"/>
      <c r="GXK84" s="798"/>
      <c r="GXL84" s="798"/>
      <c r="GXM84" s="798"/>
      <c r="GXN84" s="798"/>
      <c r="GXO84" s="798"/>
      <c r="GXP84" s="798"/>
      <c r="GXQ84" s="798"/>
      <c r="GXR84" s="798"/>
      <c r="GXS84" s="798"/>
      <c r="GXT84" s="798"/>
      <c r="GXU84" s="798"/>
      <c r="GXV84" s="798"/>
      <c r="GXW84" s="798"/>
      <c r="GXX84" s="798"/>
      <c r="GXY84" s="798"/>
      <c r="GXZ84" s="798"/>
      <c r="GYA84" s="798"/>
      <c r="GYB84" s="798"/>
      <c r="GYC84" s="798"/>
      <c r="GYD84" s="798"/>
      <c r="GYE84" s="798"/>
      <c r="GYF84" s="798"/>
      <c r="GYG84" s="798"/>
      <c r="GYH84" s="798"/>
      <c r="GYI84" s="798"/>
      <c r="GYJ84" s="798"/>
      <c r="GYK84" s="798"/>
      <c r="GYL84" s="798"/>
      <c r="GYM84" s="798"/>
      <c r="GYN84" s="798"/>
      <c r="GYO84" s="798"/>
      <c r="GYP84" s="798"/>
      <c r="GYQ84" s="798"/>
      <c r="GYR84" s="798"/>
      <c r="GYS84" s="798"/>
      <c r="GYT84" s="798"/>
      <c r="GYU84" s="798"/>
      <c r="GYV84" s="798"/>
      <c r="GYW84" s="798"/>
      <c r="GYX84" s="798"/>
      <c r="GYY84" s="798"/>
      <c r="GYZ84" s="798"/>
      <c r="GZA84" s="798"/>
      <c r="GZB84" s="798"/>
      <c r="GZC84" s="798"/>
      <c r="GZD84" s="798"/>
      <c r="GZE84" s="798"/>
      <c r="GZF84" s="798"/>
      <c r="GZG84" s="798"/>
      <c r="GZH84" s="798"/>
      <c r="GZI84" s="798"/>
      <c r="GZJ84" s="798"/>
      <c r="GZK84" s="798"/>
      <c r="GZL84" s="798"/>
      <c r="GZM84" s="798"/>
      <c r="GZN84" s="798"/>
      <c r="GZO84" s="798"/>
      <c r="GZP84" s="798"/>
      <c r="GZQ84" s="798"/>
      <c r="GZR84" s="798"/>
      <c r="GZS84" s="798"/>
      <c r="GZT84" s="798"/>
      <c r="GZU84" s="798"/>
      <c r="GZV84" s="798"/>
      <c r="GZW84" s="798"/>
      <c r="GZX84" s="798"/>
      <c r="GZY84" s="798"/>
      <c r="GZZ84" s="798"/>
      <c r="HAA84" s="798"/>
      <c r="HAB84" s="798"/>
      <c r="HAC84" s="798"/>
      <c r="HAD84" s="798"/>
      <c r="HAE84" s="798"/>
      <c r="HAF84" s="798"/>
      <c r="HAG84" s="798"/>
      <c r="HAH84" s="798"/>
      <c r="HAI84" s="798"/>
      <c r="HAJ84" s="798"/>
      <c r="HAK84" s="798"/>
      <c r="HAL84" s="798"/>
      <c r="HAM84" s="798"/>
      <c r="HAN84" s="798"/>
      <c r="HAO84" s="798"/>
      <c r="HAP84" s="798"/>
      <c r="HAQ84" s="798"/>
      <c r="HAR84" s="798"/>
      <c r="HAS84" s="798"/>
      <c r="HAT84" s="798"/>
      <c r="HAU84" s="798"/>
      <c r="HAV84" s="798"/>
      <c r="HAW84" s="798"/>
      <c r="HAX84" s="798"/>
      <c r="HAY84" s="798"/>
      <c r="HAZ84" s="798"/>
      <c r="HBA84" s="798"/>
      <c r="HBB84" s="798"/>
      <c r="HBC84" s="798"/>
      <c r="HBD84" s="798"/>
      <c r="HBE84" s="798"/>
      <c r="HBF84" s="798"/>
      <c r="HBG84" s="798"/>
      <c r="HBH84" s="798"/>
      <c r="HBI84" s="798"/>
      <c r="HBJ84" s="798"/>
      <c r="HBK84" s="798"/>
      <c r="HBL84" s="798"/>
      <c r="HBM84" s="798"/>
      <c r="HBN84" s="798"/>
      <c r="HBO84" s="798"/>
      <c r="HBP84" s="798"/>
      <c r="HBQ84" s="798"/>
      <c r="HBR84" s="798"/>
      <c r="HBS84" s="798"/>
      <c r="HBT84" s="798"/>
      <c r="HBU84" s="798"/>
      <c r="HBV84" s="798"/>
      <c r="HBW84" s="798"/>
      <c r="HBX84" s="798"/>
      <c r="HBY84" s="798"/>
      <c r="HBZ84" s="798"/>
      <c r="HCA84" s="798"/>
      <c r="HCB84" s="798"/>
      <c r="HCC84" s="798"/>
      <c r="HCD84" s="798"/>
      <c r="HCE84" s="798"/>
      <c r="HCF84" s="798"/>
      <c r="HCG84" s="798"/>
      <c r="HCH84" s="798"/>
      <c r="HCI84" s="798"/>
      <c r="HCJ84" s="798"/>
      <c r="HCK84" s="798"/>
      <c r="HCL84" s="798"/>
      <c r="HCM84" s="798"/>
      <c r="HCN84" s="798"/>
      <c r="HCO84" s="798"/>
      <c r="HCP84" s="798"/>
      <c r="HCQ84" s="798"/>
      <c r="HCR84" s="798"/>
      <c r="HCS84" s="798"/>
      <c r="HCT84" s="798"/>
      <c r="HCU84" s="798"/>
      <c r="HCV84" s="798"/>
      <c r="HCW84" s="798"/>
      <c r="HCX84" s="798"/>
      <c r="HCY84" s="798"/>
      <c r="HCZ84" s="798"/>
      <c r="HDA84" s="798"/>
      <c r="HDB84" s="798"/>
      <c r="HDC84" s="798"/>
      <c r="HDD84" s="798"/>
      <c r="HDE84" s="798"/>
      <c r="HDF84" s="798"/>
      <c r="HDG84" s="798"/>
      <c r="HDH84" s="798"/>
      <c r="HDI84" s="798"/>
      <c r="HDJ84" s="798"/>
      <c r="HDK84" s="798"/>
      <c r="HDL84" s="798"/>
      <c r="HDM84" s="798"/>
      <c r="HDN84" s="798"/>
      <c r="HDO84" s="798"/>
      <c r="HDP84" s="798"/>
      <c r="HDQ84" s="798"/>
      <c r="HDR84" s="798"/>
      <c r="HDS84" s="798"/>
      <c r="HDT84" s="798"/>
      <c r="HDU84" s="798"/>
      <c r="HDV84" s="798"/>
      <c r="HDW84" s="798"/>
      <c r="HDX84" s="798"/>
      <c r="HDY84" s="798"/>
      <c r="HDZ84" s="798"/>
      <c r="HEA84" s="798"/>
      <c r="HEB84" s="798"/>
      <c r="HEC84" s="798"/>
      <c r="HED84" s="798"/>
      <c r="HEE84" s="798"/>
      <c r="HEF84" s="798"/>
      <c r="HEG84" s="798"/>
      <c r="HEH84" s="798"/>
      <c r="HEI84" s="798"/>
      <c r="HEJ84" s="798"/>
      <c r="HEK84" s="798"/>
      <c r="HEL84" s="798"/>
      <c r="HEM84" s="798"/>
      <c r="HEN84" s="798"/>
      <c r="HEO84" s="798"/>
      <c r="HEP84" s="798"/>
      <c r="HEQ84" s="798"/>
      <c r="HER84" s="798"/>
      <c r="HES84" s="798"/>
      <c r="HET84" s="798"/>
      <c r="HEU84" s="798"/>
      <c r="HEV84" s="798"/>
      <c r="HEW84" s="798"/>
      <c r="HEX84" s="798"/>
      <c r="HEY84" s="798"/>
      <c r="HEZ84" s="798"/>
      <c r="HFA84" s="798"/>
      <c r="HFB84" s="798"/>
      <c r="HFC84" s="798"/>
      <c r="HFD84" s="798"/>
      <c r="HFE84" s="798"/>
      <c r="HFF84" s="798"/>
      <c r="HFG84" s="798"/>
      <c r="HFH84" s="798"/>
      <c r="HFI84" s="798"/>
      <c r="HFJ84" s="798"/>
      <c r="HFK84" s="798"/>
      <c r="HFL84" s="798"/>
      <c r="HFM84" s="798"/>
      <c r="HFN84" s="798"/>
      <c r="HFO84" s="798"/>
      <c r="HFP84" s="798"/>
      <c r="HFQ84" s="798"/>
      <c r="HFR84" s="798"/>
      <c r="HFS84" s="798"/>
      <c r="HFT84" s="798"/>
      <c r="HFU84" s="798"/>
      <c r="HFV84" s="798"/>
      <c r="HFW84" s="798"/>
      <c r="HFX84" s="798"/>
      <c r="HFY84" s="798"/>
      <c r="HFZ84" s="798"/>
      <c r="HGA84" s="798"/>
      <c r="HGB84" s="798"/>
      <c r="HGC84" s="798"/>
      <c r="HGD84" s="798"/>
      <c r="HGE84" s="798"/>
      <c r="HGF84" s="798"/>
      <c r="HGG84" s="798"/>
      <c r="HGH84" s="798"/>
      <c r="HGI84" s="798"/>
      <c r="HGJ84" s="798"/>
      <c r="HGK84" s="798"/>
      <c r="HGL84" s="798"/>
      <c r="HGM84" s="798"/>
      <c r="HGN84" s="798"/>
      <c r="HGO84" s="798"/>
      <c r="HGP84" s="798"/>
      <c r="HGQ84" s="798"/>
      <c r="HGR84" s="798"/>
      <c r="HGS84" s="798"/>
      <c r="HGT84" s="798"/>
      <c r="HGU84" s="798"/>
      <c r="HGV84" s="798"/>
      <c r="HGW84" s="798"/>
      <c r="HGX84" s="798"/>
      <c r="HGY84" s="798"/>
      <c r="HGZ84" s="798"/>
      <c r="HHA84" s="798"/>
      <c r="HHB84" s="798"/>
      <c r="HHC84" s="798"/>
      <c r="HHD84" s="798"/>
      <c r="HHE84" s="798"/>
      <c r="HHF84" s="798"/>
      <c r="HHG84" s="798"/>
      <c r="HHH84" s="798"/>
      <c r="HHI84" s="798"/>
      <c r="HHJ84" s="798"/>
      <c r="HHK84" s="798"/>
      <c r="HHL84" s="798"/>
      <c r="HHM84" s="798"/>
      <c r="HHN84" s="798"/>
      <c r="HHO84" s="798"/>
      <c r="HHP84" s="798"/>
      <c r="HHQ84" s="798"/>
      <c r="HHR84" s="798"/>
      <c r="HHS84" s="798"/>
      <c r="HHT84" s="798"/>
      <c r="HHU84" s="798"/>
      <c r="HHV84" s="798"/>
      <c r="HHW84" s="798"/>
      <c r="HHX84" s="798"/>
      <c r="HHY84" s="798"/>
      <c r="HHZ84" s="798"/>
      <c r="HIA84" s="798"/>
      <c r="HIB84" s="798"/>
      <c r="HIC84" s="798"/>
      <c r="HID84" s="798"/>
      <c r="HIE84" s="798"/>
      <c r="HIF84" s="798"/>
      <c r="HIG84" s="798"/>
      <c r="HIH84" s="798"/>
      <c r="HII84" s="798"/>
      <c r="HIJ84" s="798"/>
      <c r="HIK84" s="798"/>
      <c r="HIL84" s="798"/>
      <c r="HIM84" s="798"/>
      <c r="HIN84" s="798"/>
      <c r="HIO84" s="798"/>
      <c r="HIP84" s="798"/>
      <c r="HIQ84" s="798"/>
      <c r="HIR84" s="798"/>
      <c r="HIS84" s="798"/>
      <c r="HIT84" s="798"/>
      <c r="HIU84" s="798"/>
      <c r="HIV84" s="798"/>
      <c r="HIW84" s="798"/>
      <c r="HIX84" s="798"/>
      <c r="HIY84" s="798"/>
      <c r="HIZ84" s="798"/>
      <c r="HJA84" s="798"/>
      <c r="HJB84" s="798"/>
      <c r="HJC84" s="798"/>
      <c r="HJD84" s="798"/>
      <c r="HJE84" s="798"/>
      <c r="HJF84" s="798"/>
      <c r="HJG84" s="798"/>
      <c r="HJH84" s="798"/>
      <c r="HJI84" s="798"/>
      <c r="HJJ84" s="798"/>
      <c r="HJK84" s="798"/>
      <c r="HJL84" s="798"/>
      <c r="HJM84" s="798"/>
      <c r="HJN84" s="798"/>
      <c r="HJO84" s="798"/>
      <c r="HJP84" s="798"/>
      <c r="HJQ84" s="798"/>
      <c r="HJR84" s="798"/>
      <c r="HJS84" s="798"/>
      <c r="HJT84" s="798"/>
      <c r="HJU84" s="798"/>
      <c r="HJV84" s="798"/>
      <c r="HJW84" s="798"/>
      <c r="HJX84" s="798"/>
      <c r="HJY84" s="798"/>
      <c r="HJZ84" s="798"/>
      <c r="HKA84" s="798"/>
      <c r="HKB84" s="798"/>
      <c r="HKC84" s="798"/>
      <c r="HKD84" s="798"/>
      <c r="HKE84" s="798"/>
      <c r="HKF84" s="798"/>
      <c r="HKG84" s="798"/>
      <c r="HKH84" s="798"/>
      <c r="HKI84" s="798"/>
      <c r="HKJ84" s="798"/>
      <c r="HKK84" s="798"/>
      <c r="HKL84" s="798"/>
      <c r="HKM84" s="798"/>
      <c r="HKN84" s="798"/>
      <c r="HKO84" s="798"/>
      <c r="HKP84" s="798"/>
      <c r="HKQ84" s="798"/>
      <c r="HKR84" s="798"/>
      <c r="HKS84" s="798"/>
      <c r="HKT84" s="798"/>
      <c r="HKU84" s="798"/>
      <c r="HKV84" s="798"/>
      <c r="HKW84" s="798"/>
      <c r="HKX84" s="798"/>
      <c r="HKY84" s="798"/>
      <c r="HKZ84" s="798"/>
      <c r="HLA84" s="798"/>
      <c r="HLB84" s="798"/>
      <c r="HLC84" s="798"/>
      <c r="HLD84" s="798"/>
      <c r="HLE84" s="798"/>
      <c r="HLF84" s="798"/>
      <c r="HLG84" s="798"/>
      <c r="HLH84" s="798"/>
      <c r="HLI84" s="798"/>
      <c r="HLJ84" s="798"/>
      <c r="HLK84" s="798"/>
      <c r="HLL84" s="798"/>
      <c r="HLM84" s="798"/>
      <c r="HLN84" s="798"/>
      <c r="HLO84" s="798"/>
      <c r="HLP84" s="798"/>
      <c r="HLQ84" s="798"/>
      <c r="HLR84" s="798"/>
      <c r="HLS84" s="798"/>
      <c r="HLT84" s="798"/>
      <c r="HLU84" s="798"/>
      <c r="HLV84" s="798"/>
      <c r="HLW84" s="798"/>
      <c r="HLX84" s="798"/>
      <c r="HLY84" s="798"/>
      <c r="HLZ84" s="798"/>
      <c r="HMA84" s="798"/>
      <c r="HMB84" s="798"/>
      <c r="HMC84" s="798"/>
      <c r="HMD84" s="798"/>
      <c r="HME84" s="798"/>
      <c r="HMF84" s="798"/>
      <c r="HMG84" s="798"/>
      <c r="HMH84" s="798"/>
      <c r="HMI84" s="798"/>
      <c r="HMJ84" s="798"/>
      <c r="HMK84" s="798"/>
      <c r="HML84" s="798"/>
      <c r="HMM84" s="798"/>
      <c r="HMN84" s="798"/>
      <c r="HMO84" s="798"/>
      <c r="HMP84" s="798"/>
      <c r="HMQ84" s="798"/>
      <c r="HMR84" s="798"/>
      <c r="HMS84" s="798"/>
      <c r="HMT84" s="798"/>
      <c r="HMU84" s="798"/>
      <c r="HMV84" s="798"/>
      <c r="HMW84" s="798"/>
      <c r="HMX84" s="798"/>
      <c r="HMY84" s="798"/>
      <c r="HMZ84" s="798"/>
      <c r="HNA84" s="798"/>
      <c r="HNB84" s="798"/>
      <c r="HNC84" s="798"/>
      <c r="HND84" s="798"/>
      <c r="HNE84" s="798"/>
      <c r="HNF84" s="798"/>
      <c r="HNG84" s="798"/>
      <c r="HNH84" s="798"/>
      <c r="HNI84" s="798"/>
      <c r="HNJ84" s="798"/>
      <c r="HNK84" s="798"/>
      <c r="HNL84" s="798"/>
      <c r="HNM84" s="798"/>
      <c r="HNN84" s="798"/>
      <c r="HNO84" s="798"/>
      <c r="HNP84" s="798"/>
      <c r="HNQ84" s="798"/>
      <c r="HNR84" s="798"/>
      <c r="HNS84" s="798"/>
      <c r="HNT84" s="798"/>
      <c r="HNU84" s="798"/>
      <c r="HNV84" s="798"/>
      <c r="HNW84" s="798"/>
      <c r="HNX84" s="798"/>
      <c r="HNY84" s="798"/>
      <c r="HNZ84" s="798"/>
      <c r="HOA84" s="798"/>
      <c r="HOB84" s="798"/>
      <c r="HOC84" s="798"/>
      <c r="HOD84" s="798"/>
      <c r="HOE84" s="798"/>
      <c r="HOF84" s="798"/>
      <c r="HOG84" s="798"/>
      <c r="HOH84" s="798"/>
      <c r="HOI84" s="798"/>
      <c r="HOJ84" s="798"/>
      <c r="HOK84" s="798"/>
      <c r="HOL84" s="798"/>
      <c r="HOM84" s="798"/>
      <c r="HON84" s="798"/>
      <c r="HOO84" s="798"/>
      <c r="HOP84" s="798"/>
      <c r="HOQ84" s="798"/>
      <c r="HOR84" s="798"/>
      <c r="HOS84" s="798"/>
      <c r="HOT84" s="798"/>
      <c r="HOU84" s="798"/>
      <c r="HOV84" s="798"/>
      <c r="HOW84" s="798"/>
      <c r="HOX84" s="798"/>
      <c r="HOY84" s="798"/>
      <c r="HOZ84" s="798"/>
      <c r="HPA84" s="798"/>
      <c r="HPB84" s="798"/>
      <c r="HPC84" s="798"/>
      <c r="HPD84" s="798"/>
      <c r="HPE84" s="798"/>
      <c r="HPF84" s="798"/>
      <c r="HPG84" s="798"/>
      <c r="HPH84" s="798"/>
      <c r="HPI84" s="798"/>
      <c r="HPJ84" s="798"/>
      <c r="HPK84" s="798"/>
      <c r="HPL84" s="798"/>
      <c r="HPM84" s="798"/>
      <c r="HPN84" s="798"/>
      <c r="HPO84" s="798"/>
      <c r="HPP84" s="798"/>
      <c r="HPQ84" s="798"/>
      <c r="HPR84" s="798"/>
      <c r="HPS84" s="798"/>
      <c r="HPT84" s="798"/>
      <c r="HPU84" s="798"/>
      <c r="HPV84" s="798"/>
      <c r="HPW84" s="798"/>
      <c r="HPX84" s="798"/>
      <c r="HPY84" s="798"/>
      <c r="HPZ84" s="798"/>
      <c r="HQA84" s="798"/>
      <c r="HQB84" s="798"/>
      <c r="HQC84" s="798"/>
      <c r="HQD84" s="798"/>
      <c r="HQE84" s="798"/>
      <c r="HQF84" s="798"/>
      <c r="HQG84" s="798"/>
      <c r="HQH84" s="798"/>
      <c r="HQI84" s="798"/>
      <c r="HQJ84" s="798"/>
      <c r="HQK84" s="798"/>
      <c r="HQL84" s="798"/>
      <c r="HQM84" s="798"/>
      <c r="HQN84" s="798"/>
      <c r="HQO84" s="798"/>
      <c r="HQP84" s="798"/>
      <c r="HQQ84" s="798"/>
      <c r="HQR84" s="798"/>
      <c r="HQS84" s="798"/>
      <c r="HQT84" s="798"/>
      <c r="HQU84" s="798"/>
      <c r="HQV84" s="798"/>
      <c r="HQW84" s="798"/>
      <c r="HQX84" s="798"/>
      <c r="HQY84" s="798"/>
      <c r="HQZ84" s="798"/>
      <c r="HRA84" s="798"/>
      <c r="HRB84" s="798"/>
      <c r="HRC84" s="798"/>
      <c r="HRD84" s="798"/>
      <c r="HRE84" s="798"/>
      <c r="HRF84" s="798"/>
      <c r="HRG84" s="798"/>
      <c r="HRH84" s="798"/>
      <c r="HRI84" s="798"/>
      <c r="HRJ84" s="798"/>
      <c r="HRK84" s="798"/>
      <c r="HRL84" s="798"/>
      <c r="HRM84" s="798"/>
      <c r="HRN84" s="798"/>
      <c r="HRO84" s="798"/>
      <c r="HRP84" s="798"/>
      <c r="HRQ84" s="798"/>
      <c r="HRR84" s="798"/>
      <c r="HRS84" s="798"/>
      <c r="HRT84" s="798"/>
      <c r="HRU84" s="798"/>
      <c r="HRV84" s="798"/>
      <c r="HRW84" s="798"/>
      <c r="HRX84" s="798"/>
      <c r="HRY84" s="798"/>
      <c r="HRZ84" s="798"/>
      <c r="HSA84" s="798"/>
      <c r="HSB84" s="798"/>
      <c r="HSC84" s="798"/>
      <c r="HSD84" s="798"/>
      <c r="HSE84" s="798"/>
      <c r="HSF84" s="798"/>
      <c r="HSG84" s="798"/>
      <c r="HSH84" s="798"/>
      <c r="HSI84" s="798"/>
      <c r="HSJ84" s="798"/>
      <c r="HSK84" s="798"/>
      <c r="HSL84" s="798"/>
      <c r="HSM84" s="798"/>
      <c r="HSN84" s="798"/>
      <c r="HSO84" s="798"/>
      <c r="HSP84" s="798"/>
      <c r="HSQ84" s="798"/>
      <c r="HSR84" s="798"/>
      <c r="HSS84" s="798"/>
      <c r="HST84" s="798"/>
      <c r="HSU84" s="798"/>
      <c r="HSV84" s="798"/>
      <c r="HSW84" s="798"/>
      <c r="HSX84" s="798"/>
      <c r="HSY84" s="798"/>
      <c r="HSZ84" s="798"/>
      <c r="HTA84" s="798"/>
      <c r="HTB84" s="798"/>
      <c r="HTC84" s="798"/>
      <c r="HTD84" s="798"/>
      <c r="HTE84" s="798"/>
      <c r="HTF84" s="798"/>
      <c r="HTG84" s="798"/>
      <c r="HTH84" s="798"/>
      <c r="HTI84" s="798"/>
      <c r="HTJ84" s="798"/>
      <c r="HTK84" s="798"/>
      <c r="HTL84" s="798"/>
      <c r="HTM84" s="798"/>
      <c r="HTN84" s="798"/>
      <c r="HTO84" s="798"/>
      <c r="HTP84" s="798"/>
      <c r="HTQ84" s="798"/>
      <c r="HTR84" s="798"/>
      <c r="HTS84" s="798"/>
      <c r="HTT84" s="798"/>
      <c r="HTU84" s="798"/>
      <c r="HTV84" s="798"/>
      <c r="HTW84" s="798"/>
      <c r="HTX84" s="798"/>
      <c r="HTY84" s="798"/>
      <c r="HTZ84" s="798"/>
      <c r="HUA84" s="798"/>
      <c r="HUB84" s="798"/>
      <c r="HUC84" s="798"/>
      <c r="HUD84" s="798"/>
      <c r="HUE84" s="798"/>
      <c r="HUF84" s="798"/>
      <c r="HUG84" s="798"/>
      <c r="HUH84" s="798"/>
      <c r="HUI84" s="798"/>
      <c r="HUJ84" s="798"/>
      <c r="HUK84" s="798"/>
      <c r="HUL84" s="798"/>
      <c r="HUM84" s="798"/>
      <c r="HUN84" s="798"/>
      <c r="HUO84" s="798"/>
      <c r="HUP84" s="798"/>
      <c r="HUQ84" s="798"/>
      <c r="HUR84" s="798"/>
      <c r="HUS84" s="798"/>
      <c r="HUT84" s="798"/>
      <c r="HUU84" s="798"/>
      <c r="HUV84" s="798"/>
      <c r="HUW84" s="798"/>
      <c r="HUX84" s="798"/>
      <c r="HUY84" s="798"/>
      <c r="HUZ84" s="798"/>
      <c r="HVA84" s="798"/>
      <c r="HVB84" s="798"/>
      <c r="HVC84" s="798"/>
      <c r="HVD84" s="798"/>
      <c r="HVE84" s="798"/>
      <c r="HVF84" s="798"/>
      <c r="HVG84" s="798"/>
      <c r="HVH84" s="798"/>
      <c r="HVI84" s="798"/>
      <c r="HVJ84" s="798"/>
      <c r="HVK84" s="798"/>
      <c r="HVL84" s="798"/>
      <c r="HVM84" s="798"/>
      <c r="HVN84" s="798"/>
      <c r="HVO84" s="798"/>
      <c r="HVP84" s="798"/>
      <c r="HVQ84" s="798"/>
      <c r="HVR84" s="798"/>
      <c r="HVS84" s="798"/>
      <c r="HVT84" s="798"/>
      <c r="HVU84" s="798"/>
      <c r="HVV84" s="798"/>
      <c r="HVW84" s="798"/>
      <c r="HVX84" s="798"/>
      <c r="HVY84" s="798"/>
      <c r="HVZ84" s="798"/>
      <c r="HWA84" s="798"/>
      <c r="HWB84" s="798"/>
      <c r="HWC84" s="798"/>
      <c r="HWD84" s="798"/>
      <c r="HWE84" s="798"/>
      <c r="HWF84" s="798"/>
      <c r="HWG84" s="798"/>
      <c r="HWH84" s="798"/>
      <c r="HWI84" s="798"/>
      <c r="HWJ84" s="798"/>
      <c r="HWK84" s="798"/>
      <c r="HWL84" s="798"/>
      <c r="HWM84" s="798"/>
      <c r="HWN84" s="798"/>
      <c r="HWO84" s="798"/>
      <c r="HWP84" s="798"/>
      <c r="HWQ84" s="798"/>
      <c r="HWR84" s="798"/>
      <c r="HWS84" s="798"/>
      <c r="HWT84" s="798"/>
      <c r="HWU84" s="798"/>
      <c r="HWV84" s="798"/>
      <c r="HWW84" s="798"/>
      <c r="HWX84" s="798"/>
      <c r="HWY84" s="798"/>
      <c r="HWZ84" s="798"/>
      <c r="HXA84" s="798"/>
      <c r="HXB84" s="798"/>
      <c r="HXC84" s="798"/>
      <c r="HXD84" s="798"/>
      <c r="HXE84" s="798"/>
      <c r="HXF84" s="798"/>
      <c r="HXG84" s="798"/>
      <c r="HXH84" s="798"/>
      <c r="HXI84" s="798"/>
      <c r="HXJ84" s="798"/>
      <c r="HXK84" s="798"/>
      <c r="HXL84" s="798"/>
      <c r="HXM84" s="798"/>
      <c r="HXN84" s="798"/>
      <c r="HXO84" s="798"/>
      <c r="HXP84" s="798"/>
      <c r="HXQ84" s="798"/>
      <c r="HXR84" s="798"/>
      <c r="HXS84" s="798"/>
      <c r="HXT84" s="798"/>
      <c r="HXU84" s="798"/>
      <c r="HXV84" s="798"/>
      <c r="HXW84" s="798"/>
      <c r="HXX84" s="798"/>
      <c r="HXY84" s="798"/>
      <c r="HXZ84" s="798"/>
      <c r="HYA84" s="798"/>
      <c r="HYB84" s="798"/>
      <c r="HYC84" s="798"/>
      <c r="HYD84" s="798"/>
      <c r="HYE84" s="798"/>
      <c r="HYF84" s="798"/>
      <c r="HYG84" s="798"/>
      <c r="HYH84" s="798"/>
      <c r="HYI84" s="798"/>
      <c r="HYJ84" s="798"/>
      <c r="HYK84" s="798"/>
      <c r="HYL84" s="798"/>
      <c r="HYM84" s="798"/>
      <c r="HYN84" s="798"/>
      <c r="HYO84" s="798"/>
      <c r="HYP84" s="798"/>
      <c r="HYQ84" s="798"/>
      <c r="HYR84" s="798"/>
      <c r="HYS84" s="798"/>
      <c r="HYT84" s="798"/>
      <c r="HYU84" s="798"/>
      <c r="HYV84" s="798"/>
      <c r="HYW84" s="798"/>
      <c r="HYX84" s="798"/>
      <c r="HYY84" s="798"/>
      <c r="HYZ84" s="798"/>
      <c r="HZA84" s="798"/>
      <c r="HZB84" s="798"/>
      <c r="HZC84" s="798"/>
      <c r="HZD84" s="798"/>
      <c r="HZE84" s="798"/>
      <c r="HZF84" s="798"/>
      <c r="HZG84" s="798"/>
      <c r="HZH84" s="798"/>
      <c r="HZI84" s="798"/>
      <c r="HZJ84" s="798"/>
      <c r="HZK84" s="798"/>
      <c r="HZL84" s="798"/>
      <c r="HZM84" s="798"/>
      <c r="HZN84" s="798"/>
      <c r="HZO84" s="798"/>
      <c r="HZP84" s="798"/>
      <c r="HZQ84" s="798"/>
      <c r="HZR84" s="798"/>
      <c r="HZS84" s="798"/>
      <c r="HZT84" s="798"/>
      <c r="HZU84" s="798"/>
      <c r="HZV84" s="798"/>
      <c r="HZW84" s="798"/>
      <c r="HZX84" s="798"/>
      <c r="HZY84" s="798"/>
      <c r="HZZ84" s="798"/>
      <c r="IAA84" s="798"/>
      <c r="IAB84" s="798"/>
      <c r="IAC84" s="798"/>
      <c r="IAD84" s="798"/>
      <c r="IAE84" s="798"/>
      <c r="IAF84" s="798"/>
      <c r="IAG84" s="798"/>
      <c r="IAH84" s="798"/>
      <c r="IAI84" s="798"/>
      <c r="IAJ84" s="798"/>
      <c r="IAK84" s="798"/>
      <c r="IAL84" s="798"/>
      <c r="IAM84" s="798"/>
      <c r="IAN84" s="798"/>
      <c r="IAO84" s="798"/>
      <c r="IAP84" s="798"/>
      <c r="IAQ84" s="798"/>
      <c r="IAR84" s="798"/>
      <c r="IAS84" s="798"/>
      <c r="IAT84" s="798"/>
      <c r="IAU84" s="798"/>
      <c r="IAV84" s="798"/>
      <c r="IAW84" s="798"/>
      <c r="IAX84" s="798"/>
      <c r="IAY84" s="798"/>
      <c r="IAZ84" s="798"/>
      <c r="IBA84" s="798"/>
      <c r="IBB84" s="798"/>
      <c r="IBC84" s="798"/>
      <c r="IBD84" s="798"/>
      <c r="IBE84" s="798"/>
      <c r="IBF84" s="798"/>
      <c r="IBG84" s="798"/>
      <c r="IBH84" s="798"/>
      <c r="IBI84" s="798"/>
      <c r="IBJ84" s="798"/>
      <c r="IBK84" s="798"/>
      <c r="IBL84" s="798"/>
      <c r="IBM84" s="798"/>
      <c r="IBN84" s="798"/>
      <c r="IBO84" s="798"/>
      <c r="IBP84" s="798"/>
      <c r="IBQ84" s="798"/>
      <c r="IBR84" s="798"/>
      <c r="IBS84" s="798"/>
      <c r="IBT84" s="798"/>
      <c r="IBU84" s="798"/>
      <c r="IBV84" s="798"/>
      <c r="IBW84" s="798"/>
      <c r="IBX84" s="798"/>
      <c r="IBY84" s="798"/>
      <c r="IBZ84" s="798"/>
      <c r="ICA84" s="798"/>
      <c r="ICB84" s="798"/>
      <c r="ICC84" s="798"/>
      <c r="ICD84" s="798"/>
      <c r="ICE84" s="798"/>
      <c r="ICF84" s="798"/>
      <c r="ICG84" s="798"/>
      <c r="ICH84" s="798"/>
      <c r="ICI84" s="798"/>
      <c r="ICJ84" s="798"/>
      <c r="ICK84" s="798"/>
      <c r="ICL84" s="798"/>
      <c r="ICM84" s="798"/>
      <c r="ICN84" s="798"/>
      <c r="ICO84" s="798"/>
      <c r="ICP84" s="798"/>
      <c r="ICQ84" s="798"/>
      <c r="ICR84" s="798"/>
      <c r="ICS84" s="798"/>
      <c r="ICT84" s="798"/>
      <c r="ICU84" s="798"/>
      <c r="ICV84" s="798"/>
      <c r="ICW84" s="798"/>
      <c r="ICX84" s="798"/>
      <c r="ICY84" s="798"/>
      <c r="ICZ84" s="798"/>
      <c r="IDA84" s="798"/>
      <c r="IDB84" s="798"/>
      <c r="IDC84" s="798"/>
      <c r="IDD84" s="798"/>
      <c r="IDE84" s="798"/>
      <c r="IDF84" s="798"/>
      <c r="IDG84" s="798"/>
      <c r="IDH84" s="798"/>
      <c r="IDI84" s="798"/>
      <c r="IDJ84" s="798"/>
      <c r="IDK84" s="798"/>
      <c r="IDL84" s="798"/>
      <c r="IDM84" s="798"/>
      <c r="IDN84" s="798"/>
      <c r="IDO84" s="798"/>
      <c r="IDP84" s="798"/>
      <c r="IDQ84" s="798"/>
      <c r="IDR84" s="798"/>
      <c r="IDS84" s="798"/>
      <c r="IDT84" s="798"/>
      <c r="IDU84" s="798"/>
      <c r="IDV84" s="798"/>
      <c r="IDW84" s="798"/>
      <c r="IDX84" s="798"/>
      <c r="IDY84" s="798"/>
      <c r="IDZ84" s="798"/>
      <c r="IEA84" s="798"/>
      <c r="IEB84" s="798"/>
      <c r="IEC84" s="798"/>
      <c r="IED84" s="798"/>
      <c r="IEE84" s="798"/>
      <c r="IEF84" s="798"/>
      <c r="IEG84" s="798"/>
      <c r="IEH84" s="798"/>
      <c r="IEI84" s="798"/>
      <c r="IEJ84" s="798"/>
      <c r="IEK84" s="798"/>
      <c r="IEL84" s="798"/>
      <c r="IEM84" s="798"/>
      <c r="IEN84" s="798"/>
      <c r="IEO84" s="798"/>
      <c r="IEP84" s="798"/>
      <c r="IEQ84" s="798"/>
      <c r="IER84" s="798"/>
      <c r="IES84" s="798"/>
      <c r="IET84" s="798"/>
      <c r="IEU84" s="798"/>
      <c r="IEV84" s="798"/>
      <c r="IEW84" s="798"/>
      <c r="IEX84" s="798"/>
      <c r="IEY84" s="798"/>
      <c r="IEZ84" s="798"/>
      <c r="IFA84" s="798"/>
      <c r="IFB84" s="798"/>
      <c r="IFC84" s="798"/>
      <c r="IFD84" s="798"/>
      <c r="IFE84" s="798"/>
      <c r="IFF84" s="798"/>
      <c r="IFG84" s="798"/>
      <c r="IFH84" s="798"/>
      <c r="IFI84" s="798"/>
      <c r="IFJ84" s="798"/>
      <c r="IFK84" s="798"/>
      <c r="IFL84" s="798"/>
      <c r="IFM84" s="798"/>
      <c r="IFN84" s="798"/>
      <c r="IFO84" s="798"/>
      <c r="IFP84" s="798"/>
      <c r="IFQ84" s="798"/>
      <c r="IFR84" s="798"/>
      <c r="IFS84" s="798"/>
      <c r="IFT84" s="798"/>
      <c r="IFU84" s="798"/>
      <c r="IFV84" s="798"/>
      <c r="IFW84" s="798"/>
      <c r="IFX84" s="798"/>
      <c r="IFY84" s="798"/>
      <c r="IFZ84" s="798"/>
      <c r="IGA84" s="798"/>
      <c r="IGB84" s="798"/>
      <c r="IGC84" s="798"/>
      <c r="IGD84" s="798"/>
      <c r="IGE84" s="798"/>
      <c r="IGF84" s="798"/>
      <c r="IGG84" s="798"/>
      <c r="IGH84" s="798"/>
      <c r="IGI84" s="798"/>
      <c r="IGJ84" s="798"/>
      <c r="IGK84" s="798"/>
      <c r="IGL84" s="798"/>
      <c r="IGM84" s="798"/>
      <c r="IGN84" s="798"/>
      <c r="IGO84" s="798"/>
      <c r="IGP84" s="798"/>
      <c r="IGQ84" s="798"/>
      <c r="IGR84" s="798"/>
      <c r="IGS84" s="798"/>
      <c r="IGT84" s="798"/>
      <c r="IGU84" s="798"/>
      <c r="IGV84" s="798"/>
      <c r="IGW84" s="798"/>
      <c r="IGX84" s="798"/>
      <c r="IGY84" s="798"/>
      <c r="IGZ84" s="798"/>
      <c r="IHA84" s="798"/>
      <c r="IHB84" s="798"/>
      <c r="IHC84" s="798"/>
      <c r="IHD84" s="798"/>
      <c r="IHE84" s="798"/>
      <c r="IHF84" s="798"/>
      <c r="IHG84" s="798"/>
      <c r="IHH84" s="798"/>
      <c r="IHI84" s="798"/>
      <c r="IHJ84" s="798"/>
      <c r="IHK84" s="798"/>
      <c r="IHL84" s="798"/>
      <c r="IHM84" s="798"/>
      <c r="IHN84" s="798"/>
      <c r="IHO84" s="798"/>
      <c r="IHP84" s="798"/>
      <c r="IHQ84" s="798"/>
      <c r="IHR84" s="798"/>
      <c r="IHS84" s="798"/>
      <c r="IHT84" s="798"/>
      <c r="IHU84" s="798"/>
      <c r="IHV84" s="798"/>
      <c r="IHW84" s="798"/>
      <c r="IHX84" s="798"/>
      <c r="IHY84" s="798"/>
      <c r="IHZ84" s="798"/>
      <c r="IIA84" s="798"/>
      <c r="IIB84" s="798"/>
      <c r="IIC84" s="798"/>
      <c r="IID84" s="798"/>
      <c r="IIE84" s="798"/>
      <c r="IIF84" s="798"/>
      <c r="IIG84" s="798"/>
      <c r="IIH84" s="798"/>
      <c r="III84" s="798"/>
      <c r="IIJ84" s="798"/>
      <c r="IIK84" s="798"/>
      <c r="IIL84" s="798"/>
      <c r="IIM84" s="798"/>
      <c r="IIN84" s="798"/>
      <c r="IIO84" s="798"/>
      <c r="IIP84" s="798"/>
      <c r="IIQ84" s="798"/>
      <c r="IIR84" s="798"/>
      <c r="IIS84" s="798"/>
      <c r="IIT84" s="798"/>
      <c r="IIU84" s="798"/>
      <c r="IIV84" s="798"/>
      <c r="IIW84" s="798"/>
      <c r="IIX84" s="798"/>
      <c r="IIY84" s="798"/>
      <c r="IIZ84" s="798"/>
      <c r="IJA84" s="798"/>
      <c r="IJB84" s="798"/>
      <c r="IJC84" s="798"/>
      <c r="IJD84" s="798"/>
      <c r="IJE84" s="798"/>
      <c r="IJF84" s="798"/>
      <c r="IJG84" s="798"/>
      <c r="IJH84" s="798"/>
      <c r="IJI84" s="798"/>
      <c r="IJJ84" s="798"/>
      <c r="IJK84" s="798"/>
      <c r="IJL84" s="798"/>
      <c r="IJM84" s="798"/>
      <c r="IJN84" s="798"/>
      <c r="IJO84" s="798"/>
      <c r="IJP84" s="798"/>
      <c r="IJQ84" s="798"/>
      <c r="IJR84" s="798"/>
      <c r="IJS84" s="798"/>
      <c r="IJT84" s="798"/>
      <c r="IJU84" s="798"/>
      <c r="IJV84" s="798"/>
      <c r="IJW84" s="798"/>
      <c r="IJX84" s="798"/>
      <c r="IJY84" s="798"/>
      <c r="IJZ84" s="798"/>
      <c r="IKA84" s="798"/>
      <c r="IKB84" s="798"/>
      <c r="IKC84" s="798"/>
      <c r="IKD84" s="798"/>
      <c r="IKE84" s="798"/>
      <c r="IKF84" s="798"/>
      <c r="IKG84" s="798"/>
      <c r="IKH84" s="798"/>
      <c r="IKI84" s="798"/>
      <c r="IKJ84" s="798"/>
      <c r="IKK84" s="798"/>
      <c r="IKL84" s="798"/>
      <c r="IKM84" s="798"/>
      <c r="IKN84" s="798"/>
      <c r="IKO84" s="798"/>
      <c r="IKP84" s="798"/>
      <c r="IKQ84" s="798"/>
      <c r="IKR84" s="798"/>
      <c r="IKS84" s="798"/>
      <c r="IKT84" s="798"/>
      <c r="IKU84" s="798"/>
      <c r="IKV84" s="798"/>
      <c r="IKW84" s="798"/>
      <c r="IKX84" s="798"/>
      <c r="IKY84" s="798"/>
      <c r="IKZ84" s="798"/>
      <c r="ILA84" s="798"/>
      <c r="ILB84" s="798"/>
      <c r="ILC84" s="798"/>
      <c r="ILD84" s="798"/>
      <c r="ILE84" s="798"/>
      <c r="ILF84" s="798"/>
      <c r="ILG84" s="798"/>
      <c r="ILH84" s="798"/>
      <c r="ILI84" s="798"/>
      <c r="ILJ84" s="798"/>
      <c r="ILK84" s="798"/>
      <c r="ILL84" s="798"/>
      <c r="ILM84" s="798"/>
      <c r="ILN84" s="798"/>
      <c r="ILO84" s="798"/>
      <c r="ILP84" s="798"/>
      <c r="ILQ84" s="798"/>
      <c r="ILR84" s="798"/>
      <c r="ILS84" s="798"/>
      <c r="ILT84" s="798"/>
      <c r="ILU84" s="798"/>
      <c r="ILV84" s="798"/>
      <c r="ILW84" s="798"/>
      <c r="ILX84" s="798"/>
      <c r="ILY84" s="798"/>
      <c r="ILZ84" s="798"/>
      <c r="IMA84" s="798"/>
      <c r="IMB84" s="798"/>
      <c r="IMC84" s="798"/>
      <c r="IMD84" s="798"/>
      <c r="IME84" s="798"/>
      <c r="IMF84" s="798"/>
      <c r="IMG84" s="798"/>
      <c r="IMH84" s="798"/>
      <c r="IMI84" s="798"/>
      <c r="IMJ84" s="798"/>
      <c r="IMK84" s="798"/>
      <c r="IML84" s="798"/>
      <c r="IMM84" s="798"/>
      <c r="IMN84" s="798"/>
      <c r="IMO84" s="798"/>
      <c r="IMP84" s="798"/>
      <c r="IMQ84" s="798"/>
      <c r="IMR84" s="798"/>
      <c r="IMS84" s="798"/>
      <c r="IMT84" s="798"/>
      <c r="IMU84" s="798"/>
      <c r="IMV84" s="798"/>
      <c r="IMW84" s="798"/>
      <c r="IMX84" s="798"/>
      <c r="IMY84" s="798"/>
      <c r="IMZ84" s="798"/>
      <c r="INA84" s="798"/>
      <c r="INB84" s="798"/>
      <c r="INC84" s="798"/>
      <c r="IND84" s="798"/>
      <c r="INE84" s="798"/>
      <c r="INF84" s="798"/>
      <c r="ING84" s="798"/>
      <c r="INH84" s="798"/>
      <c r="INI84" s="798"/>
      <c r="INJ84" s="798"/>
      <c r="INK84" s="798"/>
      <c r="INL84" s="798"/>
      <c r="INM84" s="798"/>
      <c r="INN84" s="798"/>
      <c r="INO84" s="798"/>
      <c r="INP84" s="798"/>
      <c r="INQ84" s="798"/>
      <c r="INR84" s="798"/>
      <c r="INS84" s="798"/>
      <c r="INT84" s="798"/>
      <c r="INU84" s="798"/>
      <c r="INV84" s="798"/>
      <c r="INW84" s="798"/>
      <c r="INX84" s="798"/>
      <c r="INY84" s="798"/>
      <c r="INZ84" s="798"/>
      <c r="IOA84" s="798"/>
      <c r="IOB84" s="798"/>
      <c r="IOC84" s="798"/>
      <c r="IOD84" s="798"/>
      <c r="IOE84" s="798"/>
      <c r="IOF84" s="798"/>
      <c r="IOG84" s="798"/>
      <c r="IOH84" s="798"/>
      <c r="IOI84" s="798"/>
      <c r="IOJ84" s="798"/>
      <c r="IOK84" s="798"/>
      <c r="IOL84" s="798"/>
      <c r="IOM84" s="798"/>
      <c r="ION84" s="798"/>
      <c r="IOO84" s="798"/>
      <c r="IOP84" s="798"/>
      <c r="IOQ84" s="798"/>
      <c r="IOR84" s="798"/>
      <c r="IOS84" s="798"/>
      <c r="IOT84" s="798"/>
      <c r="IOU84" s="798"/>
      <c r="IOV84" s="798"/>
      <c r="IOW84" s="798"/>
      <c r="IOX84" s="798"/>
      <c r="IOY84" s="798"/>
      <c r="IOZ84" s="798"/>
      <c r="IPA84" s="798"/>
      <c r="IPB84" s="798"/>
      <c r="IPC84" s="798"/>
      <c r="IPD84" s="798"/>
      <c r="IPE84" s="798"/>
      <c r="IPF84" s="798"/>
      <c r="IPG84" s="798"/>
      <c r="IPH84" s="798"/>
      <c r="IPI84" s="798"/>
      <c r="IPJ84" s="798"/>
      <c r="IPK84" s="798"/>
      <c r="IPL84" s="798"/>
      <c r="IPM84" s="798"/>
      <c r="IPN84" s="798"/>
      <c r="IPO84" s="798"/>
      <c r="IPP84" s="798"/>
      <c r="IPQ84" s="798"/>
      <c r="IPR84" s="798"/>
      <c r="IPS84" s="798"/>
      <c r="IPT84" s="798"/>
      <c r="IPU84" s="798"/>
      <c r="IPV84" s="798"/>
      <c r="IPW84" s="798"/>
      <c r="IPX84" s="798"/>
      <c r="IPY84" s="798"/>
      <c r="IPZ84" s="798"/>
      <c r="IQA84" s="798"/>
      <c r="IQB84" s="798"/>
      <c r="IQC84" s="798"/>
      <c r="IQD84" s="798"/>
      <c r="IQE84" s="798"/>
      <c r="IQF84" s="798"/>
      <c r="IQG84" s="798"/>
      <c r="IQH84" s="798"/>
      <c r="IQI84" s="798"/>
      <c r="IQJ84" s="798"/>
      <c r="IQK84" s="798"/>
      <c r="IQL84" s="798"/>
      <c r="IQM84" s="798"/>
      <c r="IQN84" s="798"/>
      <c r="IQO84" s="798"/>
      <c r="IQP84" s="798"/>
      <c r="IQQ84" s="798"/>
      <c r="IQR84" s="798"/>
      <c r="IQS84" s="798"/>
      <c r="IQT84" s="798"/>
      <c r="IQU84" s="798"/>
      <c r="IQV84" s="798"/>
      <c r="IQW84" s="798"/>
      <c r="IQX84" s="798"/>
      <c r="IQY84" s="798"/>
      <c r="IQZ84" s="798"/>
      <c r="IRA84" s="798"/>
      <c r="IRB84" s="798"/>
      <c r="IRC84" s="798"/>
      <c r="IRD84" s="798"/>
      <c r="IRE84" s="798"/>
      <c r="IRF84" s="798"/>
      <c r="IRG84" s="798"/>
      <c r="IRH84" s="798"/>
      <c r="IRI84" s="798"/>
      <c r="IRJ84" s="798"/>
      <c r="IRK84" s="798"/>
      <c r="IRL84" s="798"/>
      <c r="IRM84" s="798"/>
      <c r="IRN84" s="798"/>
      <c r="IRO84" s="798"/>
      <c r="IRP84" s="798"/>
      <c r="IRQ84" s="798"/>
      <c r="IRR84" s="798"/>
      <c r="IRS84" s="798"/>
      <c r="IRT84" s="798"/>
      <c r="IRU84" s="798"/>
      <c r="IRV84" s="798"/>
      <c r="IRW84" s="798"/>
      <c r="IRX84" s="798"/>
      <c r="IRY84" s="798"/>
      <c r="IRZ84" s="798"/>
      <c r="ISA84" s="798"/>
      <c r="ISB84" s="798"/>
      <c r="ISC84" s="798"/>
      <c r="ISD84" s="798"/>
      <c r="ISE84" s="798"/>
      <c r="ISF84" s="798"/>
      <c r="ISG84" s="798"/>
      <c r="ISH84" s="798"/>
      <c r="ISI84" s="798"/>
      <c r="ISJ84" s="798"/>
      <c r="ISK84" s="798"/>
      <c r="ISL84" s="798"/>
      <c r="ISM84" s="798"/>
      <c r="ISN84" s="798"/>
      <c r="ISO84" s="798"/>
      <c r="ISP84" s="798"/>
      <c r="ISQ84" s="798"/>
      <c r="ISR84" s="798"/>
      <c r="ISS84" s="798"/>
      <c r="IST84" s="798"/>
      <c r="ISU84" s="798"/>
      <c r="ISV84" s="798"/>
      <c r="ISW84" s="798"/>
      <c r="ISX84" s="798"/>
      <c r="ISY84" s="798"/>
      <c r="ISZ84" s="798"/>
      <c r="ITA84" s="798"/>
      <c r="ITB84" s="798"/>
      <c r="ITC84" s="798"/>
      <c r="ITD84" s="798"/>
      <c r="ITE84" s="798"/>
      <c r="ITF84" s="798"/>
      <c r="ITG84" s="798"/>
      <c r="ITH84" s="798"/>
      <c r="ITI84" s="798"/>
      <c r="ITJ84" s="798"/>
      <c r="ITK84" s="798"/>
      <c r="ITL84" s="798"/>
      <c r="ITM84" s="798"/>
      <c r="ITN84" s="798"/>
      <c r="ITO84" s="798"/>
      <c r="ITP84" s="798"/>
      <c r="ITQ84" s="798"/>
      <c r="ITR84" s="798"/>
      <c r="ITS84" s="798"/>
      <c r="ITT84" s="798"/>
      <c r="ITU84" s="798"/>
      <c r="ITV84" s="798"/>
      <c r="ITW84" s="798"/>
      <c r="ITX84" s="798"/>
      <c r="ITY84" s="798"/>
      <c r="ITZ84" s="798"/>
      <c r="IUA84" s="798"/>
      <c r="IUB84" s="798"/>
      <c r="IUC84" s="798"/>
      <c r="IUD84" s="798"/>
      <c r="IUE84" s="798"/>
      <c r="IUF84" s="798"/>
      <c r="IUG84" s="798"/>
      <c r="IUH84" s="798"/>
      <c r="IUI84" s="798"/>
      <c r="IUJ84" s="798"/>
      <c r="IUK84" s="798"/>
      <c r="IUL84" s="798"/>
      <c r="IUM84" s="798"/>
      <c r="IUN84" s="798"/>
      <c r="IUO84" s="798"/>
      <c r="IUP84" s="798"/>
      <c r="IUQ84" s="798"/>
      <c r="IUR84" s="798"/>
      <c r="IUS84" s="798"/>
      <c r="IUT84" s="798"/>
      <c r="IUU84" s="798"/>
      <c r="IUV84" s="798"/>
      <c r="IUW84" s="798"/>
      <c r="IUX84" s="798"/>
      <c r="IUY84" s="798"/>
      <c r="IUZ84" s="798"/>
      <c r="IVA84" s="798"/>
      <c r="IVB84" s="798"/>
      <c r="IVC84" s="798"/>
      <c r="IVD84" s="798"/>
      <c r="IVE84" s="798"/>
      <c r="IVF84" s="798"/>
      <c r="IVG84" s="798"/>
      <c r="IVH84" s="798"/>
      <c r="IVI84" s="798"/>
      <c r="IVJ84" s="798"/>
      <c r="IVK84" s="798"/>
      <c r="IVL84" s="798"/>
      <c r="IVM84" s="798"/>
      <c r="IVN84" s="798"/>
      <c r="IVO84" s="798"/>
      <c r="IVP84" s="798"/>
      <c r="IVQ84" s="798"/>
      <c r="IVR84" s="798"/>
      <c r="IVS84" s="798"/>
      <c r="IVT84" s="798"/>
      <c r="IVU84" s="798"/>
      <c r="IVV84" s="798"/>
      <c r="IVW84" s="798"/>
      <c r="IVX84" s="798"/>
      <c r="IVY84" s="798"/>
      <c r="IVZ84" s="798"/>
      <c r="IWA84" s="798"/>
      <c r="IWB84" s="798"/>
      <c r="IWC84" s="798"/>
      <c r="IWD84" s="798"/>
      <c r="IWE84" s="798"/>
      <c r="IWF84" s="798"/>
      <c r="IWG84" s="798"/>
      <c r="IWH84" s="798"/>
      <c r="IWI84" s="798"/>
      <c r="IWJ84" s="798"/>
      <c r="IWK84" s="798"/>
      <c r="IWL84" s="798"/>
      <c r="IWM84" s="798"/>
      <c r="IWN84" s="798"/>
      <c r="IWO84" s="798"/>
      <c r="IWP84" s="798"/>
      <c r="IWQ84" s="798"/>
      <c r="IWR84" s="798"/>
      <c r="IWS84" s="798"/>
      <c r="IWT84" s="798"/>
      <c r="IWU84" s="798"/>
      <c r="IWV84" s="798"/>
      <c r="IWW84" s="798"/>
      <c r="IWX84" s="798"/>
      <c r="IWY84" s="798"/>
      <c r="IWZ84" s="798"/>
      <c r="IXA84" s="798"/>
      <c r="IXB84" s="798"/>
      <c r="IXC84" s="798"/>
      <c r="IXD84" s="798"/>
      <c r="IXE84" s="798"/>
      <c r="IXF84" s="798"/>
      <c r="IXG84" s="798"/>
      <c r="IXH84" s="798"/>
      <c r="IXI84" s="798"/>
      <c r="IXJ84" s="798"/>
      <c r="IXK84" s="798"/>
      <c r="IXL84" s="798"/>
      <c r="IXM84" s="798"/>
      <c r="IXN84" s="798"/>
      <c r="IXO84" s="798"/>
      <c r="IXP84" s="798"/>
      <c r="IXQ84" s="798"/>
      <c r="IXR84" s="798"/>
      <c r="IXS84" s="798"/>
      <c r="IXT84" s="798"/>
      <c r="IXU84" s="798"/>
      <c r="IXV84" s="798"/>
      <c r="IXW84" s="798"/>
      <c r="IXX84" s="798"/>
      <c r="IXY84" s="798"/>
      <c r="IXZ84" s="798"/>
      <c r="IYA84" s="798"/>
      <c r="IYB84" s="798"/>
      <c r="IYC84" s="798"/>
      <c r="IYD84" s="798"/>
      <c r="IYE84" s="798"/>
      <c r="IYF84" s="798"/>
      <c r="IYG84" s="798"/>
      <c r="IYH84" s="798"/>
      <c r="IYI84" s="798"/>
      <c r="IYJ84" s="798"/>
      <c r="IYK84" s="798"/>
      <c r="IYL84" s="798"/>
      <c r="IYM84" s="798"/>
      <c r="IYN84" s="798"/>
      <c r="IYO84" s="798"/>
      <c r="IYP84" s="798"/>
      <c r="IYQ84" s="798"/>
      <c r="IYR84" s="798"/>
      <c r="IYS84" s="798"/>
      <c r="IYT84" s="798"/>
      <c r="IYU84" s="798"/>
      <c r="IYV84" s="798"/>
      <c r="IYW84" s="798"/>
      <c r="IYX84" s="798"/>
      <c r="IYY84" s="798"/>
      <c r="IYZ84" s="798"/>
      <c r="IZA84" s="798"/>
      <c r="IZB84" s="798"/>
      <c r="IZC84" s="798"/>
      <c r="IZD84" s="798"/>
      <c r="IZE84" s="798"/>
      <c r="IZF84" s="798"/>
      <c r="IZG84" s="798"/>
      <c r="IZH84" s="798"/>
      <c r="IZI84" s="798"/>
      <c r="IZJ84" s="798"/>
      <c r="IZK84" s="798"/>
      <c r="IZL84" s="798"/>
      <c r="IZM84" s="798"/>
      <c r="IZN84" s="798"/>
      <c r="IZO84" s="798"/>
      <c r="IZP84" s="798"/>
      <c r="IZQ84" s="798"/>
      <c r="IZR84" s="798"/>
      <c r="IZS84" s="798"/>
      <c r="IZT84" s="798"/>
      <c r="IZU84" s="798"/>
      <c r="IZV84" s="798"/>
      <c r="IZW84" s="798"/>
      <c r="IZX84" s="798"/>
      <c r="IZY84" s="798"/>
      <c r="IZZ84" s="798"/>
      <c r="JAA84" s="798"/>
      <c r="JAB84" s="798"/>
      <c r="JAC84" s="798"/>
      <c r="JAD84" s="798"/>
      <c r="JAE84" s="798"/>
      <c r="JAF84" s="798"/>
      <c r="JAG84" s="798"/>
      <c r="JAH84" s="798"/>
      <c r="JAI84" s="798"/>
      <c r="JAJ84" s="798"/>
      <c r="JAK84" s="798"/>
      <c r="JAL84" s="798"/>
      <c r="JAM84" s="798"/>
      <c r="JAN84" s="798"/>
      <c r="JAO84" s="798"/>
      <c r="JAP84" s="798"/>
      <c r="JAQ84" s="798"/>
      <c r="JAR84" s="798"/>
      <c r="JAS84" s="798"/>
      <c r="JAT84" s="798"/>
      <c r="JAU84" s="798"/>
      <c r="JAV84" s="798"/>
      <c r="JAW84" s="798"/>
      <c r="JAX84" s="798"/>
      <c r="JAY84" s="798"/>
      <c r="JAZ84" s="798"/>
      <c r="JBA84" s="798"/>
      <c r="JBB84" s="798"/>
      <c r="JBC84" s="798"/>
      <c r="JBD84" s="798"/>
      <c r="JBE84" s="798"/>
      <c r="JBF84" s="798"/>
      <c r="JBG84" s="798"/>
      <c r="JBH84" s="798"/>
      <c r="JBI84" s="798"/>
      <c r="JBJ84" s="798"/>
      <c r="JBK84" s="798"/>
      <c r="JBL84" s="798"/>
      <c r="JBM84" s="798"/>
      <c r="JBN84" s="798"/>
      <c r="JBO84" s="798"/>
      <c r="JBP84" s="798"/>
      <c r="JBQ84" s="798"/>
      <c r="JBR84" s="798"/>
      <c r="JBS84" s="798"/>
      <c r="JBT84" s="798"/>
      <c r="JBU84" s="798"/>
      <c r="JBV84" s="798"/>
      <c r="JBW84" s="798"/>
      <c r="JBX84" s="798"/>
      <c r="JBY84" s="798"/>
      <c r="JBZ84" s="798"/>
      <c r="JCA84" s="798"/>
      <c r="JCB84" s="798"/>
      <c r="JCC84" s="798"/>
      <c r="JCD84" s="798"/>
      <c r="JCE84" s="798"/>
      <c r="JCF84" s="798"/>
      <c r="JCG84" s="798"/>
      <c r="JCH84" s="798"/>
      <c r="JCI84" s="798"/>
      <c r="JCJ84" s="798"/>
      <c r="JCK84" s="798"/>
      <c r="JCL84" s="798"/>
      <c r="JCM84" s="798"/>
      <c r="JCN84" s="798"/>
      <c r="JCO84" s="798"/>
      <c r="JCP84" s="798"/>
      <c r="JCQ84" s="798"/>
      <c r="JCR84" s="798"/>
      <c r="JCS84" s="798"/>
      <c r="JCT84" s="798"/>
      <c r="JCU84" s="798"/>
      <c r="JCV84" s="798"/>
      <c r="JCW84" s="798"/>
      <c r="JCX84" s="798"/>
      <c r="JCY84" s="798"/>
      <c r="JCZ84" s="798"/>
      <c r="JDA84" s="798"/>
      <c r="JDB84" s="798"/>
      <c r="JDC84" s="798"/>
      <c r="JDD84" s="798"/>
      <c r="JDE84" s="798"/>
      <c r="JDF84" s="798"/>
      <c r="JDG84" s="798"/>
      <c r="JDH84" s="798"/>
      <c r="JDI84" s="798"/>
      <c r="JDJ84" s="798"/>
      <c r="JDK84" s="798"/>
      <c r="JDL84" s="798"/>
      <c r="JDM84" s="798"/>
      <c r="JDN84" s="798"/>
      <c r="JDO84" s="798"/>
      <c r="JDP84" s="798"/>
      <c r="JDQ84" s="798"/>
      <c r="JDR84" s="798"/>
      <c r="JDS84" s="798"/>
      <c r="JDT84" s="798"/>
      <c r="JDU84" s="798"/>
      <c r="JDV84" s="798"/>
      <c r="JDW84" s="798"/>
      <c r="JDX84" s="798"/>
      <c r="JDY84" s="798"/>
      <c r="JDZ84" s="798"/>
      <c r="JEA84" s="798"/>
      <c r="JEB84" s="798"/>
      <c r="JEC84" s="798"/>
      <c r="JED84" s="798"/>
      <c r="JEE84" s="798"/>
      <c r="JEF84" s="798"/>
      <c r="JEG84" s="798"/>
      <c r="JEH84" s="798"/>
      <c r="JEI84" s="798"/>
      <c r="JEJ84" s="798"/>
      <c r="JEK84" s="798"/>
      <c r="JEL84" s="798"/>
      <c r="JEM84" s="798"/>
      <c r="JEN84" s="798"/>
      <c r="JEO84" s="798"/>
      <c r="JEP84" s="798"/>
      <c r="JEQ84" s="798"/>
      <c r="JER84" s="798"/>
      <c r="JES84" s="798"/>
      <c r="JET84" s="798"/>
      <c r="JEU84" s="798"/>
      <c r="JEV84" s="798"/>
      <c r="JEW84" s="798"/>
      <c r="JEX84" s="798"/>
      <c r="JEY84" s="798"/>
      <c r="JEZ84" s="798"/>
      <c r="JFA84" s="798"/>
      <c r="JFB84" s="798"/>
      <c r="JFC84" s="798"/>
      <c r="JFD84" s="798"/>
      <c r="JFE84" s="798"/>
      <c r="JFF84" s="798"/>
      <c r="JFG84" s="798"/>
      <c r="JFH84" s="798"/>
      <c r="JFI84" s="798"/>
      <c r="JFJ84" s="798"/>
      <c r="JFK84" s="798"/>
      <c r="JFL84" s="798"/>
      <c r="JFM84" s="798"/>
      <c r="JFN84" s="798"/>
      <c r="JFO84" s="798"/>
      <c r="JFP84" s="798"/>
      <c r="JFQ84" s="798"/>
      <c r="JFR84" s="798"/>
      <c r="JFS84" s="798"/>
      <c r="JFT84" s="798"/>
      <c r="JFU84" s="798"/>
      <c r="JFV84" s="798"/>
      <c r="JFW84" s="798"/>
      <c r="JFX84" s="798"/>
      <c r="JFY84" s="798"/>
      <c r="JFZ84" s="798"/>
      <c r="JGA84" s="798"/>
      <c r="JGB84" s="798"/>
      <c r="JGC84" s="798"/>
      <c r="JGD84" s="798"/>
      <c r="JGE84" s="798"/>
      <c r="JGF84" s="798"/>
      <c r="JGG84" s="798"/>
      <c r="JGH84" s="798"/>
      <c r="JGI84" s="798"/>
      <c r="JGJ84" s="798"/>
      <c r="JGK84" s="798"/>
      <c r="JGL84" s="798"/>
      <c r="JGM84" s="798"/>
      <c r="JGN84" s="798"/>
      <c r="JGO84" s="798"/>
      <c r="JGP84" s="798"/>
      <c r="JGQ84" s="798"/>
      <c r="JGR84" s="798"/>
      <c r="JGS84" s="798"/>
      <c r="JGT84" s="798"/>
      <c r="JGU84" s="798"/>
      <c r="JGV84" s="798"/>
      <c r="JGW84" s="798"/>
      <c r="JGX84" s="798"/>
      <c r="JGY84" s="798"/>
      <c r="JGZ84" s="798"/>
      <c r="JHA84" s="798"/>
      <c r="JHB84" s="798"/>
      <c r="JHC84" s="798"/>
      <c r="JHD84" s="798"/>
      <c r="JHE84" s="798"/>
      <c r="JHF84" s="798"/>
      <c r="JHG84" s="798"/>
      <c r="JHH84" s="798"/>
      <c r="JHI84" s="798"/>
      <c r="JHJ84" s="798"/>
      <c r="JHK84" s="798"/>
      <c r="JHL84" s="798"/>
      <c r="JHM84" s="798"/>
      <c r="JHN84" s="798"/>
      <c r="JHO84" s="798"/>
      <c r="JHP84" s="798"/>
      <c r="JHQ84" s="798"/>
      <c r="JHR84" s="798"/>
      <c r="JHS84" s="798"/>
      <c r="JHT84" s="798"/>
      <c r="JHU84" s="798"/>
      <c r="JHV84" s="798"/>
      <c r="JHW84" s="798"/>
      <c r="JHX84" s="798"/>
      <c r="JHY84" s="798"/>
      <c r="JHZ84" s="798"/>
      <c r="JIA84" s="798"/>
      <c r="JIB84" s="798"/>
      <c r="JIC84" s="798"/>
      <c r="JID84" s="798"/>
      <c r="JIE84" s="798"/>
      <c r="JIF84" s="798"/>
      <c r="JIG84" s="798"/>
      <c r="JIH84" s="798"/>
      <c r="JII84" s="798"/>
      <c r="JIJ84" s="798"/>
      <c r="JIK84" s="798"/>
      <c r="JIL84" s="798"/>
      <c r="JIM84" s="798"/>
      <c r="JIN84" s="798"/>
      <c r="JIO84" s="798"/>
      <c r="JIP84" s="798"/>
      <c r="JIQ84" s="798"/>
      <c r="JIR84" s="798"/>
      <c r="JIS84" s="798"/>
      <c r="JIT84" s="798"/>
      <c r="JIU84" s="798"/>
      <c r="JIV84" s="798"/>
      <c r="JIW84" s="798"/>
      <c r="JIX84" s="798"/>
      <c r="JIY84" s="798"/>
      <c r="JIZ84" s="798"/>
      <c r="JJA84" s="798"/>
      <c r="JJB84" s="798"/>
      <c r="JJC84" s="798"/>
      <c r="JJD84" s="798"/>
      <c r="JJE84" s="798"/>
      <c r="JJF84" s="798"/>
      <c r="JJG84" s="798"/>
      <c r="JJH84" s="798"/>
      <c r="JJI84" s="798"/>
      <c r="JJJ84" s="798"/>
      <c r="JJK84" s="798"/>
      <c r="JJL84" s="798"/>
      <c r="JJM84" s="798"/>
      <c r="JJN84" s="798"/>
      <c r="JJO84" s="798"/>
      <c r="JJP84" s="798"/>
      <c r="JJQ84" s="798"/>
      <c r="JJR84" s="798"/>
      <c r="JJS84" s="798"/>
      <c r="JJT84" s="798"/>
      <c r="JJU84" s="798"/>
      <c r="JJV84" s="798"/>
      <c r="JJW84" s="798"/>
      <c r="JJX84" s="798"/>
      <c r="JJY84" s="798"/>
      <c r="JJZ84" s="798"/>
      <c r="JKA84" s="798"/>
      <c r="JKB84" s="798"/>
      <c r="JKC84" s="798"/>
      <c r="JKD84" s="798"/>
      <c r="JKE84" s="798"/>
      <c r="JKF84" s="798"/>
      <c r="JKG84" s="798"/>
      <c r="JKH84" s="798"/>
      <c r="JKI84" s="798"/>
      <c r="JKJ84" s="798"/>
      <c r="JKK84" s="798"/>
      <c r="JKL84" s="798"/>
      <c r="JKM84" s="798"/>
      <c r="JKN84" s="798"/>
      <c r="JKO84" s="798"/>
      <c r="JKP84" s="798"/>
      <c r="JKQ84" s="798"/>
      <c r="JKR84" s="798"/>
      <c r="JKS84" s="798"/>
      <c r="JKT84" s="798"/>
      <c r="JKU84" s="798"/>
      <c r="JKV84" s="798"/>
      <c r="JKW84" s="798"/>
      <c r="JKX84" s="798"/>
      <c r="JKY84" s="798"/>
      <c r="JKZ84" s="798"/>
      <c r="JLA84" s="798"/>
      <c r="JLB84" s="798"/>
      <c r="JLC84" s="798"/>
      <c r="JLD84" s="798"/>
      <c r="JLE84" s="798"/>
      <c r="JLF84" s="798"/>
      <c r="JLG84" s="798"/>
      <c r="JLH84" s="798"/>
      <c r="JLI84" s="798"/>
      <c r="JLJ84" s="798"/>
      <c r="JLK84" s="798"/>
      <c r="JLL84" s="798"/>
      <c r="JLM84" s="798"/>
      <c r="JLN84" s="798"/>
      <c r="JLO84" s="798"/>
      <c r="JLP84" s="798"/>
      <c r="JLQ84" s="798"/>
      <c r="JLR84" s="798"/>
      <c r="JLS84" s="798"/>
      <c r="JLT84" s="798"/>
      <c r="JLU84" s="798"/>
      <c r="JLV84" s="798"/>
      <c r="JLW84" s="798"/>
      <c r="JLX84" s="798"/>
      <c r="JLY84" s="798"/>
      <c r="JLZ84" s="798"/>
      <c r="JMA84" s="798"/>
      <c r="JMB84" s="798"/>
      <c r="JMC84" s="798"/>
      <c r="JMD84" s="798"/>
      <c r="JME84" s="798"/>
      <c r="JMF84" s="798"/>
      <c r="JMG84" s="798"/>
      <c r="JMH84" s="798"/>
      <c r="JMI84" s="798"/>
      <c r="JMJ84" s="798"/>
      <c r="JMK84" s="798"/>
      <c r="JML84" s="798"/>
      <c r="JMM84" s="798"/>
      <c r="JMN84" s="798"/>
      <c r="JMO84" s="798"/>
      <c r="JMP84" s="798"/>
      <c r="JMQ84" s="798"/>
      <c r="JMR84" s="798"/>
      <c r="JMS84" s="798"/>
      <c r="JMT84" s="798"/>
      <c r="JMU84" s="798"/>
      <c r="JMV84" s="798"/>
      <c r="JMW84" s="798"/>
      <c r="JMX84" s="798"/>
      <c r="JMY84" s="798"/>
      <c r="JMZ84" s="798"/>
      <c r="JNA84" s="798"/>
      <c r="JNB84" s="798"/>
      <c r="JNC84" s="798"/>
      <c r="JND84" s="798"/>
      <c r="JNE84" s="798"/>
      <c r="JNF84" s="798"/>
      <c r="JNG84" s="798"/>
      <c r="JNH84" s="798"/>
      <c r="JNI84" s="798"/>
      <c r="JNJ84" s="798"/>
      <c r="JNK84" s="798"/>
      <c r="JNL84" s="798"/>
      <c r="JNM84" s="798"/>
      <c r="JNN84" s="798"/>
      <c r="JNO84" s="798"/>
      <c r="JNP84" s="798"/>
      <c r="JNQ84" s="798"/>
      <c r="JNR84" s="798"/>
      <c r="JNS84" s="798"/>
      <c r="JNT84" s="798"/>
      <c r="JNU84" s="798"/>
      <c r="JNV84" s="798"/>
      <c r="JNW84" s="798"/>
      <c r="JNX84" s="798"/>
      <c r="JNY84" s="798"/>
      <c r="JNZ84" s="798"/>
      <c r="JOA84" s="798"/>
      <c r="JOB84" s="798"/>
      <c r="JOC84" s="798"/>
      <c r="JOD84" s="798"/>
      <c r="JOE84" s="798"/>
      <c r="JOF84" s="798"/>
      <c r="JOG84" s="798"/>
      <c r="JOH84" s="798"/>
      <c r="JOI84" s="798"/>
      <c r="JOJ84" s="798"/>
      <c r="JOK84" s="798"/>
      <c r="JOL84" s="798"/>
      <c r="JOM84" s="798"/>
      <c r="JON84" s="798"/>
      <c r="JOO84" s="798"/>
      <c r="JOP84" s="798"/>
      <c r="JOQ84" s="798"/>
      <c r="JOR84" s="798"/>
      <c r="JOS84" s="798"/>
      <c r="JOT84" s="798"/>
      <c r="JOU84" s="798"/>
      <c r="JOV84" s="798"/>
      <c r="JOW84" s="798"/>
      <c r="JOX84" s="798"/>
      <c r="JOY84" s="798"/>
      <c r="JOZ84" s="798"/>
      <c r="JPA84" s="798"/>
      <c r="JPB84" s="798"/>
      <c r="JPC84" s="798"/>
      <c r="JPD84" s="798"/>
      <c r="JPE84" s="798"/>
      <c r="JPF84" s="798"/>
      <c r="JPG84" s="798"/>
      <c r="JPH84" s="798"/>
      <c r="JPI84" s="798"/>
      <c r="JPJ84" s="798"/>
      <c r="JPK84" s="798"/>
      <c r="JPL84" s="798"/>
      <c r="JPM84" s="798"/>
      <c r="JPN84" s="798"/>
      <c r="JPO84" s="798"/>
      <c r="JPP84" s="798"/>
      <c r="JPQ84" s="798"/>
      <c r="JPR84" s="798"/>
      <c r="JPS84" s="798"/>
      <c r="JPT84" s="798"/>
      <c r="JPU84" s="798"/>
      <c r="JPV84" s="798"/>
      <c r="JPW84" s="798"/>
      <c r="JPX84" s="798"/>
      <c r="JPY84" s="798"/>
      <c r="JPZ84" s="798"/>
      <c r="JQA84" s="798"/>
      <c r="JQB84" s="798"/>
      <c r="JQC84" s="798"/>
      <c r="JQD84" s="798"/>
      <c r="JQE84" s="798"/>
      <c r="JQF84" s="798"/>
      <c r="JQG84" s="798"/>
      <c r="JQH84" s="798"/>
      <c r="JQI84" s="798"/>
      <c r="JQJ84" s="798"/>
      <c r="JQK84" s="798"/>
      <c r="JQL84" s="798"/>
      <c r="JQM84" s="798"/>
      <c r="JQN84" s="798"/>
      <c r="JQO84" s="798"/>
      <c r="JQP84" s="798"/>
      <c r="JQQ84" s="798"/>
      <c r="JQR84" s="798"/>
      <c r="JQS84" s="798"/>
      <c r="JQT84" s="798"/>
      <c r="JQU84" s="798"/>
      <c r="JQV84" s="798"/>
      <c r="JQW84" s="798"/>
      <c r="JQX84" s="798"/>
      <c r="JQY84" s="798"/>
      <c r="JQZ84" s="798"/>
      <c r="JRA84" s="798"/>
      <c r="JRB84" s="798"/>
      <c r="JRC84" s="798"/>
      <c r="JRD84" s="798"/>
      <c r="JRE84" s="798"/>
      <c r="JRF84" s="798"/>
      <c r="JRG84" s="798"/>
      <c r="JRH84" s="798"/>
      <c r="JRI84" s="798"/>
      <c r="JRJ84" s="798"/>
      <c r="JRK84" s="798"/>
      <c r="JRL84" s="798"/>
      <c r="JRM84" s="798"/>
      <c r="JRN84" s="798"/>
      <c r="JRO84" s="798"/>
      <c r="JRP84" s="798"/>
      <c r="JRQ84" s="798"/>
      <c r="JRR84" s="798"/>
      <c r="JRS84" s="798"/>
      <c r="JRT84" s="798"/>
      <c r="JRU84" s="798"/>
      <c r="JRV84" s="798"/>
      <c r="JRW84" s="798"/>
      <c r="JRX84" s="798"/>
      <c r="JRY84" s="798"/>
      <c r="JRZ84" s="798"/>
      <c r="JSA84" s="798"/>
      <c r="JSB84" s="798"/>
      <c r="JSC84" s="798"/>
      <c r="JSD84" s="798"/>
      <c r="JSE84" s="798"/>
      <c r="JSF84" s="798"/>
      <c r="JSG84" s="798"/>
      <c r="JSH84" s="798"/>
      <c r="JSI84" s="798"/>
      <c r="JSJ84" s="798"/>
      <c r="JSK84" s="798"/>
      <c r="JSL84" s="798"/>
      <c r="JSM84" s="798"/>
      <c r="JSN84" s="798"/>
      <c r="JSO84" s="798"/>
      <c r="JSP84" s="798"/>
      <c r="JSQ84" s="798"/>
      <c r="JSR84" s="798"/>
      <c r="JSS84" s="798"/>
      <c r="JST84" s="798"/>
      <c r="JSU84" s="798"/>
      <c r="JSV84" s="798"/>
      <c r="JSW84" s="798"/>
      <c r="JSX84" s="798"/>
      <c r="JSY84" s="798"/>
      <c r="JSZ84" s="798"/>
      <c r="JTA84" s="798"/>
      <c r="JTB84" s="798"/>
      <c r="JTC84" s="798"/>
      <c r="JTD84" s="798"/>
      <c r="JTE84" s="798"/>
      <c r="JTF84" s="798"/>
      <c r="JTG84" s="798"/>
      <c r="JTH84" s="798"/>
      <c r="JTI84" s="798"/>
      <c r="JTJ84" s="798"/>
      <c r="JTK84" s="798"/>
      <c r="JTL84" s="798"/>
      <c r="JTM84" s="798"/>
      <c r="JTN84" s="798"/>
      <c r="JTO84" s="798"/>
      <c r="JTP84" s="798"/>
      <c r="JTQ84" s="798"/>
      <c r="JTR84" s="798"/>
      <c r="JTS84" s="798"/>
      <c r="JTT84" s="798"/>
      <c r="JTU84" s="798"/>
      <c r="JTV84" s="798"/>
      <c r="JTW84" s="798"/>
      <c r="JTX84" s="798"/>
      <c r="JTY84" s="798"/>
      <c r="JTZ84" s="798"/>
      <c r="JUA84" s="798"/>
      <c r="JUB84" s="798"/>
      <c r="JUC84" s="798"/>
      <c r="JUD84" s="798"/>
      <c r="JUE84" s="798"/>
      <c r="JUF84" s="798"/>
      <c r="JUG84" s="798"/>
      <c r="JUH84" s="798"/>
      <c r="JUI84" s="798"/>
      <c r="JUJ84" s="798"/>
      <c r="JUK84" s="798"/>
      <c r="JUL84" s="798"/>
      <c r="JUM84" s="798"/>
      <c r="JUN84" s="798"/>
      <c r="JUO84" s="798"/>
      <c r="JUP84" s="798"/>
      <c r="JUQ84" s="798"/>
      <c r="JUR84" s="798"/>
      <c r="JUS84" s="798"/>
      <c r="JUT84" s="798"/>
      <c r="JUU84" s="798"/>
      <c r="JUV84" s="798"/>
      <c r="JUW84" s="798"/>
      <c r="JUX84" s="798"/>
      <c r="JUY84" s="798"/>
      <c r="JUZ84" s="798"/>
      <c r="JVA84" s="798"/>
      <c r="JVB84" s="798"/>
      <c r="JVC84" s="798"/>
      <c r="JVD84" s="798"/>
      <c r="JVE84" s="798"/>
      <c r="JVF84" s="798"/>
      <c r="JVG84" s="798"/>
      <c r="JVH84" s="798"/>
      <c r="JVI84" s="798"/>
      <c r="JVJ84" s="798"/>
      <c r="JVK84" s="798"/>
      <c r="JVL84" s="798"/>
      <c r="JVM84" s="798"/>
      <c r="JVN84" s="798"/>
      <c r="JVO84" s="798"/>
      <c r="JVP84" s="798"/>
      <c r="JVQ84" s="798"/>
      <c r="JVR84" s="798"/>
      <c r="JVS84" s="798"/>
      <c r="JVT84" s="798"/>
      <c r="JVU84" s="798"/>
      <c r="JVV84" s="798"/>
      <c r="JVW84" s="798"/>
      <c r="JVX84" s="798"/>
      <c r="JVY84" s="798"/>
      <c r="JVZ84" s="798"/>
      <c r="JWA84" s="798"/>
      <c r="JWB84" s="798"/>
      <c r="JWC84" s="798"/>
      <c r="JWD84" s="798"/>
      <c r="JWE84" s="798"/>
      <c r="JWF84" s="798"/>
      <c r="JWG84" s="798"/>
      <c r="JWH84" s="798"/>
      <c r="JWI84" s="798"/>
      <c r="JWJ84" s="798"/>
      <c r="JWK84" s="798"/>
      <c r="JWL84" s="798"/>
      <c r="JWM84" s="798"/>
      <c r="JWN84" s="798"/>
      <c r="JWO84" s="798"/>
      <c r="JWP84" s="798"/>
      <c r="JWQ84" s="798"/>
      <c r="JWR84" s="798"/>
      <c r="JWS84" s="798"/>
      <c r="JWT84" s="798"/>
      <c r="JWU84" s="798"/>
      <c r="JWV84" s="798"/>
      <c r="JWW84" s="798"/>
      <c r="JWX84" s="798"/>
      <c r="JWY84" s="798"/>
      <c r="JWZ84" s="798"/>
      <c r="JXA84" s="798"/>
      <c r="JXB84" s="798"/>
      <c r="JXC84" s="798"/>
      <c r="JXD84" s="798"/>
      <c r="JXE84" s="798"/>
      <c r="JXF84" s="798"/>
      <c r="JXG84" s="798"/>
      <c r="JXH84" s="798"/>
      <c r="JXI84" s="798"/>
      <c r="JXJ84" s="798"/>
      <c r="JXK84" s="798"/>
      <c r="JXL84" s="798"/>
      <c r="JXM84" s="798"/>
      <c r="JXN84" s="798"/>
      <c r="JXO84" s="798"/>
      <c r="JXP84" s="798"/>
      <c r="JXQ84" s="798"/>
      <c r="JXR84" s="798"/>
      <c r="JXS84" s="798"/>
      <c r="JXT84" s="798"/>
      <c r="JXU84" s="798"/>
      <c r="JXV84" s="798"/>
      <c r="JXW84" s="798"/>
      <c r="JXX84" s="798"/>
      <c r="JXY84" s="798"/>
      <c r="JXZ84" s="798"/>
      <c r="JYA84" s="798"/>
      <c r="JYB84" s="798"/>
      <c r="JYC84" s="798"/>
      <c r="JYD84" s="798"/>
      <c r="JYE84" s="798"/>
      <c r="JYF84" s="798"/>
      <c r="JYG84" s="798"/>
      <c r="JYH84" s="798"/>
      <c r="JYI84" s="798"/>
      <c r="JYJ84" s="798"/>
      <c r="JYK84" s="798"/>
      <c r="JYL84" s="798"/>
      <c r="JYM84" s="798"/>
      <c r="JYN84" s="798"/>
      <c r="JYO84" s="798"/>
      <c r="JYP84" s="798"/>
      <c r="JYQ84" s="798"/>
      <c r="JYR84" s="798"/>
      <c r="JYS84" s="798"/>
      <c r="JYT84" s="798"/>
      <c r="JYU84" s="798"/>
      <c r="JYV84" s="798"/>
      <c r="JYW84" s="798"/>
      <c r="JYX84" s="798"/>
      <c r="JYY84" s="798"/>
      <c r="JYZ84" s="798"/>
      <c r="JZA84" s="798"/>
      <c r="JZB84" s="798"/>
      <c r="JZC84" s="798"/>
      <c r="JZD84" s="798"/>
      <c r="JZE84" s="798"/>
      <c r="JZF84" s="798"/>
      <c r="JZG84" s="798"/>
      <c r="JZH84" s="798"/>
      <c r="JZI84" s="798"/>
      <c r="JZJ84" s="798"/>
      <c r="JZK84" s="798"/>
      <c r="JZL84" s="798"/>
      <c r="JZM84" s="798"/>
      <c r="JZN84" s="798"/>
      <c r="JZO84" s="798"/>
      <c r="JZP84" s="798"/>
      <c r="JZQ84" s="798"/>
      <c r="JZR84" s="798"/>
      <c r="JZS84" s="798"/>
      <c r="JZT84" s="798"/>
      <c r="JZU84" s="798"/>
      <c r="JZV84" s="798"/>
      <c r="JZW84" s="798"/>
      <c r="JZX84" s="798"/>
      <c r="JZY84" s="798"/>
      <c r="JZZ84" s="798"/>
      <c r="KAA84" s="798"/>
      <c r="KAB84" s="798"/>
      <c r="KAC84" s="798"/>
      <c r="KAD84" s="798"/>
      <c r="KAE84" s="798"/>
      <c r="KAF84" s="798"/>
      <c r="KAG84" s="798"/>
      <c r="KAH84" s="798"/>
      <c r="KAI84" s="798"/>
      <c r="KAJ84" s="798"/>
      <c r="KAK84" s="798"/>
      <c r="KAL84" s="798"/>
      <c r="KAM84" s="798"/>
      <c r="KAN84" s="798"/>
      <c r="KAO84" s="798"/>
      <c r="KAP84" s="798"/>
      <c r="KAQ84" s="798"/>
      <c r="KAR84" s="798"/>
      <c r="KAS84" s="798"/>
      <c r="KAT84" s="798"/>
      <c r="KAU84" s="798"/>
      <c r="KAV84" s="798"/>
      <c r="KAW84" s="798"/>
      <c r="KAX84" s="798"/>
      <c r="KAY84" s="798"/>
      <c r="KAZ84" s="798"/>
      <c r="KBA84" s="798"/>
      <c r="KBB84" s="798"/>
      <c r="KBC84" s="798"/>
      <c r="KBD84" s="798"/>
      <c r="KBE84" s="798"/>
      <c r="KBF84" s="798"/>
      <c r="KBG84" s="798"/>
      <c r="KBH84" s="798"/>
      <c r="KBI84" s="798"/>
      <c r="KBJ84" s="798"/>
      <c r="KBK84" s="798"/>
      <c r="KBL84" s="798"/>
      <c r="KBM84" s="798"/>
      <c r="KBN84" s="798"/>
      <c r="KBO84" s="798"/>
      <c r="KBP84" s="798"/>
      <c r="KBQ84" s="798"/>
      <c r="KBR84" s="798"/>
      <c r="KBS84" s="798"/>
      <c r="KBT84" s="798"/>
      <c r="KBU84" s="798"/>
      <c r="KBV84" s="798"/>
      <c r="KBW84" s="798"/>
      <c r="KBX84" s="798"/>
      <c r="KBY84" s="798"/>
      <c r="KBZ84" s="798"/>
      <c r="KCA84" s="798"/>
      <c r="KCB84" s="798"/>
      <c r="KCC84" s="798"/>
      <c r="KCD84" s="798"/>
      <c r="KCE84" s="798"/>
      <c r="KCF84" s="798"/>
      <c r="KCG84" s="798"/>
      <c r="KCH84" s="798"/>
      <c r="KCI84" s="798"/>
      <c r="KCJ84" s="798"/>
      <c r="KCK84" s="798"/>
      <c r="KCL84" s="798"/>
      <c r="KCM84" s="798"/>
      <c r="KCN84" s="798"/>
      <c r="KCO84" s="798"/>
      <c r="KCP84" s="798"/>
      <c r="KCQ84" s="798"/>
      <c r="KCR84" s="798"/>
      <c r="KCS84" s="798"/>
      <c r="KCT84" s="798"/>
      <c r="KCU84" s="798"/>
      <c r="KCV84" s="798"/>
      <c r="KCW84" s="798"/>
      <c r="KCX84" s="798"/>
      <c r="KCY84" s="798"/>
      <c r="KCZ84" s="798"/>
      <c r="KDA84" s="798"/>
      <c r="KDB84" s="798"/>
      <c r="KDC84" s="798"/>
      <c r="KDD84" s="798"/>
      <c r="KDE84" s="798"/>
      <c r="KDF84" s="798"/>
      <c r="KDG84" s="798"/>
      <c r="KDH84" s="798"/>
      <c r="KDI84" s="798"/>
      <c r="KDJ84" s="798"/>
      <c r="KDK84" s="798"/>
      <c r="KDL84" s="798"/>
      <c r="KDM84" s="798"/>
      <c r="KDN84" s="798"/>
      <c r="KDO84" s="798"/>
      <c r="KDP84" s="798"/>
      <c r="KDQ84" s="798"/>
      <c r="KDR84" s="798"/>
      <c r="KDS84" s="798"/>
      <c r="KDT84" s="798"/>
      <c r="KDU84" s="798"/>
      <c r="KDV84" s="798"/>
      <c r="KDW84" s="798"/>
      <c r="KDX84" s="798"/>
      <c r="KDY84" s="798"/>
      <c r="KDZ84" s="798"/>
      <c r="KEA84" s="798"/>
      <c r="KEB84" s="798"/>
      <c r="KEC84" s="798"/>
      <c r="KED84" s="798"/>
      <c r="KEE84" s="798"/>
      <c r="KEF84" s="798"/>
      <c r="KEG84" s="798"/>
      <c r="KEH84" s="798"/>
      <c r="KEI84" s="798"/>
      <c r="KEJ84" s="798"/>
      <c r="KEK84" s="798"/>
      <c r="KEL84" s="798"/>
      <c r="KEM84" s="798"/>
      <c r="KEN84" s="798"/>
      <c r="KEO84" s="798"/>
      <c r="KEP84" s="798"/>
      <c r="KEQ84" s="798"/>
      <c r="KER84" s="798"/>
      <c r="KES84" s="798"/>
      <c r="KET84" s="798"/>
      <c r="KEU84" s="798"/>
      <c r="KEV84" s="798"/>
      <c r="KEW84" s="798"/>
      <c r="KEX84" s="798"/>
      <c r="KEY84" s="798"/>
      <c r="KEZ84" s="798"/>
      <c r="KFA84" s="798"/>
      <c r="KFB84" s="798"/>
      <c r="KFC84" s="798"/>
      <c r="KFD84" s="798"/>
      <c r="KFE84" s="798"/>
      <c r="KFF84" s="798"/>
      <c r="KFG84" s="798"/>
      <c r="KFH84" s="798"/>
      <c r="KFI84" s="798"/>
      <c r="KFJ84" s="798"/>
      <c r="KFK84" s="798"/>
      <c r="KFL84" s="798"/>
      <c r="KFM84" s="798"/>
      <c r="KFN84" s="798"/>
      <c r="KFO84" s="798"/>
      <c r="KFP84" s="798"/>
      <c r="KFQ84" s="798"/>
      <c r="KFR84" s="798"/>
      <c r="KFS84" s="798"/>
      <c r="KFT84" s="798"/>
      <c r="KFU84" s="798"/>
      <c r="KFV84" s="798"/>
      <c r="KFW84" s="798"/>
      <c r="KFX84" s="798"/>
      <c r="KFY84" s="798"/>
      <c r="KFZ84" s="798"/>
      <c r="KGA84" s="798"/>
      <c r="KGB84" s="798"/>
      <c r="KGC84" s="798"/>
      <c r="KGD84" s="798"/>
      <c r="KGE84" s="798"/>
      <c r="KGF84" s="798"/>
      <c r="KGG84" s="798"/>
      <c r="KGH84" s="798"/>
      <c r="KGI84" s="798"/>
      <c r="KGJ84" s="798"/>
      <c r="KGK84" s="798"/>
      <c r="KGL84" s="798"/>
      <c r="KGM84" s="798"/>
      <c r="KGN84" s="798"/>
      <c r="KGO84" s="798"/>
      <c r="KGP84" s="798"/>
      <c r="KGQ84" s="798"/>
      <c r="KGR84" s="798"/>
      <c r="KGS84" s="798"/>
      <c r="KGT84" s="798"/>
      <c r="KGU84" s="798"/>
      <c r="KGV84" s="798"/>
      <c r="KGW84" s="798"/>
      <c r="KGX84" s="798"/>
      <c r="KGY84" s="798"/>
      <c r="KGZ84" s="798"/>
      <c r="KHA84" s="798"/>
      <c r="KHB84" s="798"/>
      <c r="KHC84" s="798"/>
      <c r="KHD84" s="798"/>
      <c r="KHE84" s="798"/>
      <c r="KHF84" s="798"/>
      <c r="KHG84" s="798"/>
      <c r="KHH84" s="798"/>
      <c r="KHI84" s="798"/>
      <c r="KHJ84" s="798"/>
      <c r="KHK84" s="798"/>
      <c r="KHL84" s="798"/>
      <c r="KHM84" s="798"/>
      <c r="KHN84" s="798"/>
      <c r="KHO84" s="798"/>
      <c r="KHP84" s="798"/>
      <c r="KHQ84" s="798"/>
      <c r="KHR84" s="798"/>
      <c r="KHS84" s="798"/>
      <c r="KHT84" s="798"/>
      <c r="KHU84" s="798"/>
      <c r="KHV84" s="798"/>
      <c r="KHW84" s="798"/>
      <c r="KHX84" s="798"/>
      <c r="KHY84" s="798"/>
      <c r="KHZ84" s="798"/>
      <c r="KIA84" s="798"/>
      <c r="KIB84" s="798"/>
      <c r="KIC84" s="798"/>
      <c r="KID84" s="798"/>
      <c r="KIE84" s="798"/>
      <c r="KIF84" s="798"/>
      <c r="KIG84" s="798"/>
      <c r="KIH84" s="798"/>
      <c r="KII84" s="798"/>
      <c r="KIJ84" s="798"/>
      <c r="KIK84" s="798"/>
      <c r="KIL84" s="798"/>
      <c r="KIM84" s="798"/>
      <c r="KIN84" s="798"/>
      <c r="KIO84" s="798"/>
      <c r="KIP84" s="798"/>
      <c r="KIQ84" s="798"/>
      <c r="KIR84" s="798"/>
      <c r="KIS84" s="798"/>
      <c r="KIT84" s="798"/>
      <c r="KIU84" s="798"/>
      <c r="KIV84" s="798"/>
      <c r="KIW84" s="798"/>
      <c r="KIX84" s="798"/>
      <c r="KIY84" s="798"/>
      <c r="KIZ84" s="798"/>
      <c r="KJA84" s="798"/>
      <c r="KJB84" s="798"/>
      <c r="KJC84" s="798"/>
      <c r="KJD84" s="798"/>
      <c r="KJE84" s="798"/>
      <c r="KJF84" s="798"/>
      <c r="KJG84" s="798"/>
      <c r="KJH84" s="798"/>
      <c r="KJI84" s="798"/>
      <c r="KJJ84" s="798"/>
      <c r="KJK84" s="798"/>
      <c r="KJL84" s="798"/>
      <c r="KJM84" s="798"/>
      <c r="KJN84" s="798"/>
      <c r="KJO84" s="798"/>
      <c r="KJP84" s="798"/>
      <c r="KJQ84" s="798"/>
      <c r="KJR84" s="798"/>
      <c r="KJS84" s="798"/>
      <c r="KJT84" s="798"/>
      <c r="KJU84" s="798"/>
      <c r="KJV84" s="798"/>
      <c r="KJW84" s="798"/>
      <c r="KJX84" s="798"/>
      <c r="KJY84" s="798"/>
      <c r="KJZ84" s="798"/>
      <c r="KKA84" s="798"/>
      <c r="KKB84" s="798"/>
      <c r="KKC84" s="798"/>
      <c r="KKD84" s="798"/>
      <c r="KKE84" s="798"/>
      <c r="KKF84" s="798"/>
      <c r="KKG84" s="798"/>
      <c r="KKH84" s="798"/>
      <c r="KKI84" s="798"/>
      <c r="KKJ84" s="798"/>
      <c r="KKK84" s="798"/>
      <c r="KKL84" s="798"/>
      <c r="KKM84" s="798"/>
      <c r="KKN84" s="798"/>
      <c r="KKO84" s="798"/>
      <c r="KKP84" s="798"/>
      <c r="KKQ84" s="798"/>
      <c r="KKR84" s="798"/>
      <c r="KKS84" s="798"/>
      <c r="KKT84" s="798"/>
      <c r="KKU84" s="798"/>
      <c r="KKV84" s="798"/>
      <c r="KKW84" s="798"/>
      <c r="KKX84" s="798"/>
      <c r="KKY84" s="798"/>
      <c r="KKZ84" s="798"/>
      <c r="KLA84" s="798"/>
      <c r="KLB84" s="798"/>
      <c r="KLC84" s="798"/>
      <c r="KLD84" s="798"/>
      <c r="KLE84" s="798"/>
      <c r="KLF84" s="798"/>
      <c r="KLG84" s="798"/>
      <c r="KLH84" s="798"/>
      <c r="KLI84" s="798"/>
      <c r="KLJ84" s="798"/>
      <c r="KLK84" s="798"/>
      <c r="KLL84" s="798"/>
      <c r="KLM84" s="798"/>
      <c r="KLN84" s="798"/>
      <c r="KLO84" s="798"/>
      <c r="KLP84" s="798"/>
      <c r="KLQ84" s="798"/>
      <c r="KLR84" s="798"/>
      <c r="KLS84" s="798"/>
      <c r="KLT84" s="798"/>
      <c r="KLU84" s="798"/>
      <c r="KLV84" s="798"/>
      <c r="KLW84" s="798"/>
      <c r="KLX84" s="798"/>
      <c r="KLY84" s="798"/>
      <c r="KLZ84" s="798"/>
      <c r="KMA84" s="798"/>
      <c r="KMB84" s="798"/>
      <c r="KMC84" s="798"/>
      <c r="KMD84" s="798"/>
      <c r="KME84" s="798"/>
      <c r="KMF84" s="798"/>
      <c r="KMG84" s="798"/>
      <c r="KMH84" s="798"/>
      <c r="KMI84" s="798"/>
      <c r="KMJ84" s="798"/>
      <c r="KMK84" s="798"/>
      <c r="KML84" s="798"/>
      <c r="KMM84" s="798"/>
      <c r="KMN84" s="798"/>
      <c r="KMO84" s="798"/>
      <c r="KMP84" s="798"/>
      <c r="KMQ84" s="798"/>
      <c r="KMR84" s="798"/>
      <c r="KMS84" s="798"/>
      <c r="KMT84" s="798"/>
      <c r="KMU84" s="798"/>
      <c r="KMV84" s="798"/>
      <c r="KMW84" s="798"/>
      <c r="KMX84" s="798"/>
      <c r="KMY84" s="798"/>
      <c r="KMZ84" s="798"/>
      <c r="KNA84" s="798"/>
      <c r="KNB84" s="798"/>
      <c r="KNC84" s="798"/>
      <c r="KND84" s="798"/>
      <c r="KNE84" s="798"/>
      <c r="KNF84" s="798"/>
      <c r="KNG84" s="798"/>
      <c r="KNH84" s="798"/>
      <c r="KNI84" s="798"/>
      <c r="KNJ84" s="798"/>
      <c r="KNK84" s="798"/>
      <c r="KNL84" s="798"/>
      <c r="KNM84" s="798"/>
      <c r="KNN84" s="798"/>
      <c r="KNO84" s="798"/>
      <c r="KNP84" s="798"/>
      <c r="KNQ84" s="798"/>
      <c r="KNR84" s="798"/>
      <c r="KNS84" s="798"/>
      <c r="KNT84" s="798"/>
      <c r="KNU84" s="798"/>
      <c r="KNV84" s="798"/>
      <c r="KNW84" s="798"/>
      <c r="KNX84" s="798"/>
      <c r="KNY84" s="798"/>
      <c r="KNZ84" s="798"/>
      <c r="KOA84" s="798"/>
      <c r="KOB84" s="798"/>
      <c r="KOC84" s="798"/>
      <c r="KOD84" s="798"/>
      <c r="KOE84" s="798"/>
      <c r="KOF84" s="798"/>
      <c r="KOG84" s="798"/>
      <c r="KOH84" s="798"/>
      <c r="KOI84" s="798"/>
      <c r="KOJ84" s="798"/>
      <c r="KOK84" s="798"/>
      <c r="KOL84" s="798"/>
      <c r="KOM84" s="798"/>
      <c r="KON84" s="798"/>
      <c r="KOO84" s="798"/>
      <c r="KOP84" s="798"/>
      <c r="KOQ84" s="798"/>
      <c r="KOR84" s="798"/>
      <c r="KOS84" s="798"/>
      <c r="KOT84" s="798"/>
      <c r="KOU84" s="798"/>
      <c r="KOV84" s="798"/>
      <c r="KOW84" s="798"/>
      <c r="KOX84" s="798"/>
      <c r="KOY84" s="798"/>
      <c r="KOZ84" s="798"/>
      <c r="KPA84" s="798"/>
      <c r="KPB84" s="798"/>
      <c r="KPC84" s="798"/>
      <c r="KPD84" s="798"/>
      <c r="KPE84" s="798"/>
      <c r="KPF84" s="798"/>
      <c r="KPG84" s="798"/>
      <c r="KPH84" s="798"/>
      <c r="KPI84" s="798"/>
      <c r="KPJ84" s="798"/>
      <c r="KPK84" s="798"/>
      <c r="KPL84" s="798"/>
      <c r="KPM84" s="798"/>
      <c r="KPN84" s="798"/>
      <c r="KPO84" s="798"/>
      <c r="KPP84" s="798"/>
      <c r="KPQ84" s="798"/>
      <c r="KPR84" s="798"/>
      <c r="KPS84" s="798"/>
      <c r="KPT84" s="798"/>
      <c r="KPU84" s="798"/>
      <c r="KPV84" s="798"/>
      <c r="KPW84" s="798"/>
      <c r="KPX84" s="798"/>
      <c r="KPY84" s="798"/>
      <c r="KPZ84" s="798"/>
      <c r="KQA84" s="798"/>
      <c r="KQB84" s="798"/>
      <c r="KQC84" s="798"/>
      <c r="KQD84" s="798"/>
      <c r="KQE84" s="798"/>
      <c r="KQF84" s="798"/>
      <c r="KQG84" s="798"/>
      <c r="KQH84" s="798"/>
      <c r="KQI84" s="798"/>
      <c r="KQJ84" s="798"/>
      <c r="KQK84" s="798"/>
      <c r="KQL84" s="798"/>
      <c r="KQM84" s="798"/>
      <c r="KQN84" s="798"/>
      <c r="KQO84" s="798"/>
      <c r="KQP84" s="798"/>
      <c r="KQQ84" s="798"/>
      <c r="KQR84" s="798"/>
      <c r="KQS84" s="798"/>
      <c r="KQT84" s="798"/>
      <c r="KQU84" s="798"/>
      <c r="KQV84" s="798"/>
      <c r="KQW84" s="798"/>
      <c r="KQX84" s="798"/>
      <c r="KQY84" s="798"/>
      <c r="KQZ84" s="798"/>
      <c r="KRA84" s="798"/>
      <c r="KRB84" s="798"/>
      <c r="KRC84" s="798"/>
      <c r="KRD84" s="798"/>
      <c r="KRE84" s="798"/>
      <c r="KRF84" s="798"/>
      <c r="KRG84" s="798"/>
      <c r="KRH84" s="798"/>
      <c r="KRI84" s="798"/>
      <c r="KRJ84" s="798"/>
      <c r="KRK84" s="798"/>
      <c r="KRL84" s="798"/>
      <c r="KRM84" s="798"/>
      <c r="KRN84" s="798"/>
      <c r="KRO84" s="798"/>
      <c r="KRP84" s="798"/>
      <c r="KRQ84" s="798"/>
      <c r="KRR84" s="798"/>
      <c r="KRS84" s="798"/>
      <c r="KRT84" s="798"/>
      <c r="KRU84" s="798"/>
      <c r="KRV84" s="798"/>
      <c r="KRW84" s="798"/>
      <c r="KRX84" s="798"/>
      <c r="KRY84" s="798"/>
      <c r="KRZ84" s="798"/>
      <c r="KSA84" s="798"/>
      <c r="KSB84" s="798"/>
      <c r="KSC84" s="798"/>
      <c r="KSD84" s="798"/>
      <c r="KSE84" s="798"/>
      <c r="KSF84" s="798"/>
      <c r="KSG84" s="798"/>
      <c r="KSH84" s="798"/>
      <c r="KSI84" s="798"/>
      <c r="KSJ84" s="798"/>
      <c r="KSK84" s="798"/>
      <c r="KSL84" s="798"/>
      <c r="KSM84" s="798"/>
      <c r="KSN84" s="798"/>
      <c r="KSO84" s="798"/>
      <c r="KSP84" s="798"/>
      <c r="KSQ84" s="798"/>
      <c r="KSR84" s="798"/>
      <c r="KSS84" s="798"/>
      <c r="KST84" s="798"/>
      <c r="KSU84" s="798"/>
      <c r="KSV84" s="798"/>
      <c r="KSW84" s="798"/>
      <c r="KSX84" s="798"/>
      <c r="KSY84" s="798"/>
      <c r="KSZ84" s="798"/>
      <c r="KTA84" s="798"/>
      <c r="KTB84" s="798"/>
      <c r="KTC84" s="798"/>
      <c r="KTD84" s="798"/>
      <c r="KTE84" s="798"/>
      <c r="KTF84" s="798"/>
      <c r="KTG84" s="798"/>
      <c r="KTH84" s="798"/>
      <c r="KTI84" s="798"/>
      <c r="KTJ84" s="798"/>
      <c r="KTK84" s="798"/>
      <c r="KTL84" s="798"/>
      <c r="KTM84" s="798"/>
      <c r="KTN84" s="798"/>
      <c r="KTO84" s="798"/>
      <c r="KTP84" s="798"/>
      <c r="KTQ84" s="798"/>
      <c r="KTR84" s="798"/>
      <c r="KTS84" s="798"/>
      <c r="KTT84" s="798"/>
      <c r="KTU84" s="798"/>
      <c r="KTV84" s="798"/>
      <c r="KTW84" s="798"/>
      <c r="KTX84" s="798"/>
      <c r="KTY84" s="798"/>
      <c r="KTZ84" s="798"/>
      <c r="KUA84" s="798"/>
      <c r="KUB84" s="798"/>
      <c r="KUC84" s="798"/>
      <c r="KUD84" s="798"/>
      <c r="KUE84" s="798"/>
      <c r="KUF84" s="798"/>
      <c r="KUG84" s="798"/>
      <c r="KUH84" s="798"/>
      <c r="KUI84" s="798"/>
      <c r="KUJ84" s="798"/>
      <c r="KUK84" s="798"/>
      <c r="KUL84" s="798"/>
      <c r="KUM84" s="798"/>
      <c r="KUN84" s="798"/>
      <c r="KUO84" s="798"/>
      <c r="KUP84" s="798"/>
      <c r="KUQ84" s="798"/>
      <c r="KUR84" s="798"/>
      <c r="KUS84" s="798"/>
      <c r="KUT84" s="798"/>
      <c r="KUU84" s="798"/>
      <c r="KUV84" s="798"/>
      <c r="KUW84" s="798"/>
      <c r="KUX84" s="798"/>
      <c r="KUY84" s="798"/>
      <c r="KUZ84" s="798"/>
      <c r="KVA84" s="798"/>
      <c r="KVB84" s="798"/>
      <c r="KVC84" s="798"/>
      <c r="KVD84" s="798"/>
      <c r="KVE84" s="798"/>
      <c r="KVF84" s="798"/>
      <c r="KVG84" s="798"/>
      <c r="KVH84" s="798"/>
      <c r="KVI84" s="798"/>
      <c r="KVJ84" s="798"/>
      <c r="KVK84" s="798"/>
      <c r="KVL84" s="798"/>
      <c r="KVM84" s="798"/>
      <c r="KVN84" s="798"/>
      <c r="KVO84" s="798"/>
      <c r="KVP84" s="798"/>
      <c r="KVQ84" s="798"/>
      <c r="KVR84" s="798"/>
      <c r="KVS84" s="798"/>
      <c r="KVT84" s="798"/>
      <c r="KVU84" s="798"/>
      <c r="KVV84" s="798"/>
      <c r="KVW84" s="798"/>
      <c r="KVX84" s="798"/>
      <c r="KVY84" s="798"/>
      <c r="KVZ84" s="798"/>
      <c r="KWA84" s="798"/>
      <c r="KWB84" s="798"/>
      <c r="KWC84" s="798"/>
      <c r="KWD84" s="798"/>
      <c r="KWE84" s="798"/>
      <c r="KWF84" s="798"/>
      <c r="KWG84" s="798"/>
      <c r="KWH84" s="798"/>
      <c r="KWI84" s="798"/>
      <c r="KWJ84" s="798"/>
      <c r="KWK84" s="798"/>
      <c r="KWL84" s="798"/>
      <c r="KWM84" s="798"/>
      <c r="KWN84" s="798"/>
      <c r="KWO84" s="798"/>
      <c r="KWP84" s="798"/>
      <c r="KWQ84" s="798"/>
      <c r="KWR84" s="798"/>
      <c r="KWS84" s="798"/>
      <c r="KWT84" s="798"/>
      <c r="KWU84" s="798"/>
      <c r="KWV84" s="798"/>
      <c r="KWW84" s="798"/>
      <c r="KWX84" s="798"/>
      <c r="KWY84" s="798"/>
      <c r="KWZ84" s="798"/>
      <c r="KXA84" s="798"/>
      <c r="KXB84" s="798"/>
      <c r="KXC84" s="798"/>
      <c r="KXD84" s="798"/>
      <c r="KXE84" s="798"/>
      <c r="KXF84" s="798"/>
      <c r="KXG84" s="798"/>
      <c r="KXH84" s="798"/>
      <c r="KXI84" s="798"/>
      <c r="KXJ84" s="798"/>
      <c r="KXK84" s="798"/>
      <c r="KXL84" s="798"/>
      <c r="KXM84" s="798"/>
      <c r="KXN84" s="798"/>
      <c r="KXO84" s="798"/>
      <c r="KXP84" s="798"/>
      <c r="KXQ84" s="798"/>
      <c r="KXR84" s="798"/>
      <c r="KXS84" s="798"/>
      <c r="KXT84" s="798"/>
      <c r="KXU84" s="798"/>
      <c r="KXV84" s="798"/>
      <c r="KXW84" s="798"/>
      <c r="KXX84" s="798"/>
      <c r="KXY84" s="798"/>
      <c r="KXZ84" s="798"/>
      <c r="KYA84" s="798"/>
      <c r="KYB84" s="798"/>
      <c r="KYC84" s="798"/>
      <c r="KYD84" s="798"/>
      <c r="KYE84" s="798"/>
      <c r="KYF84" s="798"/>
      <c r="KYG84" s="798"/>
      <c r="KYH84" s="798"/>
      <c r="KYI84" s="798"/>
      <c r="KYJ84" s="798"/>
      <c r="KYK84" s="798"/>
      <c r="KYL84" s="798"/>
      <c r="KYM84" s="798"/>
      <c r="KYN84" s="798"/>
      <c r="KYO84" s="798"/>
      <c r="KYP84" s="798"/>
      <c r="KYQ84" s="798"/>
      <c r="KYR84" s="798"/>
      <c r="KYS84" s="798"/>
      <c r="KYT84" s="798"/>
      <c r="KYU84" s="798"/>
      <c r="KYV84" s="798"/>
      <c r="KYW84" s="798"/>
      <c r="KYX84" s="798"/>
      <c r="KYY84" s="798"/>
      <c r="KYZ84" s="798"/>
      <c r="KZA84" s="798"/>
      <c r="KZB84" s="798"/>
      <c r="KZC84" s="798"/>
      <c r="KZD84" s="798"/>
      <c r="KZE84" s="798"/>
      <c r="KZF84" s="798"/>
      <c r="KZG84" s="798"/>
      <c r="KZH84" s="798"/>
      <c r="KZI84" s="798"/>
      <c r="KZJ84" s="798"/>
      <c r="KZK84" s="798"/>
      <c r="KZL84" s="798"/>
      <c r="KZM84" s="798"/>
      <c r="KZN84" s="798"/>
      <c r="KZO84" s="798"/>
      <c r="KZP84" s="798"/>
      <c r="KZQ84" s="798"/>
      <c r="KZR84" s="798"/>
      <c r="KZS84" s="798"/>
      <c r="KZT84" s="798"/>
      <c r="KZU84" s="798"/>
      <c r="KZV84" s="798"/>
      <c r="KZW84" s="798"/>
      <c r="KZX84" s="798"/>
      <c r="KZY84" s="798"/>
      <c r="KZZ84" s="798"/>
      <c r="LAA84" s="798"/>
      <c r="LAB84" s="798"/>
      <c r="LAC84" s="798"/>
      <c r="LAD84" s="798"/>
      <c r="LAE84" s="798"/>
      <c r="LAF84" s="798"/>
      <c r="LAG84" s="798"/>
      <c r="LAH84" s="798"/>
      <c r="LAI84" s="798"/>
      <c r="LAJ84" s="798"/>
      <c r="LAK84" s="798"/>
      <c r="LAL84" s="798"/>
      <c r="LAM84" s="798"/>
      <c r="LAN84" s="798"/>
      <c r="LAO84" s="798"/>
      <c r="LAP84" s="798"/>
      <c r="LAQ84" s="798"/>
      <c r="LAR84" s="798"/>
      <c r="LAS84" s="798"/>
      <c r="LAT84" s="798"/>
      <c r="LAU84" s="798"/>
      <c r="LAV84" s="798"/>
      <c r="LAW84" s="798"/>
      <c r="LAX84" s="798"/>
      <c r="LAY84" s="798"/>
      <c r="LAZ84" s="798"/>
      <c r="LBA84" s="798"/>
      <c r="LBB84" s="798"/>
      <c r="LBC84" s="798"/>
      <c r="LBD84" s="798"/>
      <c r="LBE84" s="798"/>
      <c r="LBF84" s="798"/>
      <c r="LBG84" s="798"/>
      <c r="LBH84" s="798"/>
      <c r="LBI84" s="798"/>
      <c r="LBJ84" s="798"/>
      <c r="LBK84" s="798"/>
      <c r="LBL84" s="798"/>
      <c r="LBM84" s="798"/>
      <c r="LBN84" s="798"/>
      <c r="LBO84" s="798"/>
      <c r="LBP84" s="798"/>
      <c r="LBQ84" s="798"/>
      <c r="LBR84" s="798"/>
      <c r="LBS84" s="798"/>
      <c r="LBT84" s="798"/>
      <c r="LBU84" s="798"/>
      <c r="LBV84" s="798"/>
      <c r="LBW84" s="798"/>
      <c r="LBX84" s="798"/>
      <c r="LBY84" s="798"/>
      <c r="LBZ84" s="798"/>
      <c r="LCA84" s="798"/>
      <c r="LCB84" s="798"/>
      <c r="LCC84" s="798"/>
      <c r="LCD84" s="798"/>
      <c r="LCE84" s="798"/>
      <c r="LCF84" s="798"/>
      <c r="LCG84" s="798"/>
      <c r="LCH84" s="798"/>
      <c r="LCI84" s="798"/>
      <c r="LCJ84" s="798"/>
      <c r="LCK84" s="798"/>
      <c r="LCL84" s="798"/>
      <c r="LCM84" s="798"/>
      <c r="LCN84" s="798"/>
      <c r="LCO84" s="798"/>
      <c r="LCP84" s="798"/>
      <c r="LCQ84" s="798"/>
      <c r="LCR84" s="798"/>
      <c r="LCS84" s="798"/>
      <c r="LCT84" s="798"/>
      <c r="LCU84" s="798"/>
      <c r="LCV84" s="798"/>
      <c r="LCW84" s="798"/>
      <c r="LCX84" s="798"/>
      <c r="LCY84" s="798"/>
      <c r="LCZ84" s="798"/>
      <c r="LDA84" s="798"/>
      <c r="LDB84" s="798"/>
      <c r="LDC84" s="798"/>
      <c r="LDD84" s="798"/>
      <c r="LDE84" s="798"/>
      <c r="LDF84" s="798"/>
      <c r="LDG84" s="798"/>
      <c r="LDH84" s="798"/>
      <c r="LDI84" s="798"/>
      <c r="LDJ84" s="798"/>
      <c r="LDK84" s="798"/>
      <c r="LDL84" s="798"/>
      <c r="LDM84" s="798"/>
      <c r="LDN84" s="798"/>
      <c r="LDO84" s="798"/>
      <c r="LDP84" s="798"/>
      <c r="LDQ84" s="798"/>
      <c r="LDR84" s="798"/>
      <c r="LDS84" s="798"/>
      <c r="LDT84" s="798"/>
      <c r="LDU84" s="798"/>
      <c r="LDV84" s="798"/>
      <c r="LDW84" s="798"/>
      <c r="LDX84" s="798"/>
      <c r="LDY84" s="798"/>
      <c r="LDZ84" s="798"/>
      <c r="LEA84" s="798"/>
      <c r="LEB84" s="798"/>
      <c r="LEC84" s="798"/>
      <c r="LED84" s="798"/>
      <c r="LEE84" s="798"/>
      <c r="LEF84" s="798"/>
      <c r="LEG84" s="798"/>
      <c r="LEH84" s="798"/>
      <c r="LEI84" s="798"/>
      <c r="LEJ84" s="798"/>
      <c r="LEK84" s="798"/>
      <c r="LEL84" s="798"/>
      <c r="LEM84" s="798"/>
      <c r="LEN84" s="798"/>
      <c r="LEO84" s="798"/>
      <c r="LEP84" s="798"/>
      <c r="LEQ84" s="798"/>
      <c r="LER84" s="798"/>
      <c r="LES84" s="798"/>
      <c r="LET84" s="798"/>
      <c r="LEU84" s="798"/>
      <c r="LEV84" s="798"/>
      <c r="LEW84" s="798"/>
      <c r="LEX84" s="798"/>
      <c r="LEY84" s="798"/>
      <c r="LEZ84" s="798"/>
      <c r="LFA84" s="798"/>
      <c r="LFB84" s="798"/>
      <c r="LFC84" s="798"/>
      <c r="LFD84" s="798"/>
      <c r="LFE84" s="798"/>
      <c r="LFF84" s="798"/>
      <c r="LFG84" s="798"/>
      <c r="LFH84" s="798"/>
      <c r="LFI84" s="798"/>
      <c r="LFJ84" s="798"/>
      <c r="LFK84" s="798"/>
      <c r="LFL84" s="798"/>
      <c r="LFM84" s="798"/>
      <c r="LFN84" s="798"/>
      <c r="LFO84" s="798"/>
      <c r="LFP84" s="798"/>
      <c r="LFQ84" s="798"/>
      <c r="LFR84" s="798"/>
      <c r="LFS84" s="798"/>
      <c r="LFT84" s="798"/>
      <c r="LFU84" s="798"/>
      <c r="LFV84" s="798"/>
      <c r="LFW84" s="798"/>
      <c r="LFX84" s="798"/>
      <c r="LFY84" s="798"/>
      <c r="LFZ84" s="798"/>
      <c r="LGA84" s="798"/>
      <c r="LGB84" s="798"/>
      <c r="LGC84" s="798"/>
      <c r="LGD84" s="798"/>
      <c r="LGE84" s="798"/>
      <c r="LGF84" s="798"/>
      <c r="LGG84" s="798"/>
      <c r="LGH84" s="798"/>
      <c r="LGI84" s="798"/>
      <c r="LGJ84" s="798"/>
      <c r="LGK84" s="798"/>
      <c r="LGL84" s="798"/>
      <c r="LGM84" s="798"/>
      <c r="LGN84" s="798"/>
      <c r="LGO84" s="798"/>
      <c r="LGP84" s="798"/>
      <c r="LGQ84" s="798"/>
      <c r="LGR84" s="798"/>
      <c r="LGS84" s="798"/>
      <c r="LGT84" s="798"/>
      <c r="LGU84" s="798"/>
      <c r="LGV84" s="798"/>
      <c r="LGW84" s="798"/>
      <c r="LGX84" s="798"/>
      <c r="LGY84" s="798"/>
      <c r="LGZ84" s="798"/>
      <c r="LHA84" s="798"/>
      <c r="LHB84" s="798"/>
      <c r="LHC84" s="798"/>
      <c r="LHD84" s="798"/>
      <c r="LHE84" s="798"/>
      <c r="LHF84" s="798"/>
      <c r="LHG84" s="798"/>
      <c r="LHH84" s="798"/>
      <c r="LHI84" s="798"/>
      <c r="LHJ84" s="798"/>
      <c r="LHK84" s="798"/>
      <c r="LHL84" s="798"/>
      <c r="LHM84" s="798"/>
      <c r="LHN84" s="798"/>
      <c r="LHO84" s="798"/>
      <c r="LHP84" s="798"/>
      <c r="LHQ84" s="798"/>
      <c r="LHR84" s="798"/>
      <c r="LHS84" s="798"/>
      <c r="LHT84" s="798"/>
      <c r="LHU84" s="798"/>
      <c r="LHV84" s="798"/>
      <c r="LHW84" s="798"/>
      <c r="LHX84" s="798"/>
      <c r="LHY84" s="798"/>
      <c r="LHZ84" s="798"/>
      <c r="LIA84" s="798"/>
      <c r="LIB84" s="798"/>
      <c r="LIC84" s="798"/>
      <c r="LID84" s="798"/>
      <c r="LIE84" s="798"/>
      <c r="LIF84" s="798"/>
      <c r="LIG84" s="798"/>
      <c r="LIH84" s="798"/>
      <c r="LII84" s="798"/>
      <c r="LIJ84" s="798"/>
      <c r="LIK84" s="798"/>
      <c r="LIL84" s="798"/>
      <c r="LIM84" s="798"/>
      <c r="LIN84" s="798"/>
      <c r="LIO84" s="798"/>
      <c r="LIP84" s="798"/>
      <c r="LIQ84" s="798"/>
      <c r="LIR84" s="798"/>
      <c r="LIS84" s="798"/>
      <c r="LIT84" s="798"/>
      <c r="LIU84" s="798"/>
      <c r="LIV84" s="798"/>
      <c r="LIW84" s="798"/>
      <c r="LIX84" s="798"/>
      <c r="LIY84" s="798"/>
      <c r="LIZ84" s="798"/>
      <c r="LJA84" s="798"/>
      <c r="LJB84" s="798"/>
      <c r="LJC84" s="798"/>
      <c r="LJD84" s="798"/>
      <c r="LJE84" s="798"/>
      <c r="LJF84" s="798"/>
      <c r="LJG84" s="798"/>
      <c r="LJH84" s="798"/>
      <c r="LJI84" s="798"/>
      <c r="LJJ84" s="798"/>
      <c r="LJK84" s="798"/>
      <c r="LJL84" s="798"/>
      <c r="LJM84" s="798"/>
      <c r="LJN84" s="798"/>
      <c r="LJO84" s="798"/>
      <c r="LJP84" s="798"/>
      <c r="LJQ84" s="798"/>
      <c r="LJR84" s="798"/>
      <c r="LJS84" s="798"/>
      <c r="LJT84" s="798"/>
      <c r="LJU84" s="798"/>
      <c r="LJV84" s="798"/>
      <c r="LJW84" s="798"/>
      <c r="LJX84" s="798"/>
      <c r="LJY84" s="798"/>
      <c r="LJZ84" s="798"/>
      <c r="LKA84" s="798"/>
      <c r="LKB84" s="798"/>
      <c r="LKC84" s="798"/>
      <c r="LKD84" s="798"/>
      <c r="LKE84" s="798"/>
      <c r="LKF84" s="798"/>
      <c r="LKG84" s="798"/>
      <c r="LKH84" s="798"/>
      <c r="LKI84" s="798"/>
      <c r="LKJ84" s="798"/>
      <c r="LKK84" s="798"/>
      <c r="LKL84" s="798"/>
      <c r="LKM84" s="798"/>
      <c r="LKN84" s="798"/>
      <c r="LKO84" s="798"/>
      <c r="LKP84" s="798"/>
      <c r="LKQ84" s="798"/>
      <c r="LKR84" s="798"/>
      <c r="LKS84" s="798"/>
      <c r="LKT84" s="798"/>
      <c r="LKU84" s="798"/>
      <c r="LKV84" s="798"/>
      <c r="LKW84" s="798"/>
      <c r="LKX84" s="798"/>
      <c r="LKY84" s="798"/>
      <c r="LKZ84" s="798"/>
      <c r="LLA84" s="798"/>
      <c r="LLB84" s="798"/>
      <c r="LLC84" s="798"/>
      <c r="LLD84" s="798"/>
      <c r="LLE84" s="798"/>
      <c r="LLF84" s="798"/>
      <c r="LLG84" s="798"/>
      <c r="LLH84" s="798"/>
      <c r="LLI84" s="798"/>
      <c r="LLJ84" s="798"/>
      <c r="LLK84" s="798"/>
      <c r="LLL84" s="798"/>
      <c r="LLM84" s="798"/>
      <c r="LLN84" s="798"/>
      <c r="LLO84" s="798"/>
      <c r="LLP84" s="798"/>
      <c r="LLQ84" s="798"/>
      <c r="LLR84" s="798"/>
      <c r="LLS84" s="798"/>
      <c r="LLT84" s="798"/>
      <c r="LLU84" s="798"/>
      <c r="LLV84" s="798"/>
      <c r="LLW84" s="798"/>
      <c r="LLX84" s="798"/>
      <c r="LLY84" s="798"/>
      <c r="LLZ84" s="798"/>
      <c r="LMA84" s="798"/>
      <c r="LMB84" s="798"/>
      <c r="LMC84" s="798"/>
      <c r="LMD84" s="798"/>
      <c r="LME84" s="798"/>
      <c r="LMF84" s="798"/>
      <c r="LMG84" s="798"/>
      <c r="LMH84" s="798"/>
      <c r="LMI84" s="798"/>
      <c r="LMJ84" s="798"/>
      <c r="LMK84" s="798"/>
      <c r="LML84" s="798"/>
      <c r="LMM84" s="798"/>
      <c r="LMN84" s="798"/>
      <c r="LMO84" s="798"/>
      <c r="LMP84" s="798"/>
      <c r="LMQ84" s="798"/>
      <c r="LMR84" s="798"/>
      <c r="LMS84" s="798"/>
      <c r="LMT84" s="798"/>
      <c r="LMU84" s="798"/>
      <c r="LMV84" s="798"/>
      <c r="LMW84" s="798"/>
      <c r="LMX84" s="798"/>
      <c r="LMY84" s="798"/>
      <c r="LMZ84" s="798"/>
      <c r="LNA84" s="798"/>
      <c r="LNB84" s="798"/>
      <c r="LNC84" s="798"/>
      <c r="LND84" s="798"/>
      <c r="LNE84" s="798"/>
      <c r="LNF84" s="798"/>
      <c r="LNG84" s="798"/>
      <c r="LNH84" s="798"/>
      <c r="LNI84" s="798"/>
      <c r="LNJ84" s="798"/>
      <c r="LNK84" s="798"/>
      <c r="LNL84" s="798"/>
      <c r="LNM84" s="798"/>
      <c r="LNN84" s="798"/>
      <c r="LNO84" s="798"/>
      <c r="LNP84" s="798"/>
      <c r="LNQ84" s="798"/>
      <c r="LNR84" s="798"/>
      <c r="LNS84" s="798"/>
      <c r="LNT84" s="798"/>
      <c r="LNU84" s="798"/>
      <c r="LNV84" s="798"/>
      <c r="LNW84" s="798"/>
      <c r="LNX84" s="798"/>
      <c r="LNY84" s="798"/>
      <c r="LNZ84" s="798"/>
      <c r="LOA84" s="798"/>
      <c r="LOB84" s="798"/>
      <c r="LOC84" s="798"/>
      <c r="LOD84" s="798"/>
      <c r="LOE84" s="798"/>
      <c r="LOF84" s="798"/>
      <c r="LOG84" s="798"/>
      <c r="LOH84" s="798"/>
      <c r="LOI84" s="798"/>
      <c r="LOJ84" s="798"/>
      <c r="LOK84" s="798"/>
      <c r="LOL84" s="798"/>
      <c r="LOM84" s="798"/>
      <c r="LON84" s="798"/>
      <c r="LOO84" s="798"/>
      <c r="LOP84" s="798"/>
      <c r="LOQ84" s="798"/>
      <c r="LOR84" s="798"/>
      <c r="LOS84" s="798"/>
      <c r="LOT84" s="798"/>
      <c r="LOU84" s="798"/>
      <c r="LOV84" s="798"/>
      <c r="LOW84" s="798"/>
      <c r="LOX84" s="798"/>
      <c r="LOY84" s="798"/>
      <c r="LOZ84" s="798"/>
      <c r="LPA84" s="798"/>
      <c r="LPB84" s="798"/>
      <c r="LPC84" s="798"/>
      <c r="LPD84" s="798"/>
      <c r="LPE84" s="798"/>
      <c r="LPF84" s="798"/>
      <c r="LPG84" s="798"/>
      <c r="LPH84" s="798"/>
      <c r="LPI84" s="798"/>
      <c r="LPJ84" s="798"/>
      <c r="LPK84" s="798"/>
      <c r="LPL84" s="798"/>
      <c r="LPM84" s="798"/>
      <c r="LPN84" s="798"/>
      <c r="LPO84" s="798"/>
      <c r="LPP84" s="798"/>
      <c r="LPQ84" s="798"/>
      <c r="LPR84" s="798"/>
      <c r="LPS84" s="798"/>
      <c r="LPT84" s="798"/>
      <c r="LPU84" s="798"/>
      <c r="LPV84" s="798"/>
      <c r="LPW84" s="798"/>
      <c r="LPX84" s="798"/>
      <c r="LPY84" s="798"/>
      <c r="LPZ84" s="798"/>
      <c r="LQA84" s="798"/>
      <c r="LQB84" s="798"/>
      <c r="LQC84" s="798"/>
      <c r="LQD84" s="798"/>
      <c r="LQE84" s="798"/>
      <c r="LQF84" s="798"/>
      <c r="LQG84" s="798"/>
      <c r="LQH84" s="798"/>
      <c r="LQI84" s="798"/>
      <c r="LQJ84" s="798"/>
      <c r="LQK84" s="798"/>
      <c r="LQL84" s="798"/>
      <c r="LQM84" s="798"/>
      <c r="LQN84" s="798"/>
      <c r="LQO84" s="798"/>
      <c r="LQP84" s="798"/>
      <c r="LQQ84" s="798"/>
      <c r="LQR84" s="798"/>
      <c r="LQS84" s="798"/>
      <c r="LQT84" s="798"/>
      <c r="LQU84" s="798"/>
      <c r="LQV84" s="798"/>
      <c r="LQW84" s="798"/>
      <c r="LQX84" s="798"/>
      <c r="LQY84" s="798"/>
      <c r="LQZ84" s="798"/>
      <c r="LRA84" s="798"/>
      <c r="LRB84" s="798"/>
      <c r="LRC84" s="798"/>
      <c r="LRD84" s="798"/>
      <c r="LRE84" s="798"/>
      <c r="LRF84" s="798"/>
      <c r="LRG84" s="798"/>
      <c r="LRH84" s="798"/>
      <c r="LRI84" s="798"/>
      <c r="LRJ84" s="798"/>
      <c r="LRK84" s="798"/>
      <c r="LRL84" s="798"/>
      <c r="LRM84" s="798"/>
      <c r="LRN84" s="798"/>
      <c r="LRO84" s="798"/>
      <c r="LRP84" s="798"/>
      <c r="LRQ84" s="798"/>
      <c r="LRR84" s="798"/>
      <c r="LRS84" s="798"/>
      <c r="LRT84" s="798"/>
      <c r="LRU84" s="798"/>
      <c r="LRV84" s="798"/>
      <c r="LRW84" s="798"/>
      <c r="LRX84" s="798"/>
      <c r="LRY84" s="798"/>
      <c r="LRZ84" s="798"/>
      <c r="LSA84" s="798"/>
      <c r="LSB84" s="798"/>
      <c r="LSC84" s="798"/>
      <c r="LSD84" s="798"/>
      <c r="LSE84" s="798"/>
      <c r="LSF84" s="798"/>
      <c r="LSG84" s="798"/>
      <c r="LSH84" s="798"/>
      <c r="LSI84" s="798"/>
      <c r="LSJ84" s="798"/>
      <c r="LSK84" s="798"/>
      <c r="LSL84" s="798"/>
      <c r="LSM84" s="798"/>
      <c r="LSN84" s="798"/>
      <c r="LSO84" s="798"/>
      <c r="LSP84" s="798"/>
      <c r="LSQ84" s="798"/>
      <c r="LSR84" s="798"/>
      <c r="LSS84" s="798"/>
      <c r="LST84" s="798"/>
      <c r="LSU84" s="798"/>
      <c r="LSV84" s="798"/>
      <c r="LSW84" s="798"/>
      <c r="LSX84" s="798"/>
      <c r="LSY84" s="798"/>
      <c r="LSZ84" s="798"/>
      <c r="LTA84" s="798"/>
      <c r="LTB84" s="798"/>
      <c r="LTC84" s="798"/>
      <c r="LTD84" s="798"/>
      <c r="LTE84" s="798"/>
      <c r="LTF84" s="798"/>
      <c r="LTG84" s="798"/>
      <c r="LTH84" s="798"/>
      <c r="LTI84" s="798"/>
      <c r="LTJ84" s="798"/>
      <c r="LTK84" s="798"/>
      <c r="LTL84" s="798"/>
      <c r="LTM84" s="798"/>
      <c r="LTN84" s="798"/>
      <c r="LTO84" s="798"/>
      <c r="LTP84" s="798"/>
      <c r="LTQ84" s="798"/>
      <c r="LTR84" s="798"/>
      <c r="LTS84" s="798"/>
      <c r="LTT84" s="798"/>
      <c r="LTU84" s="798"/>
      <c r="LTV84" s="798"/>
      <c r="LTW84" s="798"/>
      <c r="LTX84" s="798"/>
      <c r="LTY84" s="798"/>
      <c r="LTZ84" s="798"/>
      <c r="LUA84" s="798"/>
      <c r="LUB84" s="798"/>
      <c r="LUC84" s="798"/>
      <c r="LUD84" s="798"/>
      <c r="LUE84" s="798"/>
      <c r="LUF84" s="798"/>
      <c r="LUG84" s="798"/>
      <c r="LUH84" s="798"/>
      <c r="LUI84" s="798"/>
      <c r="LUJ84" s="798"/>
      <c r="LUK84" s="798"/>
      <c r="LUL84" s="798"/>
      <c r="LUM84" s="798"/>
      <c r="LUN84" s="798"/>
      <c r="LUO84" s="798"/>
      <c r="LUP84" s="798"/>
      <c r="LUQ84" s="798"/>
      <c r="LUR84" s="798"/>
      <c r="LUS84" s="798"/>
      <c r="LUT84" s="798"/>
      <c r="LUU84" s="798"/>
      <c r="LUV84" s="798"/>
      <c r="LUW84" s="798"/>
      <c r="LUX84" s="798"/>
      <c r="LUY84" s="798"/>
      <c r="LUZ84" s="798"/>
      <c r="LVA84" s="798"/>
      <c r="LVB84" s="798"/>
      <c r="LVC84" s="798"/>
      <c r="LVD84" s="798"/>
      <c r="LVE84" s="798"/>
      <c r="LVF84" s="798"/>
      <c r="LVG84" s="798"/>
      <c r="LVH84" s="798"/>
      <c r="LVI84" s="798"/>
      <c r="LVJ84" s="798"/>
      <c r="LVK84" s="798"/>
      <c r="LVL84" s="798"/>
      <c r="LVM84" s="798"/>
      <c r="LVN84" s="798"/>
      <c r="LVO84" s="798"/>
      <c r="LVP84" s="798"/>
      <c r="LVQ84" s="798"/>
      <c r="LVR84" s="798"/>
      <c r="LVS84" s="798"/>
      <c r="LVT84" s="798"/>
      <c r="LVU84" s="798"/>
      <c r="LVV84" s="798"/>
      <c r="LVW84" s="798"/>
      <c r="LVX84" s="798"/>
      <c r="LVY84" s="798"/>
      <c r="LVZ84" s="798"/>
      <c r="LWA84" s="798"/>
      <c r="LWB84" s="798"/>
      <c r="LWC84" s="798"/>
      <c r="LWD84" s="798"/>
      <c r="LWE84" s="798"/>
      <c r="LWF84" s="798"/>
      <c r="LWG84" s="798"/>
      <c r="LWH84" s="798"/>
      <c r="LWI84" s="798"/>
      <c r="LWJ84" s="798"/>
      <c r="LWK84" s="798"/>
      <c r="LWL84" s="798"/>
      <c r="LWM84" s="798"/>
      <c r="LWN84" s="798"/>
      <c r="LWO84" s="798"/>
      <c r="LWP84" s="798"/>
      <c r="LWQ84" s="798"/>
      <c r="LWR84" s="798"/>
      <c r="LWS84" s="798"/>
      <c r="LWT84" s="798"/>
      <c r="LWU84" s="798"/>
      <c r="LWV84" s="798"/>
      <c r="LWW84" s="798"/>
      <c r="LWX84" s="798"/>
      <c r="LWY84" s="798"/>
      <c r="LWZ84" s="798"/>
      <c r="LXA84" s="798"/>
      <c r="LXB84" s="798"/>
      <c r="LXC84" s="798"/>
      <c r="LXD84" s="798"/>
      <c r="LXE84" s="798"/>
      <c r="LXF84" s="798"/>
      <c r="LXG84" s="798"/>
      <c r="LXH84" s="798"/>
      <c r="LXI84" s="798"/>
      <c r="LXJ84" s="798"/>
      <c r="LXK84" s="798"/>
      <c r="LXL84" s="798"/>
      <c r="LXM84" s="798"/>
      <c r="LXN84" s="798"/>
      <c r="LXO84" s="798"/>
      <c r="LXP84" s="798"/>
      <c r="LXQ84" s="798"/>
      <c r="LXR84" s="798"/>
      <c r="LXS84" s="798"/>
      <c r="LXT84" s="798"/>
      <c r="LXU84" s="798"/>
      <c r="LXV84" s="798"/>
      <c r="LXW84" s="798"/>
      <c r="LXX84" s="798"/>
      <c r="LXY84" s="798"/>
      <c r="LXZ84" s="798"/>
      <c r="LYA84" s="798"/>
      <c r="LYB84" s="798"/>
      <c r="LYC84" s="798"/>
      <c r="LYD84" s="798"/>
      <c r="LYE84" s="798"/>
      <c r="LYF84" s="798"/>
      <c r="LYG84" s="798"/>
      <c r="LYH84" s="798"/>
      <c r="LYI84" s="798"/>
      <c r="LYJ84" s="798"/>
      <c r="LYK84" s="798"/>
      <c r="LYL84" s="798"/>
      <c r="LYM84" s="798"/>
      <c r="LYN84" s="798"/>
      <c r="LYO84" s="798"/>
      <c r="LYP84" s="798"/>
      <c r="LYQ84" s="798"/>
      <c r="LYR84" s="798"/>
      <c r="LYS84" s="798"/>
      <c r="LYT84" s="798"/>
      <c r="LYU84" s="798"/>
      <c r="LYV84" s="798"/>
      <c r="LYW84" s="798"/>
      <c r="LYX84" s="798"/>
      <c r="LYY84" s="798"/>
      <c r="LYZ84" s="798"/>
      <c r="LZA84" s="798"/>
      <c r="LZB84" s="798"/>
      <c r="LZC84" s="798"/>
      <c r="LZD84" s="798"/>
      <c r="LZE84" s="798"/>
      <c r="LZF84" s="798"/>
      <c r="LZG84" s="798"/>
      <c r="LZH84" s="798"/>
      <c r="LZI84" s="798"/>
      <c r="LZJ84" s="798"/>
      <c r="LZK84" s="798"/>
      <c r="LZL84" s="798"/>
      <c r="LZM84" s="798"/>
      <c r="LZN84" s="798"/>
      <c r="LZO84" s="798"/>
      <c r="LZP84" s="798"/>
      <c r="LZQ84" s="798"/>
      <c r="LZR84" s="798"/>
      <c r="LZS84" s="798"/>
      <c r="LZT84" s="798"/>
      <c r="LZU84" s="798"/>
      <c r="LZV84" s="798"/>
      <c r="LZW84" s="798"/>
      <c r="LZX84" s="798"/>
      <c r="LZY84" s="798"/>
      <c r="LZZ84" s="798"/>
      <c r="MAA84" s="798"/>
      <c r="MAB84" s="798"/>
      <c r="MAC84" s="798"/>
      <c r="MAD84" s="798"/>
      <c r="MAE84" s="798"/>
      <c r="MAF84" s="798"/>
      <c r="MAG84" s="798"/>
      <c r="MAH84" s="798"/>
      <c r="MAI84" s="798"/>
      <c r="MAJ84" s="798"/>
      <c r="MAK84" s="798"/>
      <c r="MAL84" s="798"/>
      <c r="MAM84" s="798"/>
      <c r="MAN84" s="798"/>
      <c r="MAO84" s="798"/>
      <c r="MAP84" s="798"/>
      <c r="MAQ84" s="798"/>
      <c r="MAR84" s="798"/>
      <c r="MAS84" s="798"/>
      <c r="MAT84" s="798"/>
      <c r="MAU84" s="798"/>
      <c r="MAV84" s="798"/>
      <c r="MAW84" s="798"/>
      <c r="MAX84" s="798"/>
      <c r="MAY84" s="798"/>
      <c r="MAZ84" s="798"/>
      <c r="MBA84" s="798"/>
      <c r="MBB84" s="798"/>
      <c r="MBC84" s="798"/>
      <c r="MBD84" s="798"/>
      <c r="MBE84" s="798"/>
      <c r="MBF84" s="798"/>
      <c r="MBG84" s="798"/>
      <c r="MBH84" s="798"/>
      <c r="MBI84" s="798"/>
      <c r="MBJ84" s="798"/>
      <c r="MBK84" s="798"/>
      <c r="MBL84" s="798"/>
      <c r="MBM84" s="798"/>
      <c r="MBN84" s="798"/>
      <c r="MBO84" s="798"/>
      <c r="MBP84" s="798"/>
      <c r="MBQ84" s="798"/>
      <c r="MBR84" s="798"/>
      <c r="MBS84" s="798"/>
      <c r="MBT84" s="798"/>
      <c r="MBU84" s="798"/>
      <c r="MBV84" s="798"/>
      <c r="MBW84" s="798"/>
      <c r="MBX84" s="798"/>
      <c r="MBY84" s="798"/>
      <c r="MBZ84" s="798"/>
      <c r="MCA84" s="798"/>
      <c r="MCB84" s="798"/>
      <c r="MCC84" s="798"/>
      <c r="MCD84" s="798"/>
      <c r="MCE84" s="798"/>
      <c r="MCF84" s="798"/>
      <c r="MCG84" s="798"/>
      <c r="MCH84" s="798"/>
      <c r="MCI84" s="798"/>
      <c r="MCJ84" s="798"/>
      <c r="MCK84" s="798"/>
      <c r="MCL84" s="798"/>
      <c r="MCM84" s="798"/>
      <c r="MCN84" s="798"/>
      <c r="MCO84" s="798"/>
      <c r="MCP84" s="798"/>
      <c r="MCQ84" s="798"/>
      <c r="MCR84" s="798"/>
      <c r="MCS84" s="798"/>
      <c r="MCT84" s="798"/>
      <c r="MCU84" s="798"/>
      <c r="MCV84" s="798"/>
      <c r="MCW84" s="798"/>
      <c r="MCX84" s="798"/>
      <c r="MCY84" s="798"/>
      <c r="MCZ84" s="798"/>
      <c r="MDA84" s="798"/>
      <c r="MDB84" s="798"/>
      <c r="MDC84" s="798"/>
      <c r="MDD84" s="798"/>
      <c r="MDE84" s="798"/>
      <c r="MDF84" s="798"/>
      <c r="MDG84" s="798"/>
      <c r="MDH84" s="798"/>
      <c r="MDI84" s="798"/>
      <c r="MDJ84" s="798"/>
      <c r="MDK84" s="798"/>
      <c r="MDL84" s="798"/>
      <c r="MDM84" s="798"/>
      <c r="MDN84" s="798"/>
      <c r="MDO84" s="798"/>
      <c r="MDP84" s="798"/>
      <c r="MDQ84" s="798"/>
      <c r="MDR84" s="798"/>
      <c r="MDS84" s="798"/>
      <c r="MDT84" s="798"/>
      <c r="MDU84" s="798"/>
      <c r="MDV84" s="798"/>
      <c r="MDW84" s="798"/>
      <c r="MDX84" s="798"/>
      <c r="MDY84" s="798"/>
      <c r="MDZ84" s="798"/>
      <c r="MEA84" s="798"/>
      <c r="MEB84" s="798"/>
      <c r="MEC84" s="798"/>
      <c r="MED84" s="798"/>
      <c r="MEE84" s="798"/>
      <c r="MEF84" s="798"/>
      <c r="MEG84" s="798"/>
      <c r="MEH84" s="798"/>
      <c r="MEI84" s="798"/>
      <c r="MEJ84" s="798"/>
      <c r="MEK84" s="798"/>
      <c r="MEL84" s="798"/>
      <c r="MEM84" s="798"/>
      <c r="MEN84" s="798"/>
      <c r="MEO84" s="798"/>
      <c r="MEP84" s="798"/>
      <c r="MEQ84" s="798"/>
      <c r="MER84" s="798"/>
      <c r="MES84" s="798"/>
      <c r="MET84" s="798"/>
      <c r="MEU84" s="798"/>
      <c r="MEV84" s="798"/>
      <c r="MEW84" s="798"/>
      <c r="MEX84" s="798"/>
      <c r="MEY84" s="798"/>
      <c r="MEZ84" s="798"/>
      <c r="MFA84" s="798"/>
      <c r="MFB84" s="798"/>
      <c r="MFC84" s="798"/>
      <c r="MFD84" s="798"/>
      <c r="MFE84" s="798"/>
      <c r="MFF84" s="798"/>
      <c r="MFG84" s="798"/>
      <c r="MFH84" s="798"/>
      <c r="MFI84" s="798"/>
      <c r="MFJ84" s="798"/>
      <c r="MFK84" s="798"/>
      <c r="MFL84" s="798"/>
      <c r="MFM84" s="798"/>
      <c r="MFN84" s="798"/>
      <c r="MFO84" s="798"/>
      <c r="MFP84" s="798"/>
      <c r="MFQ84" s="798"/>
      <c r="MFR84" s="798"/>
      <c r="MFS84" s="798"/>
      <c r="MFT84" s="798"/>
      <c r="MFU84" s="798"/>
      <c r="MFV84" s="798"/>
      <c r="MFW84" s="798"/>
      <c r="MFX84" s="798"/>
      <c r="MFY84" s="798"/>
      <c r="MFZ84" s="798"/>
      <c r="MGA84" s="798"/>
      <c r="MGB84" s="798"/>
      <c r="MGC84" s="798"/>
      <c r="MGD84" s="798"/>
      <c r="MGE84" s="798"/>
      <c r="MGF84" s="798"/>
      <c r="MGG84" s="798"/>
      <c r="MGH84" s="798"/>
      <c r="MGI84" s="798"/>
      <c r="MGJ84" s="798"/>
      <c r="MGK84" s="798"/>
      <c r="MGL84" s="798"/>
      <c r="MGM84" s="798"/>
      <c r="MGN84" s="798"/>
      <c r="MGO84" s="798"/>
      <c r="MGP84" s="798"/>
      <c r="MGQ84" s="798"/>
      <c r="MGR84" s="798"/>
      <c r="MGS84" s="798"/>
      <c r="MGT84" s="798"/>
      <c r="MGU84" s="798"/>
      <c r="MGV84" s="798"/>
      <c r="MGW84" s="798"/>
      <c r="MGX84" s="798"/>
      <c r="MGY84" s="798"/>
      <c r="MGZ84" s="798"/>
      <c r="MHA84" s="798"/>
      <c r="MHB84" s="798"/>
      <c r="MHC84" s="798"/>
      <c r="MHD84" s="798"/>
      <c r="MHE84" s="798"/>
      <c r="MHF84" s="798"/>
      <c r="MHG84" s="798"/>
      <c r="MHH84" s="798"/>
      <c r="MHI84" s="798"/>
      <c r="MHJ84" s="798"/>
      <c r="MHK84" s="798"/>
      <c r="MHL84" s="798"/>
      <c r="MHM84" s="798"/>
      <c r="MHN84" s="798"/>
      <c r="MHO84" s="798"/>
      <c r="MHP84" s="798"/>
      <c r="MHQ84" s="798"/>
      <c r="MHR84" s="798"/>
      <c r="MHS84" s="798"/>
      <c r="MHT84" s="798"/>
      <c r="MHU84" s="798"/>
      <c r="MHV84" s="798"/>
      <c r="MHW84" s="798"/>
      <c r="MHX84" s="798"/>
      <c r="MHY84" s="798"/>
      <c r="MHZ84" s="798"/>
      <c r="MIA84" s="798"/>
      <c r="MIB84" s="798"/>
      <c r="MIC84" s="798"/>
      <c r="MID84" s="798"/>
      <c r="MIE84" s="798"/>
      <c r="MIF84" s="798"/>
      <c r="MIG84" s="798"/>
      <c r="MIH84" s="798"/>
      <c r="MII84" s="798"/>
      <c r="MIJ84" s="798"/>
      <c r="MIK84" s="798"/>
      <c r="MIL84" s="798"/>
      <c r="MIM84" s="798"/>
      <c r="MIN84" s="798"/>
      <c r="MIO84" s="798"/>
      <c r="MIP84" s="798"/>
      <c r="MIQ84" s="798"/>
      <c r="MIR84" s="798"/>
      <c r="MIS84" s="798"/>
      <c r="MIT84" s="798"/>
      <c r="MIU84" s="798"/>
      <c r="MIV84" s="798"/>
      <c r="MIW84" s="798"/>
      <c r="MIX84" s="798"/>
      <c r="MIY84" s="798"/>
      <c r="MIZ84" s="798"/>
      <c r="MJA84" s="798"/>
      <c r="MJB84" s="798"/>
      <c r="MJC84" s="798"/>
      <c r="MJD84" s="798"/>
      <c r="MJE84" s="798"/>
      <c r="MJF84" s="798"/>
      <c r="MJG84" s="798"/>
      <c r="MJH84" s="798"/>
      <c r="MJI84" s="798"/>
      <c r="MJJ84" s="798"/>
      <c r="MJK84" s="798"/>
      <c r="MJL84" s="798"/>
      <c r="MJM84" s="798"/>
      <c r="MJN84" s="798"/>
      <c r="MJO84" s="798"/>
      <c r="MJP84" s="798"/>
      <c r="MJQ84" s="798"/>
      <c r="MJR84" s="798"/>
      <c r="MJS84" s="798"/>
      <c r="MJT84" s="798"/>
      <c r="MJU84" s="798"/>
      <c r="MJV84" s="798"/>
      <c r="MJW84" s="798"/>
      <c r="MJX84" s="798"/>
      <c r="MJY84" s="798"/>
      <c r="MJZ84" s="798"/>
      <c r="MKA84" s="798"/>
      <c r="MKB84" s="798"/>
      <c r="MKC84" s="798"/>
      <c r="MKD84" s="798"/>
      <c r="MKE84" s="798"/>
      <c r="MKF84" s="798"/>
      <c r="MKG84" s="798"/>
      <c r="MKH84" s="798"/>
      <c r="MKI84" s="798"/>
      <c r="MKJ84" s="798"/>
      <c r="MKK84" s="798"/>
      <c r="MKL84" s="798"/>
      <c r="MKM84" s="798"/>
      <c r="MKN84" s="798"/>
      <c r="MKO84" s="798"/>
      <c r="MKP84" s="798"/>
      <c r="MKQ84" s="798"/>
      <c r="MKR84" s="798"/>
      <c r="MKS84" s="798"/>
      <c r="MKT84" s="798"/>
      <c r="MKU84" s="798"/>
      <c r="MKV84" s="798"/>
      <c r="MKW84" s="798"/>
      <c r="MKX84" s="798"/>
      <c r="MKY84" s="798"/>
      <c r="MKZ84" s="798"/>
      <c r="MLA84" s="798"/>
      <c r="MLB84" s="798"/>
      <c r="MLC84" s="798"/>
      <c r="MLD84" s="798"/>
      <c r="MLE84" s="798"/>
      <c r="MLF84" s="798"/>
      <c r="MLG84" s="798"/>
      <c r="MLH84" s="798"/>
      <c r="MLI84" s="798"/>
      <c r="MLJ84" s="798"/>
      <c r="MLK84" s="798"/>
      <c r="MLL84" s="798"/>
      <c r="MLM84" s="798"/>
      <c r="MLN84" s="798"/>
      <c r="MLO84" s="798"/>
      <c r="MLP84" s="798"/>
      <c r="MLQ84" s="798"/>
      <c r="MLR84" s="798"/>
      <c r="MLS84" s="798"/>
      <c r="MLT84" s="798"/>
      <c r="MLU84" s="798"/>
      <c r="MLV84" s="798"/>
      <c r="MLW84" s="798"/>
      <c r="MLX84" s="798"/>
      <c r="MLY84" s="798"/>
      <c r="MLZ84" s="798"/>
      <c r="MMA84" s="798"/>
      <c r="MMB84" s="798"/>
      <c r="MMC84" s="798"/>
      <c r="MMD84" s="798"/>
      <c r="MME84" s="798"/>
      <c r="MMF84" s="798"/>
      <c r="MMG84" s="798"/>
      <c r="MMH84" s="798"/>
      <c r="MMI84" s="798"/>
      <c r="MMJ84" s="798"/>
      <c r="MMK84" s="798"/>
      <c r="MML84" s="798"/>
      <c r="MMM84" s="798"/>
      <c r="MMN84" s="798"/>
      <c r="MMO84" s="798"/>
      <c r="MMP84" s="798"/>
      <c r="MMQ84" s="798"/>
      <c r="MMR84" s="798"/>
      <c r="MMS84" s="798"/>
      <c r="MMT84" s="798"/>
      <c r="MMU84" s="798"/>
      <c r="MMV84" s="798"/>
      <c r="MMW84" s="798"/>
      <c r="MMX84" s="798"/>
      <c r="MMY84" s="798"/>
      <c r="MMZ84" s="798"/>
      <c r="MNA84" s="798"/>
      <c r="MNB84" s="798"/>
      <c r="MNC84" s="798"/>
      <c r="MND84" s="798"/>
      <c r="MNE84" s="798"/>
      <c r="MNF84" s="798"/>
      <c r="MNG84" s="798"/>
      <c r="MNH84" s="798"/>
      <c r="MNI84" s="798"/>
      <c r="MNJ84" s="798"/>
      <c r="MNK84" s="798"/>
      <c r="MNL84" s="798"/>
      <c r="MNM84" s="798"/>
      <c r="MNN84" s="798"/>
      <c r="MNO84" s="798"/>
      <c r="MNP84" s="798"/>
      <c r="MNQ84" s="798"/>
      <c r="MNR84" s="798"/>
      <c r="MNS84" s="798"/>
      <c r="MNT84" s="798"/>
      <c r="MNU84" s="798"/>
      <c r="MNV84" s="798"/>
      <c r="MNW84" s="798"/>
      <c r="MNX84" s="798"/>
      <c r="MNY84" s="798"/>
      <c r="MNZ84" s="798"/>
      <c r="MOA84" s="798"/>
      <c r="MOB84" s="798"/>
      <c r="MOC84" s="798"/>
      <c r="MOD84" s="798"/>
      <c r="MOE84" s="798"/>
      <c r="MOF84" s="798"/>
      <c r="MOG84" s="798"/>
      <c r="MOH84" s="798"/>
      <c r="MOI84" s="798"/>
      <c r="MOJ84" s="798"/>
      <c r="MOK84" s="798"/>
      <c r="MOL84" s="798"/>
      <c r="MOM84" s="798"/>
      <c r="MON84" s="798"/>
      <c r="MOO84" s="798"/>
      <c r="MOP84" s="798"/>
      <c r="MOQ84" s="798"/>
      <c r="MOR84" s="798"/>
      <c r="MOS84" s="798"/>
      <c r="MOT84" s="798"/>
      <c r="MOU84" s="798"/>
      <c r="MOV84" s="798"/>
      <c r="MOW84" s="798"/>
      <c r="MOX84" s="798"/>
      <c r="MOY84" s="798"/>
      <c r="MOZ84" s="798"/>
      <c r="MPA84" s="798"/>
      <c r="MPB84" s="798"/>
      <c r="MPC84" s="798"/>
      <c r="MPD84" s="798"/>
      <c r="MPE84" s="798"/>
      <c r="MPF84" s="798"/>
      <c r="MPG84" s="798"/>
      <c r="MPH84" s="798"/>
      <c r="MPI84" s="798"/>
      <c r="MPJ84" s="798"/>
      <c r="MPK84" s="798"/>
      <c r="MPL84" s="798"/>
      <c r="MPM84" s="798"/>
      <c r="MPN84" s="798"/>
      <c r="MPO84" s="798"/>
      <c r="MPP84" s="798"/>
      <c r="MPQ84" s="798"/>
      <c r="MPR84" s="798"/>
      <c r="MPS84" s="798"/>
      <c r="MPT84" s="798"/>
      <c r="MPU84" s="798"/>
      <c r="MPV84" s="798"/>
      <c r="MPW84" s="798"/>
      <c r="MPX84" s="798"/>
      <c r="MPY84" s="798"/>
      <c r="MPZ84" s="798"/>
      <c r="MQA84" s="798"/>
      <c r="MQB84" s="798"/>
      <c r="MQC84" s="798"/>
      <c r="MQD84" s="798"/>
      <c r="MQE84" s="798"/>
      <c r="MQF84" s="798"/>
      <c r="MQG84" s="798"/>
      <c r="MQH84" s="798"/>
      <c r="MQI84" s="798"/>
      <c r="MQJ84" s="798"/>
      <c r="MQK84" s="798"/>
      <c r="MQL84" s="798"/>
      <c r="MQM84" s="798"/>
      <c r="MQN84" s="798"/>
      <c r="MQO84" s="798"/>
      <c r="MQP84" s="798"/>
      <c r="MQQ84" s="798"/>
      <c r="MQR84" s="798"/>
      <c r="MQS84" s="798"/>
      <c r="MQT84" s="798"/>
      <c r="MQU84" s="798"/>
      <c r="MQV84" s="798"/>
      <c r="MQW84" s="798"/>
      <c r="MQX84" s="798"/>
      <c r="MQY84" s="798"/>
      <c r="MQZ84" s="798"/>
      <c r="MRA84" s="798"/>
      <c r="MRB84" s="798"/>
      <c r="MRC84" s="798"/>
      <c r="MRD84" s="798"/>
      <c r="MRE84" s="798"/>
      <c r="MRF84" s="798"/>
      <c r="MRG84" s="798"/>
      <c r="MRH84" s="798"/>
      <c r="MRI84" s="798"/>
      <c r="MRJ84" s="798"/>
      <c r="MRK84" s="798"/>
      <c r="MRL84" s="798"/>
      <c r="MRM84" s="798"/>
      <c r="MRN84" s="798"/>
      <c r="MRO84" s="798"/>
      <c r="MRP84" s="798"/>
      <c r="MRQ84" s="798"/>
      <c r="MRR84" s="798"/>
      <c r="MRS84" s="798"/>
      <c r="MRT84" s="798"/>
      <c r="MRU84" s="798"/>
      <c r="MRV84" s="798"/>
      <c r="MRW84" s="798"/>
      <c r="MRX84" s="798"/>
      <c r="MRY84" s="798"/>
      <c r="MRZ84" s="798"/>
      <c r="MSA84" s="798"/>
      <c r="MSB84" s="798"/>
      <c r="MSC84" s="798"/>
      <c r="MSD84" s="798"/>
      <c r="MSE84" s="798"/>
      <c r="MSF84" s="798"/>
      <c r="MSG84" s="798"/>
      <c r="MSH84" s="798"/>
      <c r="MSI84" s="798"/>
      <c r="MSJ84" s="798"/>
      <c r="MSK84" s="798"/>
      <c r="MSL84" s="798"/>
      <c r="MSM84" s="798"/>
      <c r="MSN84" s="798"/>
      <c r="MSO84" s="798"/>
      <c r="MSP84" s="798"/>
      <c r="MSQ84" s="798"/>
      <c r="MSR84" s="798"/>
      <c r="MSS84" s="798"/>
      <c r="MST84" s="798"/>
      <c r="MSU84" s="798"/>
      <c r="MSV84" s="798"/>
      <c r="MSW84" s="798"/>
      <c r="MSX84" s="798"/>
      <c r="MSY84" s="798"/>
      <c r="MSZ84" s="798"/>
      <c r="MTA84" s="798"/>
      <c r="MTB84" s="798"/>
      <c r="MTC84" s="798"/>
      <c r="MTD84" s="798"/>
      <c r="MTE84" s="798"/>
      <c r="MTF84" s="798"/>
      <c r="MTG84" s="798"/>
      <c r="MTH84" s="798"/>
      <c r="MTI84" s="798"/>
      <c r="MTJ84" s="798"/>
      <c r="MTK84" s="798"/>
      <c r="MTL84" s="798"/>
      <c r="MTM84" s="798"/>
      <c r="MTN84" s="798"/>
      <c r="MTO84" s="798"/>
      <c r="MTP84" s="798"/>
      <c r="MTQ84" s="798"/>
      <c r="MTR84" s="798"/>
      <c r="MTS84" s="798"/>
      <c r="MTT84" s="798"/>
      <c r="MTU84" s="798"/>
      <c r="MTV84" s="798"/>
      <c r="MTW84" s="798"/>
      <c r="MTX84" s="798"/>
      <c r="MTY84" s="798"/>
      <c r="MTZ84" s="798"/>
      <c r="MUA84" s="798"/>
      <c r="MUB84" s="798"/>
      <c r="MUC84" s="798"/>
      <c r="MUD84" s="798"/>
      <c r="MUE84" s="798"/>
      <c r="MUF84" s="798"/>
      <c r="MUG84" s="798"/>
      <c r="MUH84" s="798"/>
      <c r="MUI84" s="798"/>
      <c r="MUJ84" s="798"/>
      <c r="MUK84" s="798"/>
      <c r="MUL84" s="798"/>
      <c r="MUM84" s="798"/>
      <c r="MUN84" s="798"/>
      <c r="MUO84" s="798"/>
      <c r="MUP84" s="798"/>
      <c r="MUQ84" s="798"/>
      <c r="MUR84" s="798"/>
      <c r="MUS84" s="798"/>
      <c r="MUT84" s="798"/>
      <c r="MUU84" s="798"/>
      <c r="MUV84" s="798"/>
      <c r="MUW84" s="798"/>
      <c r="MUX84" s="798"/>
      <c r="MUY84" s="798"/>
      <c r="MUZ84" s="798"/>
      <c r="MVA84" s="798"/>
      <c r="MVB84" s="798"/>
      <c r="MVC84" s="798"/>
      <c r="MVD84" s="798"/>
      <c r="MVE84" s="798"/>
      <c r="MVF84" s="798"/>
      <c r="MVG84" s="798"/>
      <c r="MVH84" s="798"/>
      <c r="MVI84" s="798"/>
      <c r="MVJ84" s="798"/>
      <c r="MVK84" s="798"/>
      <c r="MVL84" s="798"/>
      <c r="MVM84" s="798"/>
      <c r="MVN84" s="798"/>
      <c r="MVO84" s="798"/>
      <c r="MVP84" s="798"/>
      <c r="MVQ84" s="798"/>
      <c r="MVR84" s="798"/>
      <c r="MVS84" s="798"/>
      <c r="MVT84" s="798"/>
      <c r="MVU84" s="798"/>
      <c r="MVV84" s="798"/>
      <c r="MVW84" s="798"/>
      <c r="MVX84" s="798"/>
      <c r="MVY84" s="798"/>
      <c r="MVZ84" s="798"/>
      <c r="MWA84" s="798"/>
      <c r="MWB84" s="798"/>
      <c r="MWC84" s="798"/>
      <c r="MWD84" s="798"/>
      <c r="MWE84" s="798"/>
      <c r="MWF84" s="798"/>
      <c r="MWG84" s="798"/>
      <c r="MWH84" s="798"/>
      <c r="MWI84" s="798"/>
      <c r="MWJ84" s="798"/>
      <c r="MWK84" s="798"/>
      <c r="MWL84" s="798"/>
      <c r="MWM84" s="798"/>
      <c r="MWN84" s="798"/>
      <c r="MWO84" s="798"/>
      <c r="MWP84" s="798"/>
      <c r="MWQ84" s="798"/>
      <c r="MWR84" s="798"/>
      <c r="MWS84" s="798"/>
      <c r="MWT84" s="798"/>
      <c r="MWU84" s="798"/>
      <c r="MWV84" s="798"/>
      <c r="MWW84" s="798"/>
      <c r="MWX84" s="798"/>
      <c r="MWY84" s="798"/>
      <c r="MWZ84" s="798"/>
      <c r="MXA84" s="798"/>
      <c r="MXB84" s="798"/>
      <c r="MXC84" s="798"/>
      <c r="MXD84" s="798"/>
      <c r="MXE84" s="798"/>
      <c r="MXF84" s="798"/>
      <c r="MXG84" s="798"/>
      <c r="MXH84" s="798"/>
      <c r="MXI84" s="798"/>
      <c r="MXJ84" s="798"/>
      <c r="MXK84" s="798"/>
      <c r="MXL84" s="798"/>
      <c r="MXM84" s="798"/>
      <c r="MXN84" s="798"/>
      <c r="MXO84" s="798"/>
      <c r="MXP84" s="798"/>
      <c r="MXQ84" s="798"/>
      <c r="MXR84" s="798"/>
      <c r="MXS84" s="798"/>
      <c r="MXT84" s="798"/>
      <c r="MXU84" s="798"/>
      <c r="MXV84" s="798"/>
      <c r="MXW84" s="798"/>
      <c r="MXX84" s="798"/>
      <c r="MXY84" s="798"/>
      <c r="MXZ84" s="798"/>
      <c r="MYA84" s="798"/>
      <c r="MYB84" s="798"/>
      <c r="MYC84" s="798"/>
      <c r="MYD84" s="798"/>
      <c r="MYE84" s="798"/>
      <c r="MYF84" s="798"/>
      <c r="MYG84" s="798"/>
      <c r="MYH84" s="798"/>
      <c r="MYI84" s="798"/>
      <c r="MYJ84" s="798"/>
      <c r="MYK84" s="798"/>
      <c r="MYL84" s="798"/>
      <c r="MYM84" s="798"/>
      <c r="MYN84" s="798"/>
      <c r="MYO84" s="798"/>
      <c r="MYP84" s="798"/>
      <c r="MYQ84" s="798"/>
      <c r="MYR84" s="798"/>
      <c r="MYS84" s="798"/>
      <c r="MYT84" s="798"/>
      <c r="MYU84" s="798"/>
      <c r="MYV84" s="798"/>
      <c r="MYW84" s="798"/>
      <c r="MYX84" s="798"/>
      <c r="MYY84" s="798"/>
      <c r="MYZ84" s="798"/>
      <c r="MZA84" s="798"/>
      <c r="MZB84" s="798"/>
      <c r="MZC84" s="798"/>
      <c r="MZD84" s="798"/>
      <c r="MZE84" s="798"/>
      <c r="MZF84" s="798"/>
      <c r="MZG84" s="798"/>
      <c r="MZH84" s="798"/>
      <c r="MZI84" s="798"/>
      <c r="MZJ84" s="798"/>
      <c r="MZK84" s="798"/>
      <c r="MZL84" s="798"/>
      <c r="MZM84" s="798"/>
      <c r="MZN84" s="798"/>
      <c r="MZO84" s="798"/>
      <c r="MZP84" s="798"/>
      <c r="MZQ84" s="798"/>
      <c r="MZR84" s="798"/>
      <c r="MZS84" s="798"/>
      <c r="MZT84" s="798"/>
      <c r="MZU84" s="798"/>
      <c r="MZV84" s="798"/>
      <c r="MZW84" s="798"/>
      <c r="MZX84" s="798"/>
      <c r="MZY84" s="798"/>
      <c r="MZZ84" s="798"/>
      <c r="NAA84" s="798"/>
      <c r="NAB84" s="798"/>
      <c r="NAC84" s="798"/>
      <c r="NAD84" s="798"/>
      <c r="NAE84" s="798"/>
      <c r="NAF84" s="798"/>
      <c r="NAG84" s="798"/>
      <c r="NAH84" s="798"/>
      <c r="NAI84" s="798"/>
      <c r="NAJ84" s="798"/>
      <c r="NAK84" s="798"/>
      <c r="NAL84" s="798"/>
      <c r="NAM84" s="798"/>
      <c r="NAN84" s="798"/>
      <c r="NAO84" s="798"/>
      <c r="NAP84" s="798"/>
      <c r="NAQ84" s="798"/>
      <c r="NAR84" s="798"/>
      <c r="NAS84" s="798"/>
      <c r="NAT84" s="798"/>
      <c r="NAU84" s="798"/>
      <c r="NAV84" s="798"/>
      <c r="NAW84" s="798"/>
      <c r="NAX84" s="798"/>
      <c r="NAY84" s="798"/>
      <c r="NAZ84" s="798"/>
      <c r="NBA84" s="798"/>
      <c r="NBB84" s="798"/>
      <c r="NBC84" s="798"/>
      <c r="NBD84" s="798"/>
      <c r="NBE84" s="798"/>
      <c r="NBF84" s="798"/>
      <c r="NBG84" s="798"/>
      <c r="NBH84" s="798"/>
      <c r="NBI84" s="798"/>
      <c r="NBJ84" s="798"/>
      <c r="NBK84" s="798"/>
      <c r="NBL84" s="798"/>
      <c r="NBM84" s="798"/>
      <c r="NBN84" s="798"/>
      <c r="NBO84" s="798"/>
      <c r="NBP84" s="798"/>
      <c r="NBQ84" s="798"/>
      <c r="NBR84" s="798"/>
      <c r="NBS84" s="798"/>
      <c r="NBT84" s="798"/>
      <c r="NBU84" s="798"/>
      <c r="NBV84" s="798"/>
      <c r="NBW84" s="798"/>
      <c r="NBX84" s="798"/>
      <c r="NBY84" s="798"/>
      <c r="NBZ84" s="798"/>
      <c r="NCA84" s="798"/>
      <c r="NCB84" s="798"/>
      <c r="NCC84" s="798"/>
      <c r="NCD84" s="798"/>
      <c r="NCE84" s="798"/>
      <c r="NCF84" s="798"/>
      <c r="NCG84" s="798"/>
      <c r="NCH84" s="798"/>
      <c r="NCI84" s="798"/>
      <c r="NCJ84" s="798"/>
      <c r="NCK84" s="798"/>
      <c r="NCL84" s="798"/>
      <c r="NCM84" s="798"/>
      <c r="NCN84" s="798"/>
      <c r="NCO84" s="798"/>
      <c r="NCP84" s="798"/>
      <c r="NCQ84" s="798"/>
      <c r="NCR84" s="798"/>
      <c r="NCS84" s="798"/>
      <c r="NCT84" s="798"/>
      <c r="NCU84" s="798"/>
      <c r="NCV84" s="798"/>
      <c r="NCW84" s="798"/>
      <c r="NCX84" s="798"/>
      <c r="NCY84" s="798"/>
      <c r="NCZ84" s="798"/>
      <c r="NDA84" s="798"/>
      <c r="NDB84" s="798"/>
      <c r="NDC84" s="798"/>
      <c r="NDD84" s="798"/>
      <c r="NDE84" s="798"/>
      <c r="NDF84" s="798"/>
      <c r="NDG84" s="798"/>
      <c r="NDH84" s="798"/>
      <c r="NDI84" s="798"/>
      <c r="NDJ84" s="798"/>
      <c r="NDK84" s="798"/>
      <c r="NDL84" s="798"/>
      <c r="NDM84" s="798"/>
      <c r="NDN84" s="798"/>
      <c r="NDO84" s="798"/>
      <c r="NDP84" s="798"/>
      <c r="NDQ84" s="798"/>
      <c r="NDR84" s="798"/>
      <c r="NDS84" s="798"/>
      <c r="NDT84" s="798"/>
      <c r="NDU84" s="798"/>
      <c r="NDV84" s="798"/>
      <c r="NDW84" s="798"/>
      <c r="NDX84" s="798"/>
      <c r="NDY84" s="798"/>
      <c r="NDZ84" s="798"/>
      <c r="NEA84" s="798"/>
      <c r="NEB84" s="798"/>
      <c r="NEC84" s="798"/>
      <c r="NED84" s="798"/>
      <c r="NEE84" s="798"/>
      <c r="NEF84" s="798"/>
      <c r="NEG84" s="798"/>
      <c r="NEH84" s="798"/>
      <c r="NEI84" s="798"/>
      <c r="NEJ84" s="798"/>
      <c r="NEK84" s="798"/>
      <c r="NEL84" s="798"/>
      <c r="NEM84" s="798"/>
      <c r="NEN84" s="798"/>
      <c r="NEO84" s="798"/>
      <c r="NEP84" s="798"/>
      <c r="NEQ84" s="798"/>
      <c r="NER84" s="798"/>
      <c r="NES84" s="798"/>
      <c r="NET84" s="798"/>
      <c r="NEU84" s="798"/>
      <c r="NEV84" s="798"/>
      <c r="NEW84" s="798"/>
      <c r="NEX84" s="798"/>
      <c r="NEY84" s="798"/>
      <c r="NEZ84" s="798"/>
      <c r="NFA84" s="798"/>
      <c r="NFB84" s="798"/>
      <c r="NFC84" s="798"/>
      <c r="NFD84" s="798"/>
      <c r="NFE84" s="798"/>
      <c r="NFF84" s="798"/>
      <c r="NFG84" s="798"/>
      <c r="NFH84" s="798"/>
      <c r="NFI84" s="798"/>
      <c r="NFJ84" s="798"/>
      <c r="NFK84" s="798"/>
      <c r="NFL84" s="798"/>
      <c r="NFM84" s="798"/>
      <c r="NFN84" s="798"/>
      <c r="NFO84" s="798"/>
      <c r="NFP84" s="798"/>
      <c r="NFQ84" s="798"/>
      <c r="NFR84" s="798"/>
      <c r="NFS84" s="798"/>
      <c r="NFT84" s="798"/>
      <c r="NFU84" s="798"/>
      <c r="NFV84" s="798"/>
      <c r="NFW84" s="798"/>
      <c r="NFX84" s="798"/>
      <c r="NFY84" s="798"/>
      <c r="NFZ84" s="798"/>
      <c r="NGA84" s="798"/>
      <c r="NGB84" s="798"/>
      <c r="NGC84" s="798"/>
      <c r="NGD84" s="798"/>
      <c r="NGE84" s="798"/>
      <c r="NGF84" s="798"/>
      <c r="NGG84" s="798"/>
      <c r="NGH84" s="798"/>
      <c r="NGI84" s="798"/>
      <c r="NGJ84" s="798"/>
      <c r="NGK84" s="798"/>
      <c r="NGL84" s="798"/>
      <c r="NGM84" s="798"/>
      <c r="NGN84" s="798"/>
      <c r="NGO84" s="798"/>
      <c r="NGP84" s="798"/>
      <c r="NGQ84" s="798"/>
      <c r="NGR84" s="798"/>
      <c r="NGS84" s="798"/>
      <c r="NGT84" s="798"/>
      <c r="NGU84" s="798"/>
      <c r="NGV84" s="798"/>
      <c r="NGW84" s="798"/>
      <c r="NGX84" s="798"/>
      <c r="NGY84" s="798"/>
      <c r="NGZ84" s="798"/>
      <c r="NHA84" s="798"/>
      <c r="NHB84" s="798"/>
      <c r="NHC84" s="798"/>
      <c r="NHD84" s="798"/>
      <c r="NHE84" s="798"/>
      <c r="NHF84" s="798"/>
      <c r="NHG84" s="798"/>
      <c r="NHH84" s="798"/>
      <c r="NHI84" s="798"/>
      <c r="NHJ84" s="798"/>
      <c r="NHK84" s="798"/>
      <c r="NHL84" s="798"/>
      <c r="NHM84" s="798"/>
      <c r="NHN84" s="798"/>
      <c r="NHO84" s="798"/>
      <c r="NHP84" s="798"/>
      <c r="NHQ84" s="798"/>
      <c r="NHR84" s="798"/>
      <c r="NHS84" s="798"/>
      <c r="NHT84" s="798"/>
      <c r="NHU84" s="798"/>
      <c r="NHV84" s="798"/>
      <c r="NHW84" s="798"/>
      <c r="NHX84" s="798"/>
      <c r="NHY84" s="798"/>
      <c r="NHZ84" s="798"/>
      <c r="NIA84" s="798"/>
      <c r="NIB84" s="798"/>
      <c r="NIC84" s="798"/>
      <c r="NID84" s="798"/>
      <c r="NIE84" s="798"/>
      <c r="NIF84" s="798"/>
      <c r="NIG84" s="798"/>
      <c r="NIH84" s="798"/>
      <c r="NII84" s="798"/>
      <c r="NIJ84" s="798"/>
      <c r="NIK84" s="798"/>
      <c r="NIL84" s="798"/>
      <c r="NIM84" s="798"/>
      <c r="NIN84" s="798"/>
      <c r="NIO84" s="798"/>
      <c r="NIP84" s="798"/>
      <c r="NIQ84" s="798"/>
      <c r="NIR84" s="798"/>
      <c r="NIS84" s="798"/>
      <c r="NIT84" s="798"/>
      <c r="NIU84" s="798"/>
      <c r="NIV84" s="798"/>
      <c r="NIW84" s="798"/>
      <c r="NIX84" s="798"/>
      <c r="NIY84" s="798"/>
      <c r="NIZ84" s="798"/>
      <c r="NJA84" s="798"/>
      <c r="NJB84" s="798"/>
      <c r="NJC84" s="798"/>
      <c r="NJD84" s="798"/>
      <c r="NJE84" s="798"/>
      <c r="NJF84" s="798"/>
      <c r="NJG84" s="798"/>
      <c r="NJH84" s="798"/>
      <c r="NJI84" s="798"/>
      <c r="NJJ84" s="798"/>
      <c r="NJK84" s="798"/>
      <c r="NJL84" s="798"/>
      <c r="NJM84" s="798"/>
      <c r="NJN84" s="798"/>
      <c r="NJO84" s="798"/>
      <c r="NJP84" s="798"/>
      <c r="NJQ84" s="798"/>
      <c r="NJR84" s="798"/>
      <c r="NJS84" s="798"/>
      <c r="NJT84" s="798"/>
      <c r="NJU84" s="798"/>
      <c r="NJV84" s="798"/>
      <c r="NJW84" s="798"/>
      <c r="NJX84" s="798"/>
      <c r="NJY84" s="798"/>
      <c r="NJZ84" s="798"/>
      <c r="NKA84" s="798"/>
      <c r="NKB84" s="798"/>
      <c r="NKC84" s="798"/>
      <c r="NKD84" s="798"/>
      <c r="NKE84" s="798"/>
      <c r="NKF84" s="798"/>
      <c r="NKG84" s="798"/>
      <c r="NKH84" s="798"/>
      <c r="NKI84" s="798"/>
      <c r="NKJ84" s="798"/>
      <c r="NKK84" s="798"/>
      <c r="NKL84" s="798"/>
      <c r="NKM84" s="798"/>
      <c r="NKN84" s="798"/>
      <c r="NKO84" s="798"/>
      <c r="NKP84" s="798"/>
      <c r="NKQ84" s="798"/>
      <c r="NKR84" s="798"/>
      <c r="NKS84" s="798"/>
      <c r="NKT84" s="798"/>
      <c r="NKU84" s="798"/>
      <c r="NKV84" s="798"/>
      <c r="NKW84" s="798"/>
      <c r="NKX84" s="798"/>
      <c r="NKY84" s="798"/>
      <c r="NKZ84" s="798"/>
      <c r="NLA84" s="798"/>
      <c r="NLB84" s="798"/>
      <c r="NLC84" s="798"/>
      <c r="NLD84" s="798"/>
      <c r="NLE84" s="798"/>
      <c r="NLF84" s="798"/>
      <c r="NLG84" s="798"/>
      <c r="NLH84" s="798"/>
      <c r="NLI84" s="798"/>
      <c r="NLJ84" s="798"/>
      <c r="NLK84" s="798"/>
      <c r="NLL84" s="798"/>
      <c r="NLM84" s="798"/>
      <c r="NLN84" s="798"/>
      <c r="NLO84" s="798"/>
      <c r="NLP84" s="798"/>
      <c r="NLQ84" s="798"/>
      <c r="NLR84" s="798"/>
      <c r="NLS84" s="798"/>
      <c r="NLT84" s="798"/>
      <c r="NLU84" s="798"/>
      <c r="NLV84" s="798"/>
      <c r="NLW84" s="798"/>
      <c r="NLX84" s="798"/>
      <c r="NLY84" s="798"/>
      <c r="NLZ84" s="798"/>
      <c r="NMA84" s="798"/>
      <c r="NMB84" s="798"/>
      <c r="NMC84" s="798"/>
      <c r="NMD84" s="798"/>
      <c r="NME84" s="798"/>
      <c r="NMF84" s="798"/>
      <c r="NMG84" s="798"/>
      <c r="NMH84" s="798"/>
      <c r="NMI84" s="798"/>
      <c r="NMJ84" s="798"/>
      <c r="NMK84" s="798"/>
      <c r="NML84" s="798"/>
      <c r="NMM84" s="798"/>
      <c r="NMN84" s="798"/>
      <c r="NMO84" s="798"/>
      <c r="NMP84" s="798"/>
      <c r="NMQ84" s="798"/>
      <c r="NMR84" s="798"/>
      <c r="NMS84" s="798"/>
      <c r="NMT84" s="798"/>
      <c r="NMU84" s="798"/>
      <c r="NMV84" s="798"/>
      <c r="NMW84" s="798"/>
      <c r="NMX84" s="798"/>
      <c r="NMY84" s="798"/>
      <c r="NMZ84" s="798"/>
      <c r="NNA84" s="798"/>
      <c r="NNB84" s="798"/>
      <c r="NNC84" s="798"/>
      <c r="NND84" s="798"/>
      <c r="NNE84" s="798"/>
      <c r="NNF84" s="798"/>
      <c r="NNG84" s="798"/>
      <c r="NNH84" s="798"/>
      <c r="NNI84" s="798"/>
      <c r="NNJ84" s="798"/>
      <c r="NNK84" s="798"/>
      <c r="NNL84" s="798"/>
      <c r="NNM84" s="798"/>
      <c r="NNN84" s="798"/>
      <c r="NNO84" s="798"/>
      <c r="NNP84" s="798"/>
      <c r="NNQ84" s="798"/>
      <c r="NNR84" s="798"/>
      <c r="NNS84" s="798"/>
      <c r="NNT84" s="798"/>
      <c r="NNU84" s="798"/>
      <c r="NNV84" s="798"/>
      <c r="NNW84" s="798"/>
      <c r="NNX84" s="798"/>
      <c r="NNY84" s="798"/>
      <c r="NNZ84" s="798"/>
      <c r="NOA84" s="798"/>
      <c r="NOB84" s="798"/>
      <c r="NOC84" s="798"/>
      <c r="NOD84" s="798"/>
      <c r="NOE84" s="798"/>
      <c r="NOF84" s="798"/>
      <c r="NOG84" s="798"/>
      <c r="NOH84" s="798"/>
      <c r="NOI84" s="798"/>
      <c r="NOJ84" s="798"/>
      <c r="NOK84" s="798"/>
      <c r="NOL84" s="798"/>
      <c r="NOM84" s="798"/>
      <c r="NON84" s="798"/>
      <c r="NOO84" s="798"/>
      <c r="NOP84" s="798"/>
      <c r="NOQ84" s="798"/>
      <c r="NOR84" s="798"/>
      <c r="NOS84" s="798"/>
      <c r="NOT84" s="798"/>
      <c r="NOU84" s="798"/>
      <c r="NOV84" s="798"/>
      <c r="NOW84" s="798"/>
      <c r="NOX84" s="798"/>
      <c r="NOY84" s="798"/>
      <c r="NOZ84" s="798"/>
      <c r="NPA84" s="798"/>
      <c r="NPB84" s="798"/>
      <c r="NPC84" s="798"/>
      <c r="NPD84" s="798"/>
      <c r="NPE84" s="798"/>
      <c r="NPF84" s="798"/>
      <c r="NPG84" s="798"/>
      <c r="NPH84" s="798"/>
      <c r="NPI84" s="798"/>
      <c r="NPJ84" s="798"/>
      <c r="NPK84" s="798"/>
      <c r="NPL84" s="798"/>
      <c r="NPM84" s="798"/>
      <c r="NPN84" s="798"/>
      <c r="NPO84" s="798"/>
      <c r="NPP84" s="798"/>
      <c r="NPQ84" s="798"/>
      <c r="NPR84" s="798"/>
      <c r="NPS84" s="798"/>
      <c r="NPT84" s="798"/>
      <c r="NPU84" s="798"/>
      <c r="NPV84" s="798"/>
      <c r="NPW84" s="798"/>
      <c r="NPX84" s="798"/>
      <c r="NPY84" s="798"/>
      <c r="NPZ84" s="798"/>
      <c r="NQA84" s="798"/>
      <c r="NQB84" s="798"/>
      <c r="NQC84" s="798"/>
      <c r="NQD84" s="798"/>
      <c r="NQE84" s="798"/>
      <c r="NQF84" s="798"/>
      <c r="NQG84" s="798"/>
      <c r="NQH84" s="798"/>
      <c r="NQI84" s="798"/>
      <c r="NQJ84" s="798"/>
      <c r="NQK84" s="798"/>
      <c r="NQL84" s="798"/>
      <c r="NQM84" s="798"/>
      <c r="NQN84" s="798"/>
      <c r="NQO84" s="798"/>
      <c r="NQP84" s="798"/>
      <c r="NQQ84" s="798"/>
      <c r="NQR84" s="798"/>
      <c r="NQS84" s="798"/>
      <c r="NQT84" s="798"/>
      <c r="NQU84" s="798"/>
      <c r="NQV84" s="798"/>
      <c r="NQW84" s="798"/>
      <c r="NQX84" s="798"/>
      <c r="NQY84" s="798"/>
      <c r="NQZ84" s="798"/>
      <c r="NRA84" s="798"/>
      <c r="NRB84" s="798"/>
      <c r="NRC84" s="798"/>
      <c r="NRD84" s="798"/>
      <c r="NRE84" s="798"/>
      <c r="NRF84" s="798"/>
      <c r="NRG84" s="798"/>
      <c r="NRH84" s="798"/>
      <c r="NRI84" s="798"/>
      <c r="NRJ84" s="798"/>
      <c r="NRK84" s="798"/>
      <c r="NRL84" s="798"/>
      <c r="NRM84" s="798"/>
      <c r="NRN84" s="798"/>
      <c r="NRO84" s="798"/>
      <c r="NRP84" s="798"/>
      <c r="NRQ84" s="798"/>
      <c r="NRR84" s="798"/>
      <c r="NRS84" s="798"/>
      <c r="NRT84" s="798"/>
      <c r="NRU84" s="798"/>
      <c r="NRV84" s="798"/>
      <c r="NRW84" s="798"/>
      <c r="NRX84" s="798"/>
      <c r="NRY84" s="798"/>
      <c r="NRZ84" s="798"/>
      <c r="NSA84" s="798"/>
      <c r="NSB84" s="798"/>
      <c r="NSC84" s="798"/>
      <c r="NSD84" s="798"/>
      <c r="NSE84" s="798"/>
      <c r="NSF84" s="798"/>
      <c r="NSG84" s="798"/>
      <c r="NSH84" s="798"/>
      <c r="NSI84" s="798"/>
      <c r="NSJ84" s="798"/>
      <c r="NSK84" s="798"/>
      <c r="NSL84" s="798"/>
      <c r="NSM84" s="798"/>
      <c r="NSN84" s="798"/>
      <c r="NSO84" s="798"/>
      <c r="NSP84" s="798"/>
      <c r="NSQ84" s="798"/>
      <c r="NSR84" s="798"/>
      <c r="NSS84" s="798"/>
      <c r="NST84" s="798"/>
      <c r="NSU84" s="798"/>
      <c r="NSV84" s="798"/>
      <c r="NSW84" s="798"/>
      <c r="NSX84" s="798"/>
      <c r="NSY84" s="798"/>
      <c r="NSZ84" s="798"/>
      <c r="NTA84" s="798"/>
      <c r="NTB84" s="798"/>
      <c r="NTC84" s="798"/>
      <c r="NTD84" s="798"/>
      <c r="NTE84" s="798"/>
      <c r="NTF84" s="798"/>
      <c r="NTG84" s="798"/>
      <c r="NTH84" s="798"/>
      <c r="NTI84" s="798"/>
      <c r="NTJ84" s="798"/>
      <c r="NTK84" s="798"/>
      <c r="NTL84" s="798"/>
      <c r="NTM84" s="798"/>
      <c r="NTN84" s="798"/>
      <c r="NTO84" s="798"/>
      <c r="NTP84" s="798"/>
      <c r="NTQ84" s="798"/>
      <c r="NTR84" s="798"/>
      <c r="NTS84" s="798"/>
      <c r="NTT84" s="798"/>
      <c r="NTU84" s="798"/>
      <c r="NTV84" s="798"/>
      <c r="NTW84" s="798"/>
      <c r="NTX84" s="798"/>
      <c r="NTY84" s="798"/>
      <c r="NTZ84" s="798"/>
      <c r="NUA84" s="798"/>
      <c r="NUB84" s="798"/>
      <c r="NUC84" s="798"/>
      <c r="NUD84" s="798"/>
      <c r="NUE84" s="798"/>
      <c r="NUF84" s="798"/>
      <c r="NUG84" s="798"/>
      <c r="NUH84" s="798"/>
      <c r="NUI84" s="798"/>
      <c r="NUJ84" s="798"/>
      <c r="NUK84" s="798"/>
      <c r="NUL84" s="798"/>
      <c r="NUM84" s="798"/>
      <c r="NUN84" s="798"/>
      <c r="NUO84" s="798"/>
      <c r="NUP84" s="798"/>
      <c r="NUQ84" s="798"/>
      <c r="NUR84" s="798"/>
      <c r="NUS84" s="798"/>
      <c r="NUT84" s="798"/>
      <c r="NUU84" s="798"/>
      <c r="NUV84" s="798"/>
      <c r="NUW84" s="798"/>
      <c r="NUX84" s="798"/>
      <c r="NUY84" s="798"/>
      <c r="NUZ84" s="798"/>
      <c r="NVA84" s="798"/>
      <c r="NVB84" s="798"/>
      <c r="NVC84" s="798"/>
      <c r="NVD84" s="798"/>
      <c r="NVE84" s="798"/>
      <c r="NVF84" s="798"/>
      <c r="NVG84" s="798"/>
      <c r="NVH84" s="798"/>
      <c r="NVI84" s="798"/>
      <c r="NVJ84" s="798"/>
      <c r="NVK84" s="798"/>
      <c r="NVL84" s="798"/>
      <c r="NVM84" s="798"/>
      <c r="NVN84" s="798"/>
      <c r="NVO84" s="798"/>
      <c r="NVP84" s="798"/>
      <c r="NVQ84" s="798"/>
      <c r="NVR84" s="798"/>
      <c r="NVS84" s="798"/>
      <c r="NVT84" s="798"/>
      <c r="NVU84" s="798"/>
      <c r="NVV84" s="798"/>
      <c r="NVW84" s="798"/>
      <c r="NVX84" s="798"/>
      <c r="NVY84" s="798"/>
      <c r="NVZ84" s="798"/>
      <c r="NWA84" s="798"/>
      <c r="NWB84" s="798"/>
      <c r="NWC84" s="798"/>
      <c r="NWD84" s="798"/>
      <c r="NWE84" s="798"/>
      <c r="NWF84" s="798"/>
      <c r="NWG84" s="798"/>
      <c r="NWH84" s="798"/>
      <c r="NWI84" s="798"/>
      <c r="NWJ84" s="798"/>
      <c r="NWK84" s="798"/>
      <c r="NWL84" s="798"/>
      <c r="NWM84" s="798"/>
      <c r="NWN84" s="798"/>
      <c r="NWO84" s="798"/>
      <c r="NWP84" s="798"/>
      <c r="NWQ84" s="798"/>
      <c r="NWR84" s="798"/>
      <c r="NWS84" s="798"/>
      <c r="NWT84" s="798"/>
      <c r="NWU84" s="798"/>
      <c r="NWV84" s="798"/>
      <c r="NWW84" s="798"/>
      <c r="NWX84" s="798"/>
      <c r="NWY84" s="798"/>
      <c r="NWZ84" s="798"/>
      <c r="NXA84" s="798"/>
      <c r="NXB84" s="798"/>
      <c r="NXC84" s="798"/>
      <c r="NXD84" s="798"/>
      <c r="NXE84" s="798"/>
      <c r="NXF84" s="798"/>
      <c r="NXG84" s="798"/>
      <c r="NXH84" s="798"/>
      <c r="NXI84" s="798"/>
      <c r="NXJ84" s="798"/>
      <c r="NXK84" s="798"/>
      <c r="NXL84" s="798"/>
      <c r="NXM84" s="798"/>
      <c r="NXN84" s="798"/>
      <c r="NXO84" s="798"/>
      <c r="NXP84" s="798"/>
      <c r="NXQ84" s="798"/>
      <c r="NXR84" s="798"/>
      <c r="NXS84" s="798"/>
      <c r="NXT84" s="798"/>
      <c r="NXU84" s="798"/>
      <c r="NXV84" s="798"/>
      <c r="NXW84" s="798"/>
      <c r="NXX84" s="798"/>
      <c r="NXY84" s="798"/>
      <c r="NXZ84" s="798"/>
      <c r="NYA84" s="798"/>
      <c r="NYB84" s="798"/>
      <c r="NYC84" s="798"/>
      <c r="NYD84" s="798"/>
      <c r="NYE84" s="798"/>
      <c r="NYF84" s="798"/>
      <c r="NYG84" s="798"/>
      <c r="NYH84" s="798"/>
      <c r="NYI84" s="798"/>
      <c r="NYJ84" s="798"/>
      <c r="NYK84" s="798"/>
      <c r="NYL84" s="798"/>
      <c r="NYM84" s="798"/>
      <c r="NYN84" s="798"/>
      <c r="NYO84" s="798"/>
      <c r="NYP84" s="798"/>
      <c r="NYQ84" s="798"/>
      <c r="NYR84" s="798"/>
      <c r="NYS84" s="798"/>
      <c r="NYT84" s="798"/>
      <c r="NYU84" s="798"/>
      <c r="NYV84" s="798"/>
      <c r="NYW84" s="798"/>
      <c r="NYX84" s="798"/>
      <c r="NYY84" s="798"/>
      <c r="NYZ84" s="798"/>
      <c r="NZA84" s="798"/>
      <c r="NZB84" s="798"/>
      <c r="NZC84" s="798"/>
      <c r="NZD84" s="798"/>
      <c r="NZE84" s="798"/>
      <c r="NZF84" s="798"/>
      <c r="NZG84" s="798"/>
      <c r="NZH84" s="798"/>
      <c r="NZI84" s="798"/>
      <c r="NZJ84" s="798"/>
      <c r="NZK84" s="798"/>
      <c r="NZL84" s="798"/>
      <c r="NZM84" s="798"/>
      <c r="NZN84" s="798"/>
      <c r="NZO84" s="798"/>
      <c r="NZP84" s="798"/>
      <c r="NZQ84" s="798"/>
      <c r="NZR84" s="798"/>
      <c r="NZS84" s="798"/>
      <c r="NZT84" s="798"/>
      <c r="NZU84" s="798"/>
      <c r="NZV84" s="798"/>
      <c r="NZW84" s="798"/>
      <c r="NZX84" s="798"/>
      <c r="NZY84" s="798"/>
      <c r="NZZ84" s="798"/>
      <c r="OAA84" s="798"/>
      <c r="OAB84" s="798"/>
      <c r="OAC84" s="798"/>
      <c r="OAD84" s="798"/>
      <c r="OAE84" s="798"/>
      <c r="OAF84" s="798"/>
      <c r="OAG84" s="798"/>
      <c r="OAH84" s="798"/>
      <c r="OAI84" s="798"/>
      <c r="OAJ84" s="798"/>
      <c r="OAK84" s="798"/>
      <c r="OAL84" s="798"/>
      <c r="OAM84" s="798"/>
      <c r="OAN84" s="798"/>
      <c r="OAO84" s="798"/>
      <c r="OAP84" s="798"/>
      <c r="OAQ84" s="798"/>
      <c r="OAR84" s="798"/>
      <c r="OAS84" s="798"/>
      <c r="OAT84" s="798"/>
      <c r="OAU84" s="798"/>
      <c r="OAV84" s="798"/>
      <c r="OAW84" s="798"/>
      <c r="OAX84" s="798"/>
      <c r="OAY84" s="798"/>
      <c r="OAZ84" s="798"/>
      <c r="OBA84" s="798"/>
      <c r="OBB84" s="798"/>
      <c r="OBC84" s="798"/>
      <c r="OBD84" s="798"/>
      <c r="OBE84" s="798"/>
      <c r="OBF84" s="798"/>
      <c r="OBG84" s="798"/>
      <c r="OBH84" s="798"/>
      <c r="OBI84" s="798"/>
      <c r="OBJ84" s="798"/>
      <c r="OBK84" s="798"/>
      <c r="OBL84" s="798"/>
      <c r="OBM84" s="798"/>
      <c r="OBN84" s="798"/>
      <c r="OBO84" s="798"/>
      <c r="OBP84" s="798"/>
      <c r="OBQ84" s="798"/>
      <c r="OBR84" s="798"/>
      <c r="OBS84" s="798"/>
      <c r="OBT84" s="798"/>
      <c r="OBU84" s="798"/>
      <c r="OBV84" s="798"/>
      <c r="OBW84" s="798"/>
      <c r="OBX84" s="798"/>
      <c r="OBY84" s="798"/>
      <c r="OBZ84" s="798"/>
      <c r="OCA84" s="798"/>
      <c r="OCB84" s="798"/>
      <c r="OCC84" s="798"/>
      <c r="OCD84" s="798"/>
      <c r="OCE84" s="798"/>
      <c r="OCF84" s="798"/>
      <c r="OCG84" s="798"/>
      <c r="OCH84" s="798"/>
      <c r="OCI84" s="798"/>
      <c r="OCJ84" s="798"/>
      <c r="OCK84" s="798"/>
      <c r="OCL84" s="798"/>
      <c r="OCM84" s="798"/>
      <c r="OCN84" s="798"/>
      <c r="OCO84" s="798"/>
      <c r="OCP84" s="798"/>
      <c r="OCQ84" s="798"/>
      <c r="OCR84" s="798"/>
      <c r="OCS84" s="798"/>
      <c r="OCT84" s="798"/>
      <c r="OCU84" s="798"/>
      <c r="OCV84" s="798"/>
      <c r="OCW84" s="798"/>
      <c r="OCX84" s="798"/>
      <c r="OCY84" s="798"/>
      <c r="OCZ84" s="798"/>
      <c r="ODA84" s="798"/>
      <c r="ODB84" s="798"/>
      <c r="ODC84" s="798"/>
      <c r="ODD84" s="798"/>
      <c r="ODE84" s="798"/>
      <c r="ODF84" s="798"/>
      <c r="ODG84" s="798"/>
      <c r="ODH84" s="798"/>
      <c r="ODI84" s="798"/>
      <c r="ODJ84" s="798"/>
      <c r="ODK84" s="798"/>
      <c r="ODL84" s="798"/>
      <c r="ODM84" s="798"/>
      <c r="ODN84" s="798"/>
      <c r="ODO84" s="798"/>
      <c r="ODP84" s="798"/>
      <c r="ODQ84" s="798"/>
      <c r="ODR84" s="798"/>
      <c r="ODS84" s="798"/>
      <c r="ODT84" s="798"/>
      <c r="ODU84" s="798"/>
      <c r="ODV84" s="798"/>
      <c r="ODW84" s="798"/>
      <c r="ODX84" s="798"/>
      <c r="ODY84" s="798"/>
      <c r="ODZ84" s="798"/>
      <c r="OEA84" s="798"/>
      <c r="OEB84" s="798"/>
      <c r="OEC84" s="798"/>
      <c r="OED84" s="798"/>
      <c r="OEE84" s="798"/>
      <c r="OEF84" s="798"/>
      <c r="OEG84" s="798"/>
      <c r="OEH84" s="798"/>
      <c r="OEI84" s="798"/>
      <c r="OEJ84" s="798"/>
      <c r="OEK84" s="798"/>
      <c r="OEL84" s="798"/>
      <c r="OEM84" s="798"/>
      <c r="OEN84" s="798"/>
      <c r="OEO84" s="798"/>
      <c r="OEP84" s="798"/>
      <c r="OEQ84" s="798"/>
      <c r="OER84" s="798"/>
      <c r="OES84" s="798"/>
      <c r="OET84" s="798"/>
      <c r="OEU84" s="798"/>
      <c r="OEV84" s="798"/>
      <c r="OEW84" s="798"/>
      <c r="OEX84" s="798"/>
      <c r="OEY84" s="798"/>
      <c r="OEZ84" s="798"/>
      <c r="OFA84" s="798"/>
      <c r="OFB84" s="798"/>
      <c r="OFC84" s="798"/>
      <c r="OFD84" s="798"/>
      <c r="OFE84" s="798"/>
      <c r="OFF84" s="798"/>
      <c r="OFG84" s="798"/>
      <c r="OFH84" s="798"/>
      <c r="OFI84" s="798"/>
      <c r="OFJ84" s="798"/>
      <c r="OFK84" s="798"/>
      <c r="OFL84" s="798"/>
      <c r="OFM84" s="798"/>
      <c r="OFN84" s="798"/>
      <c r="OFO84" s="798"/>
      <c r="OFP84" s="798"/>
      <c r="OFQ84" s="798"/>
      <c r="OFR84" s="798"/>
      <c r="OFS84" s="798"/>
      <c r="OFT84" s="798"/>
      <c r="OFU84" s="798"/>
      <c r="OFV84" s="798"/>
      <c r="OFW84" s="798"/>
      <c r="OFX84" s="798"/>
      <c r="OFY84" s="798"/>
      <c r="OFZ84" s="798"/>
      <c r="OGA84" s="798"/>
      <c r="OGB84" s="798"/>
      <c r="OGC84" s="798"/>
      <c r="OGD84" s="798"/>
      <c r="OGE84" s="798"/>
      <c r="OGF84" s="798"/>
      <c r="OGG84" s="798"/>
      <c r="OGH84" s="798"/>
      <c r="OGI84" s="798"/>
      <c r="OGJ84" s="798"/>
      <c r="OGK84" s="798"/>
      <c r="OGL84" s="798"/>
      <c r="OGM84" s="798"/>
      <c r="OGN84" s="798"/>
      <c r="OGO84" s="798"/>
      <c r="OGP84" s="798"/>
      <c r="OGQ84" s="798"/>
      <c r="OGR84" s="798"/>
      <c r="OGS84" s="798"/>
      <c r="OGT84" s="798"/>
      <c r="OGU84" s="798"/>
      <c r="OGV84" s="798"/>
      <c r="OGW84" s="798"/>
      <c r="OGX84" s="798"/>
      <c r="OGY84" s="798"/>
      <c r="OGZ84" s="798"/>
      <c r="OHA84" s="798"/>
      <c r="OHB84" s="798"/>
      <c r="OHC84" s="798"/>
      <c r="OHD84" s="798"/>
      <c r="OHE84" s="798"/>
      <c r="OHF84" s="798"/>
      <c r="OHG84" s="798"/>
      <c r="OHH84" s="798"/>
      <c r="OHI84" s="798"/>
      <c r="OHJ84" s="798"/>
      <c r="OHK84" s="798"/>
      <c r="OHL84" s="798"/>
      <c r="OHM84" s="798"/>
      <c r="OHN84" s="798"/>
      <c r="OHO84" s="798"/>
      <c r="OHP84" s="798"/>
      <c r="OHQ84" s="798"/>
      <c r="OHR84" s="798"/>
      <c r="OHS84" s="798"/>
      <c r="OHT84" s="798"/>
      <c r="OHU84" s="798"/>
      <c r="OHV84" s="798"/>
      <c r="OHW84" s="798"/>
      <c r="OHX84" s="798"/>
      <c r="OHY84" s="798"/>
      <c r="OHZ84" s="798"/>
      <c r="OIA84" s="798"/>
      <c r="OIB84" s="798"/>
      <c r="OIC84" s="798"/>
      <c r="OID84" s="798"/>
      <c r="OIE84" s="798"/>
      <c r="OIF84" s="798"/>
      <c r="OIG84" s="798"/>
      <c r="OIH84" s="798"/>
      <c r="OII84" s="798"/>
      <c r="OIJ84" s="798"/>
      <c r="OIK84" s="798"/>
      <c r="OIL84" s="798"/>
      <c r="OIM84" s="798"/>
      <c r="OIN84" s="798"/>
      <c r="OIO84" s="798"/>
      <c r="OIP84" s="798"/>
      <c r="OIQ84" s="798"/>
      <c r="OIR84" s="798"/>
      <c r="OIS84" s="798"/>
      <c r="OIT84" s="798"/>
      <c r="OIU84" s="798"/>
      <c r="OIV84" s="798"/>
      <c r="OIW84" s="798"/>
      <c r="OIX84" s="798"/>
      <c r="OIY84" s="798"/>
      <c r="OIZ84" s="798"/>
      <c r="OJA84" s="798"/>
      <c r="OJB84" s="798"/>
      <c r="OJC84" s="798"/>
      <c r="OJD84" s="798"/>
      <c r="OJE84" s="798"/>
      <c r="OJF84" s="798"/>
      <c r="OJG84" s="798"/>
      <c r="OJH84" s="798"/>
      <c r="OJI84" s="798"/>
      <c r="OJJ84" s="798"/>
      <c r="OJK84" s="798"/>
      <c r="OJL84" s="798"/>
      <c r="OJM84" s="798"/>
      <c r="OJN84" s="798"/>
      <c r="OJO84" s="798"/>
      <c r="OJP84" s="798"/>
      <c r="OJQ84" s="798"/>
      <c r="OJR84" s="798"/>
      <c r="OJS84" s="798"/>
      <c r="OJT84" s="798"/>
      <c r="OJU84" s="798"/>
      <c r="OJV84" s="798"/>
      <c r="OJW84" s="798"/>
      <c r="OJX84" s="798"/>
      <c r="OJY84" s="798"/>
      <c r="OJZ84" s="798"/>
      <c r="OKA84" s="798"/>
      <c r="OKB84" s="798"/>
      <c r="OKC84" s="798"/>
      <c r="OKD84" s="798"/>
      <c r="OKE84" s="798"/>
      <c r="OKF84" s="798"/>
      <c r="OKG84" s="798"/>
      <c r="OKH84" s="798"/>
      <c r="OKI84" s="798"/>
      <c r="OKJ84" s="798"/>
      <c r="OKK84" s="798"/>
      <c r="OKL84" s="798"/>
      <c r="OKM84" s="798"/>
      <c r="OKN84" s="798"/>
      <c r="OKO84" s="798"/>
      <c r="OKP84" s="798"/>
      <c r="OKQ84" s="798"/>
      <c r="OKR84" s="798"/>
      <c r="OKS84" s="798"/>
      <c r="OKT84" s="798"/>
      <c r="OKU84" s="798"/>
      <c r="OKV84" s="798"/>
      <c r="OKW84" s="798"/>
      <c r="OKX84" s="798"/>
      <c r="OKY84" s="798"/>
      <c r="OKZ84" s="798"/>
      <c r="OLA84" s="798"/>
      <c r="OLB84" s="798"/>
      <c r="OLC84" s="798"/>
      <c r="OLD84" s="798"/>
      <c r="OLE84" s="798"/>
      <c r="OLF84" s="798"/>
      <c r="OLG84" s="798"/>
      <c r="OLH84" s="798"/>
      <c r="OLI84" s="798"/>
      <c r="OLJ84" s="798"/>
      <c r="OLK84" s="798"/>
      <c r="OLL84" s="798"/>
      <c r="OLM84" s="798"/>
      <c r="OLN84" s="798"/>
      <c r="OLO84" s="798"/>
      <c r="OLP84" s="798"/>
      <c r="OLQ84" s="798"/>
      <c r="OLR84" s="798"/>
      <c r="OLS84" s="798"/>
      <c r="OLT84" s="798"/>
      <c r="OLU84" s="798"/>
      <c r="OLV84" s="798"/>
      <c r="OLW84" s="798"/>
      <c r="OLX84" s="798"/>
      <c r="OLY84" s="798"/>
      <c r="OLZ84" s="798"/>
      <c r="OMA84" s="798"/>
      <c r="OMB84" s="798"/>
      <c r="OMC84" s="798"/>
      <c r="OMD84" s="798"/>
      <c r="OME84" s="798"/>
      <c r="OMF84" s="798"/>
      <c r="OMG84" s="798"/>
      <c r="OMH84" s="798"/>
      <c r="OMI84" s="798"/>
      <c r="OMJ84" s="798"/>
      <c r="OMK84" s="798"/>
      <c r="OML84" s="798"/>
      <c r="OMM84" s="798"/>
      <c r="OMN84" s="798"/>
      <c r="OMO84" s="798"/>
      <c r="OMP84" s="798"/>
      <c r="OMQ84" s="798"/>
      <c r="OMR84" s="798"/>
      <c r="OMS84" s="798"/>
      <c r="OMT84" s="798"/>
      <c r="OMU84" s="798"/>
      <c r="OMV84" s="798"/>
      <c r="OMW84" s="798"/>
      <c r="OMX84" s="798"/>
      <c r="OMY84" s="798"/>
      <c r="OMZ84" s="798"/>
      <c r="ONA84" s="798"/>
      <c r="ONB84" s="798"/>
      <c r="ONC84" s="798"/>
      <c r="OND84" s="798"/>
      <c r="ONE84" s="798"/>
      <c r="ONF84" s="798"/>
      <c r="ONG84" s="798"/>
      <c r="ONH84" s="798"/>
      <c r="ONI84" s="798"/>
      <c r="ONJ84" s="798"/>
      <c r="ONK84" s="798"/>
      <c r="ONL84" s="798"/>
      <c r="ONM84" s="798"/>
      <c r="ONN84" s="798"/>
      <c r="ONO84" s="798"/>
      <c r="ONP84" s="798"/>
      <c r="ONQ84" s="798"/>
      <c r="ONR84" s="798"/>
      <c r="ONS84" s="798"/>
      <c r="ONT84" s="798"/>
      <c r="ONU84" s="798"/>
      <c r="ONV84" s="798"/>
      <c r="ONW84" s="798"/>
      <c r="ONX84" s="798"/>
      <c r="ONY84" s="798"/>
      <c r="ONZ84" s="798"/>
      <c r="OOA84" s="798"/>
      <c r="OOB84" s="798"/>
      <c r="OOC84" s="798"/>
      <c r="OOD84" s="798"/>
      <c r="OOE84" s="798"/>
      <c r="OOF84" s="798"/>
      <c r="OOG84" s="798"/>
      <c r="OOH84" s="798"/>
      <c r="OOI84" s="798"/>
      <c r="OOJ84" s="798"/>
      <c r="OOK84" s="798"/>
      <c r="OOL84" s="798"/>
      <c r="OOM84" s="798"/>
      <c r="OON84" s="798"/>
      <c r="OOO84" s="798"/>
      <c r="OOP84" s="798"/>
      <c r="OOQ84" s="798"/>
      <c r="OOR84" s="798"/>
      <c r="OOS84" s="798"/>
      <c r="OOT84" s="798"/>
      <c r="OOU84" s="798"/>
      <c r="OOV84" s="798"/>
      <c r="OOW84" s="798"/>
      <c r="OOX84" s="798"/>
      <c r="OOY84" s="798"/>
      <c r="OOZ84" s="798"/>
      <c r="OPA84" s="798"/>
      <c r="OPB84" s="798"/>
      <c r="OPC84" s="798"/>
      <c r="OPD84" s="798"/>
      <c r="OPE84" s="798"/>
      <c r="OPF84" s="798"/>
      <c r="OPG84" s="798"/>
      <c r="OPH84" s="798"/>
      <c r="OPI84" s="798"/>
      <c r="OPJ84" s="798"/>
      <c r="OPK84" s="798"/>
      <c r="OPL84" s="798"/>
      <c r="OPM84" s="798"/>
      <c r="OPN84" s="798"/>
      <c r="OPO84" s="798"/>
      <c r="OPP84" s="798"/>
      <c r="OPQ84" s="798"/>
      <c r="OPR84" s="798"/>
      <c r="OPS84" s="798"/>
      <c r="OPT84" s="798"/>
      <c r="OPU84" s="798"/>
      <c r="OPV84" s="798"/>
      <c r="OPW84" s="798"/>
      <c r="OPX84" s="798"/>
      <c r="OPY84" s="798"/>
      <c r="OPZ84" s="798"/>
      <c r="OQA84" s="798"/>
      <c r="OQB84" s="798"/>
      <c r="OQC84" s="798"/>
      <c r="OQD84" s="798"/>
      <c r="OQE84" s="798"/>
      <c r="OQF84" s="798"/>
      <c r="OQG84" s="798"/>
      <c r="OQH84" s="798"/>
      <c r="OQI84" s="798"/>
      <c r="OQJ84" s="798"/>
      <c r="OQK84" s="798"/>
      <c r="OQL84" s="798"/>
      <c r="OQM84" s="798"/>
      <c r="OQN84" s="798"/>
      <c r="OQO84" s="798"/>
      <c r="OQP84" s="798"/>
      <c r="OQQ84" s="798"/>
      <c r="OQR84" s="798"/>
      <c r="OQS84" s="798"/>
      <c r="OQT84" s="798"/>
      <c r="OQU84" s="798"/>
      <c r="OQV84" s="798"/>
      <c r="OQW84" s="798"/>
      <c r="OQX84" s="798"/>
      <c r="OQY84" s="798"/>
      <c r="OQZ84" s="798"/>
      <c r="ORA84" s="798"/>
      <c r="ORB84" s="798"/>
      <c r="ORC84" s="798"/>
      <c r="ORD84" s="798"/>
      <c r="ORE84" s="798"/>
      <c r="ORF84" s="798"/>
      <c r="ORG84" s="798"/>
      <c r="ORH84" s="798"/>
      <c r="ORI84" s="798"/>
      <c r="ORJ84" s="798"/>
      <c r="ORK84" s="798"/>
      <c r="ORL84" s="798"/>
      <c r="ORM84" s="798"/>
      <c r="ORN84" s="798"/>
      <c r="ORO84" s="798"/>
      <c r="ORP84" s="798"/>
      <c r="ORQ84" s="798"/>
      <c r="ORR84" s="798"/>
      <c r="ORS84" s="798"/>
      <c r="ORT84" s="798"/>
      <c r="ORU84" s="798"/>
      <c r="ORV84" s="798"/>
      <c r="ORW84" s="798"/>
      <c r="ORX84" s="798"/>
      <c r="ORY84" s="798"/>
      <c r="ORZ84" s="798"/>
      <c r="OSA84" s="798"/>
      <c r="OSB84" s="798"/>
      <c r="OSC84" s="798"/>
      <c r="OSD84" s="798"/>
      <c r="OSE84" s="798"/>
      <c r="OSF84" s="798"/>
      <c r="OSG84" s="798"/>
      <c r="OSH84" s="798"/>
      <c r="OSI84" s="798"/>
      <c r="OSJ84" s="798"/>
      <c r="OSK84" s="798"/>
      <c r="OSL84" s="798"/>
      <c r="OSM84" s="798"/>
      <c r="OSN84" s="798"/>
      <c r="OSO84" s="798"/>
      <c r="OSP84" s="798"/>
      <c r="OSQ84" s="798"/>
      <c r="OSR84" s="798"/>
      <c r="OSS84" s="798"/>
      <c r="OST84" s="798"/>
      <c r="OSU84" s="798"/>
      <c r="OSV84" s="798"/>
      <c r="OSW84" s="798"/>
      <c r="OSX84" s="798"/>
      <c r="OSY84" s="798"/>
      <c r="OSZ84" s="798"/>
      <c r="OTA84" s="798"/>
      <c r="OTB84" s="798"/>
      <c r="OTC84" s="798"/>
      <c r="OTD84" s="798"/>
      <c r="OTE84" s="798"/>
      <c r="OTF84" s="798"/>
      <c r="OTG84" s="798"/>
      <c r="OTH84" s="798"/>
      <c r="OTI84" s="798"/>
      <c r="OTJ84" s="798"/>
      <c r="OTK84" s="798"/>
      <c r="OTL84" s="798"/>
      <c r="OTM84" s="798"/>
      <c r="OTN84" s="798"/>
      <c r="OTO84" s="798"/>
      <c r="OTP84" s="798"/>
      <c r="OTQ84" s="798"/>
      <c r="OTR84" s="798"/>
      <c r="OTS84" s="798"/>
      <c r="OTT84" s="798"/>
      <c r="OTU84" s="798"/>
      <c r="OTV84" s="798"/>
      <c r="OTW84" s="798"/>
      <c r="OTX84" s="798"/>
      <c r="OTY84" s="798"/>
      <c r="OTZ84" s="798"/>
      <c r="OUA84" s="798"/>
      <c r="OUB84" s="798"/>
      <c r="OUC84" s="798"/>
      <c r="OUD84" s="798"/>
      <c r="OUE84" s="798"/>
      <c r="OUF84" s="798"/>
      <c r="OUG84" s="798"/>
      <c r="OUH84" s="798"/>
      <c r="OUI84" s="798"/>
      <c r="OUJ84" s="798"/>
      <c r="OUK84" s="798"/>
      <c r="OUL84" s="798"/>
      <c r="OUM84" s="798"/>
      <c r="OUN84" s="798"/>
      <c r="OUO84" s="798"/>
      <c r="OUP84" s="798"/>
      <c r="OUQ84" s="798"/>
      <c r="OUR84" s="798"/>
      <c r="OUS84" s="798"/>
      <c r="OUT84" s="798"/>
      <c r="OUU84" s="798"/>
      <c r="OUV84" s="798"/>
      <c r="OUW84" s="798"/>
      <c r="OUX84" s="798"/>
      <c r="OUY84" s="798"/>
      <c r="OUZ84" s="798"/>
      <c r="OVA84" s="798"/>
      <c r="OVB84" s="798"/>
      <c r="OVC84" s="798"/>
      <c r="OVD84" s="798"/>
      <c r="OVE84" s="798"/>
      <c r="OVF84" s="798"/>
      <c r="OVG84" s="798"/>
      <c r="OVH84" s="798"/>
      <c r="OVI84" s="798"/>
      <c r="OVJ84" s="798"/>
      <c r="OVK84" s="798"/>
      <c r="OVL84" s="798"/>
      <c r="OVM84" s="798"/>
      <c r="OVN84" s="798"/>
      <c r="OVO84" s="798"/>
      <c r="OVP84" s="798"/>
      <c r="OVQ84" s="798"/>
      <c r="OVR84" s="798"/>
      <c r="OVS84" s="798"/>
      <c r="OVT84" s="798"/>
      <c r="OVU84" s="798"/>
      <c r="OVV84" s="798"/>
      <c r="OVW84" s="798"/>
      <c r="OVX84" s="798"/>
      <c r="OVY84" s="798"/>
      <c r="OVZ84" s="798"/>
      <c r="OWA84" s="798"/>
      <c r="OWB84" s="798"/>
      <c r="OWC84" s="798"/>
      <c r="OWD84" s="798"/>
      <c r="OWE84" s="798"/>
      <c r="OWF84" s="798"/>
      <c r="OWG84" s="798"/>
      <c r="OWH84" s="798"/>
      <c r="OWI84" s="798"/>
      <c r="OWJ84" s="798"/>
      <c r="OWK84" s="798"/>
      <c r="OWL84" s="798"/>
      <c r="OWM84" s="798"/>
      <c r="OWN84" s="798"/>
      <c r="OWO84" s="798"/>
      <c r="OWP84" s="798"/>
      <c r="OWQ84" s="798"/>
      <c r="OWR84" s="798"/>
      <c r="OWS84" s="798"/>
      <c r="OWT84" s="798"/>
      <c r="OWU84" s="798"/>
      <c r="OWV84" s="798"/>
      <c r="OWW84" s="798"/>
      <c r="OWX84" s="798"/>
      <c r="OWY84" s="798"/>
      <c r="OWZ84" s="798"/>
      <c r="OXA84" s="798"/>
      <c r="OXB84" s="798"/>
      <c r="OXC84" s="798"/>
      <c r="OXD84" s="798"/>
      <c r="OXE84" s="798"/>
      <c r="OXF84" s="798"/>
      <c r="OXG84" s="798"/>
      <c r="OXH84" s="798"/>
      <c r="OXI84" s="798"/>
      <c r="OXJ84" s="798"/>
      <c r="OXK84" s="798"/>
      <c r="OXL84" s="798"/>
      <c r="OXM84" s="798"/>
      <c r="OXN84" s="798"/>
      <c r="OXO84" s="798"/>
      <c r="OXP84" s="798"/>
      <c r="OXQ84" s="798"/>
      <c r="OXR84" s="798"/>
      <c r="OXS84" s="798"/>
      <c r="OXT84" s="798"/>
      <c r="OXU84" s="798"/>
      <c r="OXV84" s="798"/>
      <c r="OXW84" s="798"/>
      <c r="OXX84" s="798"/>
      <c r="OXY84" s="798"/>
      <c r="OXZ84" s="798"/>
      <c r="OYA84" s="798"/>
      <c r="OYB84" s="798"/>
      <c r="OYC84" s="798"/>
      <c r="OYD84" s="798"/>
      <c r="OYE84" s="798"/>
      <c r="OYF84" s="798"/>
      <c r="OYG84" s="798"/>
      <c r="OYH84" s="798"/>
      <c r="OYI84" s="798"/>
      <c r="OYJ84" s="798"/>
      <c r="OYK84" s="798"/>
      <c r="OYL84" s="798"/>
      <c r="OYM84" s="798"/>
      <c r="OYN84" s="798"/>
      <c r="OYO84" s="798"/>
      <c r="OYP84" s="798"/>
      <c r="OYQ84" s="798"/>
      <c r="OYR84" s="798"/>
      <c r="OYS84" s="798"/>
      <c r="OYT84" s="798"/>
      <c r="OYU84" s="798"/>
      <c r="OYV84" s="798"/>
      <c r="OYW84" s="798"/>
      <c r="OYX84" s="798"/>
      <c r="OYY84" s="798"/>
      <c r="OYZ84" s="798"/>
      <c r="OZA84" s="798"/>
      <c r="OZB84" s="798"/>
      <c r="OZC84" s="798"/>
      <c r="OZD84" s="798"/>
      <c r="OZE84" s="798"/>
      <c r="OZF84" s="798"/>
      <c r="OZG84" s="798"/>
      <c r="OZH84" s="798"/>
      <c r="OZI84" s="798"/>
      <c r="OZJ84" s="798"/>
      <c r="OZK84" s="798"/>
      <c r="OZL84" s="798"/>
      <c r="OZM84" s="798"/>
      <c r="OZN84" s="798"/>
      <c r="OZO84" s="798"/>
      <c r="OZP84" s="798"/>
      <c r="OZQ84" s="798"/>
      <c r="OZR84" s="798"/>
      <c r="OZS84" s="798"/>
      <c r="OZT84" s="798"/>
      <c r="OZU84" s="798"/>
      <c r="OZV84" s="798"/>
      <c r="OZW84" s="798"/>
      <c r="OZX84" s="798"/>
      <c r="OZY84" s="798"/>
      <c r="OZZ84" s="798"/>
      <c r="PAA84" s="798"/>
      <c r="PAB84" s="798"/>
      <c r="PAC84" s="798"/>
      <c r="PAD84" s="798"/>
      <c r="PAE84" s="798"/>
      <c r="PAF84" s="798"/>
      <c r="PAG84" s="798"/>
      <c r="PAH84" s="798"/>
      <c r="PAI84" s="798"/>
      <c r="PAJ84" s="798"/>
      <c r="PAK84" s="798"/>
      <c r="PAL84" s="798"/>
      <c r="PAM84" s="798"/>
      <c r="PAN84" s="798"/>
      <c r="PAO84" s="798"/>
      <c r="PAP84" s="798"/>
      <c r="PAQ84" s="798"/>
      <c r="PAR84" s="798"/>
      <c r="PAS84" s="798"/>
      <c r="PAT84" s="798"/>
      <c r="PAU84" s="798"/>
      <c r="PAV84" s="798"/>
      <c r="PAW84" s="798"/>
      <c r="PAX84" s="798"/>
      <c r="PAY84" s="798"/>
      <c r="PAZ84" s="798"/>
      <c r="PBA84" s="798"/>
      <c r="PBB84" s="798"/>
      <c r="PBC84" s="798"/>
      <c r="PBD84" s="798"/>
      <c r="PBE84" s="798"/>
      <c r="PBF84" s="798"/>
      <c r="PBG84" s="798"/>
      <c r="PBH84" s="798"/>
      <c r="PBI84" s="798"/>
      <c r="PBJ84" s="798"/>
      <c r="PBK84" s="798"/>
      <c r="PBL84" s="798"/>
      <c r="PBM84" s="798"/>
      <c r="PBN84" s="798"/>
      <c r="PBO84" s="798"/>
      <c r="PBP84" s="798"/>
      <c r="PBQ84" s="798"/>
      <c r="PBR84" s="798"/>
      <c r="PBS84" s="798"/>
      <c r="PBT84" s="798"/>
      <c r="PBU84" s="798"/>
      <c r="PBV84" s="798"/>
      <c r="PBW84" s="798"/>
      <c r="PBX84" s="798"/>
      <c r="PBY84" s="798"/>
      <c r="PBZ84" s="798"/>
      <c r="PCA84" s="798"/>
      <c r="PCB84" s="798"/>
      <c r="PCC84" s="798"/>
      <c r="PCD84" s="798"/>
      <c r="PCE84" s="798"/>
      <c r="PCF84" s="798"/>
      <c r="PCG84" s="798"/>
      <c r="PCH84" s="798"/>
      <c r="PCI84" s="798"/>
      <c r="PCJ84" s="798"/>
      <c r="PCK84" s="798"/>
      <c r="PCL84" s="798"/>
      <c r="PCM84" s="798"/>
      <c r="PCN84" s="798"/>
      <c r="PCO84" s="798"/>
      <c r="PCP84" s="798"/>
      <c r="PCQ84" s="798"/>
      <c r="PCR84" s="798"/>
      <c r="PCS84" s="798"/>
      <c r="PCT84" s="798"/>
      <c r="PCU84" s="798"/>
      <c r="PCV84" s="798"/>
      <c r="PCW84" s="798"/>
      <c r="PCX84" s="798"/>
      <c r="PCY84" s="798"/>
      <c r="PCZ84" s="798"/>
      <c r="PDA84" s="798"/>
      <c r="PDB84" s="798"/>
      <c r="PDC84" s="798"/>
      <c r="PDD84" s="798"/>
      <c r="PDE84" s="798"/>
      <c r="PDF84" s="798"/>
      <c r="PDG84" s="798"/>
      <c r="PDH84" s="798"/>
      <c r="PDI84" s="798"/>
      <c r="PDJ84" s="798"/>
      <c r="PDK84" s="798"/>
      <c r="PDL84" s="798"/>
      <c r="PDM84" s="798"/>
      <c r="PDN84" s="798"/>
      <c r="PDO84" s="798"/>
      <c r="PDP84" s="798"/>
      <c r="PDQ84" s="798"/>
      <c r="PDR84" s="798"/>
      <c r="PDS84" s="798"/>
      <c r="PDT84" s="798"/>
      <c r="PDU84" s="798"/>
      <c r="PDV84" s="798"/>
      <c r="PDW84" s="798"/>
      <c r="PDX84" s="798"/>
      <c r="PDY84" s="798"/>
      <c r="PDZ84" s="798"/>
      <c r="PEA84" s="798"/>
      <c r="PEB84" s="798"/>
      <c r="PEC84" s="798"/>
      <c r="PED84" s="798"/>
      <c r="PEE84" s="798"/>
      <c r="PEF84" s="798"/>
      <c r="PEG84" s="798"/>
      <c r="PEH84" s="798"/>
      <c r="PEI84" s="798"/>
      <c r="PEJ84" s="798"/>
      <c r="PEK84" s="798"/>
      <c r="PEL84" s="798"/>
      <c r="PEM84" s="798"/>
      <c r="PEN84" s="798"/>
      <c r="PEO84" s="798"/>
      <c r="PEP84" s="798"/>
      <c r="PEQ84" s="798"/>
      <c r="PER84" s="798"/>
      <c r="PES84" s="798"/>
      <c r="PET84" s="798"/>
      <c r="PEU84" s="798"/>
      <c r="PEV84" s="798"/>
      <c r="PEW84" s="798"/>
      <c r="PEX84" s="798"/>
      <c r="PEY84" s="798"/>
      <c r="PEZ84" s="798"/>
      <c r="PFA84" s="798"/>
      <c r="PFB84" s="798"/>
      <c r="PFC84" s="798"/>
      <c r="PFD84" s="798"/>
      <c r="PFE84" s="798"/>
      <c r="PFF84" s="798"/>
      <c r="PFG84" s="798"/>
      <c r="PFH84" s="798"/>
      <c r="PFI84" s="798"/>
      <c r="PFJ84" s="798"/>
      <c r="PFK84" s="798"/>
      <c r="PFL84" s="798"/>
      <c r="PFM84" s="798"/>
      <c r="PFN84" s="798"/>
      <c r="PFO84" s="798"/>
      <c r="PFP84" s="798"/>
      <c r="PFQ84" s="798"/>
      <c r="PFR84" s="798"/>
      <c r="PFS84" s="798"/>
      <c r="PFT84" s="798"/>
      <c r="PFU84" s="798"/>
      <c r="PFV84" s="798"/>
      <c r="PFW84" s="798"/>
      <c r="PFX84" s="798"/>
      <c r="PFY84" s="798"/>
      <c r="PFZ84" s="798"/>
      <c r="PGA84" s="798"/>
      <c r="PGB84" s="798"/>
      <c r="PGC84" s="798"/>
      <c r="PGD84" s="798"/>
      <c r="PGE84" s="798"/>
      <c r="PGF84" s="798"/>
      <c r="PGG84" s="798"/>
      <c r="PGH84" s="798"/>
      <c r="PGI84" s="798"/>
      <c r="PGJ84" s="798"/>
      <c r="PGK84" s="798"/>
      <c r="PGL84" s="798"/>
      <c r="PGM84" s="798"/>
      <c r="PGN84" s="798"/>
      <c r="PGO84" s="798"/>
      <c r="PGP84" s="798"/>
      <c r="PGQ84" s="798"/>
      <c r="PGR84" s="798"/>
      <c r="PGS84" s="798"/>
      <c r="PGT84" s="798"/>
      <c r="PGU84" s="798"/>
      <c r="PGV84" s="798"/>
      <c r="PGW84" s="798"/>
      <c r="PGX84" s="798"/>
      <c r="PGY84" s="798"/>
      <c r="PGZ84" s="798"/>
      <c r="PHA84" s="798"/>
      <c r="PHB84" s="798"/>
      <c r="PHC84" s="798"/>
      <c r="PHD84" s="798"/>
      <c r="PHE84" s="798"/>
      <c r="PHF84" s="798"/>
      <c r="PHG84" s="798"/>
      <c r="PHH84" s="798"/>
      <c r="PHI84" s="798"/>
      <c r="PHJ84" s="798"/>
      <c r="PHK84" s="798"/>
      <c r="PHL84" s="798"/>
      <c r="PHM84" s="798"/>
      <c r="PHN84" s="798"/>
      <c r="PHO84" s="798"/>
      <c r="PHP84" s="798"/>
      <c r="PHQ84" s="798"/>
      <c r="PHR84" s="798"/>
      <c r="PHS84" s="798"/>
      <c r="PHT84" s="798"/>
      <c r="PHU84" s="798"/>
      <c r="PHV84" s="798"/>
      <c r="PHW84" s="798"/>
      <c r="PHX84" s="798"/>
      <c r="PHY84" s="798"/>
      <c r="PHZ84" s="798"/>
      <c r="PIA84" s="798"/>
      <c r="PIB84" s="798"/>
      <c r="PIC84" s="798"/>
      <c r="PID84" s="798"/>
      <c r="PIE84" s="798"/>
      <c r="PIF84" s="798"/>
      <c r="PIG84" s="798"/>
      <c r="PIH84" s="798"/>
      <c r="PII84" s="798"/>
      <c r="PIJ84" s="798"/>
      <c r="PIK84" s="798"/>
      <c r="PIL84" s="798"/>
      <c r="PIM84" s="798"/>
      <c r="PIN84" s="798"/>
      <c r="PIO84" s="798"/>
      <c r="PIP84" s="798"/>
      <c r="PIQ84" s="798"/>
      <c r="PIR84" s="798"/>
      <c r="PIS84" s="798"/>
      <c r="PIT84" s="798"/>
      <c r="PIU84" s="798"/>
      <c r="PIV84" s="798"/>
      <c r="PIW84" s="798"/>
      <c r="PIX84" s="798"/>
      <c r="PIY84" s="798"/>
      <c r="PIZ84" s="798"/>
      <c r="PJA84" s="798"/>
      <c r="PJB84" s="798"/>
      <c r="PJC84" s="798"/>
      <c r="PJD84" s="798"/>
      <c r="PJE84" s="798"/>
      <c r="PJF84" s="798"/>
      <c r="PJG84" s="798"/>
      <c r="PJH84" s="798"/>
      <c r="PJI84" s="798"/>
      <c r="PJJ84" s="798"/>
      <c r="PJK84" s="798"/>
      <c r="PJL84" s="798"/>
      <c r="PJM84" s="798"/>
      <c r="PJN84" s="798"/>
      <c r="PJO84" s="798"/>
      <c r="PJP84" s="798"/>
      <c r="PJQ84" s="798"/>
      <c r="PJR84" s="798"/>
      <c r="PJS84" s="798"/>
      <c r="PJT84" s="798"/>
      <c r="PJU84" s="798"/>
      <c r="PJV84" s="798"/>
      <c r="PJW84" s="798"/>
      <c r="PJX84" s="798"/>
      <c r="PJY84" s="798"/>
      <c r="PJZ84" s="798"/>
      <c r="PKA84" s="798"/>
      <c r="PKB84" s="798"/>
      <c r="PKC84" s="798"/>
      <c r="PKD84" s="798"/>
      <c r="PKE84" s="798"/>
      <c r="PKF84" s="798"/>
      <c r="PKG84" s="798"/>
      <c r="PKH84" s="798"/>
      <c r="PKI84" s="798"/>
      <c r="PKJ84" s="798"/>
      <c r="PKK84" s="798"/>
      <c r="PKL84" s="798"/>
      <c r="PKM84" s="798"/>
      <c r="PKN84" s="798"/>
      <c r="PKO84" s="798"/>
      <c r="PKP84" s="798"/>
      <c r="PKQ84" s="798"/>
      <c r="PKR84" s="798"/>
      <c r="PKS84" s="798"/>
      <c r="PKT84" s="798"/>
      <c r="PKU84" s="798"/>
      <c r="PKV84" s="798"/>
      <c r="PKW84" s="798"/>
      <c r="PKX84" s="798"/>
      <c r="PKY84" s="798"/>
      <c r="PKZ84" s="798"/>
      <c r="PLA84" s="798"/>
      <c r="PLB84" s="798"/>
      <c r="PLC84" s="798"/>
      <c r="PLD84" s="798"/>
      <c r="PLE84" s="798"/>
      <c r="PLF84" s="798"/>
      <c r="PLG84" s="798"/>
      <c r="PLH84" s="798"/>
      <c r="PLI84" s="798"/>
      <c r="PLJ84" s="798"/>
      <c r="PLK84" s="798"/>
      <c r="PLL84" s="798"/>
      <c r="PLM84" s="798"/>
      <c r="PLN84" s="798"/>
      <c r="PLO84" s="798"/>
      <c r="PLP84" s="798"/>
      <c r="PLQ84" s="798"/>
      <c r="PLR84" s="798"/>
      <c r="PLS84" s="798"/>
      <c r="PLT84" s="798"/>
      <c r="PLU84" s="798"/>
      <c r="PLV84" s="798"/>
      <c r="PLW84" s="798"/>
      <c r="PLX84" s="798"/>
      <c r="PLY84" s="798"/>
      <c r="PLZ84" s="798"/>
      <c r="PMA84" s="798"/>
      <c r="PMB84" s="798"/>
      <c r="PMC84" s="798"/>
      <c r="PMD84" s="798"/>
      <c r="PME84" s="798"/>
      <c r="PMF84" s="798"/>
      <c r="PMG84" s="798"/>
      <c r="PMH84" s="798"/>
      <c r="PMI84" s="798"/>
      <c r="PMJ84" s="798"/>
      <c r="PMK84" s="798"/>
      <c r="PML84" s="798"/>
      <c r="PMM84" s="798"/>
      <c r="PMN84" s="798"/>
      <c r="PMO84" s="798"/>
      <c r="PMP84" s="798"/>
      <c r="PMQ84" s="798"/>
      <c r="PMR84" s="798"/>
      <c r="PMS84" s="798"/>
      <c r="PMT84" s="798"/>
      <c r="PMU84" s="798"/>
      <c r="PMV84" s="798"/>
      <c r="PMW84" s="798"/>
      <c r="PMX84" s="798"/>
      <c r="PMY84" s="798"/>
      <c r="PMZ84" s="798"/>
      <c r="PNA84" s="798"/>
      <c r="PNB84" s="798"/>
      <c r="PNC84" s="798"/>
      <c r="PND84" s="798"/>
      <c r="PNE84" s="798"/>
      <c r="PNF84" s="798"/>
      <c r="PNG84" s="798"/>
      <c r="PNH84" s="798"/>
      <c r="PNI84" s="798"/>
      <c r="PNJ84" s="798"/>
      <c r="PNK84" s="798"/>
      <c r="PNL84" s="798"/>
      <c r="PNM84" s="798"/>
      <c r="PNN84" s="798"/>
      <c r="PNO84" s="798"/>
      <c r="PNP84" s="798"/>
      <c r="PNQ84" s="798"/>
      <c r="PNR84" s="798"/>
      <c r="PNS84" s="798"/>
      <c r="PNT84" s="798"/>
      <c r="PNU84" s="798"/>
      <c r="PNV84" s="798"/>
      <c r="PNW84" s="798"/>
      <c r="PNX84" s="798"/>
      <c r="PNY84" s="798"/>
      <c r="PNZ84" s="798"/>
      <c r="POA84" s="798"/>
      <c r="POB84" s="798"/>
      <c r="POC84" s="798"/>
      <c r="POD84" s="798"/>
      <c r="POE84" s="798"/>
      <c r="POF84" s="798"/>
      <c r="POG84" s="798"/>
      <c r="POH84" s="798"/>
      <c r="POI84" s="798"/>
      <c r="POJ84" s="798"/>
      <c r="POK84" s="798"/>
      <c r="POL84" s="798"/>
      <c r="POM84" s="798"/>
      <c r="PON84" s="798"/>
      <c r="POO84" s="798"/>
      <c r="POP84" s="798"/>
      <c r="POQ84" s="798"/>
      <c r="POR84" s="798"/>
      <c r="POS84" s="798"/>
      <c r="POT84" s="798"/>
      <c r="POU84" s="798"/>
      <c r="POV84" s="798"/>
      <c r="POW84" s="798"/>
      <c r="POX84" s="798"/>
      <c r="POY84" s="798"/>
      <c r="POZ84" s="798"/>
      <c r="PPA84" s="798"/>
      <c r="PPB84" s="798"/>
      <c r="PPC84" s="798"/>
      <c r="PPD84" s="798"/>
      <c r="PPE84" s="798"/>
      <c r="PPF84" s="798"/>
      <c r="PPG84" s="798"/>
      <c r="PPH84" s="798"/>
      <c r="PPI84" s="798"/>
      <c r="PPJ84" s="798"/>
      <c r="PPK84" s="798"/>
      <c r="PPL84" s="798"/>
      <c r="PPM84" s="798"/>
      <c r="PPN84" s="798"/>
      <c r="PPO84" s="798"/>
      <c r="PPP84" s="798"/>
      <c r="PPQ84" s="798"/>
      <c r="PPR84" s="798"/>
      <c r="PPS84" s="798"/>
      <c r="PPT84" s="798"/>
      <c r="PPU84" s="798"/>
      <c r="PPV84" s="798"/>
      <c r="PPW84" s="798"/>
      <c r="PPX84" s="798"/>
      <c r="PPY84" s="798"/>
      <c r="PPZ84" s="798"/>
      <c r="PQA84" s="798"/>
      <c r="PQB84" s="798"/>
      <c r="PQC84" s="798"/>
      <c r="PQD84" s="798"/>
      <c r="PQE84" s="798"/>
      <c r="PQF84" s="798"/>
      <c r="PQG84" s="798"/>
      <c r="PQH84" s="798"/>
      <c r="PQI84" s="798"/>
      <c r="PQJ84" s="798"/>
      <c r="PQK84" s="798"/>
      <c r="PQL84" s="798"/>
      <c r="PQM84" s="798"/>
      <c r="PQN84" s="798"/>
      <c r="PQO84" s="798"/>
      <c r="PQP84" s="798"/>
      <c r="PQQ84" s="798"/>
      <c r="PQR84" s="798"/>
      <c r="PQS84" s="798"/>
      <c r="PQT84" s="798"/>
      <c r="PQU84" s="798"/>
      <c r="PQV84" s="798"/>
      <c r="PQW84" s="798"/>
      <c r="PQX84" s="798"/>
      <c r="PQY84" s="798"/>
      <c r="PQZ84" s="798"/>
      <c r="PRA84" s="798"/>
      <c r="PRB84" s="798"/>
      <c r="PRC84" s="798"/>
      <c r="PRD84" s="798"/>
      <c r="PRE84" s="798"/>
      <c r="PRF84" s="798"/>
      <c r="PRG84" s="798"/>
      <c r="PRH84" s="798"/>
      <c r="PRI84" s="798"/>
      <c r="PRJ84" s="798"/>
      <c r="PRK84" s="798"/>
      <c r="PRL84" s="798"/>
      <c r="PRM84" s="798"/>
      <c r="PRN84" s="798"/>
      <c r="PRO84" s="798"/>
      <c r="PRP84" s="798"/>
      <c r="PRQ84" s="798"/>
      <c r="PRR84" s="798"/>
      <c r="PRS84" s="798"/>
      <c r="PRT84" s="798"/>
      <c r="PRU84" s="798"/>
      <c r="PRV84" s="798"/>
      <c r="PRW84" s="798"/>
      <c r="PRX84" s="798"/>
      <c r="PRY84" s="798"/>
      <c r="PRZ84" s="798"/>
      <c r="PSA84" s="798"/>
      <c r="PSB84" s="798"/>
      <c r="PSC84" s="798"/>
      <c r="PSD84" s="798"/>
      <c r="PSE84" s="798"/>
      <c r="PSF84" s="798"/>
      <c r="PSG84" s="798"/>
      <c r="PSH84" s="798"/>
      <c r="PSI84" s="798"/>
      <c r="PSJ84" s="798"/>
      <c r="PSK84" s="798"/>
      <c r="PSL84" s="798"/>
      <c r="PSM84" s="798"/>
      <c r="PSN84" s="798"/>
      <c r="PSO84" s="798"/>
      <c r="PSP84" s="798"/>
      <c r="PSQ84" s="798"/>
      <c r="PSR84" s="798"/>
      <c r="PSS84" s="798"/>
      <c r="PST84" s="798"/>
      <c r="PSU84" s="798"/>
      <c r="PSV84" s="798"/>
      <c r="PSW84" s="798"/>
      <c r="PSX84" s="798"/>
      <c r="PSY84" s="798"/>
      <c r="PSZ84" s="798"/>
      <c r="PTA84" s="798"/>
      <c r="PTB84" s="798"/>
      <c r="PTC84" s="798"/>
      <c r="PTD84" s="798"/>
      <c r="PTE84" s="798"/>
      <c r="PTF84" s="798"/>
      <c r="PTG84" s="798"/>
      <c r="PTH84" s="798"/>
      <c r="PTI84" s="798"/>
      <c r="PTJ84" s="798"/>
      <c r="PTK84" s="798"/>
      <c r="PTL84" s="798"/>
      <c r="PTM84" s="798"/>
      <c r="PTN84" s="798"/>
      <c r="PTO84" s="798"/>
      <c r="PTP84" s="798"/>
      <c r="PTQ84" s="798"/>
      <c r="PTR84" s="798"/>
      <c r="PTS84" s="798"/>
      <c r="PTT84" s="798"/>
      <c r="PTU84" s="798"/>
      <c r="PTV84" s="798"/>
      <c r="PTW84" s="798"/>
      <c r="PTX84" s="798"/>
      <c r="PTY84" s="798"/>
      <c r="PTZ84" s="798"/>
      <c r="PUA84" s="798"/>
      <c r="PUB84" s="798"/>
      <c r="PUC84" s="798"/>
      <c r="PUD84" s="798"/>
      <c r="PUE84" s="798"/>
      <c r="PUF84" s="798"/>
      <c r="PUG84" s="798"/>
      <c r="PUH84" s="798"/>
      <c r="PUI84" s="798"/>
      <c r="PUJ84" s="798"/>
      <c r="PUK84" s="798"/>
      <c r="PUL84" s="798"/>
      <c r="PUM84" s="798"/>
      <c r="PUN84" s="798"/>
      <c r="PUO84" s="798"/>
      <c r="PUP84" s="798"/>
      <c r="PUQ84" s="798"/>
      <c r="PUR84" s="798"/>
      <c r="PUS84" s="798"/>
      <c r="PUT84" s="798"/>
      <c r="PUU84" s="798"/>
      <c r="PUV84" s="798"/>
      <c r="PUW84" s="798"/>
      <c r="PUX84" s="798"/>
      <c r="PUY84" s="798"/>
      <c r="PUZ84" s="798"/>
      <c r="PVA84" s="798"/>
      <c r="PVB84" s="798"/>
      <c r="PVC84" s="798"/>
      <c r="PVD84" s="798"/>
      <c r="PVE84" s="798"/>
      <c r="PVF84" s="798"/>
      <c r="PVG84" s="798"/>
      <c r="PVH84" s="798"/>
      <c r="PVI84" s="798"/>
      <c r="PVJ84" s="798"/>
      <c r="PVK84" s="798"/>
      <c r="PVL84" s="798"/>
      <c r="PVM84" s="798"/>
      <c r="PVN84" s="798"/>
      <c r="PVO84" s="798"/>
      <c r="PVP84" s="798"/>
      <c r="PVQ84" s="798"/>
      <c r="PVR84" s="798"/>
      <c r="PVS84" s="798"/>
      <c r="PVT84" s="798"/>
      <c r="PVU84" s="798"/>
      <c r="PVV84" s="798"/>
      <c r="PVW84" s="798"/>
      <c r="PVX84" s="798"/>
      <c r="PVY84" s="798"/>
      <c r="PVZ84" s="798"/>
      <c r="PWA84" s="798"/>
      <c r="PWB84" s="798"/>
      <c r="PWC84" s="798"/>
      <c r="PWD84" s="798"/>
      <c r="PWE84" s="798"/>
      <c r="PWF84" s="798"/>
      <c r="PWG84" s="798"/>
      <c r="PWH84" s="798"/>
      <c r="PWI84" s="798"/>
      <c r="PWJ84" s="798"/>
      <c r="PWK84" s="798"/>
      <c r="PWL84" s="798"/>
      <c r="PWM84" s="798"/>
      <c r="PWN84" s="798"/>
      <c r="PWO84" s="798"/>
      <c r="PWP84" s="798"/>
      <c r="PWQ84" s="798"/>
      <c r="PWR84" s="798"/>
      <c r="PWS84" s="798"/>
      <c r="PWT84" s="798"/>
      <c r="PWU84" s="798"/>
      <c r="PWV84" s="798"/>
      <c r="PWW84" s="798"/>
      <c r="PWX84" s="798"/>
      <c r="PWY84" s="798"/>
      <c r="PWZ84" s="798"/>
      <c r="PXA84" s="798"/>
      <c r="PXB84" s="798"/>
      <c r="PXC84" s="798"/>
      <c r="PXD84" s="798"/>
      <c r="PXE84" s="798"/>
      <c r="PXF84" s="798"/>
      <c r="PXG84" s="798"/>
      <c r="PXH84" s="798"/>
      <c r="PXI84" s="798"/>
      <c r="PXJ84" s="798"/>
      <c r="PXK84" s="798"/>
      <c r="PXL84" s="798"/>
      <c r="PXM84" s="798"/>
      <c r="PXN84" s="798"/>
      <c r="PXO84" s="798"/>
      <c r="PXP84" s="798"/>
      <c r="PXQ84" s="798"/>
      <c r="PXR84" s="798"/>
      <c r="PXS84" s="798"/>
      <c r="PXT84" s="798"/>
      <c r="PXU84" s="798"/>
      <c r="PXV84" s="798"/>
      <c r="PXW84" s="798"/>
      <c r="PXX84" s="798"/>
      <c r="PXY84" s="798"/>
      <c r="PXZ84" s="798"/>
      <c r="PYA84" s="798"/>
      <c r="PYB84" s="798"/>
      <c r="PYC84" s="798"/>
      <c r="PYD84" s="798"/>
      <c r="PYE84" s="798"/>
      <c r="PYF84" s="798"/>
      <c r="PYG84" s="798"/>
      <c r="PYH84" s="798"/>
      <c r="PYI84" s="798"/>
      <c r="PYJ84" s="798"/>
      <c r="PYK84" s="798"/>
      <c r="PYL84" s="798"/>
      <c r="PYM84" s="798"/>
      <c r="PYN84" s="798"/>
      <c r="PYO84" s="798"/>
      <c r="PYP84" s="798"/>
      <c r="PYQ84" s="798"/>
      <c r="PYR84" s="798"/>
      <c r="PYS84" s="798"/>
      <c r="PYT84" s="798"/>
      <c r="PYU84" s="798"/>
      <c r="PYV84" s="798"/>
      <c r="PYW84" s="798"/>
      <c r="PYX84" s="798"/>
      <c r="PYY84" s="798"/>
      <c r="PYZ84" s="798"/>
      <c r="PZA84" s="798"/>
      <c r="PZB84" s="798"/>
      <c r="PZC84" s="798"/>
      <c r="PZD84" s="798"/>
      <c r="PZE84" s="798"/>
      <c r="PZF84" s="798"/>
      <c r="PZG84" s="798"/>
      <c r="PZH84" s="798"/>
      <c r="PZI84" s="798"/>
      <c r="PZJ84" s="798"/>
      <c r="PZK84" s="798"/>
      <c r="PZL84" s="798"/>
      <c r="PZM84" s="798"/>
      <c r="PZN84" s="798"/>
      <c r="PZO84" s="798"/>
      <c r="PZP84" s="798"/>
      <c r="PZQ84" s="798"/>
      <c r="PZR84" s="798"/>
      <c r="PZS84" s="798"/>
      <c r="PZT84" s="798"/>
      <c r="PZU84" s="798"/>
      <c r="PZV84" s="798"/>
      <c r="PZW84" s="798"/>
      <c r="PZX84" s="798"/>
      <c r="PZY84" s="798"/>
      <c r="PZZ84" s="798"/>
      <c r="QAA84" s="798"/>
      <c r="QAB84" s="798"/>
      <c r="QAC84" s="798"/>
      <c r="QAD84" s="798"/>
      <c r="QAE84" s="798"/>
      <c r="QAF84" s="798"/>
      <c r="QAG84" s="798"/>
      <c r="QAH84" s="798"/>
      <c r="QAI84" s="798"/>
      <c r="QAJ84" s="798"/>
      <c r="QAK84" s="798"/>
      <c r="QAL84" s="798"/>
      <c r="QAM84" s="798"/>
      <c r="QAN84" s="798"/>
      <c r="QAO84" s="798"/>
      <c r="QAP84" s="798"/>
      <c r="QAQ84" s="798"/>
      <c r="QAR84" s="798"/>
      <c r="QAS84" s="798"/>
      <c r="QAT84" s="798"/>
      <c r="QAU84" s="798"/>
      <c r="QAV84" s="798"/>
      <c r="QAW84" s="798"/>
      <c r="QAX84" s="798"/>
      <c r="QAY84" s="798"/>
      <c r="QAZ84" s="798"/>
      <c r="QBA84" s="798"/>
      <c r="QBB84" s="798"/>
      <c r="QBC84" s="798"/>
      <c r="QBD84" s="798"/>
      <c r="QBE84" s="798"/>
      <c r="QBF84" s="798"/>
      <c r="QBG84" s="798"/>
      <c r="QBH84" s="798"/>
      <c r="QBI84" s="798"/>
      <c r="QBJ84" s="798"/>
      <c r="QBK84" s="798"/>
      <c r="QBL84" s="798"/>
      <c r="QBM84" s="798"/>
      <c r="QBN84" s="798"/>
      <c r="QBO84" s="798"/>
      <c r="QBP84" s="798"/>
      <c r="QBQ84" s="798"/>
      <c r="QBR84" s="798"/>
      <c r="QBS84" s="798"/>
      <c r="QBT84" s="798"/>
      <c r="QBU84" s="798"/>
      <c r="QBV84" s="798"/>
      <c r="QBW84" s="798"/>
      <c r="QBX84" s="798"/>
      <c r="QBY84" s="798"/>
      <c r="QBZ84" s="798"/>
      <c r="QCA84" s="798"/>
      <c r="QCB84" s="798"/>
      <c r="QCC84" s="798"/>
      <c r="QCD84" s="798"/>
      <c r="QCE84" s="798"/>
      <c r="QCF84" s="798"/>
      <c r="QCG84" s="798"/>
      <c r="QCH84" s="798"/>
      <c r="QCI84" s="798"/>
      <c r="QCJ84" s="798"/>
      <c r="QCK84" s="798"/>
      <c r="QCL84" s="798"/>
      <c r="QCM84" s="798"/>
      <c r="QCN84" s="798"/>
      <c r="QCO84" s="798"/>
      <c r="QCP84" s="798"/>
      <c r="QCQ84" s="798"/>
      <c r="QCR84" s="798"/>
      <c r="QCS84" s="798"/>
      <c r="QCT84" s="798"/>
      <c r="QCU84" s="798"/>
      <c r="QCV84" s="798"/>
      <c r="QCW84" s="798"/>
      <c r="QCX84" s="798"/>
      <c r="QCY84" s="798"/>
      <c r="QCZ84" s="798"/>
      <c r="QDA84" s="798"/>
      <c r="QDB84" s="798"/>
      <c r="QDC84" s="798"/>
      <c r="QDD84" s="798"/>
      <c r="QDE84" s="798"/>
      <c r="QDF84" s="798"/>
      <c r="QDG84" s="798"/>
      <c r="QDH84" s="798"/>
      <c r="QDI84" s="798"/>
      <c r="QDJ84" s="798"/>
      <c r="QDK84" s="798"/>
      <c r="QDL84" s="798"/>
      <c r="QDM84" s="798"/>
      <c r="QDN84" s="798"/>
      <c r="QDO84" s="798"/>
      <c r="QDP84" s="798"/>
      <c r="QDQ84" s="798"/>
      <c r="QDR84" s="798"/>
      <c r="QDS84" s="798"/>
      <c r="QDT84" s="798"/>
      <c r="QDU84" s="798"/>
      <c r="QDV84" s="798"/>
      <c r="QDW84" s="798"/>
      <c r="QDX84" s="798"/>
      <c r="QDY84" s="798"/>
      <c r="QDZ84" s="798"/>
      <c r="QEA84" s="798"/>
      <c r="QEB84" s="798"/>
      <c r="QEC84" s="798"/>
      <c r="QED84" s="798"/>
      <c r="QEE84" s="798"/>
      <c r="QEF84" s="798"/>
      <c r="QEG84" s="798"/>
      <c r="QEH84" s="798"/>
      <c r="QEI84" s="798"/>
      <c r="QEJ84" s="798"/>
      <c r="QEK84" s="798"/>
      <c r="QEL84" s="798"/>
      <c r="QEM84" s="798"/>
      <c r="QEN84" s="798"/>
      <c r="QEO84" s="798"/>
      <c r="QEP84" s="798"/>
      <c r="QEQ84" s="798"/>
      <c r="QER84" s="798"/>
      <c r="QES84" s="798"/>
      <c r="QET84" s="798"/>
      <c r="QEU84" s="798"/>
      <c r="QEV84" s="798"/>
      <c r="QEW84" s="798"/>
      <c r="QEX84" s="798"/>
      <c r="QEY84" s="798"/>
      <c r="QEZ84" s="798"/>
      <c r="QFA84" s="798"/>
      <c r="QFB84" s="798"/>
      <c r="QFC84" s="798"/>
      <c r="QFD84" s="798"/>
      <c r="QFE84" s="798"/>
      <c r="QFF84" s="798"/>
      <c r="QFG84" s="798"/>
      <c r="QFH84" s="798"/>
      <c r="QFI84" s="798"/>
      <c r="QFJ84" s="798"/>
      <c r="QFK84" s="798"/>
      <c r="QFL84" s="798"/>
      <c r="QFM84" s="798"/>
      <c r="QFN84" s="798"/>
      <c r="QFO84" s="798"/>
      <c r="QFP84" s="798"/>
      <c r="QFQ84" s="798"/>
      <c r="QFR84" s="798"/>
      <c r="QFS84" s="798"/>
      <c r="QFT84" s="798"/>
      <c r="QFU84" s="798"/>
      <c r="QFV84" s="798"/>
      <c r="QFW84" s="798"/>
      <c r="QFX84" s="798"/>
      <c r="QFY84" s="798"/>
      <c r="QFZ84" s="798"/>
      <c r="QGA84" s="798"/>
      <c r="QGB84" s="798"/>
      <c r="QGC84" s="798"/>
      <c r="QGD84" s="798"/>
      <c r="QGE84" s="798"/>
      <c r="QGF84" s="798"/>
      <c r="QGG84" s="798"/>
      <c r="QGH84" s="798"/>
      <c r="QGI84" s="798"/>
      <c r="QGJ84" s="798"/>
      <c r="QGK84" s="798"/>
      <c r="QGL84" s="798"/>
      <c r="QGM84" s="798"/>
      <c r="QGN84" s="798"/>
      <c r="QGO84" s="798"/>
      <c r="QGP84" s="798"/>
      <c r="QGQ84" s="798"/>
      <c r="QGR84" s="798"/>
      <c r="QGS84" s="798"/>
      <c r="QGT84" s="798"/>
      <c r="QGU84" s="798"/>
      <c r="QGV84" s="798"/>
      <c r="QGW84" s="798"/>
      <c r="QGX84" s="798"/>
      <c r="QGY84" s="798"/>
      <c r="QGZ84" s="798"/>
      <c r="QHA84" s="798"/>
      <c r="QHB84" s="798"/>
      <c r="QHC84" s="798"/>
      <c r="QHD84" s="798"/>
      <c r="QHE84" s="798"/>
      <c r="QHF84" s="798"/>
      <c r="QHG84" s="798"/>
      <c r="QHH84" s="798"/>
      <c r="QHI84" s="798"/>
      <c r="QHJ84" s="798"/>
      <c r="QHK84" s="798"/>
      <c r="QHL84" s="798"/>
      <c r="QHM84" s="798"/>
      <c r="QHN84" s="798"/>
      <c r="QHO84" s="798"/>
      <c r="QHP84" s="798"/>
      <c r="QHQ84" s="798"/>
      <c r="QHR84" s="798"/>
      <c r="QHS84" s="798"/>
      <c r="QHT84" s="798"/>
      <c r="QHU84" s="798"/>
      <c r="QHV84" s="798"/>
      <c r="QHW84" s="798"/>
      <c r="QHX84" s="798"/>
      <c r="QHY84" s="798"/>
      <c r="QHZ84" s="798"/>
      <c r="QIA84" s="798"/>
      <c r="QIB84" s="798"/>
      <c r="QIC84" s="798"/>
      <c r="QID84" s="798"/>
      <c r="QIE84" s="798"/>
      <c r="QIF84" s="798"/>
      <c r="QIG84" s="798"/>
      <c r="QIH84" s="798"/>
      <c r="QII84" s="798"/>
      <c r="QIJ84" s="798"/>
      <c r="QIK84" s="798"/>
      <c r="QIL84" s="798"/>
      <c r="QIM84" s="798"/>
      <c r="QIN84" s="798"/>
      <c r="QIO84" s="798"/>
      <c r="QIP84" s="798"/>
      <c r="QIQ84" s="798"/>
      <c r="QIR84" s="798"/>
      <c r="QIS84" s="798"/>
      <c r="QIT84" s="798"/>
      <c r="QIU84" s="798"/>
      <c r="QIV84" s="798"/>
      <c r="QIW84" s="798"/>
      <c r="QIX84" s="798"/>
      <c r="QIY84" s="798"/>
      <c r="QIZ84" s="798"/>
      <c r="QJA84" s="798"/>
      <c r="QJB84" s="798"/>
      <c r="QJC84" s="798"/>
      <c r="QJD84" s="798"/>
      <c r="QJE84" s="798"/>
      <c r="QJF84" s="798"/>
      <c r="QJG84" s="798"/>
      <c r="QJH84" s="798"/>
      <c r="QJI84" s="798"/>
      <c r="QJJ84" s="798"/>
      <c r="QJK84" s="798"/>
      <c r="QJL84" s="798"/>
      <c r="QJM84" s="798"/>
      <c r="QJN84" s="798"/>
      <c r="QJO84" s="798"/>
      <c r="QJP84" s="798"/>
      <c r="QJQ84" s="798"/>
      <c r="QJR84" s="798"/>
      <c r="QJS84" s="798"/>
      <c r="QJT84" s="798"/>
      <c r="QJU84" s="798"/>
      <c r="QJV84" s="798"/>
      <c r="QJW84" s="798"/>
      <c r="QJX84" s="798"/>
      <c r="QJY84" s="798"/>
      <c r="QJZ84" s="798"/>
      <c r="QKA84" s="798"/>
      <c r="QKB84" s="798"/>
      <c r="QKC84" s="798"/>
      <c r="QKD84" s="798"/>
      <c r="QKE84" s="798"/>
      <c r="QKF84" s="798"/>
      <c r="QKG84" s="798"/>
      <c r="QKH84" s="798"/>
      <c r="QKI84" s="798"/>
      <c r="QKJ84" s="798"/>
      <c r="QKK84" s="798"/>
      <c r="QKL84" s="798"/>
      <c r="QKM84" s="798"/>
      <c r="QKN84" s="798"/>
      <c r="QKO84" s="798"/>
      <c r="QKP84" s="798"/>
      <c r="QKQ84" s="798"/>
      <c r="QKR84" s="798"/>
      <c r="QKS84" s="798"/>
      <c r="QKT84" s="798"/>
      <c r="QKU84" s="798"/>
      <c r="QKV84" s="798"/>
      <c r="QKW84" s="798"/>
      <c r="QKX84" s="798"/>
      <c r="QKY84" s="798"/>
      <c r="QKZ84" s="798"/>
      <c r="QLA84" s="798"/>
      <c r="QLB84" s="798"/>
      <c r="QLC84" s="798"/>
      <c r="QLD84" s="798"/>
      <c r="QLE84" s="798"/>
      <c r="QLF84" s="798"/>
      <c r="QLG84" s="798"/>
      <c r="QLH84" s="798"/>
      <c r="QLI84" s="798"/>
      <c r="QLJ84" s="798"/>
      <c r="QLK84" s="798"/>
      <c r="QLL84" s="798"/>
      <c r="QLM84" s="798"/>
      <c r="QLN84" s="798"/>
      <c r="QLO84" s="798"/>
      <c r="QLP84" s="798"/>
      <c r="QLQ84" s="798"/>
      <c r="QLR84" s="798"/>
      <c r="QLS84" s="798"/>
      <c r="QLT84" s="798"/>
      <c r="QLU84" s="798"/>
      <c r="QLV84" s="798"/>
      <c r="QLW84" s="798"/>
      <c r="QLX84" s="798"/>
      <c r="QLY84" s="798"/>
      <c r="QLZ84" s="798"/>
      <c r="QMA84" s="798"/>
      <c r="QMB84" s="798"/>
      <c r="QMC84" s="798"/>
      <c r="QMD84" s="798"/>
      <c r="QME84" s="798"/>
      <c r="QMF84" s="798"/>
      <c r="QMG84" s="798"/>
      <c r="QMH84" s="798"/>
      <c r="QMI84" s="798"/>
      <c r="QMJ84" s="798"/>
      <c r="QMK84" s="798"/>
      <c r="QML84" s="798"/>
      <c r="QMM84" s="798"/>
      <c r="QMN84" s="798"/>
      <c r="QMO84" s="798"/>
      <c r="QMP84" s="798"/>
      <c r="QMQ84" s="798"/>
      <c r="QMR84" s="798"/>
      <c r="QMS84" s="798"/>
      <c r="QMT84" s="798"/>
      <c r="QMU84" s="798"/>
      <c r="QMV84" s="798"/>
      <c r="QMW84" s="798"/>
      <c r="QMX84" s="798"/>
      <c r="QMY84" s="798"/>
      <c r="QMZ84" s="798"/>
      <c r="QNA84" s="798"/>
      <c r="QNB84" s="798"/>
      <c r="QNC84" s="798"/>
      <c r="QND84" s="798"/>
      <c r="QNE84" s="798"/>
      <c r="QNF84" s="798"/>
      <c r="QNG84" s="798"/>
      <c r="QNH84" s="798"/>
      <c r="QNI84" s="798"/>
      <c r="QNJ84" s="798"/>
      <c r="QNK84" s="798"/>
      <c r="QNL84" s="798"/>
      <c r="QNM84" s="798"/>
      <c r="QNN84" s="798"/>
      <c r="QNO84" s="798"/>
      <c r="QNP84" s="798"/>
      <c r="QNQ84" s="798"/>
      <c r="QNR84" s="798"/>
      <c r="QNS84" s="798"/>
      <c r="QNT84" s="798"/>
      <c r="QNU84" s="798"/>
      <c r="QNV84" s="798"/>
      <c r="QNW84" s="798"/>
      <c r="QNX84" s="798"/>
      <c r="QNY84" s="798"/>
      <c r="QNZ84" s="798"/>
      <c r="QOA84" s="798"/>
      <c r="QOB84" s="798"/>
      <c r="QOC84" s="798"/>
      <c r="QOD84" s="798"/>
      <c r="QOE84" s="798"/>
      <c r="QOF84" s="798"/>
      <c r="QOG84" s="798"/>
      <c r="QOH84" s="798"/>
      <c r="QOI84" s="798"/>
      <c r="QOJ84" s="798"/>
      <c r="QOK84" s="798"/>
      <c r="QOL84" s="798"/>
      <c r="QOM84" s="798"/>
      <c r="QON84" s="798"/>
      <c r="QOO84" s="798"/>
      <c r="QOP84" s="798"/>
      <c r="QOQ84" s="798"/>
      <c r="QOR84" s="798"/>
      <c r="QOS84" s="798"/>
      <c r="QOT84" s="798"/>
      <c r="QOU84" s="798"/>
      <c r="QOV84" s="798"/>
      <c r="QOW84" s="798"/>
      <c r="QOX84" s="798"/>
      <c r="QOY84" s="798"/>
      <c r="QOZ84" s="798"/>
      <c r="QPA84" s="798"/>
      <c r="QPB84" s="798"/>
      <c r="QPC84" s="798"/>
      <c r="QPD84" s="798"/>
      <c r="QPE84" s="798"/>
      <c r="QPF84" s="798"/>
      <c r="QPG84" s="798"/>
      <c r="QPH84" s="798"/>
      <c r="QPI84" s="798"/>
      <c r="QPJ84" s="798"/>
      <c r="QPK84" s="798"/>
      <c r="QPL84" s="798"/>
      <c r="QPM84" s="798"/>
      <c r="QPN84" s="798"/>
      <c r="QPO84" s="798"/>
      <c r="QPP84" s="798"/>
      <c r="QPQ84" s="798"/>
      <c r="QPR84" s="798"/>
      <c r="QPS84" s="798"/>
      <c r="QPT84" s="798"/>
      <c r="QPU84" s="798"/>
      <c r="QPV84" s="798"/>
      <c r="QPW84" s="798"/>
      <c r="QPX84" s="798"/>
      <c r="QPY84" s="798"/>
      <c r="QPZ84" s="798"/>
      <c r="QQA84" s="798"/>
      <c r="QQB84" s="798"/>
      <c r="QQC84" s="798"/>
      <c r="QQD84" s="798"/>
      <c r="QQE84" s="798"/>
      <c r="QQF84" s="798"/>
      <c r="QQG84" s="798"/>
      <c r="QQH84" s="798"/>
      <c r="QQI84" s="798"/>
      <c r="QQJ84" s="798"/>
      <c r="QQK84" s="798"/>
      <c r="QQL84" s="798"/>
      <c r="QQM84" s="798"/>
      <c r="QQN84" s="798"/>
      <c r="QQO84" s="798"/>
      <c r="QQP84" s="798"/>
      <c r="QQQ84" s="798"/>
      <c r="QQR84" s="798"/>
      <c r="QQS84" s="798"/>
      <c r="QQT84" s="798"/>
      <c r="QQU84" s="798"/>
      <c r="QQV84" s="798"/>
      <c r="QQW84" s="798"/>
      <c r="QQX84" s="798"/>
      <c r="QQY84" s="798"/>
      <c r="QQZ84" s="798"/>
      <c r="QRA84" s="798"/>
      <c r="QRB84" s="798"/>
      <c r="QRC84" s="798"/>
      <c r="QRD84" s="798"/>
      <c r="QRE84" s="798"/>
      <c r="QRF84" s="798"/>
      <c r="QRG84" s="798"/>
      <c r="QRH84" s="798"/>
      <c r="QRI84" s="798"/>
      <c r="QRJ84" s="798"/>
      <c r="QRK84" s="798"/>
      <c r="QRL84" s="798"/>
      <c r="QRM84" s="798"/>
      <c r="QRN84" s="798"/>
      <c r="QRO84" s="798"/>
      <c r="QRP84" s="798"/>
      <c r="QRQ84" s="798"/>
      <c r="QRR84" s="798"/>
      <c r="QRS84" s="798"/>
      <c r="QRT84" s="798"/>
      <c r="QRU84" s="798"/>
      <c r="QRV84" s="798"/>
      <c r="QRW84" s="798"/>
      <c r="QRX84" s="798"/>
      <c r="QRY84" s="798"/>
      <c r="QRZ84" s="798"/>
      <c r="QSA84" s="798"/>
      <c r="QSB84" s="798"/>
      <c r="QSC84" s="798"/>
      <c r="QSD84" s="798"/>
      <c r="QSE84" s="798"/>
      <c r="QSF84" s="798"/>
      <c r="QSG84" s="798"/>
      <c r="QSH84" s="798"/>
      <c r="QSI84" s="798"/>
      <c r="QSJ84" s="798"/>
      <c r="QSK84" s="798"/>
      <c r="QSL84" s="798"/>
      <c r="QSM84" s="798"/>
      <c r="QSN84" s="798"/>
      <c r="QSO84" s="798"/>
      <c r="QSP84" s="798"/>
      <c r="QSQ84" s="798"/>
      <c r="QSR84" s="798"/>
      <c r="QSS84" s="798"/>
      <c r="QST84" s="798"/>
      <c r="QSU84" s="798"/>
      <c r="QSV84" s="798"/>
      <c r="QSW84" s="798"/>
      <c r="QSX84" s="798"/>
      <c r="QSY84" s="798"/>
      <c r="QSZ84" s="798"/>
      <c r="QTA84" s="798"/>
      <c r="QTB84" s="798"/>
      <c r="QTC84" s="798"/>
      <c r="QTD84" s="798"/>
      <c r="QTE84" s="798"/>
      <c r="QTF84" s="798"/>
      <c r="QTG84" s="798"/>
      <c r="QTH84" s="798"/>
      <c r="QTI84" s="798"/>
      <c r="QTJ84" s="798"/>
      <c r="QTK84" s="798"/>
      <c r="QTL84" s="798"/>
      <c r="QTM84" s="798"/>
      <c r="QTN84" s="798"/>
      <c r="QTO84" s="798"/>
      <c r="QTP84" s="798"/>
      <c r="QTQ84" s="798"/>
      <c r="QTR84" s="798"/>
      <c r="QTS84" s="798"/>
      <c r="QTT84" s="798"/>
      <c r="QTU84" s="798"/>
      <c r="QTV84" s="798"/>
      <c r="QTW84" s="798"/>
      <c r="QTX84" s="798"/>
      <c r="QTY84" s="798"/>
      <c r="QTZ84" s="798"/>
      <c r="QUA84" s="798"/>
      <c r="QUB84" s="798"/>
      <c r="QUC84" s="798"/>
      <c r="QUD84" s="798"/>
      <c r="QUE84" s="798"/>
      <c r="QUF84" s="798"/>
      <c r="QUG84" s="798"/>
      <c r="QUH84" s="798"/>
      <c r="QUI84" s="798"/>
      <c r="QUJ84" s="798"/>
      <c r="QUK84" s="798"/>
      <c r="QUL84" s="798"/>
      <c r="QUM84" s="798"/>
      <c r="QUN84" s="798"/>
      <c r="QUO84" s="798"/>
      <c r="QUP84" s="798"/>
      <c r="QUQ84" s="798"/>
      <c r="QUR84" s="798"/>
      <c r="QUS84" s="798"/>
      <c r="QUT84" s="798"/>
      <c r="QUU84" s="798"/>
      <c r="QUV84" s="798"/>
      <c r="QUW84" s="798"/>
      <c r="QUX84" s="798"/>
      <c r="QUY84" s="798"/>
      <c r="QUZ84" s="798"/>
      <c r="QVA84" s="798"/>
      <c r="QVB84" s="798"/>
      <c r="QVC84" s="798"/>
      <c r="QVD84" s="798"/>
      <c r="QVE84" s="798"/>
      <c r="QVF84" s="798"/>
      <c r="QVG84" s="798"/>
      <c r="QVH84" s="798"/>
      <c r="QVI84" s="798"/>
      <c r="QVJ84" s="798"/>
      <c r="QVK84" s="798"/>
      <c r="QVL84" s="798"/>
      <c r="QVM84" s="798"/>
      <c r="QVN84" s="798"/>
      <c r="QVO84" s="798"/>
      <c r="QVP84" s="798"/>
      <c r="QVQ84" s="798"/>
      <c r="QVR84" s="798"/>
      <c r="QVS84" s="798"/>
      <c r="QVT84" s="798"/>
      <c r="QVU84" s="798"/>
      <c r="QVV84" s="798"/>
      <c r="QVW84" s="798"/>
      <c r="QVX84" s="798"/>
      <c r="QVY84" s="798"/>
      <c r="QVZ84" s="798"/>
      <c r="QWA84" s="798"/>
      <c r="QWB84" s="798"/>
      <c r="QWC84" s="798"/>
      <c r="QWD84" s="798"/>
      <c r="QWE84" s="798"/>
      <c r="QWF84" s="798"/>
      <c r="QWG84" s="798"/>
      <c r="QWH84" s="798"/>
      <c r="QWI84" s="798"/>
      <c r="QWJ84" s="798"/>
      <c r="QWK84" s="798"/>
      <c r="QWL84" s="798"/>
      <c r="QWM84" s="798"/>
      <c r="QWN84" s="798"/>
      <c r="QWO84" s="798"/>
      <c r="QWP84" s="798"/>
      <c r="QWQ84" s="798"/>
      <c r="QWR84" s="798"/>
      <c r="QWS84" s="798"/>
      <c r="QWT84" s="798"/>
      <c r="QWU84" s="798"/>
      <c r="QWV84" s="798"/>
      <c r="QWW84" s="798"/>
      <c r="QWX84" s="798"/>
      <c r="QWY84" s="798"/>
      <c r="QWZ84" s="798"/>
      <c r="QXA84" s="798"/>
      <c r="QXB84" s="798"/>
      <c r="QXC84" s="798"/>
      <c r="QXD84" s="798"/>
      <c r="QXE84" s="798"/>
      <c r="QXF84" s="798"/>
      <c r="QXG84" s="798"/>
      <c r="QXH84" s="798"/>
      <c r="QXI84" s="798"/>
      <c r="QXJ84" s="798"/>
      <c r="QXK84" s="798"/>
      <c r="QXL84" s="798"/>
      <c r="QXM84" s="798"/>
      <c r="QXN84" s="798"/>
      <c r="QXO84" s="798"/>
      <c r="QXP84" s="798"/>
      <c r="QXQ84" s="798"/>
      <c r="QXR84" s="798"/>
      <c r="QXS84" s="798"/>
      <c r="QXT84" s="798"/>
      <c r="QXU84" s="798"/>
      <c r="QXV84" s="798"/>
      <c r="QXW84" s="798"/>
      <c r="QXX84" s="798"/>
      <c r="QXY84" s="798"/>
      <c r="QXZ84" s="798"/>
      <c r="QYA84" s="798"/>
      <c r="QYB84" s="798"/>
      <c r="QYC84" s="798"/>
      <c r="QYD84" s="798"/>
      <c r="QYE84" s="798"/>
      <c r="QYF84" s="798"/>
      <c r="QYG84" s="798"/>
      <c r="QYH84" s="798"/>
      <c r="QYI84" s="798"/>
      <c r="QYJ84" s="798"/>
      <c r="QYK84" s="798"/>
      <c r="QYL84" s="798"/>
      <c r="QYM84" s="798"/>
      <c r="QYN84" s="798"/>
      <c r="QYO84" s="798"/>
      <c r="QYP84" s="798"/>
      <c r="QYQ84" s="798"/>
      <c r="QYR84" s="798"/>
      <c r="QYS84" s="798"/>
      <c r="QYT84" s="798"/>
      <c r="QYU84" s="798"/>
      <c r="QYV84" s="798"/>
      <c r="QYW84" s="798"/>
      <c r="QYX84" s="798"/>
      <c r="QYY84" s="798"/>
      <c r="QYZ84" s="798"/>
      <c r="QZA84" s="798"/>
      <c r="QZB84" s="798"/>
      <c r="QZC84" s="798"/>
      <c r="QZD84" s="798"/>
      <c r="QZE84" s="798"/>
      <c r="QZF84" s="798"/>
      <c r="QZG84" s="798"/>
      <c r="QZH84" s="798"/>
      <c r="QZI84" s="798"/>
      <c r="QZJ84" s="798"/>
      <c r="QZK84" s="798"/>
      <c r="QZL84" s="798"/>
      <c r="QZM84" s="798"/>
      <c r="QZN84" s="798"/>
      <c r="QZO84" s="798"/>
      <c r="QZP84" s="798"/>
      <c r="QZQ84" s="798"/>
      <c r="QZR84" s="798"/>
      <c r="QZS84" s="798"/>
      <c r="QZT84" s="798"/>
      <c r="QZU84" s="798"/>
      <c r="QZV84" s="798"/>
      <c r="QZW84" s="798"/>
      <c r="QZX84" s="798"/>
      <c r="QZY84" s="798"/>
      <c r="QZZ84" s="798"/>
      <c r="RAA84" s="798"/>
      <c r="RAB84" s="798"/>
      <c r="RAC84" s="798"/>
      <c r="RAD84" s="798"/>
      <c r="RAE84" s="798"/>
      <c r="RAF84" s="798"/>
      <c r="RAG84" s="798"/>
      <c r="RAH84" s="798"/>
      <c r="RAI84" s="798"/>
      <c r="RAJ84" s="798"/>
      <c r="RAK84" s="798"/>
      <c r="RAL84" s="798"/>
      <c r="RAM84" s="798"/>
      <c r="RAN84" s="798"/>
      <c r="RAO84" s="798"/>
      <c r="RAP84" s="798"/>
      <c r="RAQ84" s="798"/>
      <c r="RAR84" s="798"/>
      <c r="RAS84" s="798"/>
      <c r="RAT84" s="798"/>
      <c r="RAU84" s="798"/>
      <c r="RAV84" s="798"/>
      <c r="RAW84" s="798"/>
      <c r="RAX84" s="798"/>
      <c r="RAY84" s="798"/>
      <c r="RAZ84" s="798"/>
      <c r="RBA84" s="798"/>
      <c r="RBB84" s="798"/>
      <c r="RBC84" s="798"/>
      <c r="RBD84" s="798"/>
      <c r="RBE84" s="798"/>
      <c r="RBF84" s="798"/>
      <c r="RBG84" s="798"/>
      <c r="RBH84" s="798"/>
      <c r="RBI84" s="798"/>
      <c r="RBJ84" s="798"/>
      <c r="RBK84" s="798"/>
      <c r="RBL84" s="798"/>
      <c r="RBM84" s="798"/>
      <c r="RBN84" s="798"/>
      <c r="RBO84" s="798"/>
      <c r="RBP84" s="798"/>
      <c r="RBQ84" s="798"/>
      <c r="RBR84" s="798"/>
      <c r="RBS84" s="798"/>
      <c r="RBT84" s="798"/>
      <c r="RBU84" s="798"/>
      <c r="RBV84" s="798"/>
      <c r="RBW84" s="798"/>
      <c r="RBX84" s="798"/>
      <c r="RBY84" s="798"/>
      <c r="RBZ84" s="798"/>
      <c r="RCA84" s="798"/>
      <c r="RCB84" s="798"/>
      <c r="RCC84" s="798"/>
      <c r="RCD84" s="798"/>
      <c r="RCE84" s="798"/>
      <c r="RCF84" s="798"/>
      <c r="RCG84" s="798"/>
      <c r="RCH84" s="798"/>
      <c r="RCI84" s="798"/>
      <c r="RCJ84" s="798"/>
      <c r="RCK84" s="798"/>
      <c r="RCL84" s="798"/>
      <c r="RCM84" s="798"/>
      <c r="RCN84" s="798"/>
      <c r="RCO84" s="798"/>
      <c r="RCP84" s="798"/>
      <c r="RCQ84" s="798"/>
      <c r="RCR84" s="798"/>
      <c r="RCS84" s="798"/>
      <c r="RCT84" s="798"/>
      <c r="RCU84" s="798"/>
      <c r="RCV84" s="798"/>
      <c r="RCW84" s="798"/>
      <c r="RCX84" s="798"/>
      <c r="RCY84" s="798"/>
      <c r="RCZ84" s="798"/>
      <c r="RDA84" s="798"/>
      <c r="RDB84" s="798"/>
      <c r="RDC84" s="798"/>
      <c r="RDD84" s="798"/>
      <c r="RDE84" s="798"/>
      <c r="RDF84" s="798"/>
      <c r="RDG84" s="798"/>
      <c r="RDH84" s="798"/>
      <c r="RDI84" s="798"/>
      <c r="RDJ84" s="798"/>
      <c r="RDK84" s="798"/>
      <c r="RDL84" s="798"/>
      <c r="RDM84" s="798"/>
      <c r="RDN84" s="798"/>
      <c r="RDO84" s="798"/>
      <c r="RDP84" s="798"/>
      <c r="RDQ84" s="798"/>
      <c r="RDR84" s="798"/>
      <c r="RDS84" s="798"/>
      <c r="RDT84" s="798"/>
      <c r="RDU84" s="798"/>
      <c r="RDV84" s="798"/>
      <c r="RDW84" s="798"/>
      <c r="RDX84" s="798"/>
      <c r="RDY84" s="798"/>
      <c r="RDZ84" s="798"/>
      <c r="REA84" s="798"/>
      <c r="REB84" s="798"/>
      <c r="REC84" s="798"/>
      <c r="RED84" s="798"/>
      <c r="REE84" s="798"/>
      <c r="REF84" s="798"/>
      <c r="REG84" s="798"/>
      <c r="REH84" s="798"/>
      <c r="REI84" s="798"/>
      <c r="REJ84" s="798"/>
      <c r="REK84" s="798"/>
      <c r="REL84" s="798"/>
      <c r="REM84" s="798"/>
      <c r="REN84" s="798"/>
      <c r="REO84" s="798"/>
      <c r="REP84" s="798"/>
      <c r="REQ84" s="798"/>
      <c r="RER84" s="798"/>
      <c r="RES84" s="798"/>
      <c r="RET84" s="798"/>
      <c r="REU84" s="798"/>
      <c r="REV84" s="798"/>
      <c r="REW84" s="798"/>
      <c r="REX84" s="798"/>
      <c r="REY84" s="798"/>
      <c r="REZ84" s="798"/>
      <c r="RFA84" s="798"/>
      <c r="RFB84" s="798"/>
      <c r="RFC84" s="798"/>
      <c r="RFD84" s="798"/>
      <c r="RFE84" s="798"/>
      <c r="RFF84" s="798"/>
      <c r="RFG84" s="798"/>
      <c r="RFH84" s="798"/>
      <c r="RFI84" s="798"/>
      <c r="RFJ84" s="798"/>
      <c r="RFK84" s="798"/>
      <c r="RFL84" s="798"/>
      <c r="RFM84" s="798"/>
      <c r="RFN84" s="798"/>
      <c r="RFO84" s="798"/>
      <c r="RFP84" s="798"/>
      <c r="RFQ84" s="798"/>
      <c r="RFR84" s="798"/>
      <c r="RFS84" s="798"/>
      <c r="RFT84" s="798"/>
      <c r="RFU84" s="798"/>
      <c r="RFV84" s="798"/>
      <c r="RFW84" s="798"/>
      <c r="RFX84" s="798"/>
      <c r="RFY84" s="798"/>
      <c r="RFZ84" s="798"/>
      <c r="RGA84" s="798"/>
      <c r="RGB84" s="798"/>
      <c r="RGC84" s="798"/>
      <c r="RGD84" s="798"/>
      <c r="RGE84" s="798"/>
      <c r="RGF84" s="798"/>
      <c r="RGG84" s="798"/>
      <c r="RGH84" s="798"/>
      <c r="RGI84" s="798"/>
      <c r="RGJ84" s="798"/>
      <c r="RGK84" s="798"/>
      <c r="RGL84" s="798"/>
      <c r="RGM84" s="798"/>
      <c r="RGN84" s="798"/>
      <c r="RGO84" s="798"/>
      <c r="RGP84" s="798"/>
      <c r="RGQ84" s="798"/>
      <c r="RGR84" s="798"/>
      <c r="RGS84" s="798"/>
      <c r="RGT84" s="798"/>
      <c r="RGU84" s="798"/>
      <c r="RGV84" s="798"/>
      <c r="RGW84" s="798"/>
      <c r="RGX84" s="798"/>
      <c r="RGY84" s="798"/>
      <c r="RGZ84" s="798"/>
      <c r="RHA84" s="798"/>
      <c r="RHB84" s="798"/>
      <c r="RHC84" s="798"/>
      <c r="RHD84" s="798"/>
      <c r="RHE84" s="798"/>
      <c r="RHF84" s="798"/>
      <c r="RHG84" s="798"/>
      <c r="RHH84" s="798"/>
      <c r="RHI84" s="798"/>
      <c r="RHJ84" s="798"/>
      <c r="RHK84" s="798"/>
      <c r="RHL84" s="798"/>
      <c r="RHM84" s="798"/>
      <c r="RHN84" s="798"/>
      <c r="RHO84" s="798"/>
      <c r="RHP84" s="798"/>
      <c r="RHQ84" s="798"/>
      <c r="RHR84" s="798"/>
      <c r="RHS84" s="798"/>
      <c r="RHT84" s="798"/>
      <c r="RHU84" s="798"/>
      <c r="RHV84" s="798"/>
      <c r="RHW84" s="798"/>
      <c r="RHX84" s="798"/>
      <c r="RHY84" s="798"/>
      <c r="RHZ84" s="798"/>
      <c r="RIA84" s="798"/>
      <c r="RIB84" s="798"/>
      <c r="RIC84" s="798"/>
      <c r="RID84" s="798"/>
      <c r="RIE84" s="798"/>
      <c r="RIF84" s="798"/>
      <c r="RIG84" s="798"/>
      <c r="RIH84" s="798"/>
      <c r="RII84" s="798"/>
      <c r="RIJ84" s="798"/>
      <c r="RIK84" s="798"/>
      <c r="RIL84" s="798"/>
      <c r="RIM84" s="798"/>
      <c r="RIN84" s="798"/>
      <c r="RIO84" s="798"/>
      <c r="RIP84" s="798"/>
      <c r="RIQ84" s="798"/>
      <c r="RIR84" s="798"/>
      <c r="RIS84" s="798"/>
      <c r="RIT84" s="798"/>
      <c r="RIU84" s="798"/>
      <c r="RIV84" s="798"/>
      <c r="RIW84" s="798"/>
      <c r="RIX84" s="798"/>
      <c r="RIY84" s="798"/>
      <c r="RIZ84" s="798"/>
      <c r="RJA84" s="798"/>
      <c r="RJB84" s="798"/>
      <c r="RJC84" s="798"/>
      <c r="RJD84" s="798"/>
      <c r="RJE84" s="798"/>
      <c r="RJF84" s="798"/>
      <c r="RJG84" s="798"/>
      <c r="RJH84" s="798"/>
      <c r="RJI84" s="798"/>
      <c r="RJJ84" s="798"/>
      <c r="RJK84" s="798"/>
      <c r="RJL84" s="798"/>
      <c r="RJM84" s="798"/>
      <c r="RJN84" s="798"/>
      <c r="RJO84" s="798"/>
      <c r="RJP84" s="798"/>
      <c r="RJQ84" s="798"/>
      <c r="RJR84" s="798"/>
      <c r="RJS84" s="798"/>
      <c r="RJT84" s="798"/>
      <c r="RJU84" s="798"/>
      <c r="RJV84" s="798"/>
      <c r="RJW84" s="798"/>
      <c r="RJX84" s="798"/>
      <c r="RJY84" s="798"/>
      <c r="RJZ84" s="798"/>
      <c r="RKA84" s="798"/>
      <c r="RKB84" s="798"/>
      <c r="RKC84" s="798"/>
      <c r="RKD84" s="798"/>
      <c r="RKE84" s="798"/>
      <c r="RKF84" s="798"/>
      <c r="RKG84" s="798"/>
      <c r="RKH84" s="798"/>
      <c r="RKI84" s="798"/>
      <c r="RKJ84" s="798"/>
      <c r="RKK84" s="798"/>
      <c r="RKL84" s="798"/>
      <c r="RKM84" s="798"/>
      <c r="RKN84" s="798"/>
      <c r="RKO84" s="798"/>
      <c r="RKP84" s="798"/>
      <c r="RKQ84" s="798"/>
      <c r="RKR84" s="798"/>
      <c r="RKS84" s="798"/>
      <c r="RKT84" s="798"/>
      <c r="RKU84" s="798"/>
      <c r="RKV84" s="798"/>
      <c r="RKW84" s="798"/>
      <c r="RKX84" s="798"/>
      <c r="RKY84" s="798"/>
      <c r="RKZ84" s="798"/>
      <c r="RLA84" s="798"/>
      <c r="RLB84" s="798"/>
      <c r="RLC84" s="798"/>
      <c r="RLD84" s="798"/>
      <c r="RLE84" s="798"/>
      <c r="RLF84" s="798"/>
      <c r="RLG84" s="798"/>
      <c r="RLH84" s="798"/>
      <c r="RLI84" s="798"/>
      <c r="RLJ84" s="798"/>
      <c r="RLK84" s="798"/>
      <c r="RLL84" s="798"/>
      <c r="RLM84" s="798"/>
      <c r="RLN84" s="798"/>
      <c r="RLO84" s="798"/>
      <c r="RLP84" s="798"/>
      <c r="RLQ84" s="798"/>
      <c r="RLR84" s="798"/>
      <c r="RLS84" s="798"/>
      <c r="RLT84" s="798"/>
      <c r="RLU84" s="798"/>
      <c r="RLV84" s="798"/>
      <c r="RLW84" s="798"/>
      <c r="RLX84" s="798"/>
      <c r="RLY84" s="798"/>
      <c r="RLZ84" s="798"/>
      <c r="RMA84" s="798"/>
      <c r="RMB84" s="798"/>
      <c r="RMC84" s="798"/>
      <c r="RMD84" s="798"/>
      <c r="RME84" s="798"/>
      <c r="RMF84" s="798"/>
      <c r="RMG84" s="798"/>
      <c r="RMH84" s="798"/>
      <c r="RMI84" s="798"/>
      <c r="RMJ84" s="798"/>
      <c r="RMK84" s="798"/>
      <c r="RML84" s="798"/>
      <c r="RMM84" s="798"/>
      <c r="RMN84" s="798"/>
      <c r="RMO84" s="798"/>
      <c r="RMP84" s="798"/>
      <c r="RMQ84" s="798"/>
      <c r="RMR84" s="798"/>
      <c r="RMS84" s="798"/>
      <c r="RMT84" s="798"/>
      <c r="RMU84" s="798"/>
      <c r="RMV84" s="798"/>
      <c r="RMW84" s="798"/>
      <c r="RMX84" s="798"/>
      <c r="RMY84" s="798"/>
      <c r="RMZ84" s="798"/>
      <c r="RNA84" s="798"/>
      <c r="RNB84" s="798"/>
      <c r="RNC84" s="798"/>
      <c r="RND84" s="798"/>
      <c r="RNE84" s="798"/>
      <c r="RNF84" s="798"/>
      <c r="RNG84" s="798"/>
      <c r="RNH84" s="798"/>
      <c r="RNI84" s="798"/>
      <c r="RNJ84" s="798"/>
      <c r="RNK84" s="798"/>
      <c r="RNL84" s="798"/>
      <c r="RNM84" s="798"/>
      <c r="RNN84" s="798"/>
      <c r="RNO84" s="798"/>
      <c r="RNP84" s="798"/>
      <c r="RNQ84" s="798"/>
      <c r="RNR84" s="798"/>
      <c r="RNS84" s="798"/>
      <c r="RNT84" s="798"/>
      <c r="RNU84" s="798"/>
      <c r="RNV84" s="798"/>
      <c r="RNW84" s="798"/>
      <c r="RNX84" s="798"/>
      <c r="RNY84" s="798"/>
      <c r="RNZ84" s="798"/>
      <c r="ROA84" s="798"/>
      <c r="ROB84" s="798"/>
      <c r="ROC84" s="798"/>
      <c r="ROD84" s="798"/>
      <c r="ROE84" s="798"/>
      <c r="ROF84" s="798"/>
      <c r="ROG84" s="798"/>
      <c r="ROH84" s="798"/>
      <c r="ROI84" s="798"/>
      <c r="ROJ84" s="798"/>
      <c r="ROK84" s="798"/>
      <c r="ROL84" s="798"/>
      <c r="ROM84" s="798"/>
      <c r="RON84" s="798"/>
      <c r="ROO84" s="798"/>
      <c r="ROP84" s="798"/>
      <c r="ROQ84" s="798"/>
      <c r="ROR84" s="798"/>
      <c r="ROS84" s="798"/>
      <c r="ROT84" s="798"/>
      <c r="ROU84" s="798"/>
      <c r="ROV84" s="798"/>
      <c r="ROW84" s="798"/>
      <c r="ROX84" s="798"/>
      <c r="ROY84" s="798"/>
      <c r="ROZ84" s="798"/>
      <c r="RPA84" s="798"/>
      <c r="RPB84" s="798"/>
      <c r="RPC84" s="798"/>
      <c r="RPD84" s="798"/>
      <c r="RPE84" s="798"/>
      <c r="RPF84" s="798"/>
      <c r="RPG84" s="798"/>
      <c r="RPH84" s="798"/>
      <c r="RPI84" s="798"/>
      <c r="RPJ84" s="798"/>
      <c r="RPK84" s="798"/>
      <c r="RPL84" s="798"/>
      <c r="RPM84" s="798"/>
      <c r="RPN84" s="798"/>
      <c r="RPO84" s="798"/>
      <c r="RPP84" s="798"/>
      <c r="RPQ84" s="798"/>
      <c r="RPR84" s="798"/>
      <c r="RPS84" s="798"/>
      <c r="RPT84" s="798"/>
      <c r="RPU84" s="798"/>
      <c r="RPV84" s="798"/>
      <c r="RPW84" s="798"/>
      <c r="RPX84" s="798"/>
      <c r="RPY84" s="798"/>
      <c r="RPZ84" s="798"/>
      <c r="RQA84" s="798"/>
      <c r="RQB84" s="798"/>
      <c r="RQC84" s="798"/>
      <c r="RQD84" s="798"/>
      <c r="RQE84" s="798"/>
      <c r="RQF84" s="798"/>
      <c r="RQG84" s="798"/>
      <c r="RQH84" s="798"/>
      <c r="RQI84" s="798"/>
      <c r="RQJ84" s="798"/>
      <c r="RQK84" s="798"/>
      <c r="RQL84" s="798"/>
      <c r="RQM84" s="798"/>
      <c r="RQN84" s="798"/>
      <c r="RQO84" s="798"/>
      <c r="RQP84" s="798"/>
      <c r="RQQ84" s="798"/>
      <c r="RQR84" s="798"/>
      <c r="RQS84" s="798"/>
      <c r="RQT84" s="798"/>
      <c r="RQU84" s="798"/>
      <c r="RQV84" s="798"/>
      <c r="RQW84" s="798"/>
      <c r="RQX84" s="798"/>
      <c r="RQY84" s="798"/>
      <c r="RQZ84" s="798"/>
      <c r="RRA84" s="798"/>
      <c r="RRB84" s="798"/>
      <c r="RRC84" s="798"/>
      <c r="RRD84" s="798"/>
      <c r="RRE84" s="798"/>
      <c r="RRF84" s="798"/>
      <c r="RRG84" s="798"/>
      <c r="RRH84" s="798"/>
      <c r="RRI84" s="798"/>
      <c r="RRJ84" s="798"/>
      <c r="RRK84" s="798"/>
      <c r="RRL84" s="798"/>
      <c r="RRM84" s="798"/>
      <c r="RRN84" s="798"/>
      <c r="RRO84" s="798"/>
      <c r="RRP84" s="798"/>
      <c r="RRQ84" s="798"/>
      <c r="RRR84" s="798"/>
      <c r="RRS84" s="798"/>
      <c r="RRT84" s="798"/>
      <c r="RRU84" s="798"/>
      <c r="RRV84" s="798"/>
      <c r="RRW84" s="798"/>
      <c r="RRX84" s="798"/>
      <c r="RRY84" s="798"/>
      <c r="RRZ84" s="798"/>
      <c r="RSA84" s="798"/>
      <c r="RSB84" s="798"/>
      <c r="RSC84" s="798"/>
      <c r="RSD84" s="798"/>
      <c r="RSE84" s="798"/>
      <c r="RSF84" s="798"/>
      <c r="RSG84" s="798"/>
      <c r="RSH84" s="798"/>
      <c r="RSI84" s="798"/>
      <c r="RSJ84" s="798"/>
      <c r="RSK84" s="798"/>
      <c r="RSL84" s="798"/>
      <c r="RSM84" s="798"/>
      <c r="RSN84" s="798"/>
      <c r="RSO84" s="798"/>
      <c r="RSP84" s="798"/>
      <c r="RSQ84" s="798"/>
      <c r="RSR84" s="798"/>
      <c r="RSS84" s="798"/>
      <c r="RST84" s="798"/>
      <c r="RSU84" s="798"/>
      <c r="RSV84" s="798"/>
      <c r="RSW84" s="798"/>
      <c r="RSX84" s="798"/>
      <c r="RSY84" s="798"/>
      <c r="RSZ84" s="798"/>
      <c r="RTA84" s="798"/>
      <c r="RTB84" s="798"/>
      <c r="RTC84" s="798"/>
      <c r="RTD84" s="798"/>
      <c r="RTE84" s="798"/>
      <c r="RTF84" s="798"/>
      <c r="RTG84" s="798"/>
      <c r="RTH84" s="798"/>
      <c r="RTI84" s="798"/>
      <c r="RTJ84" s="798"/>
      <c r="RTK84" s="798"/>
      <c r="RTL84" s="798"/>
      <c r="RTM84" s="798"/>
      <c r="RTN84" s="798"/>
      <c r="RTO84" s="798"/>
      <c r="RTP84" s="798"/>
      <c r="RTQ84" s="798"/>
      <c r="RTR84" s="798"/>
      <c r="RTS84" s="798"/>
      <c r="RTT84" s="798"/>
      <c r="RTU84" s="798"/>
      <c r="RTV84" s="798"/>
      <c r="RTW84" s="798"/>
      <c r="RTX84" s="798"/>
      <c r="RTY84" s="798"/>
      <c r="RTZ84" s="798"/>
      <c r="RUA84" s="798"/>
      <c r="RUB84" s="798"/>
      <c r="RUC84" s="798"/>
      <c r="RUD84" s="798"/>
      <c r="RUE84" s="798"/>
      <c r="RUF84" s="798"/>
      <c r="RUG84" s="798"/>
      <c r="RUH84" s="798"/>
      <c r="RUI84" s="798"/>
      <c r="RUJ84" s="798"/>
      <c r="RUK84" s="798"/>
      <c r="RUL84" s="798"/>
      <c r="RUM84" s="798"/>
      <c r="RUN84" s="798"/>
      <c r="RUO84" s="798"/>
      <c r="RUP84" s="798"/>
      <c r="RUQ84" s="798"/>
      <c r="RUR84" s="798"/>
      <c r="RUS84" s="798"/>
      <c r="RUT84" s="798"/>
      <c r="RUU84" s="798"/>
      <c r="RUV84" s="798"/>
      <c r="RUW84" s="798"/>
      <c r="RUX84" s="798"/>
      <c r="RUY84" s="798"/>
      <c r="RUZ84" s="798"/>
      <c r="RVA84" s="798"/>
      <c r="RVB84" s="798"/>
      <c r="RVC84" s="798"/>
      <c r="RVD84" s="798"/>
      <c r="RVE84" s="798"/>
      <c r="RVF84" s="798"/>
      <c r="RVG84" s="798"/>
      <c r="RVH84" s="798"/>
      <c r="RVI84" s="798"/>
      <c r="RVJ84" s="798"/>
      <c r="RVK84" s="798"/>
      <c r="RVL84" s="798"/>
      <c r="RVM84" s="798"/>
      <c r="RVN84" s="798"/>
      <c r="RVO84" s="798"/>
      <c r="RVP84" s="798"/>
      <c r="RVQ84" s="798"/>
      <c r="RVR84" s="798"/>
      <c r="RVS84" s="798"/>
      <c r="RVT84" s="798"/>
      <c r="RVU84" s="798"/>
      <c r="RVV84" s="798"/>
      <c r="RVW84" s="798"/>
      <c r="RVX84" s="798"/>
      <c r="RVY84" s="798"/>
      <c r="RVZ84" s="798"/>
      <c r="RWA84" s="798"/>
      <c r="RWB84" s="798"/>
      <c r="RWC84" s="798"/>
      <c r="RWD84" s="798"/>
      <c r="RWE84" s="798"/>
      <c r="RWF84" s="798"/>
      <c r="RWG84" s="798"/>
      <c r="RWH84" s="798"/>
      <c r="RWI84" s="798"/>
      <c r="RWJ84" s="798"/>
      <c r="RWK84" s="798"/>
      <c r="RWL84" s="798"/>
      <c r="RWM84" s="798"/>
      <c r="RWN84" s="798"/>
      <c r="RWO84" s="798"/>
      <c r="RWP84" s="798"/>
      <c r="RWQ84" s="798"/>
      <c r="RWR84" s="798"/>
      <c r="RWS84" s="798"/>
      <c r="RWT84" s="798"/>
      <c r="RWU84" s="798"/>
      <c r="RWV84" s="798"/>
      <c r="RWW84" s="798"/>
      <c r="RWX84" s="798"/>
      <c r="RWY84" s="798"/>
      <c r="RWZ84" s="798"/>
      <c r="RXA84" s="798"/>
      <c r="RXB84" s="798"/>
      <c r="RXC84" s="798"/>
      <c r="RXD84" s="798"/>
      <c r="RXE84" s="798"/>
      <c r="RXF84" s="798"/>
      <c r="RXG84" s="798"/>
      <c r="RXH84" s="798"/>
      <c r="RXI84" s="798"/>
      <c r="RXJ84" s="798"/>
      <c r="RXK84" s="798"/>
      <c r="RXL84" s="798"/>
      <c r="RXM84" s="798"/>
      <c r="RXN84" s="798"/>
      <c r="RXO84" s="798"/>
      <c r="RXP84" s="798"/>
      <c r="RXQ84" s="798"/>
      <c r="RXR84" s="798"/>
      <c r="RXS84" s="798"/>
      <c r="RXT84" s="798"/>
      <c r="RXU84" s="798"/>
      <c r="RXV84" s="798"/>
      <c r="RXW84" s="798"/>
      <c r="RXX84" s="798"/>
      <c r="RXY84" s="798"/>
      <c r="RXZ84" s="798"/>
      <c r="RYA84" s="798"/>
      <c r="RYB84" s="798"/>
      <c r="RYC84" s="798"/>
      <c r="RYD84" s="798"/>
      <c r="RYE84" s="798"/>
      <c r="RYF84" s="798"/>
      <c r="RYG84" s="798"/>
      <c r="RYH84" s="798"/>
      <c r="RYI84" s="798"/>
      <c r="RYJ84" s="798"/>
      <c r="RYK84" s="798"/>
      <c r="RYL84" s="798"/>
      <c r="RYM84" s="798"/>
      <c r="RYN84" s="798"/>
      <c r="RYO84" s="798"/>
      <c r="RYP84" s="798"/>
      <c r="RYQ84" s="798"/>
      <c r="RYR84" s="798"/>
      <c r="RYS84" s="798"/>
      <c r="RYT84" s="798"/>
      <c r="RYU84" s="798"/>
      <c r="RYV84" s="798"/>
      <c r="RYW84" s="798"/>
      <c r="RYX84" s="798"/>
      <c r="RYY84" s="798"/>
      <c r="RYZ84" s="798"/>
      <c r="RZA84" s="798"/>
      <c r="RZB84" s="798"/>
      <c r="RZC84" s="798"/>
      <c r="RZD84" s="798"/>
      <c r="RZE84" s="798"/>
      <c r="RZF84" s="798"/>
      <c r="RZG84" s="798"/>
      <c r="RZH84" s="798"/>
      <c r="RZI84" s="798"/>
      <c r="RZJ84" s="798"/>
      <c r="RZK84" s="798"/>
      <c r="RZL84" s="798"/>
      <c r="RZM84" s="798"/>
      <c r="RZN84" s="798"/>
      <c r="RZO84" s="798"/>
      <c r="RZP84" s="798"/>
      <c r="RZQ84" s="798"/>
      <c r="RZR84" s="798"/>
      <c r="RZS84" s="798"/>
      <c r="RZT84" s="798"/>
      <c r="RZU84" s="798"/>
      <c r="RZV84" s="798"/>
      <c r="RZW84" s="798"/>
      <c r="RZX84" s="798"/>
      <c r="RZY84" s="798"/>
      <c r="RZZ84" s="798"/>
      <c r="SAA84" s="798"/>
      <c r="SAB84" s="798"/>
      <c r="SAC84" s="798"/>
      <c r="SAD84" s="798"/>
      <c r="SAE84" s="798"/>
      <c r="SAF84" s="798"/>
      <c r="SAG84" s="798"/>
      <c r="SAH84" s="798"/>
      <c r="SAI84" s="798"/>
      <c r="SAJ84" s="798"/>
      <c r="SAK84" s="798"/>
      <c r="SAL84" s="798"/>
      <c r="SAM84" s="798"/>
      <c r="SAN84" s="798"/>
      <c r="SAO84" s="798"/>
      <c r="SAP84" s="798"/>
      <c r="SAQ84" s="798"/>
      <c r="SAR84" s="798"/>
      <c r="SAS84" s="798"/>
      <c r="SAT84" s="798"/>
      <c r="SAU84" s="798"/>
      <c r="SAV84" s="798"/>
      <c r="SAW84" s="798"/>
      <c r="SAX84" s="798"/>
      <c r="SAY84" s="798"/>
      <c r="SAZ84" s="798"/>
      <c r="SBA84" s="798"/>
      <c r="SBB84" s="798"/>
      <c r="SBC84" s="798"/>
      <c r="SBD84" s="798"/>
      <c r="SBE84" s="798"/>
      <c r="SBF84" s="798"/>
      <c r="SBG84" s="798"/>
      <c r="SBH84" s="798"/>
      <c r="SBI84" s="798"/>
      <c r="SBJ84" s="798"/>
      <c r="SBK84" s="798"/>
      <c r="SBL84" s="798"/>
      <c r="SBM84" s="798"/>
      <c r="SBN84" s="798"/>
      <c r="SBO84" s="798"/>
      <c r="SBP84" s="798"/>
      <c r="SBQ84" s="798"/>
      <c r="SBR84" s="798"/>
      <c r="SBS84" s="798"/>
      <c r="SBT84" s="798"/>
      <c r="SBU84" s="798"/>
      <c r="SBV84" s="798"/>
      <c r="SBW84" s="798"/>
      <c r="SBX84" s="798"/>
      <c r="SBY84" s="798"/>
      <c r="SBZ84" s="798"/>
      <c r="SCA84" s="798"/>
      <c r="SCB84" s="798"/>
      <c r="SCC84" s="798"/>
      <c r="SCD84" s="798"/>
      <c r="SCE84" s="798"/>
      <c r="SCF84" s="798"/>
      <c r="SCG84" s="798"/>
      <c r="SCH84" s="798"/>
      <c r="SCI84" s="798"/>
      <c r="SCJ84" s="798"/>
      <c r="SCK84" s="798"/>
      <c r="SCL84" s="798"/>
      <c r="SCM84" s="798"/>
      <c r="SCN84" s="798"/>
      <c r="SCO84" s="798"/>
      <c r="SCP84" s="798"/>
      <c r="SCQ84" s="798"/>
      <c r="SCR84" s="798"/>
      <c r="SCS84" s="798"/>
      <c r="SCT84" s="798"/>
      <c r="SCU84" s="798"/>
      <c r="SCV84" s="798"/>
      <c r="SCW84" s="798"/>
      <c r="SCX84" s="798"/>
      <c r="SCY84" s="798"/>
      <c r="SCZ84" s="798"/>
      <c r="SDA84" s="798"/>
      <c r="SDB84" s="798"/>
      <c r="SDC84" s="798"/>
      <c r="SDD84" s="798"/>
      <c r="SDE84" s="798"/>
      <c r="SDF84" s="798"/>
      <c r="SDG84" s="798"/>
      <c r="SDH84" s="798"/>
      <c r="SDI84" s="798"/>
      <c r="SDJ84" s="798"/>
      <c r="SDK84" s="798"/>
      <c r="SDL84" s="798"/>
      <c r="SDM84" s="798"/>
      <c r="SDN84" s="798"/>
      <c r="SDO84" s="798"/>
      <c r="SDP84" s="798"/>
      <c r="SDQ84" s="798"/>
      <c r="SDR84" s="798"/>
      <c r="SDS84" s="798"/>
      <c r="SDT84" s="798"/>
      <c r="SDU84" s="798"/>
      <c r="SDV84" s="798"/>
      <c r="SDW84" s="798"/>
      <c r="SDX84" s="798"/>
      <c r="SDY84" s="798"/>
      <c r="SDZ84" s="798"/>
      <c r="SEA84" s="798"/>
      <c r="SEB84" s="798"/>
      <c r="SEC84" s="798"/>
      <c r="SED84" s="798"/>
      <c r="SEE84" s="798"/>
      <c r="SEF84" s="798"/>
      <c r="SEG84" s="798"/>
      <c r="SEH84" s="798"/>
      <c r="SEI84" s="798"/>
      <c r="SEJ84" s="798"/>
      <c r="SEK84" s="798"/>
      <c r="SEL84" s="798"/>
      <c r="SEM84" s="798"/>
      <c r="SEN84" s="798"/>
      <c r="SEO84" s="798"/>
      <c r="SEP84" s="798"/>
      <c r="SEQ84" s="798"/>
      <c r="SER84" s="798"/>
      <c r="SES84" s="798"/>
      <c r="SET84" s="798"/>
      <c r="SEU84" s="798"/>
      <c r="SEV84" s="798"/>
      <c r="SEW84" s="798"/>
      <c r="SEX84" s="798"/>
      <c r="SEY84" s="798"/>
      <c r="SEZ84" s="798"/>
      <c r="SFA84" s="798"/>
      <c r="SFB84" s="798"/>
      <c r="SFC84" s="798"/>
      <c r="SFD84" s="798"/>
      <c r="SFE84" s="798"/>
      <c r="SFF84" s="798"/>
      <c r="SFG84" s="798"/>
      <c r="SFH84" s="798"/>
      <c r="SFI84" s="798"/>
      <c r="SFJ84" s="798"/>
      <c r="SFK84" s="798"/>
      <c r="SFL84" s="798"/>
      <c r="SFM84" s="798"/>
      <c r="SFN84" s="798"/>
      <c r="SFO84" s="798"/>
      <c r="SFP84" s="798"/>
      <c r="SFQ84" s="798"/>
      <c r="SFR84" s="798"/>
      <c r="SFS84" s="798"/>
      <c r="SFT84" s="798"/>
      <c r="SFU84" s="798"/>
      <c r="SFV84" s="798"/>
      <c r="SFW84" s="798"/>
      <c r="SFX84" s="798"/>
      <c r="SFY84" s="798"/>
      <c r="SFZ84" s="798"/>
      <c r="SGA84" s="798"/>
      <c r="SGB84" s="798"/>
      <c r="SGC84" s="798"/>
      <c r="SGD84" s="798"/>
      <c r="SGE84" s="798"/>
      <c r="SGF84" s="798"/>
      <c r="SGG84" s="798"/>
      <c r="SGH84" s="798"/>
      <c r="SGI84" s="798"/>
      <c r="SGJ84" s="798"/>
      <c r="SGK84" s="798"/>
      <c r="SGL84" s="798"/>
      <c r="SGM84" s="798"/>
      <c r="SGN84" s="798"/>
      <c r="SGO84" s="798"/>
      <c r="SGP84" s="798"/>
      <c r="SGQ84" s="798"/>
      <c r="SGR84" s="798"/>
      <c r="SGS84" s="798"/>
      <c r="SGT84" s="798"/>
      <c r="SGU84" s="798"/>
      <c r="SGV84" s="798"/>
      <c r="SGW84" s="798"/>
      <c r="SGX84" s="798"/>
      <c r="SGY84" s="798"/>
      <c r="SGZ84" s="798"/>
      <c r="SHA84" s="798"/>
      <c r="SHB84" s="798"/>
      <c r="SHC84" s="798"/>
      <c r="SHD84" s="798"/>
      <c r="SHE84" s="798"/>
      <c r="SHF84" s="798"/>
      <c r="SHG84" s="798"/>
      <c r="SHH84" s="798"/>
      <c r="SHI84" s="798"/>
      <c r="SHJ84" s="798"/>
      <c r="SHK84" s="798"/>
      <c r="SHL84" s="798"/>
      <c r="SHM84" s="798"/>
      <c r="SHN84" s="798"/>
      <c r="SHO84" s="798"/>
      <c r="SHP84" s="798"/>
      <c r="SHQ84" s="798"/>
      <c r="SHR84" s="798"/>
      <c r="SHS84" s="798"/>
      <c r="SHT84" s="798"/>
      <c r="SHU84" s="798"/>
      <c r="SHV84" s="798"/>
      <c r="SHW84" s="798"/>
      <c r="SHX84" s="798"/>
      <c r="SHY84" s="798"/>
      <c r="SHZ84" s="798"/>
      <c r="SIA84" s="798"/>
      <c r="SIB84" s="798"/>
      <c r="SIC84" s="798"/>
      <c r="SID84" s="798"/>
      <c r="SIE84" s="798"/>
      <c r="SIF84" s="798"/>
      <c r="SIG84" s="798"/>
      <c r="SIH84" s="798"/>
      <c r="SII84" s="798"/>
      <c r="SIJ84" s="798"/>
      <c r="SIK84" s="798"/>
      <c r="SIL84" s="798"/>
      <c r="SIM84" s="798"/>
      <c r="SIN84" s="798"/>
      <c r="SIO84" s="798"/>
      <c r="SIP84" s="798"/>
      <c r="SIQ84" s="798"/>
      <c r="SIR84" s="798"/>
      <c r="SIS84" s="798"/>
      <c r="SIT84" s="798"/>
      <c r="SIU84" s="798"/>
      <c r="SIV84" s="798"/>
      <c r="SIW84" s="798"/>
      <c r="SIX84" s="798"/>
      <c r="SIY84" s="798"/>
      <c r="SIZ84" s="798"/>
      <c r="SJA84" s="798"/>
      <c r="SJB84" s="798"/>
      <c r="SJC84" s="798"/>
      <c r="SJD84" s="798"/>
      <c r="SJE84" s="798"/>
      <c r="SJF84" s="798"/>
      <c r="SJG84" s="798"/>
      <c r="SJH84" s="798"/>
      <c r="SJI84" s="798"/>
      <c r="SJJ84" s="798"/>
      <c r="SJK84" s="798"/>
      <c r="SJL84" s="798"/>
      <c r="SJM84" s="798"/>
      <c r="SJN84" s="798"/>
      <c r="SJO84" s="798"/>
      <c r="SJP84" s="798"/>
      <c r="SJQ84" s="798"/>
      <c r="SJR84" s="798"/>
      <c r="SJS84" s="798"/>
      <c r="SJT84" s="798"/>
      <c r="SJU84" s="798"/>
      <c r="SJV84" s="798"/>
      <c r="SJW84" s="798"/>
      <c r="SJX84" s="798"/>
      <c r="SJY84" s="798"/>
      <c r="SJZ84" s="798"/>
      <c r="SKA84" s="798"/>
      <c r="SKB84" s="798"/>
      <c r="SKC84" s="798"/>
      <c r="SKD84" s="798"/>
      <c r="SKE84" s="798"/>
      <c r="SKF84" s="798"/>
      <c r="SKG84" s="798"/>
      <c r="SKH84" s="798"/>
      <c r="SKI84" s="798"/>
      <c r="SKJ84" s="798"/>
      <c r="SKK84" s="798"/>
      <c r="SKL84" s="798"/>
      <c r="SKM84" s="798"/>
      <c r="SKN84" s="798"/>
      <c r="SKO84" s="798"/>
      <c r="SKP84" s="798"/>
      <c r="SKQ84" s="798"/>
      <c r="SKR84" s="798"/>
      <c r="SKS84" s="798"/>
      <c r="SKT84" s="798"/>
      <c r="SKU84" s="798"/>
      <c r="SKV84" s="798"/>
      <c r="SKW84" s="798"/>
      <c r="SKX84" s="798"/>
      <c r="SKY84" s="798"/>
      <c r="SKZ84" s="798"/>
      <c r="SLA84" s="798"/>
      <c r="SLB84" s="798"/>
      <c r="SLC84" s="798"/>
      <c r="SLD84" s="798"/>
      <c r="SLE84" s="798"/>
      <c r="SLF84" s="798"/>
      <c r="SLG84" s="798"/>
      <c r="SLH84" s="798"/>
      <c r="SLI84" s="798"/>
      <c r="SLJ84" s="798"/>
      <c r="SLK84" s="798"/>
      <c r="SLL84" s="798"/>
      <c r="SLM84" s="798"/>
      <c r="SLN84" s="798"/>
      <c r="SLO84" s="798"/>
      <c r="SLP84" s="798"/>
      <c r="SLQ84" s="798"/>
      <c r="SLR84" s="798"/>
      <c r="SLS84" s="798"/>
      <c r="SLT84" s="798"/>
      <c r="SLU84" s="798"/>
      <c r="SLV84" s="798"/>
      <c r="SLW84" s="798"/>
      <c r="SLX84" s="798"/>
      <c r="SLY84" s="798"/>
      <c r="SLZ84" s="798"/>
      <c r="SMA84" s="798"/>
      <c r="SMB84" s="798"/>
      <c r="SMC84" s="798"/>
      <c r="SMD84" s="798"/>
      <c r="SME84" s="798"/>
      <c r="SMF84" s="798"/>
      <c r="SMG84" s="798"/>
      <c r="SMH84" s="798"/>
      <c r="SMI84" s="798"/>
      <c r="SMJ84" s="798"/>
      <c r="SMK84" s="798"/>
      <c r="SML84" s="798"/>
      <c r="SMM84" s="798"/>
      <c r="SMN84" s="798"/>
      <c r="SMO84" s="798"/>
      <c r="SMP84" s="798"/>
      <c r="SMQ84" s="798"/>
      <c r="SMR84" s="798"/>
      <c r="SMS84" s="798"/>
      <c r="SMT84" s="798"/>
      <c r="SMU84" s="798"/>
      <c r="SMV84" s="798"/>
      <c r="SMW84" s="798"/>
      <c r="SMX84" s="798"/>
      <c r="SMY84" s="798"/>
      <c r="SMZ84" s="798"/>
      <c r="SNA84" s="798"/>
      <c r="SNB84" s="798"/>
      <c r="SNC84" s="798"/>
      <c r="SND84" s="798"/>
      <c r="SNE84" s="798"/>
      <c r="SNF84" s="798"/>
      <c r="SNG84" s="798"/>
      <c r="SNH84" s="798"/>
      <c r="SNI84" s="798"/>
      <c r="SNJ84" s="798"/>
      <c r="SNK84" s="798"/>
      <c r="SNL84" s="798"/>
      <c r="SNM84" s="798"/>
      <c r="SNN84" s="798"/>
      <c r="SNO84" s="798"/>
      <c r="SNP84" s="798"/>
      <c r="SNQ84" s="798"/>
      <c r="SNR84" s="798"/>
      <c r="SNS84" s="798"/>
      <c r="SNT84" s="798"/>
      <c r="SNU84" s="798"/>
      <c r="SNV84" s="798"/>
      <c r="SNW84" s="798"/>
      <c r="SNX84" s="798"/>
      <c r="SNY84" s="798"/>
      <c r="SNZ84" s="798"/>
      <c r="SOA84" s="798"/>
      <c r="SOB84" s="798"/>
      <c r="SOC84" s="798"/>
      <c r="SOD84" s="798"/>
      <c r="SOE84" s="798"/>
      <c r="SOF84" s="798"/>
      <c r="SOG84" s="798"/>
      <c r="SOH84" s="798"/>
      <c r="SOI84" s="798"/>
      <c r="SOJ84" s="798"/>
      <c r="SOK84" s="798"/>
      <c r="SOL84" s="798"/>
      <c r="SOM84" s="798"/>
      <c r="SON84" s="798"/>
      <c r="SOO84" s="798"/>
      <c r="SOP84" s="798"/>
      <c r="SOQ84" s="798"/>
      <c r="SOR84" s="798"/>
      <c r="SOS84" s="798"/>
      <c r="SOT84" s="798"/>
      <c r="SOU84" s="798"/>
      <c r="SOV84" s="798"/>
      <c r="SOW84" s="798"/>
      <c r="SOX84" s="798"/>
      <c r="SOY84" s="798"/>
      <c r="SOZ84" s="798"/>
      <c r="SPA84" s="798"/>
      <c r="SPB84" s="798"/>
      <c r="SPC84" s="798"/>
      <c r="SPD84" s="798"/>
      <c r="SPE84" s="798"/>
      <c r="SPF84" s="798"/>
      <c r="SPG84" s="798"/>
      <c r="SPH84" s="798"/>
      <c r="SPI84" s="798"/>
      <c r="SPJ84" s="798"/>
      <c r="SPK84" s="798"/>
      <c r="SPL84" s="798"/>
      <c r="SPM84" s="798"/>
      <c r="SPN84" s="798"/>
      <c r="SPO84" s="798"/>
      <c r="SPP84" s="798"/>
      <c r="SPQ84" s="798"/>
      <c r="SPR84" s="798"/>
      <c r="SPS84" s="798"/>
      <c r="SPT84" s="798"/>
      <c r="SPU84" s="798"/>
      <c r="SPV84" s="798"/>
      <c r="SPW84" s="798"/>
      <c r="SPX84" s="798"/>
      <c r="SPY84" s="798"/>
      <c r="SPZ84" s="798"/>
      <c r="SQA84" s="798"/>
      <c r="SQB84" s="798"/>
      <c r="SQC84" s="798"/>
      <c r="SQD84" s="798"/>
      <c r="SQE84" s="798"/>
      <c r="SQF84" s="798"/>
      <c r="SQG84" s="798"/>
      <c r="SQH84" s="798"/>
      <c r="SQI84" s="798"/>
      <c r="SQJ84" s="798"/>
      <c r="SQK84" s="798"/>
      <c r="SQL84" s="798"/>
      <c r="SQM84" s="798"/>
      <c r="SQN84" s="798"/>
      <c r="SQO84" s="798"/>
      <c r="SQP84" s="798"/>
      <c r="SQQ84" s="798"/>
      <c r="SQR84" s="798"/>
      <c r="SQS84" s="798"/>
      <c r="SQT84" s="798"/>
      <c r="SQU84" s="798"/>
      <c r="SQV84" s="798"/>
      <c r="SQW84" s="798"/>
      <c r="SQX84" s="798"/>
      <c r="SQY84" s="798"/>
      <c r="SQZ84" s="798"/>
      <c r="SRA84" s="798"/>
      <c r="SRB84" s="798"/>
      <c r="SRC84" s="798"/>
      <c r="SRD84" s="798"/>
      <c r="SRE84" s="798"/>
      <c r="SRF84" s="798"/>
      <c r="SRG84" s="798"/>
      <c r="SRH84" s="798"/>
      <c r="SRI84" s="798"/>
      <c r="SRJ84" s="798"/>
      <c r="SRK84" s="798"/>
      <c r="SRL84" s="798"/>
      <c r="SRM84" s="798"/>
      <c r="SRN84" s="798"/>
      <c r="SRO84" s="798"/>
      <c r="SRP84" s="798"/>
      <c r="SRQ84" s="798"/>
      <c r="SRR84" s="798"/>
      <c r="SRS84" s="798"/>
      <c r="SRT84" s="798"/>
      <c r="SRU84" s="798"/>
      <c r="SRV84" s="798"/>
      <c r="SRW84" s="798"/>
      <c r="SRX84" s="798"/>
      <c r="SRY84" s="798"/>
      <c r="SRZ84" s="798"/>
      <c r="SSA84" s="798"/>
      <c r="SSB84" s="798"/>
      <c r="SSC84" s="798"/>
      <c r="SSD84" s="798"/>
      <c r="SSE84" s="798"/>
      <c r="SSF84" s="798"/>
      <c r="SSG84" s="798"/>
      <c r="SSH84" s="798"/>
      <c r="SSI84" s="798"/>
      <c r="SSJ84" s="798"/>
      <c r="SSK84" s="798"/>
      <c r="SSL84" s="798"/>
      <c r="SSM84" s="798"/>
      <c r="SSN84" s="798"/>
      <c r="SSO84" s="798"/>
      <c r="SSP84" s="798"/>
      <c r="SSQ84" s="798"/>
      <c r="SSR84" s="798"/>
      <c r="SSS84" s="798"/>
      <c r="SST84" s="798"/>
      <c r="SSU84" s="798"/>
      <c r="SSV84" s="798"/>
      <c r="SSW84" s="798"/>
      <c r="SSX84" s="798"/>
      <c r="SSY84" s="798"/>
      <c r="SSZ84" s="798"/>
      <c r="STA84" s="798"/>
      <c r="STB84" s="798"/>
      <c r="STC84" s="798"/>
      <c r="STD84" s="798"/>
      <c r="STE84" s="798"/>
      <c r="STF84" s="798"/>
      <c r="STG84" s="798"/>
      <c r="STH84" s="798"/>
      <c r="STI84" s="798"/>
      <c r="STJ84" s="798"/>
      <c r="STK84" s="798"/>
      <c r="STL84" s="798"/>
      <c r="STM84" s="798"/>
      <c r="STN84" s="798"/>
      <c r="STO84" s="798"/>
      <c r="STP84" s="798"/>
      <c r="STQ84" s="798"/>
      <c r="STR84" s="798"/>
      <c r="STS84" s="798"/>
      <c r="STT84" s="798"/>
      <c r="STU84" s="798"/>
      <c r="STV84" s="798"/>
      <c r="STW84" s="798"/>
      <c r="STX84" s="798"/>
      <c r="STY84" s="798"/>
      <c r="STZ84" s="798"/>
      <c r="SUA84" s="798"/>
      <c r="SUB84" s="798"/>
      <c r="SUC84" s="798"/>
      <c r="SUD84" s="798"/>
      <c r="SUE84" s="798"/>
      <c r="SUF84" s="798"/>
      <c r="SUG84" s="798"/>
      <c r="SUH84" s="798"/>
      <c r="SUI84" s="798"/>
      <c r="SUJ84" s="798"/>
      <c r="SUK84" s="798"/>
      <c r="SUL84" s="798"/>
      <c r="SUM84" s="798"/>
      <c r="SUN84" s="798"/>
      <c r="SUO84" s="798"/>
      <c r="SUP84" s="798"/>
      <c r="SUQ84" s="798"/>
      <c r="SUR84" s="798"/>
      <c r="SUS84" s="798"/>
      <c r="SUT84" s="798"/>
      <c r="SUU84" s="798"/>
      <c r="SUV84" s="798"/>
      <c r="SUW84" s="798"/>
      <c r="SUX84" s="798"/>
      <c r="SUY84" s="798"/>
      <c r="SUZ84" s="798"/>
      <c r="SVA84" s="798"/>
      <c r="SVB84" s="798"/>
      <c r="SVC84" s="798"/>
      <c r="SVD84" s="798"/>
      <c r="SVE84" s="798"/>
      <c r="SVF84" s="798"/>
      <c r="SVG84" s="798"/>
      <c r="SVH84" s="798"/>
      <c r="SVI84" s="798"/>
      <c r="SVJ84" s="798"/>
      <c r="SVK84" s="798"/>
      <c r="SVL84" s="798"/>
      <c r="SVM84" s="798"/>
      <c r="SVN84" s="798"/>
      <c r="SVO84" s="798"/>
      <c r="SVP84" s="798"/>
      <c r="SVQ84" s="798"/>
      <c r="SVR84" s="798"/>
      <c r="SVS84" s="798"/>
      <c r="SVT84" s="798"/>
      <c r="SVU84" s="798"/>
      <c r="SVV84" s="798"/>
      <c r="SVW84" s="798"/>
      <c r="SVX84" s="798"/>
      <c r="SVY84" s="798"/>
      <c r="SVZ84" s="798"/>
      <c r="SWA84" s="798"/>
      <c r="SWB84" s="798"/>
      <c r="SWC84" s="798"/>
      <c r="SWD84" s="798"/>
      <c r="SWE84" s="798"/>
      <c r="SWF84" s="798"/>
      <c r="SWG84" s="798"/>
      <c r="SWH84" s="798"/>
      <c r="SWI84" s="798"/>
      <c r="SWJ84" s="798"/>
      <c r="SWK84" s="798"/>
      <c r="SWL84" s="798"/>
      <c r="SWM84" s="798"/>
      <c r="SWN84" s="798"/>
      <c r="SWO84" s="798"/>
      <c r="SWP84" s="798"/>
      <c r="SWQ84" s="798"/>
      <c r="SWR84" s="798"/>
      <c r="SWS84" s="798"/>
      <c r="SWT84" s="798"/>
      <c r="SWU84" s="798"/>
      <c r="SWV84" s="798"/>
      <c r="SWW84" s="798"/>
      <c r="SWX84" s="798"/>
      <c r="SWY84" s="798"/>
      <c r="SWZ84" s="798"/>
      <c r="SXA84" s="798"/>
      <c r="SXB84" s="798"/>
      <c r="SXC84" s="798"/>
      <c r="SXD84" s="798"/>
      <c r="SXE84" s="798"/>
      <c r="SXF84" s="798"/>
      <c r="SXG84" s="798"/>
      <c r="SXH84" s="798"/>
      <c r="SXI84" s="798"/>
      <c r="SXJ84" s="798"/>
      <c r="SXK84" s="798"/>
      <c r="SXL84" s="798"/>
      <c r="SXM84" s="798"/>
      <c r="SXN84" s="798"/>
      <c r="SXO84" s="798"/>
      <c r="SXP84" s="798"/>
      <c r="SXQ84" s="798"/>
      <c r="SXR84" s="798"/>
      <c r="SXS84" s="798"/>
      <c r="SXT84" s="798"/>
      <c r="SXU84" s="798"/>
      <c r="SXV84" s="798"/>
      <c r="SXW84" s="798"/>
      <c r="SXX84" s="798"/>
      <c r="SXY84" s="798"/>
      <c r="SXZ84" s="798"/>
      <c r="SYA84" s="798"/>
      <c r="SYB84" s="798"/>
      <c r="SYC84" s="798"/>
      <c r="SYD84" s="798"/>
      <c r="SYE84" s="798"/>
      <c r="SYF84" s="798"/>
      <c r="SYG84" s="798"/>
      <c r="SYH84" s="798"/>
      <c r="SYI84" s="798"/>
      <c r="SYJ84" s="798"/>
      <c r="SYK84" s="798"/>
      <c r="SYL84" s="798"/>
      <c r="SYM84" s="798"/>
      <c r="SYN84" s="798"/>
      <c r="SYO84" s="798"/>
      <c r="SYP84" s="798"/>
      <c r="SYQ84" s="798"/>
      <c r="SYR84" s="798"/>
      <c r="SYS84" s="798"/>
      <c r="SYT84" s="798"/>
      <c r="SYU84" s="798"/>
      <c r="SYV84" s="798"/>
      <c r="SYW84" s="798"/>
      <c r="SYX84" s="798"/>
      <c r="SYY84" s="798"/>
      <c r="SYZ84" s="798"/>
      <c r="SZA84" s="798"/>
      <c r="SZB84" s="798"/>
      <c r="SZC84" s="798"/>
      <c r="SZD84" s="798"/>
      <c r="SZE84" s="798"/>
      <c r="SZF84" s="798"/>
      <c r="SZG84" s="798"/>
      <c r="SZH84" s="798"/>
      <c r="SZI84" s="798"/>
      <c r="SZJ84" s="798"/>
      <c r="SZK84" s="798"/>
      <c r="SZL84" s="798"/>
      <c r="SZM84" s="798"/>
      <c r="SZN84" s="798"/>
      <c r="SZO84" s="798"/>
      <c r="SZP84" s="798"/>
      <c r="SZQ84" s="798"/>
      <c r="SZR84" s="798"/>
      <c r="SZS84" s="798"/>
      <c r="SZT84" s="798"/>
      <c r="SZU84" s="798"/>
      <c r="SZV84" s="798"/>
      <c r="SZW84" s="798"/>
      <c r="SZX84" s="798"/>
      <c r="SZY84" s="798"/>
      <c r="SZZ84" s="798"/>
      <c r="TAA84" s="798"/>
      <c r="TAB84" s="798"/>
      <c r="TAC84" s="798"/>
      <c r="TAD84" s="798"/>
      <c r="TAE84" s="798"/>
      <c r="TAF84" s="798"/>
      <c r="TAG84" s="798"/>
      <c r="TAH84" s="798"/>
      <c r="TAI84" s="798"/>
      <c r="TAJ84" s="798"/>
      <c r="TAK84" s="798"/>
      <c r="TAL84" s="798"/>
      <c r="TAM84" s="798"/>
      <c r="TAN84" s="798"/>
      <c r="TAO84" s="798"/>
      <c r="TAP84" s="798"/>
      <c r="TAQ84" s="798"/>
      <c r="TAR84" s="798"/>
      <c r="TAS84" s="798"/>
      <c r="TAT84" s="798"/>
      <c r="TAU84" s="798"/>
      <c r="TAV84" s="798"/>
      <c r="TAW84" s="798"/>
      <c r="TAX84" s="798"/>
      <c r="TAY84" s="798"/>
      <c r="TAZ84" s="798"/>
      <c r="TBA84" s="798"/>
      <c r="TBB84" s="798"/>
      <c r="TBC84" s="798"/>
      <c r="TBD84" s="798"/>
      <c r="TBE84" s="798"/>
      <c r="TBF84" s="798"/>
      <c r="TBG84" s="798"/>
      <c r="TBH84" s="798"/>
      <c r="TBI84" s="798"/>
      <c r="TBJ84" s="798"/>
      <c r="TBK84" s="798"/>
      <c r="TBL84" s="798"/>
      <c r="TBM84" s="798"/>
      <c r="TBN84" s="798"/>
      <c r="TBO84" s="798"/>
      <c r="TBP84" s="798"/>
      <c r="TBQ84" s="798"/>
      <c r="TBR84" s="798"/>
      <c r="TBS84" s="798"/>
      <c r="TBT84" s="798"/>
      <c r="TBU84" s="798"/>
      <c r="TBV84" s="798"/>
      <c r="TBW84" s="798"/>
      <c r="TBX84" s="798"/>
      <c r="TBY84" s="798"/>
      <c r="TBZ84" s="798"/>
      <c r="TCA84" s="798"/>
      <c r="TCB84" s="798"/>
      <c r="TCC84" s="798"/>
      <c r="TCD84" s="798"/>
      <c r="TCE84" s="798"/>
      <c r="TCF84" s="798"/>
      <c r="TCG84" s="798"/>
      <c r="TCH84" s="798"/>
      <c r="TCI84" s="798"/>
      <c r="TCJ84" s="798"/>
      <c r="TCK84" s="798"/>
      <c r="TCL84" s="798"/>
      <c r="TCM84" s="798"/>
      <c r="TCN84" s="798"/>
      <c r="TCO84" s="798"/>
      <c r="TCP84" s="798"/>
      <c r="TCQ84" s="798"/>
      <c r="TCR84" s="798"/>
      <c r="TCS84" s="798"/>
      <c r="TCT84" s="798"/>
      <c r="TCU84" s="798"/>
      <c r="TCV84" s="798"/>
      <c r="TCW84" s="798"/>
      <c r="TCX84" s="798"/>
      <c r="TCY84" s="798"/>
      <c r="TCZ84" s="798"/>
      <c r="TDA84" s="798"/>
      <c r="TDB84" s="798"/>
      <c r="TDC84" s="798"/>
      <c r="TDD84" s="798"/>
      <c r="TDE84" s="798"/>
      <c r="TDF84" s="798"/>
      <c r="TDG84" s="798"/>
      <c r="TDH84" s="798"/>
      <c r="TDI84" s="798"/>
      <c r="TDJ84" s="798"/>
      <c r="TDK84" s="798"/>
      <c r="TDL84" s="798"/>
      <c r="TDM84" s="798"/>
      <c r="TDN84" s="798"/>
      <c r="TDO84" s="798"/>
      <c r="TDP84" s="798"/>
      <c r="TDQ84" s="798"/>
      <c r="TDR84" s="798"/>
      <c r="TDS84" s="798"/>
      <c r="TDT84" s="798"/>
      <c r="TDU84" s="798"/>
      <c r="TDV84" s="798"/>
      <c r="TDW84" s="798"/>
      <c r="TDX84" s="798"/>
      <c r="TDY84" s="798"/>
      <c r="TDZ84" s="798"/>
      <c r="TEA84" s="798"/>
      <c r="TEB84" s="798"/>
      <c r="TEC84" s="798"/>
      <c r="TED84" s="798"/>
      <c r="TEE84" s="798"/>
      <c r="TEF84" s="798"/>
      <c r="TEG84" s="798"/>
      <c r="TEH84" s="798"/>
      <c r="TEI84" s="798"/>
      <c r="TEJ84" s="798"/>
      <c r="TEK84" s="798"/>
      <c r="TEL84" s="798"/>
      <c r="TEM84" s="798"/>
      <c r="TEN84" s="798"/>
      <c r="TEO84" s="798"/>
      <c r="TEP84" s="798"/>
      <c r="TEQ84" s="798"/>
      <c r="TER84" s="798"/>
      <c r="TES84" s="798"/>
      <c r="TET84" s="798"/>
      <c r="TEU84" s="798"/>
      <c r="TEV84" s="798"/>
      <c r="TEW84" s="798"/>
      <c r="TEX84" s="798"/>
      <c r="TEY84" s="798"/>
      <c r="TEZ84" s="798"/>
      <c r="TFA84" s="798"/>
      <c r="TFB84" s="798"/>
      <c r="TFC84" s="798"/>
      <c r="TFD84" s="798"/>
      <c r="TFE84" s="798"/>
      <c r="TFF84" s="798"/>
      <c r="TFG84" s="798"/>
      <c r="TFH84" s="798"/>
      <c r="TFI84" s="798"/>
      <c r="TFJ84" s="798"/>
      <c r="TFK84" s="798"/>
      <c r="TFL84" s="798"/>
      <c r="TFM84" s="798"/>
      <c r="TFN84" s="798"/>
      <c r="TFO84" s="798"/>
      <c r="TFP84" s="798"/>
      <c r="TFQ84" s="798"/>
      <c r="TFR84" s="798"/>
      <c r="TFS84" s="798"/>
      <c r="TFT84" s="798"/>
      <c r="TFU84" s="798"/>
      <c r="TFV84" s="798"/>
      <c r="TFW84" s="798"/>
      <c r="TFX84" s="798"/>
      <c r="TFY84" s="798"/>
      <c r="TFZ84" s="798"/>
      <c r="TGA84" s="798"/>
      <c r="TGB84" s="798"/>
      <c r="TGC84" s="798"/>
      <c r="TGD84" s="798"/>
      <c r="TGE84" s="798"/>
      <c r="TGF84" s="798"/>
      <c r="TGG84" s="798"/>
      <c r="TGH84" s="798"/>
      <c r="TGI84" s="798"/>
      <c r="TGJ84" s="798"/>
      <c r="TGK84" s="798"/>
      <c r="TGL84" s="798"/>
      <c r="TGM84" s="798"/>
      <c r="TGN84" s="798"/>
      <c r="TGO84" s="798"/>
      <c r="TGP84" s="798"/>
      <c r="TGQ84" s="798"/>
      <c r="TGR84" s="798"/>
      <c r="TGS84" s="798"/>
      <c r="TGT84" s="798"/>
      <c r="TGU84" s="798"/>
      <c r="TGV84" s="798"/>
      <c r="TGW84" s="798"/>
      <c r="TGX84" s="798"/>
      <c r="TGY84" s="798"/>
      <c r="TGZ84" s="798"/>
      <c r="THA84" s="798"/>
      <c r="THB84" s="798"/>
      <c r="THC84" s="798"/>
      <c r="THD84" s="798"/>
      <c r="THE84" s="798"/>
      <c r="THF84" s="798"/>
      <c r="THG84" s="798"/>
      <c r="THH84" s="798"/>
      <c r="THI84" s="798"/>
      <c r="THJ84" s="798"/>
      <c r="THK84" s="798"/>
      <c r="THL84" s="798"/>
      <c r="THM84" s="798"/>
      <c r="THN84" s="798"/>
      <c r="THO84" s="798"/>
      <c r="THP84" s="798"/>
      <c r="THQ84" s="798"/>
      <c r="THR84" s="798"/>
      <c r="THS84" s="798"/>
      <c r="THT84" s="798"/>
      <c r="THU84" s="798"/>
      <c r="THV84" s="798"/>
      <c r="THW84" s="798"/>
      <c r="THX84" s="798"/>
      <c r="THY84" s="798"/>
      <c r="THZ84" s="798"/>
      <c r="TIA84" s="798"/>
      <c r="TIB84" s="798"/>
      <c r="TIC84" s="798"/>
      <c r="TID84" s="798"/>
      <c r="TIE84" s="798"/>
      <c r="TIF84" s="798"/>
      <c r="TIG84" s="798"/>
      <c r="TIH84" s="798"/>
      <c r="TII84" s="798"/>
      <c r="TIJ84" s="798"/>
      <c r="TIK84" s="798"/>
      <c r="TIL84" s="798"/>
      <c r="TIM84" s="798"/>
      <c r="TIN84" s="798"/>
      <c r="TIO84" s="798"/>
      <c r="TIP84" s="798"/>
      <c r="TIQ84" s="798"/>
      <c r="TIR84" s="798"/>
      <c r="TIS84" s="798"/>
      <c r="TIT84" s="798"/>
      <c r="TIU84" s="798"/>
      <c r="TIV84" s="798"/>
      <c r="TIW84" s="798"/>
      <c r="TIX84" s="798"/>
      <c r="TIY84" s="798"/>
      <c r="TIZ84" s="798"/>
      <c r="TJA84" s="798"/>
      <c r="TJB84" s="798"/>
      <c r="TJC84" s="798"/>
      <c r="TJD84" s="798"/>
      <c r="TJE84" s="798"/>
      <c r="TJF84" s="798"/>
      <c r="TJG84" s="798"/>
      <c r="TJH84" s="798"/>
      <c r="TJI84" s="798"/>
      <c r="TJJ84" s="798"/>
      <c r="TJK84" s="798"/>
      <c r="TJL84" s="798"/>
      <c r="TJM84" s="798"/>
      <c r="TJN84" s="798"/>
      <c r="TJO84" s="798"/>
      <c r="TJP84" s="798"/>
      <c r="TJQ84" s="798"/>
      <c r="TJR84" s="798"/>
      <c r="TJS84" s="798"/>
      <c r="TJT84" s="798"/>
      <c r="TJU84" s="798"/>
      <c r="TJV84" s="798"/>
      <c r="TJW84" s="798"/>
      <c r="TJX84" s="798"/>
      <c r="TJY84" s="798"/>
      <c r="TJZ84" s="798"/>
      <c r="TKA84" s="798"/>
      <c r="TKB84" s="798"/>
      <c r="TKC84" s="798"/>
      <c r="TKD84" s="798"/>
      <c r="TKE84" s="798"/>
      <c r="TKF84" s="798"/>
      <c r="TKG84" s="798"/>
      <c r="TKH84" s="798"/>
      <c r="TKI84" s="798"/>
      <c r="TKJ84" s="798"/>
      <c r="TKK84" s="798"/>
      <c r="TKL84" s="798"/>
      <c r="TKM84" s="798"/>
      <c r="TKN84" s="798"/>
      <c r="TKO84" s="798"/>
      <c r="TKP84" s="798"/>
      <c r="TKQ84" s="798"/>
      <c r="TKR84" s="798"/>
      <c r="TKS84" s="798"/>
      <c r="TKT84" s="798"/>
      <c r="TKU84" s="798"/>
      <c r="TKV84" s="798"/>
      <c r="TKW84" s="798"/>
      <c r="TKX84" s="798"/>
      <c r="TKY84" s="798"/>
      <c r="TKZ84" s="798"/>
      <c r="TLA84" s="798"/>
      <c r="TLB84" s="798"/>
      <c r="TLC84" s="798"/>
      <c r="TLD84" s="798"/>
      <c r="TLE84" s="798"/>
      <c r="TLF84" s="798"/>
      <c r="TLG84" s="798"/>
      <c r="TLH84" s="798"/>
      <c r="TLI84" s="798"/>
      <c r="TLJ84" s="798"/>
      <c r="TLK84" s="798"/>
      <c r="TLL84" s="798"/>
      <c r="TLM84" s="798"/>
      <c r="TLN84" s="798"/>
      <c r="TLO84" s="798"/>
      <c r="TLP84" s="798"/>
      <c r="TLQ84" s="798"/>
      <c r="TLR84" s="798"/>
      <c r="TLS84" s="798"/>
      <c r="TLT84" s="798"/>
      <c r="TLU84" s="798"/>
      <c r="TLV84" s="798"/>
      <c r="TLW84" s="798"/>
      <c r="TLX84" s="798"/>
      <c r="TLY84" s="798"/>
      <c r="TLZ84" s="798"/>
      <c r="TMA84" s="798"/>
      <c r="TMB84" s="798"/>
      <c r="TMC84" s="798"/>
      <c r="TMD84" s="798"/>
      <c r="TME84" s="798"/>
      <c r="TMF84" s="798"/>
      <c r="TMG84" s="798"/>
      <c r="TMH84" s="798"/>
      <c r="TMI84" s="798"/>
      <c r="TMJ84" s="798"/>
      <c r="TMK84" s="798"/>
      <c r="TML84" s="798"/>
      <c r="TMM84" s="798"/>
      <c r="TMN84" s="798"/>
      <c r="TMO84" s="798"/>
      <c r="TMP84" s="798"/>
      <c r="TMQ84" s="798"/>
      <c r="TMR84" s="798"/>
      <c r="TMS84" s="798"/>
      <c r="TMT84" s="798"/>
      <c r="TMU84" s="798"/>
      <c r="TMV84" s="798"/>
      <c r="TMW84" s="798"/>
      <c r="TMX84" s="798"/>
      <c r="TMY84" s="798"/>
      <c r="TMZ84" s="798"/>
      <c r="TNA84" s="798"/>
      <c r="TNB84" s="798"/>
      <c r="TNC84" s="798"/>
      <c r="TND84" s="798"/>
      <c r="TNE84" s="798"/>
      <c r="TNF84" s="798"/>
      <c r="TNG84" s="798"/>
      <c r="TNH84" s="798"/>
      <c r="TNI84" s="798"/>
      <c r="TNJ84" s="798"/>
      <c r="TNK84" s="798"/>
      <c r="TNL84" s="798"/>
      <c r="TNM84" s="798"/>
      <c r="TNN84" s="798"/>
      <c r="TNO84" s="798"/>
      <c r="TNP84" s="798"/>
      <c r="TNQ84" s="798"/>
      <c r="TNR84" s="798"/>
      <c r="TNS84" s="798"/>
      <c r="TNT84" s="798"/>
      <c r="TNU84" s="798"/>
      <c r="TNV84" s="798"/>
      <c r="TNW84" s="798"/>
      <c r="TNX84" s="798"/>
      <c r="TNY84" s="798"/>
      <c r="TNZ84" s="798"/>
      <c r="TOA84" s="798"/>
      <c r="TOB84" s="798"/>
      <c r="TOC84" s="798"/>
      <c r="TOD84" s="798"/>
      <c r="TOE84" s="798"/>
      <c r="TOF84" s="798"/>
      <c r="TOG84" s="798"/>
      <c r="TOH84" s="798"/>
      <c r="TOI84" s="798"/>
      <c r="TOJ84" s="798"/>
      <c r="TOK84" s="798"/>
      <c r="TOL84" s="798"/>
      <c r="TOM84" s="798"/>
      <c r="TON84" s="798"/>
      <c r="TOO84" s="798"/>
      <c r="TOP84" s="798"/>
      <c r="TOQ84" s="798"/>
      <c r="TOR84" s="798"/>
      <c r="TOS84" s="798"/>
      <c r="TOT84" s="798"/>
      <c r="TOU84" s="798"/>
      <c r="TOV84" s="798"/>
      <c r="TOW84" s="798"/>
      <c r="TOX84" s="798"/>
      <c r="TOY84" s="798"/>
      <c r="TOZ84" s="798"/>
      <c r="TPA84" s="798"/>
      <c r="TPB84" s="798"/>
      <c r="TPC84" s="798"/>
      <c r="TPD84" s="798"/>
      <c r="TPE84" s="798"/>
      <c r="TPF84" s="798"/>
      <c r="TPG84" s="798"/>
      <c r="TPH84" s="798"/>
      <c r="TPI84" s="798"/>
      <c r="TPJ84" s="798"/>
      <c r="TPK84" s="798"/>
      <c r="TPL84" s="798"/>
      <c r="TPM84" s="798"/>
      <c r="TPN84" s="798"/>
      <c r="TPO84" s="798"/>
      <c r="TPP84" s="798"/>
      <c r="TPQ84" s="798"/>
      <c r="TPR84" s="798"/>
      <c r="TPS84" s="798"/>
      <c r="TPT84" s="798"/>
      <c r="TPU84" s="798"/>
      <c r="TPV84" s="798"/>
      <c r="TPW84" s="798"/>
      <c r="TPX84" s="798"/>
      <c r="TPY84" s="798"/>
      <c r="TPZ84" s="798"/>
      <c r="TQA84" s="798"/>
      <c r="TQB84" s="798"/>
      <c r="TQC84" s="798"/>
      <c r="TQD84" s="798"/>
      <c r="TQE84" s="798"/>
      <c r="TQF84" s="798"/>
      <c r="TQG84" s="798"/>
      <c r="TQH84" s="798"/>
      <c r="TQI84" s="798"/>
      <c r="TQJ84" s="798"/>
      <c r="TQK84" s="798"/>
      <c r="TQL84" s="798"/>
      <c r="TQM84" s="798"/>
      <c r="TQN84" s="798"/>
      <c r="TQO84" s="798"/>
      <c r="TQP84" s="798"/>
      <c r="TQQ84" s="798"/>
      <c r="TQR84" s="798"/>
      <c r="TQS84" s="798"/>
      <c r="TQT84" s="798"/>
      <c r="TQU84" s="798"/>
      <c r="TQV84" s="798"/>
      <c r="TQW84" s="798"/>
      <c r="TQX84" s="798"/>
      <c r="TQY84" s="798"/>
      <c r="TQZ84" s="798"/>
      <c r="TRA84" s="798"/>
      <c r="TRB84" s="798"/>
      <c r="TRC84" s="798"/>
      <c r="TRD84" s="798"/>
      <c r="TRE84" s="798"/>
      <c r="TRF84" s="798"/>
      <c r="TRG84" s="798"/>
      <c r="TRH84" s="798"/>
      <c r="TRI84" s="798"/>
      <c r="TRJ84" s="798"/>
      <c r="TRK84" s="798"/>
      <c r="TRL84" s="798"/>
      <c r="TRM84" s="798"/>
      <c r="TRN84" s="798"/>
      <c r="TRO84" s="798"/>
      <c r="TRP84" s="798"/>
      <c r="TRQ84" s="798"/>
      <c r="TRR84" s="798"/>
      <c r="TRS84" s="798"/>
      <c r="TRT84" s="798"/>
      <c r="TRU84" s="798"/>
      <c r="TRV84" s="798"/>
      <c r="TRW84" s="798"/>
      <c r="TRX84" s="798"/>
      <c r="TRY84" s="798"/>
      <c r="TRZ84" s="798"/>
      <c r="TSA84" s="798"/>
      <c r="TSB84" s="798"/>
      <c r="TSC84" s="798"/>
      <c r="TSD84" s="798"/>
      <c r="TSE84" s="798"/>
      <c r="TSF84" s="798"/>
      <c r="TSG84" s="798"/>
      <c r="TSH84" s="798"/>
      <c r="TSI84" s="798"/>
      <c r="TSJ84" s="798"/>
      <c r="TSK84" s="798"/>
      <c r="TSL84" s="798"/>
      <c r="TSM84" s="798"/>
      <c r="TSN84" s="798"/>
      <c r="TSO84" s="798"/>
      <c r="TSP84" s="798"/>
      <c r="TSQ84" s="798"/>
      <c r="TSR84" s="798"/>
      <c r="TSS84" s="798"/>
      <c r="TST84" s="798"/>
      <c r="TSU84" s="798"/>
      <c r="TSV84" s="798"/>
      <c r="TSW84" s="798"/>
      <c r="TSX84" s="798"/>
      <c r="TSY84" s="798"/>
      <c r="TSZ84" s="798"/>
      <c r="TTA84" s="798"/>
      <c r="TTB84" s="798"/>
      <c r="TTC84" s="798"/>
      <c r="TTD84" s="798"/>
      <c r="TTE84" s="798"/>
      <c r="TTF84" s="798"/>
      <c r="TTG84" s="798"/>
      <c r="TTH84" s="798"/>
      <c r="TTI84" s="798"/>
      <c r="TTJ84" s="798"/>
      <c r="TTK84" s="798"/>
      <c r="TTL84" s="798"/>
      <c r="TTM84" s="798"/>
      <c r="TTN84" s="798"/>
      <c r="TTO84" s="798"/>
      <c r="TTP84" s="798"/>
      <c r="TTQ84" s="798"/>
      <c r="TTR84" s="798"/>
      <c r="TTS84" s="798"/>
      <c r="TTT84" s="798"/>
      <c r="TTU84" s="798"/>
      <c r="TTV84" s="798"/>
      <c r="TTW84" s="798"/>
      <c r="TTX84" s="798"/>
      <c r="TTY84" s="798"/>
      <c r="TTZ84" s="798"/>
      <c r="TUA84" s="798"/>
      <c r="TUB84" s="798"/>
      <c r="TUC84" s="798"/>
      <c r="TUD84" s="798"/>
      <c r="TUE84" s="798"/>
      <c r="TUF84" s="798"/>
      <c r="TUG84" s="798"/>
      <c r="TUH84" s="798"/>
      <c r="TUI84" s="798"/>
      <c r="TUJ84" s="798"/>
      <c r="TUK84" s="798"/>
      <c r="TUL84" s="798"/>
      <c r="TUM84" s="798"/>
      <c r="TUN84" s="798"/>
      <c r="TUO84" s="798"/>
      <c r="TUP84" s="798"/>
      <c r="TUQ84" s="798"/>
      <c r="TUR84" s="798"/>
      <c r="TUS84" s="798"/>
      <c r="TUT84" s="798"/>
      <c r="TUU84" s="798"/>
      <c r="TUV84" s="798"/>
      <c r="TUW84" s="798"/>
      <c r="TUX84" s="798"/>
      <c r="TUY84" s="798"/>
      <c r="TUZ84" s="798"/>
      <c r="TVA84" s="798"/>
      <c r="TVB84" s="798"/>
      <c r="TVC84" s="798"/>
      <c r="TVD84" s="798"/>
      <c r="TVE84" s="798"/>
      <c r="TVF84" s="798"/>
      <c r="TVG84" s="798"/>
      <c r="TVH84" s="798"/>
      <c r="TVI84" s="798"/>
      <c r="TVJ84" s="798"/>
      <c r="TVK84" s="798"/>
      <c r="TVL84" s="798"/>
      <c r="TVM84" s="798"/>
      <c r="TVN84" s="798"/>
      <c r="TVO84" s="798"/>
      <c r="TVP84" s="798"/>
      <c r="TVQ84" s="798"/>
      <c r="TVR84" s="798"/>
      <c r="TVS84" s="798"/>
      <c r="TVT84" s="798"/>
      <c r="TVU84" s="798"/>
      <c r="TVV84" s="798"/>
      <c r="TVW84" s="798"/>
      <c r="TVX84" s="798"/>
      <c r="TVY84" s="798"/>
      <c r="TVZ84" s="798"/>
      <c r="TWA84" s="798"/>
      <c r="TWB84" s="798"/>
      <c r="TWC84" s="798"/>
      <c r="TWD84" s="798"/>
      <c r="TWE84" s="798"/>
      <c r="TWF84" s="798"/>
      <c r="TWG84" s="798"/>
      <c r="TWH84" s="798"/>
      <c r="TWI84" s="798"/>
      <c r="TWJ84" s="798"/>
      <c r="TWK84" s="798"/>
      <c r="TWL84" s="798"/>
      <c r="TWM84" s="798"/>
      <c r="TWN84" s="798"/>
      <c r="TWO84" s="798"/>
      <c r="TWP84" s="798"/>
      <c r="TWQ84" s="798"/>
      <c r="TWR84" s="798"/>
      <c r="TWS84" s="798"/>
      <c r="TWT84" s="798"/>
      <c r="TWU84" s="798"/>
      <c r="TWV84" s="798"/>
      <c r="TWW84" s="798"/>
      <c r="TWX84" s="798"/>
      <c r="TWY84" s="798"/>
      <c r="TWZ84" s="798"/>
      <c r="TXA84" s="798"/>
      <c r="TXB84" s="798"/>
      <c r="TXC84" s="798"/>
      <c r="TXD84" s="798"/>
      <c r="TXE84" s="798"/>
      <c r="TXF84" s="798"/>
      <c r="TXG84" s="798"/>
      <c r="TXH84" s="798"/>
      <c r="TXI84" s="798"/>
      <c r="TXJ84" s="798"/>
      <c r="TXK84" s="798"/>
      <c r="TXL84" s="798"/>
      <c r="TXM84" s="798"/>
      <c r="TXN84" s="798"/>
      <c r="TXO84" s="798"/>
      <c r="TXP84" s="798"/>
      <c r="TXQ84" s="798"/>
      <c r="TXR84" s="798"/>
      <c r="TXS84" s="798"/>
      <c r="TXT84" s="798"/>
      <c r="TXU84" s="798"/>
      <c r="TXV84" s="798"/>
      <c r="TXW84" s="798"/>
      <c r="TXX84" s="798"/>
      <c r="TXY84" s="798"/>
      <c r="TXZ84" s="798"/>
      <c r="TYA84" s="798"/>
      <c r="TYB84" s="798"/>
      <c r="TYC84" s="798"/>
      <c r="TYD84" s="798"/>
      <c r="TYE84" s="798"/>
      <c r="TYF84" s="798"/>
      <c r="TYG84" s="798"/>
      <c r="TYH84" s="798"/>
      <c r="TYI84" s="798"/>
      <c r="TYJ84" s="798"/>
      <c r="TYK84" s="798"/>
      <c r="TYL84" s="798"/>
      <c r="TYM84" s="798"/>
      <c r="TYN84" s="798"/>
      <c r="TYO84" s="798"/>
      <c r="TYP84" s="798"/>
      <c r="TYQ84" s="798"/>
      <c r="TYR84" s="798"/>
      <c r="TYS84" s="798"/>
      <c r="TYT84" s="798"/>
      <c r="TYU84" s="798"/>
      <c r="TYV84" s="798"/>
      <c r="TYW84" s="798"/>
      <c r="TYX84" s="798"/>
      <c r="TYY84" s="798"/>
      <c r="TYZ84" s="798"/>
      <c r="TZA84" s="798"/>
      <c r="TZB84" s="798"/>
      <c r="TZC84" s="798"/>
      <c r="TZD84" s="798"/>
      <c r="TZE84" s="798"/>
      <c r="TZF84" s="798"/>
      <c r="TZG84" s="798"/>
      <c r="TZH84" s="798"/>
      <c r="TZI84" s="798"/>
      <c r="TZJ84" s="798"/>
      <c r="TZK84" s="798"/>
      <c r="TZL84" s="798"/>
      <c r="TZM84" s="798"/>
      <c r="TZN84" s="798"/>
      <c r="TZO84" s="798"/>
      <c r="TZP84" s="798"/>
      <c r="TZQ84" s="798"/>
      <c r="TZR84" s="798"/>
      <c r="TZS84" s="798"/>
      <c r="TZT84" s="798"/>
      <c r="TZU84" s="798"/>
      <c r="TZV84" s="798"/>
      <c r="TZW84" s="798"/>
      <c r="TZX84" s="798"/>
      <c r="TZY84" s="798"/>
      <c r="TZZ84" s="798"/>
      <c r="UAA84" s="798"/>
      <c r="UAB84" s="798"/>
      <c r="UAC84" s="798"/>
      <c r="UAD84" s="798"/>
      <c r="UAE84" s="798"/>
      <c r="UAF84" s="798"/>
      <c r="UAG84" s="798"/>
      <c r="UAH84" s="798"/>
      <c r="UAI84" s="798"/>
      <c r="UAJ84" s="798"/>
      <c r="UAK84" s="798"/>
      <c r="UAL84" s="798"/>
      <c r="UAM84" s="798"/>
      <c r="UAN84" s="798"/>
      <c r="UAO84" s="798"/>
      <c r="UAP84" s="798"/>
      <c r="UAQ84" s="798"/>
      <c r="UAR84" s="798"/>
      <c r="UAS84" s="798"/>
      <c r="UAT84" s="798"/>
      <c r="UAU84" s="798"/>
      <c r="UAV84" s="798"/>
      <c r="UAW84" s="798"/>
      <c r="UAX84" s="798"/>
      <c r="UAY84" s="798"/>
      <c r="UAZ84" s="798"/>
      <c r="UBA84" s="798"/>
      <c r="UBB84" s="798"/>
      <c r="UBC84" s="798"/>
      <c r="UBD84" s="798"/>
      <c r="UBE84" s="798"/>
      <c r="UBF84" s="798"/>
      <c r="UBG84" s="798"/>
      <c r="UBH84" s="798"/>
      <c r="UBI84" s="798"/>
      <c r="UBJ84" s="798"/>
      <c r="UBK84" s="798"/>
      <c r="UBL84" s="798"/>
      <c r="UBM84" s="798"/>
      <c r="UBN84" s="798"/>
      <c r="UBO84" s="798"/>
      <c r="UBP84" s="798"/>
      <c r="UBQ84" s="798"/>
      <c r="UBR84" s="798"/>
      <c r="UBS84" s="798"/>
      <c r="UBT84" s="798"/>
      <c r="UBU84" s="798"/>
      <c r="UBV84" s="798"/>
      <c r="UBW84" s="798"/>
      <c r="UBX84" s="798"/>
      <c r="UBY84" s="798"/>
      <c r="UBZ84" s="798"/>
      <c r="UCA84" s="798"/>
      <c r="UCB84" s="798"/>
      <c r="UCC84" s="798"/>
      <c r="UCD84" s="798"/>
      <c r="UCE84" s="798"/>
      <c r="UCF84" s="798"/>
      <c r="UCG84" s="798"/>
      <c r="UCH84" s="798"/>
      <c r="UCI84" s="798"/>
      <c r="UCJ84" s="798"/>
      <c r="UCK84" s="798"/>
      <c r="UCL84" s="798"/>
      <c r="UCM84" s="798"/>
      <c r="UCN84" s="798"/>
      <c r="UCO84" s="798"/>
      <c r="UCP84" s="798"/>
      <c r="UCQ84" s="798"/>
      <c r="UCR84" s="798"/>
      <c r="UCS84" s="798"/>
      <c r="UCT84" s="798"/>
      <c r="UCU84" s="798"/>
      <c r="UCV84" s="798"/>
      <c r="UCW84" s="798"/>
      <c r="UCX84" s="798"/>
      <c r="UCY84" s="798"/>
      <c r="UCZ84" s="798"/>
      <c r="UDA84" s="798"/>
      <c r="UDB84" s="798"/>
      <c r="UDC84" s="798"/>
      <c r="UDD84" s="798"/>
      <c r="UDE84" s="798"/>
      <c r="UDF84" s="798"/>
      <c r="UDG84" s="798"/>
      <c r="UDH84" s="798"/>
      <c r="UDI84" s="798"/>
      <c r="UDJ84" s="798"/>
      <c r="UDK84" s="798"/>
      <c r="UDL84" s="798"/>
      <c r="UDM84" s="798"/>
      <c r="UDN84" s="798"/>
      <c r="UDO84" s="798"/>
      <c r="UDP84" s="798"/>
      <c r="UDQ84" s="798"/>
      <c r="UDR84" s="798"/>
      <c r="UDS84" s="798"/>
      <c r="UDT84" s="798"/>
      <c r="UDU84" s="798"/>
      <c r="UDV84" s="798"/>
      <c r="UDW84" s="798"/>
      <c r="UDX84" s="798"/>
      <c r="UDY84" s="798"/>
      <c r="UDZ84" s="798"/>
      <c r="UEA84" s="798"/>
      <c r="UEB84" s="798"/>
      <c r="UEC84" s="798"/>
      <c r="UED84" s="798"/>
      <c r="UEE84" s="798"/>
      <c r="UEF84" s="798"/>
      <c r="UEG84" s="798"/>
      <c r="UEH84" s="798"/>
      <c r="UEI84" s="798"/>
      <c r="UEJ84" s="798"/>
      <c r="UEK84" s="798"/>
      <c r="UEL84" s="798"/>
      <c r="UEM84" s="798"/>
      <c r="UEN84" s="798"/>
      <c r="UEO84" s="798"/>
      <c r="UEP84" s="798"/>
      <c r="UEQ84" s="798"/>
      <c r="UER84" s="798"/>
      <c r="UES84" s="798"/>
      <c r="UET84" s="798"/>
      <c r="UEU84" s="798"/>
      <c r="UEV84" s="798"/>
      <c r="UEW84" s="798"/>
      <c r="UEX84" s="798"/>
      <c r="UEY84" s="798"/>
      <c r="UEZ84" s="798"/>
      <c r="UFA84" s="798"/>
      <c r="UFB84" s="798"/>
      <c r="UFC84" s="798"/>
      <c r="UFD84" s="798"/>
      <c r="UFE84" s="798"/>
      <c r="UFF84" s="798"/>
      <c r="UFG84" s="798"/>
      <c r="UFH84" s="798"/>
      <c r="UFI84" s="798"/>
      <c r="UFJ84" s="798"/>
      <c r="UFK84" s="798"/>
      <c r="UFL84" s="798"/>
      <c r="UFM84" s="798"/>
      <c r="UFN84" s="798"/>
      <c r="UFO84" s="798"/>
      <c r="UFP84" s="798"/>
      <c r="UFQ84" s="798"/>
      <c r="UFR84" s="798"/>
      <c r="UFS84" s="798"/>
      <c r="UFT84" s="798"/>
      <c r="UFU84" s="798"/>
      <c r="UFV84" s="798"/>
      <c r="UFW84" s="798"/>
      <c r="UFX84" s="798"/>
      <c r="UFY84" s="798"/>
      <c r="UFZ84" s="798"/>
      <c r="UGA84" s="798"/>
      <c r="UGB84" s="798"/>
      <c r="UGC84" s="798"/>
      <c r="UGD84" s="798"/>
      <c r="UGE84" s="798"/>
      <c r="UGF84" s="798"/>
      <c r="UGG84" s="798"/>
      <c r="UGH84" s="798"/>
      <c r="UGI84" s="798"/>
      <c r="UGJ84" s="798"/>
      <c r="UGK84" s="798"/>
      <c r="UGL84" s="798"/>
      <c r="UGM84" s="798"/>
      <c r="UGN84" s="798"/>
      <c r="UGO84" s="798"/>
      <c r="UGP84" s="798"/>
      <c r="UGQ84" s="798"/>
      <c r="UGR84" s="798"/>
      <c r="UGS84" s="798"/>
      <c r="UGT84" s="798"/>
      <c r="UGU84" s="798"/>
      <c r="UGV84" s="798"/>
      <c r="UGW84" s="798"/>
      <c r="UGX84" s="798"/>
      <c r="UGY84" s="798"/>
      <c r="UGZ84" s="798"/>
      <c r="UHA84" s="798"/>
      <c r="UHB84" s="798"/>
      <c r="UHC84" s="798"/>
      <c r="UHD84" s="798"/>
      <c r="UHE84" s="798"/>
      <c r="UHF84" s="798"/>
      <c r="UHG84" s="798"/>
      <c r="UHH84" s="798"/>
      <c r="UHI84" s="798"/>
      <c r="UHJ84" s="798"/>
      <c r="UHK84" s="798"/>
      <c r="UHL84" s="798"/>
      <c r="UHM84" s="798"/>
      <c r="UHN84" s="798"/>
      <c r="UHO84" s="798"/>
      <c r="UHP84" s="798"/>
      <c r="UHQ84" s="798"/>
      <c r="UHR84" s="798"/>
      <c r="UHS84" s="798"/>
      <c r="UHT84" s="798"/>
      <c r="UHU84" s="798"/>
      <c r="UHV84" s="798"/>
      <c r="UHW84" s="798"/>
      <c r="UHX84" s="798"/>
      <c r="UHY84" s="798"/>
      <c r="UHZ84" s="798"/>
      <c r="UIA84" s="798"/>
      <c r="UIB84" s="798"/>
      <c r="UIC84" s="798"/>
      <c r="UID84" s="798"/>
      <c r="UIE84" s="798"/>
      <c r="UIF84" s="798"/>
      <c r="UIG84" s="798"/>
      <c r="UIH84" s="798"/>
      <c r="UII84" s="798"/>
      <c r="UIJ84" s="798"/>
      <c r="UIK84" s="798"/>
      <c r="UIL84" s="798"/>
      <c r="UIM84" s="798"/>
      <c r="UIN84" s="798"/>
      <c r="UIO84" s="798"/>
      <c r="UIP84" s="798"/>
      <c r="UIQ84" s="798"/>
      <c r="UIR84" s="798"/>
      <c r="UIS84" s="798"/>
      <c r="UIT84" s="798"/>
      <c r="UIU84" s="798"/>
      <c r="UIV84" s="798"/>
      <c r="UIW84" s="798"/>
      <c r="UIX84" s="798"/>
      <c r="UIY84" s="798"/>
      <c r="UIZ84" s="798"/>
      <c r="UJA84" s="798"/>
      <c r="UJB84" s="798"/>
      <c r="UJC84" s="798"/>
      <c r="UJD84" s="798"/>
      <c r="UJE84" s="798"/>
      <c r="UJF84" s="798"/>
      <c r="UJG84" s="798"/>
      <c r="UJH84" s="798"/>
      <c r="UJI84" s="798"/>
      <c r="UJJ84" s="798"/>
      <c r="UJK84" s="798"/>
      <c r="UJL84" s="798"/>
      <c r="UJM84" s="798"/>
      <c r="UJN84" s="798"/>
      <c r="UJO84" s="798"/>
      <c r="UJP84" s="798"/>
      <c r="UJQ84" s="798"/>
      <c r="UJR84" s="798"/>
      <c r="UJS84" s="798"/>
      <c r="UJT84" s="798"/>
      <c r="UJU84" s="798"/>
      <c r="UJV84" s="798"/>
      <c r="UJW84" s="798"/>
      <c r="UJX84" s="798"/>
      <c r="UJY84" s="798"/>
      <c r="UJZ84" s="798"/>
      <c r="UKA84" s="798"/>
      <c r="UKB84" s="798"/>
      <c r="UKC84" s="798"/>
      <c r="UKD84" s="798"/>
      <c r="UKE84" s="798"/>
      <c r="UKF84" s="798"/>
      <c r="UKG84" s="798"/>
      <c r="UKH84" s="798"/>
      <c r="UKI84" s="798"/>
      <c r="UKJ84" s="798"/>
      <c r="UKK84" s="798"/>
      <c r="UKL84" s="798"/>
      <c r="UKM84" s="798"/>
      <c r="UKN84" s="798"/>
      <c r="UKO84" s="798"/>
      <c r="UKP84" s="798"/>
      <c r="UKQ84" s="798"/>
      <c r="UKR84" s="798"/>
      <c r="UKS84" s="798"/>
      <c r="UKT84" s="798"/>
      <c r="UKU84" s="798"/>
      <c r="UKV84" s="798"/>
      <c r="UKW84" s="798"/>
      <c r="UKX84" s="798"/>
      <c r="UKY84" s="798"/>
      <c r="UKZ84" s="798"/>
      <c r="ULA84" s="798"/>
      <c r="ULB84" s="798"/>
      <c r="ULC84" s="798"/>
      <c r="ULD84" s="798"/>
      <c r="ULE84" s="798"/>
      <c r="ULF84" s="798"/>
      <c r="ULG84" s="798"/>
      <c r="ULH84" s="798"/>
      <c r="ULI84" s="798"/>
      <c r="ULJ84" s="798"/>
      <c r="ULK84" s="798"/>
      <c r="ULL84" s="798"/>
      <c r="ULM84" s="798"/>
      <c r="ULN84" s="798"/>
      <c r="ULO84" s="798"/>
      <c r="ULP84" s="798"/>
      <c r="ULQ84" s="798"/>
      <c r="ULR84" s="798"/>
      <c r="ULS84" s="798"/>
      <c r="ULT84" s="798"/>
      <c r="ULU84" s="798"/>
      <c r="ULV84" s="798"/>
      <c r="ULW84" s="798"/>
      <c r="ULX84" s="798"/>
      <c r="ULY84" s="798"/>
      <c r="ULZ84" s="798"/>
      <c r="UMA84" s="798"/>
      <c r="UMB84" s="798"/>
      <c r="UMC84" s="798"/>
      <c r="UMD84" s="798"/>
      <c r="UME84" s="798"/>
      <c r="UMF84" s="798"/>
      <c r="UMG84" s="798"/>
      <c r="UMH84" s="798"/>
      <c r="UMI84" s="798"/>
      <c r="UMJ84" s="798"/>
      <c r="UMK84" s="798"/>
      <c r="UML84" s="798"/>
      <c r="UMM84" s="798"/>
      <c r="UMN84" s="798"/>
      <c r="UMO84" s="798"/>
      <c r="UMP84" s="798"/>
      <c r="UMQ84" s="798"/>
      <c r="UMR84" s="798"/>
      <c r="UMS84" s="798"/>
      <c r="UMT84" s="798"/>
      <c r="UMU84" s="798"/>
      <c r="UMV84" s="798"/>
      <c r="UMW84" s="798"/>
      <c r="UMX84" s="798"/>
      <c r="UMY84" s="798"/>
      <c r="UMZ84" s="798"/>
      <c r="UNA84" s="798"/>
      <c r="UNB84" s="798"/>
      <c r="UNC84" s="798"/>
      <c r="UND84" s="798"/>
      <c r="UNE84" s="798"/>
      <c r="UNF84" s="798"/>
      <c r="UNG84" s="798"/>
      <c r="UNH84" s="798"/>
      <c r="UNI84" s="798"/>
      <c r="UNJ84" s="798"/>
      <c r="UNK84" s="798"/>
      <c r="UNL84" s="798"/>
      <c r="UNM84" s="798"/>
      <c r="UNN84" s="798"/>
      <c r="UNO84" s="798"/>
      <c r="UNP84" s="798"/>
      <c r="UNQ84" s="798"/>
      <c r="UNR84" s="798"/>
      <c r="UNS84" s="798"/>
      <c r="UNT84" s="798"/>
      <c r="UNU84" s="798"/>
      <c r="UNV84" s="798"/>
      <c r="UNW84" s="798"/>
      <c r="UNX84" s="798"/>
      <c r="UNY84" s="798"/>
      <c r="UNZ84" s="798"/>
      <c r="UOA84" s="798"/>
      <c r="UOB84" s="798"/>
      <c r="UOC84" s="798"/>
      <c r="UOD84" s="798"/>
      <c r="UOE84" s="798"/>
      <c r="UOF84" s="798"/>
      <c r="UOG84" s="798"/>
      <c r="UOH84" s="798"/>
      <c r="UOI84" s="798"/>
      <c r="UOJ84" s="798"/>
      <c r="UOK84" s="798"/>
      <c r="UOL84" s="798"/>
      <c r="UOM84" s="798"/>
      <c r="UON84" s="798"/>
      <c r="UOO84" s="798"/>
      <c r="UOP84" s="798"/>
      <c r="UOQ84" s="798"/>
      <c r="UOR84" s="798"/>
      <c r="UOS84" s="798"/>
      <c r="UOT84" s="798"/>
      <c r="UOU84" s="798"/>
      <c r="UOV84" s="798"/>
      <c r="UOW84" s="798"/>
      <c r="UOX84" s="798"/>
      <c r="UOY84" s="798"/>
      <c r="UOZ84" s="798"/>
      <c r="UPA84" s="798"/>
      <c r="UPB84" s="798"/>
      <c r="UPC84" s="798"/>
      <c r="UPD84" s="798"/>
      <c r="UPE84" s="798"/>
      <c r="UPF84" s="798"/>
      <c r="UPG84" s="798"/>
      <c r="UPH84" s="798"/>
      <c r="UPI84" s="798"/>
      <c r="UPJ84" s="798"/>
      <c r="UPK84" s="798"/>
      <c r="UPL84" s="798"/>
      <c r="UPM84" s="798"/>
      <c r="UPN84" s="798"/>
      <c r="UPO84" s="798"/>
      <c r="UPP84" s="798"/>
      <c r="UPQ84" s="798"/>
      <c r="UPR84" s="798"/>
      <c r="UPS84" s="798"/>
      <c r="UPT84" s="798"/>
      <c r="UPU84" s="798"/>
      <c r="UPV84" s="798"/>
      <c r="UPW84" s="798"/>
      <c r="UPX84" s="798"/>
      <c r="UPY84" s="798"/>
      <c r="UPZ84" s="798"/>
      <c r="UQA84" s="798"/>
      <c r="UQB84" s="798"/>
      <c r="UQC84" s="798"/>
      <c r="UQD84" s="798"/>
      <c r="UQE84" s="798"/>
      <c r="UQF84" s="798"/>
      <c r="UQG84" s="798"/>
      <c r="UQH84" s="798"/>
      <c r="UQI84" s="798"/>
      <c r="UQJ84" s="798"/>
      <c r="UQK84" s="798"/>
      <c r="UQL84" s="798"/>
      <c r="UQM84" s="798"/>
      <c r="UQN84" s="798"/>
      <c r="UQO84" s="798"/>
      <c r="UQP84" s="798"/>
      <c r="UQQ84" s="798"/>
      <c r="UQR84" s="798"/>
      <c r="UQS84" s="798"/>
      <c r="UQT84" s="798"/>
      <c r="UQU84" s="798"/>
      <c r="UQV84" s="798"/>
      <c r="UQW84" s="798"/>
      <c r="UQX84" s="798"/>
      <c r="UQY84" s="798"/>
      <c r="UQZ84" s="798"/>
      <c r="URA84" s="798"/>
      <c r="URB84" s="798"/>
      <c r="URC84" s="798"/>
      <c r="URD84" s="798"/>
      <c r="URE84" s="798"/>
      <c r="URF84" s="798"/>
      <c r="URG84" s="798"/>
      <c r="URH84" s="798"/>
      <c r="URI84" s="798"/>
      <c r="URJ84" s="798"/>
      <c r="URK84" s="798"/>
      <c r="URL84" s="798"/>
      <c r="URM84" s="798"/>
      <c r="URN84" s="798"/>
      <c r="URO84" s="798"/>
      <c r="URP84" s="798"/>
      <c r="URQ84" s="798"/>
      <c r="URR84" s="798"/>
      <c r="URS84" s="798"/>
      <c r="URT84" s="798"/>
      <c r="URU84" s="798"/>
      <c r="URV84" s="798"/>
      <c r="URW84" s="798"/>
      <c r="URX84" s="798"/>
      <c r="URY84" s="798"/>
      <c r="URZ84" s="798"/>
      <c r="USA84" s="798"/>
      <c r="USB84" s="798"/>
      <c r="USC84" s="798"/>
      <c r="USD84" s="798"/>
      <c r="USE84" s="798"/>
      <c r="USF84" s="798"/>
      <c r="USG84" s="798"/>
      <c r="USH84" s="798"/>
      <c r="USI84" s="798"/>
      <c r="USJ84" s="798"/>
      <c r="USK84" s="798"/>
      <c r="USL84" s="798"/>
      <c r="USM84" s="798"/>
      <c r="USN84" s="798"/>
      <c r="USO84" s="798"/>
      <c r="USP84" s="798"/>
      <c r="USQ84" s="798"/>
      <c r="USR84" s="798"/>
      <c r="USS84" s="798"/>
      <c r="UST84" s="798"/>
      <c r="USU84" s="798"/>
      <c r="USV84" s="798"/>
      <c r="USW84" s="798"/>
      <c r="USX84" s="798"/>
      <c r="USY84" s="798"/>
      <c r="USZ84" s="798"/>
      <c r="UTA84" s="798"/>
      <c r="UTB84" s="798"/>
      <c r="UTC84" s="798"/>
      <c r="UTD84" s="798"/>
      <c r="UTE84" s="798"/>
      <c r="UTF84" s="798"/>
      <c r="UTG84" s="798"/>
      <c r="UTH84" s="798"/>
      <c r="UTI84" s="798"/>
      <c r="UTJ84" s="798"/>
      <c r="UTK84" s="798"/>
      <c r="UTL84" s="798"/>
      <c r="UTM84" s="798"/>
      <c r="UTN84" s="798"/>
      <c r="UTO84" s="798"/>
      <c r="UTP84" s="798"/>
      <c r="UTQ84" s="798"/>
      <c r="UTR84" s="798"/>
      <c r="UTS84" s="798"/>
      <c r="UTT84" s="798"/>
      <c r="UTU84" s="798"/>
      <c r="UTV84" s="798"/>
      <c r="UTW84" s="798"/>
      <c r="UTX84" s="798"/>
      <c r="UTY84" s="798"/>
      <c r="UTZ84" s="798"/>
      <c r="UUA84" s="798"/>
      <c r="UUB84" s="798"/>
      <c r="UUC84" s="798"/>
      <c r="UUD84" s="798"/>
      <c r="UUE84" s="798"/>
      <c r="UUF84" s="798"/>
      <c r="UUG84" s="798"/>
      <c r="UUH84" s="798"/>
      <c r="UUI84" s="798"/>
      <c r="UUJ84" s="798"/>
      <c r="UUK84" s="798"/>
      <c r="UUL84" s="798"/>
      <c r="UUM84" s="798"/>
      <c r="UUN84" s="798"/>
      <c r="UUO84" s="798"/>
      <c r="UUP84" s="798"/>
      <c r="UUQ84" s="798"/>
      <c r="UUR84" s="798"/>
      <c r="UUS84" s="798"/>
      <c r="UUT84" s="798"/>
      <c r="UUU84" s="798"/>
      <c r="UUV84" s="798"/>
      <c r="UUW84" s="798"/>
      <c r="UUX84" s="798"/>
      <c r="UUY84" s="798"/>
      <c r="UUZ84" s="798"/>
      <c r="UVA84" s="798"/>
      <c r="UVB84" s="798"/>
      <c r="UVC84" s="798"/>
      <c r="UVD84" s="798"/>
      <c r="UVE84" s="798"/>
      <c r="UVF84" s="798"/>
      <c r="UVG84" s="798"/>
      <c r="UVH84" s="798"/>
      <c r="UVI84" s="798"/>
      <c r="UVJ84" s="798"/>
      <c r="UVK84" s="798"/>
      <c r="UVL84" s="798"/>
      <c r="UVM84" s="798"/>
      <c r="UVN84" s="798"/>
      <c r="UVO84" s="798"/>
      <c r="UVP84" s="798"/>
      <c r="UVQ84" s="798"/>
      <c r="UVR84" s="798"/>
      <c r="UVS84" s="798"/>
      <c r="UVT84" s="798"/>
      <c r="UVU84" s="798"/>
      <c r="UVV84" s="798"/>
      <c r="UVW84" s="798"/>
      <c r="UVX84" s="798"/>
      <c r="UVY84" s="798"/>
      <c r="UVZ84" s="798"/>
      <c r="UWA84" s="798"/>
      <c r="UWB84" s="798"/>
      <c r="UWC84" s="798"/>
      <c r="UWD84" s="798"/>
      <c r="UWE84" s="798"/>
      <c r="UWF84" s="798"/>
      <c r="UWG84" s="798"/>
      <c r="UWH84" s="798"/>
      <c r="UWI84" s="798"/>
      <c r="UWJ84" s="798"/>
      <c r="UWK84" s="798"/>
      <c r="UWL84" s="798"/>
      <c r="UWM84" s="798"/>
      <c r="UWN84" s="798"/>
      <c r="UWO84" s="798"/>
      <c r="UWP84" s="798"/>
      <c r="UWQ84" s="798"/>
      <c r="UWR84" s="798"/>
      <c r="UWS84" s="798"/>
      <c r="UWT84" s="798"/>
      <c r="UWU84" s="798"/>
      <c r="UWV84" s="798"/>
      <c r="UWW84" s="798"/>
      <c r="UWX84" s="798"/>
      <c r="UWY84" s="798"/>
      <c r="UWZ84" s="798"/>
      <c r="UXA84" s="798"/>
      <c r="UXB84" s="798"/>
      <c r="UXC84" s="798"/>
      <c r="UXD84" s="798"/>
      <c r="UXE84" s="798"/>
      <c r="UXF84" s="798"/>
      <c r="UXG84" s="798"/>
      <c r="UXH84" s="798"/>
      <c r="UXI84" s="798"/>
      <c r="UXJ84" s="798"/>
      <c r="UXK84" s="798"/>
      <c r="UXL84" s="798"/>
      <c r="UXM84" s="798"/>
      <c r="UXN84" s="798"/>
      <c r="UXO84" s="798"/>
      <c r="UXP84" s="798"/>
      <c r="UXQ84" s="798"/>
      <c r="UXR84" s="798"/>
      <c r="UXS84" s="798"/>
      <c r="UXT84" s="798"/>
      <c r="UXU84" s="798"/>
      <c r="UXV84" s="798"/>
      <c r="UXW84" s="798"/>
      <c r="UXX84" s="798"/>
      <c r="UXY84" s="798"/>
      <c r="UXZ84" s="798"/>
      <c r="UYA84" s="798"/>
      <c r="UYB84" s="798"/>
      <c r="UYC84" s="798"/>
      <c r="UYD84" s="798"/>
      <c r="UYE84" s="798"/>
      <c r="UYF84" s="798"/>
      <c r="UYG84" s="798"/>
      <c r="UYH84" s="798"/>
      <c r="UYI84" s="798"/>
      <c r="UYJ84" s="798"/>
      <c r="UYK84" s="798"/>
      <c r="UYL84" s="798"/>
      <c r="UYM84" s="798"/>
      <c r="UYN84" s="798"/>
      <c r="UYO84" s="798"/>
      <c r="UYP84" s="798"/>
      <c r="UYQ84" s="798"/>
      <c r="UYR84" s="798"/>
      <c r="UYS84" s="798"/>
      <c r="UYT84" s="798"/>
      <c r="UYU84" s="798"/>
      <c r="UYV84" s="798"/>
      <c r="UYW84" s="798"/>
      <c r="UYX84" s="798"/>
      <c r="UYY84" s="798"/>
      <c r="UYZ84" s="798"/>
      <c r="UZA84" s="798"/>
      <c r="UZB84" s="798"/>
      <c r="UZC84" s="798"/>
      <c r="UZD84" s="798"/>
      <c r="UZE84" s="798"/>
      <c r="UZF84" s="798"/>
      <c r="UZG84" s="798"/>
      <c r="UZH84" s="798"/>
      <c r="UZI84" s="798"/>
      <c r="UZJ84" s="798"/>
      <c r="UZK84" s="798"/>
      <c r="UZL84" s="798"/>
      <c r="UZM84" s="798"/>
      <c r="UZN84" s="798"/>
      <c r="UZO84" s="798"/>
      <c r="UZP84" s="798"/>
      <c r="UZQ84" s="798"/>
      <c r="UZR84" s="798"/>
      <c r="UZS84" s="798"/>
      <c r="UZT84" s="798"/>
      <c r="UZU84" s="798"/>
      <c r="UZV84" s="798"/>
      <c r="UZW84" s="798"/>
      <c r="UZX84" s="798"/>
      <c r="UZY84" s="798"/>
      <c r="UZZ84" s="798"/>
      <c r="VAA84" s="798"/>
      <c r="VAB84" s="798"/>
      <c r="VAC84" s="798"/>
      <c r="VAD84" s="798"/>
      <c r="VAE84" s="798"/>
      <c r="VAF84" s="798"/>
      <c r="VAG84" s="798"/>
      <c r="VAH84" s="798"/>
      <c r="VAI84" s="798"/>
      <c r="VAJ84" s="798"/>
      <c r="VAK84" s="798"/>
      <c r="VAL84" s="798"/>
      <c r="VAM84" s="798"/>
      <c r="VAN84" s="798"/>
      <c r="VAO84" s="798"/>
      <c r="VAP84" s="798"/>
      <c r="VAQ84" s="798"/>
      <c r="VAR84" s="798"/>
      <c r="VAS84" s="798"/>
      <c r="VAT84" s="798"/>
      <c r="VAU84" s="798"/>
      <c r="VAV84" s="798"/>
      <c r="VAW84" s="798"/>
      <c r="VAX84" s="798"/>
      <c r="VAY84" s="798"/>
      <c r="VAZ84" s="798"/>
      <c r="VBA84" s="798"/>
      <c r="VBB84" s="798"/>
      <c r="VBC84" s="798"/>
      <c r="VBD84" s="798"/>
      <c r="VBE84" s="798"/>
      <c r="VBF84" s="798"/>
      <c r="VBG84" s="798"/>
      <c r="VBH84" s="798"/>
      <c r="VBI84" s="798"/>
      <c r="VBJ84" s="798"/>
      <c r="VBK84" s="798"/>
      <c r="VBL84" s="798"/>
      <c r="VBM84" s="798"/>
      <c r="VBN84" s="798"/>
      <c r="VBO84" s="798"/>
      <c r="VBP84" s="798"/>
      <c r="VBQ84" s="798"/>
      <c r="VBR84" s="798"/>
      <c r="VBS84" s="798"/>
      <c r="VBT84" s="798"/>
      <c r="VBU84" s="798"/>
      <c r="VBV84" s="798"/>
      <c r="VBW84" s="798"/>
      <c r="VBX84" s="798"/>
      <c r="VBY84" s="798"/>
      <c r="VBZ84" s="798"/>
      <c r="VCA84" s="798"/>
      <c r="VCB84" s="798"/>
      <c r="VCC84" s="798"/>
      <c r="VCD84" s="798"/>
      <c r="VCE84" s="798"/>
      <c r="VCF84" s="798"/>
      <c r="VCG84" s="798"/>
      <c r="VCH84" s="798"/>
      <c r="VCI84" s="798"/>
      <c r="VCJ84" s="798"/>
      <c r="VCK84" s="798"/>
      <c r="VCL84" s="798"/>
      <c r="VCM84" s="798"/>
      <c r="VCN84" s="798"/>
      <c r="VCO84" s="798"/>
      <c r="VCP84" s="798"/>
      <c r="VCQ84" s="798"/>
      <c r="VCR84" s="798"/>
      <c r="VCS84" s="798"/>
      <c r="VCT84" s="798"/>
      <c r="VCU84" s="798"/>
      <c r="VCV84" s="798"/>
      <c r="VCW84" s="798"/>
      <c r="VCX84" s="798"/>
      <c r="VCY84" s="798"/>
      <c r="VCZ84" s="798"/>
      <c r="VDA84" s="798"/>
      <c r="VDB84" s="798"/>
      <c r="VDC84" s="798"/>
      <c r="VDD84" s="798"/>
      <c r="VDE84" s="798"/>
      <c r="VDF84" s="798"/>
      <c r="VDG84" s="798"/>
      <c r="VDH84" s="798"/>
      <c r="VDI84" s="798"/>
      <c r="VDJ84" s="798"/>
      <c r="VDK84" s="798"/>
      <c r="VDL84" s="798"/>
      <c r="VDM84" s="798"/>
      <c r="VDN84" s="798"/>
      <c r="VDO84" s="798"/>
      <c r="VDP84" s="798"/>
      <c r="VDQ84" s="798"/>
      <c r="VDR84" s="798"/>
      <c r="VDS84" s="798"/>
      <c r="VDT84" s="798"/>
      <c r="VDU84" s="798"/>
      <c r="VDV84" s="798"/>
      <c r="VDW84" s="798"/>
      <c r="VDX84" s="798"/>
      <c r="VDY84" s="798"/>
      <c r="VDZ84" s="798"/>
      <c r="VEA84" s="798"/>
      <c r="VEB84" s="798"/>
      <c r="VEC84" s="798"/>
      <c r="VED84" s="798"/>
      <c r="VEE84" s="798"/>
      <c r="VEF84" s="798"/>
      <c r="VEG84" s="798"/>
      <c r="VEH84" s="798"/>
      <c r="VEI84" s="798"/>
      <c r="VEJ84" s="798"/>
      <c r="VEK84" s="798"/>
      <c r="VEL84" s="798"/>
      <c r="VEM84" s="798"/>
      <c r="VEN84" s="798"/>
      <c r="VEO84" s="798"/>
      <c r="VEP84" s="798"/>
      <c r="VEQ84" s="798"/>
      <c r="VER84" s="798"/>
      <c r="VES84" s="798"/>
      <c r="VET84" s="798"/>
      <c r="VEU84" s="798"/>
      <c r="VEV84" s="798"/>
      <c r="VEW84" s="798"/>
      <c r="VEX84" s="798"/>
      <c r="VEY84" s="798"/>
      <c r="VEZ84" s="798"/>
      <c r="VFA84" s="798"/>
      <c r="VFB84" s="798"/>
      <c r="VFC84" s="798"/>
      <c r="VFD84" s="798"/>
      <c r="VFE84" s="798"/>
      <c r="VFF84" s="798"/>
      <c r="VFG84" s="798"/>
      <c r="VFH84" s="798"/>
      <c r="VFI84" s="798"/>
      <c r="VFJ84" s="798"/>
      <c r="VFK84" s="798"/>
      <c r="VFL84" s="798"/>
      <c r="VFM84" s="798"/>
      <c r="VFN84" s="798"/>
      <c r="VFO84" s="798"/>
      <c r="VFP84" s="798"/>
      <c r="VFQ84" s="798"/>
      <c r="VFR84" s="798"/>
      <c r="VFS84" s="798"/>
      <c r="VFT84" s="798"/>
      <c r="VFU84" s="798"/>
      <c r="VFV84" s="798"/>
      <c r="VFW84" s="798"/>
      <c r="VFX84" s="798"/>
      <c r="VFY84" s="798"/>
      <c r="VFZ84" s="798"/>
      <c r="VGA84" s="798"/>
      <c r="VGB84" s="798"/>
      <c r="VGC84" s="798"/>
      <c r="VGD84" s="798"/>
      <c r="VGE84" s="798"/>
      <c r="VGF84" s="798"/>
      <c r="VGG84" s="798"/>
      <c r="VGH84" s="798"/>
      <c r="VGI84" s="798"/>
      <c r="VGJ84" s="798"/>
      <c r="VGK84" s="798"/>
      <c r="VGL84" s="798"/>
      <c r="VGM84" s="798"/>
      <c r="VGN84" s="798"/>
      <c r="VGO84" s="798"/>
      <c r="VGP84" s="798"/>
      <c r="VGQ84" s="798"/>
      <c r="VGR84" s="798"/>
      <c r="VGS84" s="798"/>
      <c r="VGT84" s="798"/>
      <c r="VGU84" s="798"/>
      <c r="VGV84" s="798"/>
      <c r="VGW84" s="798"/>
      <c r="VGX84" s="798"/>
      <c r="VGY84" s="798"/>
      <c r="VGZ84" s="798"/>
      <c r="VHA84" s="798"/>
      <c r="VHB84" s="798"/>
      <c r="VHC84" s="798"/>
      <c r="VHD84" s="798"/>
      <c r="VHE84" s="798"/>
      <c r="VHF84" s="798"/>
      <c r="VHG84" s="798"/>
      <c r="VHH84" s="798"/>
      <c r="VHI84" s="798"/>
      <c r="VHJ84" s="798"/>
      <c r="VHK84" s="798"/>
      <c r="VHL84" s="798"/>
      <c r="VHM84" s="798"/>
      <c r="VHN84" s="798"/>
      <c r="VHO84" s="798"/>
      <c r="VHP84" s="798"/>
      <c r="VHQ84" s="798"/>
      <c r="VHR84" s="798"/>
      <c r="VHS84" s="798"/>
      <c r="VHT84" s="798"/>
      <c r="VHU84" s="798"/>
      <c r="VHV84" s="798"/>
      <c r="VHW84" s="798"/>
      <c r="VHX84" s="798"/>
      <c r="VHY84" s="798"/>
      <c r="VHZ84" s="798"/>
      <c r="VIA84" s="798"/>
      <c r="VIB84" s="798"/>
      <c r="VIC84" s="798"/>
      <c r="VID84" s="798"/>
      <c r="VIE84" s="798"/>
      <c r="VIF84" s="798"/>
      <c r="VIG84" s="798"/>
      <c r="VIH84" s="798"/>
      <c r="VII84" s="798"/>
      <c r="VIJ84" s="798"/>
      <c r="VIK84" s="798"/>
      <c r="VIL84" s="798"/>
      <c r="VIM84" s="798"/>
      <c r="VIN84" s="798"/>
      <c r="VIO84" s="798"/>
      <c r="VIP84" s="798"/>
      <c r="VIQ84" s="798"/>
      <c r="VIR84" s="798"/>
      <c r="VIS84" s="798"/>
      <c r="VIT84" s="798"/>
      <c r="VIU84" s="798"/>
      <c r="VIV84" s="798"/>
      <c r="VIW84" s="798"/>
      <c r="VIX84" s="798"/>
      <c r="VIY84" s="798"/>
      <c r="VIZ84" s="798"/>
      <c r="VJA84" s="798"/>
      <c r="VJB84" s="798"/>
      <c r="VJC84" s="798"/>
      <c r="VJD84" s="798"/>
      <c r="VJE84" s="798"/>
      <c r="VJF84" s="798"/>
      <c r="VJG84" s="798"/>
      <c r="VJH84" s="798"/>
      <c r="VJI84" s="798"/>
      <c r="VJJ84" s="798"/>
      <c r="VJK84" s="798"/>
      <c r="VJL84" s="798"/>
      <c r="VJM84" s="798"/>
      <c r="VJN84" s="798"/>
      <c r="VJO84" s="798"/>
      <c r="VJP84" s="798"/>
      <c r="VJQ84" s="798"/>
      <c r="VJR84" s="798"/>
      <c r="VJS84" s="798"/>
      <c r="VJT84" s="798"/>
      <c r="VJU84" s="798"/>
      <c r="VJV84" s="798"/>
      <c r="VJW84" s="798"/>
      <c r="VJX84" s="798"/>
      <c r="VJY84" s="798"/>
      <c r="VJZ84" s="798"/>
      <c r="VKA84" s="798"/>
      <c r="VKB84" s="798"/>
      <c r="VKC84" s="798"/>
      <c r="VKD84" s="798"/>
      <c r="VKE84" s="798"/>
      <c r="VKF84" s="798"/>
      <c r="VKG84" s="798"/>
      <c r="VKH84" s="798"/>
      <c r="VKI84" s="798"/>
      <c r="VKJ84" s="798"/>
      <c r="VKK84" s="798"/>
      <c r="VKL84" s="798"/>
      <c r="VKM84" s="798"/>
      <c r="VKN84" s="798"/>
      <c r="VKO84" s="798"/>
      <c r="VKP84" s="798"/>
      <c r="VKQ84" s="798"/>
      <c r="VKR84" s="798"/>
      <c r="VKS84" s="798"/>
      <c r="VKT84" s="798"/>
      <c r="VKU84" s="798"/>
      <c r="VKV84" s="798"/>
      <c r="VKW84" s="798"/>
      <c r="VKX84" s="798"/>
      <c r="VKY84" s="798"/>
      <c r="VKZ84" s="798"/>
      <c r="VLA84" s="798"/>
      <c r="VLB84" s="798"/>
      <c r="VLC84" s="798"/>
      <c r="VLD84" s="798"/>
      <c r="VLE84" s="798"/>
      <c r="VLF84" s="798"/>
      <c r="VLG84" s="798"/>
      <c r="VLH84" s="798"/>
      <c r="VLI84" s="798"/>
      <c r="VLJ84" s="798"/>
      <c r="VLK84" s="798"/>
      <c r="VLL84" s="798"/>
      <c r="VLM84" s="798"/>
      <c r="VLN84" s="798"/>
      <c r="VLO84" s="798"/>
      <c r="VLP84" s="798"/>
      <c r="VLQ84" s="798"/>
      <c r="VLR84" s="798"/>
      <c r="VLS84" s="798"/>
      <c r="VLT84" s="798"/>
      <c r="VLU84" s="798"/>
      <c r="VLV84" s="798"/>
      <c r="VLW84" s="798"/>
      <c r="VLX84" s="798"/>
      <c r="VLY84" s="798"/>
      <c r="VLZ84" s="798"/>
      <c r="VMA84" s="798"/>
      <c r="VMB84" s="798"/>
      <c r="VMC84" s="798"/>
      <c r="VMD84" s="798"/>
      <c r="VME84" s="798"/>
      <c r="VMF84" s="798"/>
      <c r="VMG84" s="798"/>
      <c r="VMH84" s="798"/>
      <c r="VMI84" s="798"/>
      <c r="VMJ84" s="798"/>
      <c r="VMK84" s="798"/>
      <c r="VML84" s="798"/>
      <c r="VMM84" s="798"/>
      <c r="VMN84" s="798"/>
      <c r="VMO84" s="798"/>
      <c r="VMP84" s="798"/>
      <c r="VMQ84" s="798"/>
      <c r="VMR84" s="798"/>
      <c r="VMS84" s="798"/>
      <c r="VMT84" s="798"/>
      <c r="VMU84" s="798"/>
      <c r="VMV84" s="798"/>
      <c r="VMW84" s="798"/>
      <c r="VMX84" s="798"/>
      <c r="VMY84" s="798"/>
      <c r="VMZ84" s="798"/>
      <c r="VNA84" s="798"/>
      <c r="VNB84" s="798"/>
      <c r="VNC84" s="798"/>
      <c r="VND84" s="798"/>
      <c r="VNE84" s="798"/>
      <c r="VNF84" s="798"/>
      <c r="VNG84" s="798"/>
      <c r="VNH84" s="798"/>
      <c r="VNI84" s="798"/>
      <c r="VNJ84" s="798"/>
      <c r="VNK84" s="798"/>
      <c r="VNL84" s="798"/>
      <c r="VNM84" s="798"/>
      <c r="VNN84" s="798"/>
      <c r="VNO84" s="798"/>
      <c r="VNP84" s="798"/>
      <c r="VNQ84" s="798"/>
      <c r="VNR84" s="798"/>
      <c r="VNS84" s="798"/>
      <c r="VNT84" s="798"/>
      <c r="VNU84" s="798"/>
      <c r="VNV84" s="798"/>
      <c r="VNW84" s="798"/>
      <c r="VNX84" s="798"/>
      <c r="VNY84" s="798"/>
      <c r="VNZ84" s="798"/>
      <c r="VOA84" s="798"/>
      <c r="VOB84" s="798"/>
      <c r="VOC84" s="798"/>
      <c r="VOD84" s="798"/>
      <c r="VOE84" s="798"/>
      <c r="VOF84" s="798"/>
      <c r="VOG84" s="798"/>
      <c r="VOH84" s="798"/>
      <c r="VOI84" s="798"/>
      <c r="VOJ84" s="798"/>
      <c r="VOK84" s="798"/>
      <c r="VOL84" s="798"/>
      <c r="VOM84" s="798"/>
      <c r="VON84" s="798"/>
      <c r="VOO84" s="798"/>
      <c r="VOP84" s="798"/>
      <c r="VOQ84" s="798"/>
      <c r="VOR84" s="798"/>
      <c r="VOS84" s="798"/>
      <c r="VOT84" s="798"/>
      <c r="VOU84" s="798"/>
      <c r="VOV84" s="798"/>
      <c r="VOW84" s="798"/>
      <c r="VOX84" s="798"/>
      <c r="VOY84" s="798"/>
      <c r="VOZ84" s="798"/>
      <c r="VPA84" s="798"/>
      <c r="VPB84" s="798"/>
      <c r="VPC84" s="798"/>
      <c r="VPD84" s="798"/>
      <c r="VPE84" s="798"/>
      <c r="VPF84" s="798"/>
      <c r="VPG84" s="798"/>
      <c r="VPH84" s="798"/>
      <c r="VPI84" s="798"/>
      <c r="VPJ84" s="798"/>
      <c r="VPK84" s="798"/>
      <c r="VPL84" s="798"/>
      <c r="VPM84" s="798"/>
      <c r="VPN84" s="798"/>
      <c r="VPO84" s="798"/>
      <c r="VPP84" s="798"/>
      <c r="VPQ84" s="798"/>
      <c r="VPR84" s="798"/>
      <c r="VPS84" s="798"/>
      <c r="VPT84" s="798"/>
      <c r="VPU84" s="798"/>
      <c r="VPV84" s="798"/>
      <c r="VPW84" s="798"/>
      <c r="VPX84" s="798"/>
      <c r="VPY84" s="798"/>
      <c r="VPZ84" s="798"/>
      <c r="VQA84" s="798"/>
      <c r="VQB84" s="798"/>
      <c r="VQC84" s="798"/>
      <c r="VQD84" s="798"/>
      <c r="VQE84" s="798"/>
      <c r="VQF84" s="798"/>
      <c r="VQG84" s="798"/>
      <c r="VQH84" s="798"/>
      <c r="VQI84" s="798"/>
      <c r="VQJ84" s="798"/>
      <c r="VQK84" s="798"/>
      <c r="VQL84" s="798"/>
      <c r="VQM84" s="798"/>
      <c r="VQN84" s="798"/>
      <c r="VQO84" s="798"/>
      <c r="VQP84" s="798"/>
      <c r="VQQ84" s="798"/>
      <c r="VQR84" s="798"/>
      <c r="VQS84" s="798"/>
      <c r="VQT84" s="798"/>
      <c r="VQU84" s="798"/>
      <c r="VQV84" s="798"/>
      <c r="VQW84" s="798"/>
      <c r="VQX84" s="798"/>
      <c r="VQY84" s="798"/>
      <c r="VQZ84" s="798"/>
      <c r="VRA84" s="798"/>
      <c r="VRB84" s="798"/>
      <c r="VRC84" s="798"/>
      <c r="VRD84" s="798"/>
      <c r="VRE84" s="798"/>
      <c r="VRF84" s="798"/>
      <c r="VRG84" s="798"/>
      <c r="VRH84" s="798"/>
      <c r="VRI84" s="798"/>
      <c r="VRJ84" s="798"/>
      <c r="VRK84" s="798"/>
      <c r="VRL84" s="798"/>
      <c r="VRM84" s="798"/>
      <c r="VRN84" s="798"/>
      <c r="VRO84" s="798"/>
      <c r="VRP84" s="798"/>
      <c r="VRQ84" s="798"/>
      <c r="VRR84" s="798"/>
      <c r="VRS84" s="798"/>
      <c r="VRT84" s="798"/>
      <c r="VRU84" s="798"/>
      <c r="VRV84" s="798"/>
      <c r="VRW84" s="798"/>
      <c r="VRX84" s="798"/>
      <c r="VRY84" s="798"/>
      <c r="VRZ84" s="798"/>
      <c r="VSA84" s="798"/>
      <c r="VSB84" s="798"/>
      <c r="VSC84" s="798"/>
      <c r="VSD84" s="798"/>
      <c r="VSE84" s="798"/>
      <c r="VSF84" s="798"/>
      <c r="VSG84" s="798"/>
      <c r="VSH84" s="798"/>
      <c r="VSI84" s="798"/>
      <c r="VSJ84" s="798"/>
      <c r="VSK84" s="798"/>
      <c r="VSL84" s="798"/>
      <c r="VSM84" s="798"/>
      <c r="VSN84" s="798"/>
      <c r="VSO84" s="798"/>
      <c r="VSP84" s="798"/>
      <c r="VSQ84" s="798"/>
      <c r="VSR84" s="798"/>
      <c r="VSS84" s="798"/>
      <c r="VST84" s="798"/>
      <c r="VSU84" s="798"/>
      <c r="VSV84" s="798"/>
      <c r="VSW84" s="798"/>
      <c r="VSX84" s="798"/>
      <c r="VSY84" s="798"/>
      <c r="VSZ84" s="798"/>
      <c r="VTA84" s="798"/>
      <c r="VTB84" s="798"/>
      <c r="VTC84" s="798"/>
      <c r="VTD84" s="798"/>
      <c r="VTE84" s="798"/>
      <c r="VTF84" s="798"/>
      <c r="VTG84" s="798"/>
      <c r="VTH84" s="798"/>
      <c r="VTI84" s="798"/>
      <c r="VTJ84" s="798"/>
      <c r="VTK84" s="798"/>
      <c r="VTL84" s="798"/>
      <c r="VTM84" s="798"/>
      <c r="VTN84" s="798"/>
      <c r="VTO84" s="798"/>
      <c r="VTP84" s="798"/>
      <c r="VTQ84" s="798"/>
      <c r="VTR84" s="798"/>
      <c r="VTS84" s="798"/>
      <c r="VTT84" s="798"/>
      <c r="VTU84" s="798"/>
      <c r="VTV84" s="798"/>
      <c r="VTW84" s="798"/>
      <c r="VTX84" s="798"/>
      <c r="VTY84" s="798"/>
      <c r="VTZ84" s="798"/>
      <c r="VUA84" s="798"/>
      <c r="VUB84" s="798"/>
      <c r="VUC84" s="798"/>
      <c r="VUD84" s="798"/>
      <c r="VUE84" s="798"/>
      <c r="VUF84" s="798"/>
      <c r="VUG84" s="798"/>
      <c r="VUH84" s="798"/>
      <c r="VUI84" s="798"/>
      <c r="VUJ84" s="798"/>
      <c r="VUK84" s="798"/>
      <c r="VUL84" s="798"/>
      <c r="VUM84" s="798"/>
      <c r="VUN84" s="798"/>
      <c r="VUO84" s="798"/>
      <c r="VUP84" s="798"/>
      <c r="VUQ84" s="798"/>
      <c r="VUR84" s="798"/>
      <c r="VUS84" s="798"/>
      <c r="VUT84" s="798"/>
      <c r="VUU84" s="798"/>
      <c r="VUV84" s="798"/>
      <c r="VUW84" s="798"/>
      <c r="VUX84" s="798"/>
      <c r="VUY84" s="798"/>
      <c r="VUZ84" s="798"/>
      <c r="VVA84" s="798"/>
      <c r="VVB84" s="798"/>
      <c r="VVC84" s="798"/>
      <c r="VVD84" s="798"/>
      <c r="VVE84" s="798"/>
      <c r="VVF84" s="798"/>
      <c r="VVG84" s="798"/>
      <c r="VVH84" s="798"/>
      <c r="VVI84" s="798"/>
      <c r="VVJ84" s="798"/>
      <c r="VVK84" s="798"/>
      <c r="VVL84" s="798"/>
      <c r="VVM84" s="798"/>
      <c r="VVN84" s="798"/>
      <c r="VVO84" s="798"/>
      <c r="VVP84" s="798"/>
      <c r="VVQ84" s="798"/>
      <c r="VVR84" s="798"/>
      <c r="VVS84" s="798"/>
      <c r="VVT84" s="798"/>
      <c r="VVU84" s="798"/>
      <c r="VVV84" s="798"/>
      <c r="VVW84" s="798"/>
      <c r="VVX84" s="798"/>
      <c r="VVY84" s="798"/>
      <c r="VVZ84" s="798"/>
      <c r="VWA84" s="798"/>
      <c r="VWB84" s="798"/>
      <c r="VWC84" s="798"/>
      <c r="VWD84" s="798"/>
      <c r="VWE84" s="798"/>
      <c r="VWF84" s="798"/>
      <c r="VWG84" s="798"/>
      <c r="VWH84" s="798"/>
      <c r="VWI84" s="798"/>
      <c r="VWJ84" s="798"/>
      <c r="VWK84" s="798"/>
      <c r="VWL84" s="798"/>
      <c r="VWM84" s="798"/>
      <c r="VWN84" s="798"/>
      <c r="VWO84" s="798"/>
      <c r="VWP84" s="798"/>
      <c r="VWQ84" s="798"/>
      <c r="VWR84" s="798"/>
      <c r="VWS84" s="798"/>
      <c r="VWT84" s="798"/>
      <c r="VWU84" s="798"/>
      <c r="VWV84" s="798"/>
      <c r="VWW84" s="798"/>
      <c r="VWX84" s="798"/>
      <c r="VWY84" s="798"/>
      <c r="VWZ84" s="798"/>
      <c r="VXA84" s="798"/>
      <c r="VXB84" s="798"/>
      <c r="VXC84" s="798"/>
      <c r="VXD84" s="798"/>
      <c r="VXE84" s="798"/>
      <c r="VXF84" s="798"/>
      <c r="VXG84" s="798"/>
      <c r="VXH84" s="798"/>
      <c r="VXI84" s="798"/>
      <c r="VXJ84" s="798"/>
      <c r="VXK84" s="798"/>
      <c r="VXL84" s="798"/>
      <c r="VXM84" s="798"/>
      <c r="VXN84" s="798"/>
      <c r="VXO84" s="798"/>
      <c r="VXP84" s="798"/>
      <c r="VXQ84" s="798"/>
      <c r="VXR84" s="798"/>
      <c r="VXS84" s="798"/>
      <c r="VXT84" s="798"/>
      <c r="VXU84" s="798"/>
      <c r="VXV84" s="798"/>
      <c r="VXW84" s="798"/>
      <c r="VXX84" s="798"/>
      <c r="VXY84" s="798"/>
      <c r="VXZ84" s="798"/>
      <c r="VYA84" s="798"/>
      <c r="VYB84" s="798"/>
      <c r="VYC84" s="798"/>
      <c r="VYD84" s="798"/>
      <c r="VYE84" s="798"/>
      <c r="VYF84" s="798"/>
      <c r="VYG84" s="798"/>
      <c r="VYH84" s="798"/>
      <c r="VYI84" s="798"/>
      <c r="VYJ84" s="798"/>
      <c r="VYK84" s="798"/>
      <c r="VYL84" s="798"/>
      <c r="VYM84" s="798"/>
      <c r="VYN84" s="798"/>
      <c r="VYO84" s="798"/>
      <c r="VYP84" s="798"/>
      <c r="VYQ84" s="798"/>
      <c r="VYR84" s="798"/>
      <c r="VYS84" s="798"/>
      <c r="VYT84" s="798"/>
      <c r="VYU84" s="798"/>
      <c r="VYV84" s="798"/>
      <c r="VYW84" s="798"/>
      <c r="VYX84" s="798"/>
      <c r="VYY84" s="798"/>
      <c r="VYZ84" s="798"/>
      <c r="VZA84" s="798"/>
      <c r="VZB84" s="798"/>
      <c r="VZC84" s="798"/>
      <c r="VZD84" s="798"/>
      <c r="VZE84" s="798"/>
      <c r="VZF84" s="798"/>
      <c r="VZG84" s="798"/>
      <c r="VZH84" s="798"/>
      <c r="VZI84" s="798"/>
      <c r="VZJ84" s="798"/>
      <c r="VZK84" s="798"/>
      <c r="VZL84" s="798"/>
      <c r="VZM84" s="798"/>
      <c r="VZN84" s="798"/>
      <c r="VZO84" s="798"/>
      <c r="VZP84" s="798"/>
      <c r="VZQ84" s="798"/>
      <c r="VZR84" s="798"/>
      <c r="VZS84" s="798"/>
      <c r="VZT84" s="798"/>
      <c r="VZU84" s="798"/>
      <c r="VZV84" s="798"/>
      <c r="VZW84" s="798"/>
      <c r="VZX84" s="798"/>
      <c r="VZY84" s="798"/>
      <c r="VZZ84" s="798"/>
      <c r="WAA84" s="798"/>
      <c r="WAB84" s="798"/>
      <c r="WAC84" s="798"/>
      <c r="WAD84" s="798"/>
      <c r="WAE84" s="798"/>
      <c r="WAF84" s="798"/>
      <c r="WAG84" s="798"/>
      <c r="WAH84" s="798"/>
      <c r="WAI84" s="798"/>
      <c r="WAJ84" s="798"/>
      <c r="WAK84" s="798"/>
      <c r="WAL84" s="798"/>
      <c r="WAM84" s="798"/>
      <c r="WAN84" s="798"/>
      <c r="WAO84" s="798"/>
      <c r="WAP84" s="798"/>
      <c r="WAQ84" s="798"/>
      <c r="WAR84" s="798"/>
      <c r="WAS84" s="798"/>
      <c r="WAT84" s="798"/>
      <c r="WAU84" s="798"/>
      <c r="WAV84" s="798"/>
      <c r="WAW84" s="798"/>
      <c r="WAX84" s="798"/>
      <c r="WAY84" s="798"/>
      <c r="WAZ84" s="798"/>
      <c r="WBA84" s="798"/>
      <c r="WBB84" s="798"/>
      <c r="WBC84" s="798"/>
      <c r="WBD84" s="798"/>
      <c r="WBE84" s="798"/>
      <c r="WBF84" s="798"/>
      <c r="WBG84" s="798"/>
      <c r="WBH84" s="798"/>
      <c r="WBI84" s="798"/>
      <c r="WBJ84" s="798"/>
      <c r="WBK84" s="798"/>
      <c r="WBL84" s="798"/>
      <c r="WBM84" s="798"/>
      <c r="WBN84" s="798"/>
      <c r="WBO84" s="798"/>
      <c r="WBP84" s="798"/>
      <c r="WBQ84" s="798"/>
      <c r="WBR84" s="798"/>
      <c r="WBS84" s="798"/>
      <c r="WBT84" s="798"/>
      <c r="WBU84" s="798"/>
      <c r="WBV84" s="798"/>
      <c r="WBW84" s="798"/>
      <c r="WBX84" s="798"/>
      <c r="WBY84" s="798"/>
      <c r="WBZ84" s="798"/>
      <c r="WCA84" s="798"/>
      <c r="WCB84" s="798"/>
      <c r="WCC84" s="798"/>
      <c r="WCD84" s="798"/>
      <c r="WCE84" s="798"/>
      <c r="WCF84" s="798"/>
      <c r="WCG84" s="798"/>
      <c r="WCH84" s="798"/>
      <c r="WCI84" s="798"/>
      <c r="WCJ84" s="798"/>
      <c r="WCK84" s="798"/>
      <c r="WCL84" s="798"/>
      <c r="WCM84" s="798"/>
      <c r="WCN84" s="798"/>
      <c r="WCO84" s="798"/>
      <c r="WCP84" s="798"/>
      <c r="WCQ84" s="798"/>
      <c r="WCR84" s="798"/>
      <c r="WCS84" s="798"/>
      <c r="WCT84" s="798"/>
      <c r="WCU84" s="798"/>
      <c r="WCV84" s="798"/>
      <c r="WCW84" s="798"/>
      <c r="WCX84" s="798"/>
      <c r="WCY84" s="798"/>
      <c r="WCZ84" s="798"/>
      <c r="WDA84" s="798"/>
      <c r="WDB84" s="798"/>
      <c r="WDC84" s="798"/>
      <c r="WDD84" s="798"/>
      <c r="WDE84" s="798"/>
      <c r="WDF84" s="798"/>
      <c r="WDG84" s="798"/>
      <c r="WDH84" s="798"/>
      <c r="WDI84" s="798"/>
      <c r="WDJ84" s="798"/>
      <c r="WDK84" s="798"/>
      <c r="WDL84" s="798"/>
      <c r="WDM84" s="798"/>
      <c r="WDN84" s="798"/>
      <c r="WDO84" s="798"/>
      <c r="WDP84" s="798"/>
      <c r="WDQ84" s="798"/>
      <c r="WDR84" s="798"/>
      <c r="WDS84" s="798"/>
      <c r="WDT84" s="798"/>
      <c r="WDU84" s="798"/>
      <c r="WDV84" s="798"/>
      <c r="WDW84" s="798"/>
      <c r="WDX84" s="798"/>
      <c r="WDY84" s="798"/>
      <c r="WDZ84" s="798"/>
      <c r="WEA84" s="798"/>
      <c r="WEB84" s="798"/>
      <c r="WEC84" s="798"/>
      <c r="WED84" s="798"/>
      <c r="WEE84" s="798"/>
      <c r="WEF84" s="798"/>
      <c r="WEG84" s="798"/>
      <c r="WEH84" s="798"/>
      <c r="WEI84" s="798"/>
      <c r="WEJ84" s="798"/>
      <c r="WEK84" s="798"/>
      <c r="WEL84" s="798"/>
      <c r="WEM84" s="798"/>
      <c r="WEN84" s="798"/>
      <c r="WEO84" s="798"/>
      <c r="WEP84" s="798"/>
      <c r="WEQ84" s="798"/>
      <c r="WER84" s="798"/>
      <c r="WES84" s="798"/>
      <c r="WET84" s="798"/>
      <c r="WEU84" s="798"/>
      <c r="WEV84" s="798"/>
      <c r="WEW84" s="798"/>
      <c r="WEX84" s="798"/>
      <c r="WEY84" s="798"/>
      <c r="WEZ84" s="798"/>
      <c r="WFA84" s="798"/>
      <c r="WFB84" s="798"/>
      <c r="WFC84" s="798"/>
      <c r="WFD84" s="798"/>
      <c r="WFE84" s="798"/>
      <c r="WFF84" s="798"/>
      <c r="WFG84" s="798"/>
      <c r="WFH84" s="798"/>
      <c r="WFI84" s="798"/>
      <c r="WFJ84" s="798"/>
      <c r="WFK84" s="798"/>
      <c r="WFL84" s="798"/>
      <c r="WFM84" s="798"/>
      <c r="WFN84" s="798"/>
      <c r="WFO84" s="798"/>
      <c r="WFP84" s="798"/>
      <c r="WFQ84" s="798"/>
      <c r="WFR84" s="798"/>
      <c r="WFS84" s="798"/>
      <c r="WFT84" s="798"/>
      <c r="WFU84" s="798"/>
      <c r="WFV84" s="798"/>
      <c r="WFW84" s="798"/>
      <c r="WFX84" s="798"/>
      <c r="WFY84" s="798"/>
      <c r="WFZ84" s="798"/>
      <c r="WGA84" s="798"/>
      <c r="WGB84" s="798"/>
      <c r="WGC84" s="798"/>
      <c r="WGD84" s="798"/>
      <c r="WGE84" s="798"/>
      <c r="WGF84" s="798"/>
      <c r="WGG84" s="798"/>
      <c r="WGH84" s="798"/>
      <c r="WGI84" s="798"/>
      <c r="WGJ84" s="798"/>
      <c r="WGK84" s="798"/>
      <c r="WGL84" s="798"/>
      <c r="WGM84" s="798"/>
      <c r="WGN84" s="798"/>
      <c r="WGO84" s="798"/>
      <c r="WGP84" s="798"/>
      <c r="WGQ84" s="798"/>
      <c r="WGR84" s="798"/>
      <c r="WGS84" s="798"/>
      <c r="WGT84" s="798"/>
      <c r="WGU84" s="798"/>
      <c r="WGV84" s="798"/>
      <c r="WGW84" s="798"/>
      <c r="WGX84" s="798"/>
      <c r="WGY84" s="798"/>
      <c r="WGZ84" s="798"/>
      <c r="WHA84" s="798"/>
      <c r="WHB84" s="798"/>
      <c r="WHC84" s="798"/>
      <c r="WHD84" s="798"/>
      <c r="WHE84" s="798"/>
      <c r="WHF84" s="798"/>
      <c r="WHG84" s="798"/>
      <c r="WHH84" s="798"/>
      <c r="WHI84" s="798"/>
      <c r="WHJ84" s="798"/>
      <c r="WHK84" s="798"/>
      <c r="WHL84" s="798"/>
      <c r="WHM84" s="798"/>
      <c r="WHN84" s="798"/>
      <c r="WHO84" s="798"/>
      <c r="WHP84" s="798"/>
      <c r="WHQ84" s="798"/>
      <c r="WHR84" s="798"/>
      <c r="WHS84" s="798"/>
      <c r="WHT84" s="798"/>
      <c r="WHU84" s="798"/>
      <c r="WHV84" s="798"/>
      <c r="WHW84" s="798"/>
      <c r="WHX84" s="798"/>
      <c r="WHY84" s="798"/>
      <c r="WHZ84" s="798"/>
      <c r="WIA84" s="798"/>
      <c r="WIB84" s="798"/>
      <c r="WIC84" s="798"/>
      <c r="WID84" s="798"/>
      <c r="WIE84" s="798"/>
      <c r="WIF84" s="798"/>
      <c r="WIG84" s="798"/>
      <c r="WIH84" s="798"/>
      <c r="WII84" s="798"/>
      <c r="WIJ84" s="798"/>
      <c r="WIK84" s="798"/>
      <c r="WIL84" s="798"/>
      <c r="WIM84" s="798"/>
      <c r="WIN84" s="798"/>
      <c r="WIO84" s="798"/>
      <c r="WIP84" s="798"/>
      <c r="WIQ84" s="798"/>
      <c r="WIR84" s="798"/>
      <c r="WIS84" s="798"/>
      <c r="WIT84" s="798"/>
      <c r="WIU84" s="798"/>
      <c r="WIV84" s="798"/>
      <c r="WIW84" s="798"/>
      <c r="WIX84" s="798"/>
      <c r="WIY84" s="798"/>
      <c r="WIZ84" s="798"/>
      <c r="WJA84" s="798"/>
      <c r="WJB84" s="798"/>
      <c r="WJC84" s="798"/>
      <c r="WJD84" s="798"/>
      <c r="WJE84" s="798"/>
      <c r="WJF84" s="798"/>
      <c r="WJG84" s="798"/>
      <c r="WJH84" s="798"/>
      <c r="WJI84" s="798"/>
      <c r="WJJ84" s="798"/>
      <c r="WJK84" s="798"/>
      <c r="WJL84" s="798"/>
      <c r="WJM84" s="798"/>
      <c r="WJN84" s="798"/>
      <c r="WJO84" s="798"/>
      <c r="WJP84" s="798"/>
      <c r="WJQ84" s="798"/>
      <c r="WJR84" s="798"/>
      <c r="WJS84" s="798"/>
      <c r="WJT84" s="798"/>
      <c r="WJU84" s="798"/>
      <c r="WJV84" s="798"/>
      <c r="WJW84" s="798"/>
      <c r="WJX84" s="798"/>
      <c r="WJY84" s="798"/>
      <c r="WJZ84" s="798"/>
      <c r="WKA84" s="798"/>
      <c r="WKB84" s="798"/>
      <c r="WKC84" s="798"/>
      <c r="WKD84" s="798"/>
      <c r="WKE84" s="798"/>
      <c r="WKF84" s="798"/>
      <c r="WKG84" s="798"/>
      <c r="WKH84" s="798"/>
      <c r="WKI84" s="798"/>
      <c r="WKJ84" s="798"/>
      <c r="WKK84" s="798"/>
      <c r="WKL84" s="798"/>
      <c r="WKM84" s="798"/>
      <c r="WKN84" s="798"/>
      <c r="WKO84" s="798"/>
      <c r="WKP84" s="798"/>
      <c r="WKQ84" s="798"/>
      <c r="WKR84" s="798"/>
      <c r="WKS84" s="798"/>
      <c r="WKT84" s="798"/>
      <c r="WKU84" s="798"/>
      <c r="WKV84" s="798"/>
      <c r="WKW84" s="798"/>
      <c r="WKX84" s="798"/>
      <c r="WKY84" s="798"/>
      <c r="WKZ84" s="798"/>
      <c r="WLA84" s="798"/>
      <c r="WLB84" s="798"/>
      <c r="WLC84" s="798"/>
      <c r="WLD84" s="798"/>
      <c r="WLE84" s="798"/>
      <c r="WLF84" s="798"/>
      <c r="WLG84" s="798"/>
      <c r="WLH84" s="798"/>
      <c r="WLI84" s="798"/>
      <c r="WLJ84" s="798"/>
      <c r="WLK84" s="798"/>
      <c r="WLL84" s="798"/>
      <c r="WLM84" s="798"/>
      <c r="WLN84" s="798"/>
      <c r="WLO84" s="798"/>
      <c r="WLP84" s="798"/>
      <c r="WLQ84" s="798"/>
      <c r="WLR84" s="798"/>
      <c r="WLS84" s="798"/>
      <c r="WLT84" s="798"/>
      <c r="WLU84" s="798"/>
      <c r="WLV84" s="798"/>
      <c r="WLW84" s="798"/>
      <c r="WLX84" s="798"/>
      <c r="WLY84" s="798"/>
      <c r="WLZ84" s="798"/>
      <c r="WMA84" s="798"/>
      <c r="WMB84" s="798"/>
      <c r="WMC84" s="798"/>
      <c r="WMD84" s="798"/>
      <c r="WME84" s="798"/>
      <c r="WMF84" s="798"/>
      <c r="WMG84" s="798"/>
      <c r="WMH84" s="798"/>
      <c r="WMI84" s="798"/>
      <c r="WMJ84" s="798"/>
      <c r="WMK84" s="798"/>
      <c r="WML84" s="798"/>
      <c r="WMM84" s="798"/>
      <c r="WMN84" s="798"/>
      <c r="WMO84" s="798"/>
      <c r="WMP84" s="798"/>
      <c r="WMQ84" s="798"/>
      <c r="WMR84" s="798"/>
      <c r="WMS84" s="798"/>
      <c r="WMT84" s="798"/>
      <c r="WMU84" s="798"/>
      <c r="WMV84" s="798"/>
      <c r="WMW84" s="798"/>
      <c r="WMX84" s="798"/>
      <c r="WMY84" s="798"/>
      <c r="WMZ84" s="798"/>
      <c r="WNA84" s="798"/>
      <c r="WNB84" s="798"/>
      <c r="WNC84" s="798"/>
      <c r="WND84" s="798"/>
      <c r="WNE84" s="798"/>
      <c r="WNF84" s="798"/>
      <c r="WNG84" s="798"/>
      <c r="WNH84" s="798"/>
      <c r="WNI84" s="798"/>
      <c r="WNJ84" s="798"/>
      <c r="WNK84" s="798"/>
      <c r="WNL84" s="798"/>
      <c r="WNM84" s="798"/>
      <c r="WNN84" s="798"/>
      <c r="WNO84" s="798"/>
      <c r="WNP84" s="798"/>
      <c r="WNQ84" s="798"/>
      <c r="WNR84" s="798"/>
      <c r="WNS84" s="798"/>
      <c r="WNT84" s="798"/>
      <c r="WNU84" s="798"/>
      <c r="WNV84" s="798"/>
      <c r="WNW84" s="798"/>
      <c r="WNX84" s="798"/>
      <c r="WNY84" s="798"/>
      <c r="WNZ84" s="798"/>
      <c r="WOA84" s="798"/>
      <c r="WOB84" s="798"/>
      <c r="WOC84" s="798"/>
      <c r="WOD84" s="798"/>
      <c r="WOE84" s="798"/>
      <c r="WOF84" s="798"/>
      <c r="WOG84" s="798"/>
      <c r="WOH84" s="798"/>
      <c r="WOI84" s="798"/>
      <c r="WOJ84" s="798"/>
      <c r="WOK84" s="798"/>
      <c r="WOL84" s="798"/>
      <c r="WOM84" s="798"/>
      <c r="WON84" s="798"/>
      <c r="WOO84" s="798"/>
      <c r="WOP84" s="798"/>
      <c r="WOQ84" s="798"/>
      <c r="WOR84" s="798"/>
      <c r="WOS84" s="798"/>
      <c r="WOT84" s="798"/>
      <c r="WOU84" s="798"/>
      <c r="WOV84" s="798"/>
      <c r="WOW84" s="798"/>
      <c r="WOX84" s="798"/>
      <c r="WOY84" s="798"/>
      <c r="WOZ84" s="798"/>
      <c r="WPA84" s="798"/>
      <c r="WPB84" s="798"/>
      <c r="WPC84" s="798"/>
      <c r="WPD84" s="798"/>
      <c r="WPE84" s="798"/>
      <c r="WPF84" s="798"/>
      <c r="WPG84" s="798"/>
      <c r="WPH84" s="798"/>
      <c r="WPI84" s="798"/>
      <c r="WPJ84" s="798"/>
      <c r="WPK84" s="798"/>
      <c r="WPL84" s="798"/>
      <c r="WPM84" s="798"/>
      <c r="WPN84" s="798"/>
      <c r="WPO84" s="798"/>
      <c r="WPP84" s="798"/>
      <c r="WPQ84" s="798"/>
      <c r="WPR84" s="798"/>
      <c r="WPS84" s="798"/>
      <c r="WPT84" s="798"/>
      <c r="WPU84" s="798"/>
      <c r="WPV84" s="798"/>
      <c r="WPW84" s="798"/>
      <c r="WPX84" s="798"/>
      <c r="WPY84" s="798"/>
      <c r="WPZ84" s="798"/>
      <c r="WQA84" s="798"/>
      <c r="WQB84" s="798"/>
      <c r="WQC84" s="798"/>
      <c r="WQD84" s="798"/>
      <c r="WQE84" s="798"/>
      <c r="WQF84" s="798"/>
      <c r="WQG84" s="798"/>
      <c r="WQH84" s="798"/>
      <c r="WQI84" s="798"/>
      <c r="WQJ84" s="798"/>
      <c r="WQK84" s="798"/>
      <c r="WQL84" s="798"/>
      <c r="WQM84" s="798"/>
      <c r="WQN84" s="798"/>
      <c r="WQO84" s="798"/>
      <c r="WQP84" s="798"/>
      <c r="WQQ84" s="798"/>
      <c r="WQR84" s="798"/>
      <c r="WQS84" s="798"/>
      <c r="WQT84" s="798"/>
      <c r="WQU84" s="798"/>
      <c r="WQV84" s="798"/>
      <c r="WQW84" s="798"/>
      <c r="WQX84" s="798"/>
      <c r="WQY84" s="798"/>
      <c r="WQZ84" s="798"/>
      <c r="WRA84" s="798"/>
      <c r="WRB84" s="798"/>
      <c r="WRC84" s="798"/>
      <c r="WRD84" s="798"/>
      <c r="WRE84" s="798"/>
      <c r="WRF84" s="798"/>
      <c r="WRG84" s="798"/>
      <c r="WRH84" s="798"/>
      <c r="WRI84" s="798"/>
      <c r="WRJ84" s="798"/>
      <c r="WRK84" s="798"/>
      <c r="WRL84" s="798"/>
      <c r="WRM84" s="798"/>
      <c r="WRN84" s="798"/>
      <c r="WRO84" s="798"/>
      <c r="WRP84" s="798"/>
      <c r="WRQ84" s="798"/>
      <c r="WRR84" s="798"/>
      <c r="WRS84" s="798"/>
      <c r="WRT84" s="798"/>
      <c r="WRU84" s="798"/>
      <c r="WRV84" s="798"/>
      <c r="WRW84" s="798"/>
      <c r="WRX84" s="798"/>
      <c r="WRY84" s="798"/>
      <c r="WRZ84" s="798"/>
      <c r="WSA84" s="798"/>
      <c r="WSB84" s="798"/>
      <c r="WSC84" s="798"/>
      <c r="WSD84" s="798"/>
      <c r="WSE84" s="798"/>
      <c r="WSF84" s="798"/>
      <c r="WSG84" s="798"/>
      <c r="WSH84" s="798"/>
      <c r="WSI84" s="798"/>
      <c r="WSJ84" s="798"/>
      <c r="WSK84" s="798"/>
      <c r="WSL84" s="798"/>
      <c r="WSM84" s="798"/>
      <c r="WSN84" s="798"/>
      <c r="WSO84" s="798"/>
      <c r="WSP84" s="798"/>
      <c r="WSQ84" s="798"/>
      <c r="WSR84" s="798"/>
      <c r="WSS84" s="798"/>
      <c r="WST84" s="798"/>
      <c r="WSU84" s="798"/>
      <c r="WSV84" s="798"/>
      <c r="WSW84" s="798"/>
      <c r="WSX84" s="798"/>
      <c r="WSY84" s="798"/>
      <c r="WSZ84" s="798"/>
      <c r="WTA84" s="798"/>
      <c r="WTB84" s="798"/>
      <c r="WTC84" s="798"/>
      <c r="WTD84" s="798"/>
      <c r="WTE84" s="798"/>
      <c r="WTF84" s="798"/>
      <c r="WTG84" s="798"/>
      <c r="WTH84" s="798"/>
      <c r="WTI84" s="798"/>
      <c r="WTJ84" s="798"/>
      <c r="WTK84" s="798"/>
      <c r="WTL84" s="798"/>
      <c r="WTM84" s="798"/>
      <c r="WTN84" s="798"/>
      <c r="WTO84" s="798"/>
      <c r="WTP84" s="798"/>
      <c r="WTQ84" s="798"/>
      <c r="WTR84" s="798"/>
      <c r="WTS84" s="798"/>
      <c r="WTT84" s="798"/>
      <c r="WTU84" s="798"/>
      <c r="WTV84" s="798"/>
      <c r="WTW84" s="798"/>
      <c r="WTX84" s="798"/>
      <c r="WTY84" s="798"/>
      <c r="WTZ84" s="798"/>
      <c r="WUA84" s="798"/>
      <c r="WUB84" s="798"/>
      <c r="WUC84" s="798"/>
      <c r="WUD84" s="798"/>
      <c r="WUE84" s="798"/>
      <c r="WUF84" s="798"/>
      <c r="WUG84" s="798"/>
      <c r="WUH84" s="798"/>
      <c r="WUI84" s="798"/>
      <c r="WUJ84" s="798"/>
      <c r="WUK84" s="798"/>
      <c r="WUL84" s="798"/>
      <c r="WUM84" s="798"/>
      <c r="WUN84" s="798"/>
      <c r="WUO84" s="798"/>
      <c r="WUP84" s="798"/>
      <c r="WUQ84" s="798"/>
      <c r="WUR84" s="798"/>
      <c r="WUS84" s="798"/>
      <c r="WUT84" s="798"/>
      <c r="WUU84" s="798"/>
      <c r="WUV84" s="798"/>
      <c r="WUW84" s="798"/>
      <c r="WUX84" s="798"/>
      <c r="WUY84" s="798"/>
      <c r="WUZ84" s="798"/>
      <c r="WVA84" s="798"/>
      <c r="WVB84" s="798"/>
      <c r="WVC84" s="798"/>
      <c r="WVD84" s="798"/>
      <c r="WVE84" s="798"/>
      <c r="WVF84" s="798"/>
      <c r="WVG84" s="798"/>
      <c r="WVH84" s="798"/>
      <c r="WVI84" s="798"/>
      <c r="WVJ84" s="798"/>
      <c r="WVK84" s="798"/>
      <c r="WVL84" s="798"/>
      <c r="WVM84" s="798"/>
      <c r="WVN84" s="798"/>
      <c r="WVO84" s="798"/>
      <c r="WVP84" s="798"/>
      <c r="WVQ84" s="798"/>
      <c r="WVR84" s="798"/>
      <c r="WVS84" s="798"/>
      <c r="WVT84" s="798"/>
      <c r="WVU84" s="798"/>
      <c r="WVV84" s="798"/>
      <c r="WVW84" s="798"/>
      <c r="WVX84" s="798"/>
      <c r="WVY84" s="798"/>
      <c r="WVZ84" s="798"/>
      <c r="WWA84" s="798"/>
      <c r="WWB84" s="798"/>
      <c r="WWC84" s="798"/>
      <c r="WWD84" s="798"/>
      <c r="WWE84" s="798"/>
      <c r="WWF84" s="798"/>
      <c r="WWG84" s="798"/>
      <c r="WWH84" s="798"/>
      <c r="WWI84" s="798"/>
      <c r="WWJ84" s="798"/>
      <c r="WWK84" s="798"/>
      <c r="WWL84" s="798"/>
      <c r="WWM84" s="798"/>
      <c r="WWN84" s="798"/>
      <c r="WWO84" s="798"/>
      <c r="WWP84" s="798"/>
      <c r="WWQ84" s="798"/>
      <c r="WWR84" s="798"/>
      <c r="WWS84" s="798"/>
      <c r="WWT84" s="798"/>
      <c r="WWU84" s="798"/>
      <c r="WWV84" s="798"/>
      <c r="WWW84" s="798"/>
      <c r="WWX84" s="798"/>
      <c r="WWY84" s="798"/>
      <c r="WWZ84" s="798"/>
      <c r="WXA84" s="798"/>
      <c r="WXB84" s="798"/>
      <c r="WXC84" s="798"/>
      <c r="WXD84" s="798"/>
      <c r="WXE84" s="798"/>
      <c r="WXF84" s="798"/>
      <c r="WXG84" s="798"/>
      <c r="WXH84" s="798"/>
      <c r="WXI84" s="798"/>
      <c r="WXJ84" s="798"/>
      <c r="WXK84" s="798"/>
      <c r="WXL84" s="798"/>
      <c r="WXM84" s="798"/>
      <c r="WXN84" s="798"/>
      <c r="WXO84" s="798"/>
      <c r="WXP84" s="798"/>
      <c r="WXQ84" s="798"/>
      <c r="WXR84" s="798"/>
      <c r="WXS84" s="798"/>
      <c r="WXT84" s="798"/>
      <c r="WXU84" s="798"/>
      <c r="WXV84" s="798"/>
      <c r="WXW84" s="798"/>
      <c r="WXX84" s="798"/>
      <c r="WXY84" s="798"/>
      <c r="WXZ84" s="798"/>
      <c r="WYA84" s="798"/>
      <c r="WYB84" s="798"/>
      <c r="WYC84" s="798"/>
      <c r="WYD84" s="798"/>
      <c r="WYE84" s="798"/>
      <c r="WYF84" s="798"/>
      <c r="WYG84" s="798"/>
      <c r="WYH84" s="798"/>
      <c r="WYI84" s="798"/>
      <c r="WYJ84" s="798"/>
      <c r="WYK84" s="798"/>
      <c r="WYL84" s="798"/>
      <c r="WYM84" s="798"/>
      <c r="WYN84" s="798"/>
      <c r="WYO84" s="798"/>
      <c r="WYP84" s="798"/>
      <c r="WYQ84" s="798"/>
      <c r="WYR84" s="798"/>
      <c r="WYS84" s="798"/>
      <c r="WYT84" s="798"/>
      <c r="WYU84" s="798"/>
      <c r="WYV84" s="798"/>
      <c r="WYW84" s="798"/>
      <c r="WYX84" s="798"/>
      <c r="WYY84" s="798"/>
      <c r="WYZ84" s="798"/>
      <c r="WZA84" s="798"/>
      <c r="WZB84" s="798"/>
      <c r="WZC84" s="798"/>
      <c r="WZD84" s="798"/>
      <c r="WZE84" s="798"/>
      <c r="WZF84" s="798"/>
      <c r="WZG84" s="798"/>
      <c r="WZH84" s="798"/>
      <c r="WZI84" s="798"/>
      <c r="WZJ84" s="798"/>
      <c r="WZK84" s="798"/>
      <c r="WZL84" s="798"/>
      <c r="WZM84" s="798"/>
      <c r="WZN84" s="798"/>
      <c r="WZO84" s="798"/>
      <c r="WZP84" s="798"/>
      <c r="WZQ84" s="798"/>
      <c r="WZR84" s="798"/>
      <c r="WZS84" s="798"/>
      <c r="WZT84" s="798"/>
      <c r="WZU84" s="798"/>
      <c r="WZV84" s="798"/>
      <c r="WZW84" s="798"/>
      <c r="WZX84" s="798"/>
      <c r="WZY84" s="798"/>
      <c r="WZZ84" s="798"/>
      <c r="XAA84" s="798"/>
      <c r="XAB84" s="798"/>
      <c r="XAC84" s="798"/>
      <c r="XAD84" s="798"/>
      <c r="XAE84" s="798"/>
      <c r="XAF84" s="798"/>
      <c r="XAG84" s="798"/>
      <c r="XAH84" s="798"/>
      <c r="XAI84" s="798"/>
      <c r="XAJ84" s="798"/>
      <c r="XAK84" s="798"/>
      <c r="XAL84" s="798"/>
      <c r="XAM84" s="798"/>
      <c r="XAN84" s="798"/>
      <c r="XAO84" s="798"/>
      <c r="XAP84" s="798"/>
      <c r="XAQ84" s="798"/>
      <c r="XAR84" s="798"/>
      <c r="XAS84" s="798"/>
      <c r="XAT84" s="798"/>
      <c r="XAU84" s="798"/>
      <c r="XAV84" s="798"/>
      <c r="XAW84" s="798"/>
      <c r="XAX84" s="798"/>
      <c r="XAY84" s="798"/>
      <c r="XAZ84" s="798"/>
      <c r="XBA84" s="798"/>
      <c r="XBB84" s="798"/>
      <c r="XBC84" s="798"/>
      <c r="XBD84" s="798"/>
    </row>
    <row r="85" spans="1:16280" ht="28.8" x14ac:dyDescent="0.3">
      <c r="A85" s="212">
        <v>82</v>
      </c>
      <c r="B85" s="212"/>
      <c r="C85" s="212" t="s">
        <v>417</v>
      </c>
      <c r="D85" s="212" t="s">
        <v>639</v>
      </c>
      <c r="E85" s="212" t="s">
        <v>677</v>
      </c>
      <c r="F85" s="489" t="s">
        <v>975</v>
      </c>
      <c r="G85" s="212" t="s">
        <v>941</v>
      </c>
      <c r="H85" s="276" t="s">
        <v>35</v>
      </c>
      <c r="I85" s="276" t="s">
        <v>414</v>
      </c>
      <c r="J85" s="276" t="s">
        <v>615</v>
      </c>
      <c r="K85" s="277" t="s">
        <v>642</v>
      </c>
      <c r="L85" s="277"/>
      <c r="M85" s="277"/>
      <c r="N85" s="374" t="s">
        <v>635</v>
      </c>
      <c r="O85" s="281"/>
      <c r="P85" s="291" t="s">
        <v>801</v>
      </c>
      <c r="Q85" s="192"/>
      <c r="R85" s="192"/>
      <c r="S85" s="192"/>
      <c r="T85" s="190"/>
      <c r="U85" s="190"/>
      <c r="V85" s="190"/>
      <c r="W85" s="190"/>
      <c r="X85" s="190"/>
      <c r="Y85" s="190"/>
      <c r="Z85" s="190"/>
      <c r="AA85" s="190"/>
      <c r="AB85" s="190"/>
      <c r="AC85" s="798"/>
      <c r="AD85" s="798"/>
      <c r="AE85" s="798"/>
      <c r="AF85" s="798"/>
      <c r="AG85" s="798"/>
      <c r="AH85" s="798"/>
      <c r="AI85" s="798"/>
      <c r="AJ85" s="798"/>
      <c r="AK85" s="798"/>
      <c r="AL85" s="798"/>
      <c r="AM85" s="798"/>
      <c r="AN85" s="798"/>
      <c r="AO85" s="798"/>
      <c r="AP85" s="798"/>
      <c r="AQ85" s="798"/>
      <c r="AR85" s="798"/>
      <c r="AS85" s="798"/>
      <c r="AT85" s="798"/>
      <c r="AU85" s="798"/>
      <c r="AV85" s="798"/>
      <c r="AW85" s="798"/>
      <c r="AX85" s="798"/>
      <c r="AY85" s="798"/>
      <c r="AZ85" s="798"/>
      <c r="BA85" s="798"/>
      <c r="BB85" s="798"/>
      <c r="BC85" s="798"/>
      <c r="BD85" s="798"/>
      <c r="BE85" s="798"/>
      <c r="BF85" s="798"/>
      <c r="BG85" s="798"/>
      <c r="BH85" s="798"/>
      <c r="BI85" s="798"/>
      <c r="BJ85" s="798"/>
      <c r="BK85" s="798"/>
      <c r="BL85" s="798"/>
      <c r="BM85" s="798"/>
      <c r="BN85" s="798"/>
      <c r="BO85" s="798"/>
      <c r="BP85" s="798"/>
      <c r="BQ85" s="798"/>
      <c r="BR85" s="798"/>
      <c r="BS85" s="798"/>
      <c r="BT85" s="798"/>
      <c r="BU85" s="798"/>
      <c r="BV85" s="798"/>
      <c r="BW85" s="798"/>
      <c r="BX85" s="798"/>
      <c r="BY85" s="798"/>
      <c r="BZ85" s="798"/>
      <c r="CA85" s="798"/>
      <c r="CB85" s="798"/>
      <c r="CC85" s="798"/>
      <c r="CD85" s="798"/>
      <c r="CE85" s="798"/>
      <c r="CF85" s="798"/>
      <c r="CG85" s="798"/>
      <c r="CH85" s="798"/>
      <c r="CI85" s="798"/>
      <c r="CJ85" s="798"/>
      <c r="CK85" s="798"/>
      <c r="CL85" s="798"/>
      <c r="CM85" s="798"/>
      <c r="CN85" s="798"/>
      <c r="CO85" s="798"/>
      <c r="CP85" s="798"/>
      <c r="CQ85" s="798"/>
      <c r="CR85" s="798"/>
      <c r="CS85" s="798"/>
      <c r="CT85" s="798"/>
      <c r="CU85" s="798"/>
      <c r="CV85" s="798"/>
      <c r="CW85" s="798"/>
      <c r="CX85" s="798"/>
      <c r="CY85" s="798"/>
      <c r="CZ85" s="798"/>
      <c r="DA85" s="798"/>
      <c r="DB85" s="798"/>
      <c r="DC85" s="798"/>
      <c r="DD85" s="798"/>
      <c r="DE85" s="798"/>
      <c r="DF85" s="798"/>
      <c r="DG85" s="798"/>
      <c r="DH85" s="798"/>
      <c r="DI85" s="798"/>
      <c r="DJ85" s="798"/>
      <c r="DK85" s="798"/>
      <c r="DL85" s="798"/>
      <c r="DM85" s="798"/>
      <c r="DN85" s="798"/>
      <c r="DO85" s="798"/>
      <c r="DP85" s="798"/>
      <c r="DQ85" s="798"/>
      <c r="DR85" s="798"/>
      <c r="DS85" s="798"/>
      <c r="DT85" s="798"/>
      <c r="DU85" s="798"/>
      <c r="DV85" s="798"/>
      <c r="DW85" s="798"/>
      <c r="DX85" s="798"/>
      <c r="DY85" s="798"/>
      <c r="DZ85" s="798"/>
      <c r="EA85" s="798"/>
      <c r="EB85" s="798"/>
      <c r="EC85" s="798"/>
      <c r="ED85" s="798"/>
      <c r="EE85" s="798"/>
      <c r="EF85" s="798"/>
      <c r="EG85" s="798"/>
      <c r="EH85" s="798"/>
      <c r="EI85" s="798"/>
      <c r="EJ85" s="798"/>
      <c r="EK85" s="798"/>
      <c r="EL85" s="798"/>
      <c r="EM85" s="798"/>
      <c r="EN85" s="798"/>
      <c r="EO85" s="798"/>
      <c r="EP85" s="798"/>
      <c r="EQ85" s="798"/>
      <c r="ER85" s="798"/>
      <c r="ES85" s="798"/>
      <c r="ET85" s="798"/>
      <c r="EU85" s="798"/>
      <c r="EV85" s="798"/>
      <c r="EW85" s="798"/>
      <c r="EX85" s="798"/>
      <c r="EY85" s="798"/>
      <c r="EZ85" s="798"/>
      <c r="FA85" s="798"/>
      <c r="FB85" s="798"/>
      <c r="FC85" s="798"/>
      <c r="FD85" s="798"/>
      <c r="FE85" s="798"/>
      <c r="FF85" s="798"/>
      <c r="FG85" s="798"/>
      <c r="FH85" s="798"/>
      <c r="FI85" s="798"/>
      <c r="FJ85" s="798"/>
      <c r="FK85" s="798"/>
      <c r="FL85" s="798"/>
      <c r="FM85" s="798"/>
      <c r="FN85" s="798"/>
      <c r="FO85" s="798"/>
      <c r="FP85" s="798"/>
      <c r="FQ85" s="798"/>
      <c r="FR85" s="798"/>
      <c r="FS85" s="798"/>
      <c r="FT85" s="798"/>
      <c r="FU85" s="798"/>
      <c r="FV85" s="798"/>
      <c r="FW85" s="798"/>
      <c r="FX85" s="798"/>
      <c r="FY85" s="798"/>
      <c r="FZ85" s="798"/>
      <c r="GA85" s="798"/>
      <c r="GB85" s="798"/>
      <c r="GC85" s="798"/>
      <c r="GD85" s="798"/>
      <c r="GE85" s="798"/>
      <c r="GF85" s="798"/>
      <c r="GG85" s="798"/>
      <c r="GH85" s="798"/>
      <c r="GI85" s="798"/>
      <c r="GJ85" s="798"/>
      <c r="GK85" s="798"/>
      <c r="GL85" s="798"/>
      <c r="GM85" s="798"/>
      <c r="GN85" s="798"/>
      <c r="GO85" s="798"/>
      <c r="GP85" s="798"/>
      <c r="GQ85" s="798"/>
      <c r="GR85" s="798"/>
      <c r="GS85" s="798"/>
      <c r="GT85" s="798"/>
      <c r="GU85" s="798"/>
      <c r="GV85" s="798"/>
      <c r="GW85" s="798"/>
      <c r="GX85" s="798"/>
      <c r="GY85" s="798"/>
      <c r="GZ85" s="798"/>
      <c r="HA85" s="798"/>
      <c r="HB85" s="798"/>
      <c r="HC85" s="798"/>
      <c r="HD85" s="798"/>
      <c r="HE85" s="798"/>
      <c r="HF85" s="798"/>
      <c r="HG85" s="798"/>
      <c r="HH85" s="798"/>
      <c r="HI85" s="798"/>
      <c r="HJ85" s="798"/>
      <c r="HK85" s="798"/>
      <c r="HL85" s="798"/>
      <c r="HM85" s="798"/>
      <c r="HN85" s="798"/>
      <c r="HO85" s="798"/>
      <c r="HP85" s="798"/>
      <c r="HQ85" s="798"/>
      <c r="HR85" s="798"/>
      <c r="HS85" s="798"/>
      <c r="HT85" s="798"/>
      <c r="HU85" s="798"/>
      <c r="HV85" s="798"/>
      <c r="HW85" s="798"/>
      <c r="HX85" s="798"/>
      <c r="HY85" s="798"/>
      <c r="HZ85" s="798"/>
      <c r="IA85" s="798"/>
      <c r="IB85" s="798"/>
      <c r="IC85" s="798"/>
      <c r="ID85" s="798"/>
      <c r="IE85" s="798"/>
      <c r="IF85" s="798"/>
      <c r="IG85" s="798"/>
      <c r="IH85" s="798"/>
      <c r="II85" s="798"/>
      <c r="IJ85" s="798"/>
      <c r="IK85" s="798"/>
      <c r="IL85" s="798"/>
      <c r="IM85" s="798"/>
      <c r="IN85" s="798"/>
      <c r="IO85" s="798"/>
      <c r="IP85" s="798"/>
      <c r="IQ85" s="798"/>
      <c r="IR85" s="798"/>
      <c r="IS85" s="798"/>
      <c r="IT85" s="798"/>
      <c r="IU85" s="798"/>
      <c r="IV85" s="798"/>
      <c r="IW85" s="798"/>
      <c r="IX85" s="798"/>
      <c r="IY85" s="798"/>
      <c r="IZ85" s="798"/>
      <c r="JA85" s="798"/>
      <c r="JB85" s="798"/>
      <c r="JC85" s="798"/>
      <c r="JD85" s="798"/>
      <c r="JE85" s="798"/>
      <c r="JF85" s="798"/>
      <c r="JG85" s="798"/>
      <c r="JH85" s="798"/>
      <c r="JI85" s="798"/>
      <c r="JJ85" s="798"/>
      <c r="JK85" s="798"/>
      <c r="JL85" s="798"/>
      <c r="JM85" s="798"/>
      <c r="JN85" s="798"/>
      <c r="JO85" s="798"/>
      <c r="JP85" s="798"/>
      <c r="JQ85" s="798"/>
      <c r="JR85" s="798"/>
      <c r="JS85" s="798"/>
      <c r="JT85" s="798"/>
      <c r="JU85" s="798"/>
      <c r="JV85" s="798"/>
      <c r="JW85" s="798"/>
      <c r="JX85" s="798"/>
      <c r="JY85" s="798"/>
      <c r="JZ85" s="798"/>
      <c r="KA85" s="798"/>
      <c r="KB85" s="798"/>
      <c r="KC85" s="798"/>
      <c r="KD85" s="798"/>
      <c r="KE85" s="798"/>
      <c r="KF85" s="798"/>
      <c r="KG85" s="798"/>
      <c r="KH85" s="798"/>
      <c r="KI85" s="798"/>
      <c r="KJ85" s="798"/>
      <c r="KK85" s="798"/>
      <c r="KL85" s="798"/>
      <c r="KM85" s="798"/>
      <c r="KN85" s="798"/>
      <c r="KO85" s="798"/>
      <c r="KP85" s="798"/>
      <c r="KQ85" s="798"/>
      <c r="KR85" s="798"/>
      <c r="KS85" s="798"/>
      <c r="KT85" s="798"/>
      <c r="KU85" s="798"/>
      <c r="KV85" s="798"/>
      <c r="KW85" s="798"/>
      <c r="KX85" s="798"/>
      <c r="KY85" s="798"/>
      <c r="KZ85" s="798"/>
      <c r="LA85" s="798"/>
      <c r="LB85" s="798"/>
      <c r="LC85" s="798"/>
      <c r="LD85" s="798"/>
      <c r="LE85" s="798"/>
      <c r="LF85" s="798"/>
      <c r="LG85" s="798"/>
      <c r="LH85" s="798"/>
      <c r="LI85" s="798"/>
      <c r="LJ85" s="798"/>
      <c r="LK85" s="798"/>
      <c r="LL85" s="798"/>
      <c r="LM85" s="798"/>
      <c r="LN85" s="798"/>
      <c r="LO85" s="798"/>
      <c r="LP85" s="798"/>
      <c r="LQ85" s="798"/>
      <c r="LR85" s="798"/>
      <c r="LS85" s="798"/>
      <c r="LT85" s="798"/>
      <c r="LU85" s="798"/>
      <c r="LV85" s="798"/>
      <c r="LW85" s="798"/>
      <c r="LX85" s="798"/>
      <c r="LY85" s="798"/>
      <c r="LZ85" s="798"/>
      <c r="MA85" s="798"/>
      <c r="MB85" s="798"/>
      <c r="MC85" s="798"/>
      <c r="MD85" s="798"/>
      <c r="ME85" s="798"/>
      <c r="MF85" s="798"/>
      <c r="MG85" s="798"/>
      <c r="MH85" s="798"/>
      <c r="MI85" s="798"/>
      <c r="MJ85" s="798"/>
      <c r="MK85" s="798"/>
      <c r="ML85" s="798"/>
      <c r="MM85" s="798"/>
      <c r="MN85" s="798"/>
      <c r="MO85" s="798"/>
      <c r="MP85" s="798"/>
      <c r="MQ85" s="798"/>
      <c r="MR85" s="798"/>
      <c r="MS85" s="798"/>
      <c r="MT85" s="798"/>
      <c r="MU85" s="798"/>
      <c r="MV85" s="798"/>
      <c r="MW85" s="798"/>
      <c r="MX85" s="798"/>
      <c r="MY85" s="798"/>
      <c r="MZ85" s="798"/>
      <c r="NA85" s="798"/>
      <c r="NB85" s="798"/>
      <c r="NC85" s="798"/>
      <c r="ND85" s="798"/>
      <c r="NE85" s="798"/>
      <c r="NF85" s="798"/>
      <c r="NG85" s="798"/>
      <c r="NH85" s="798"/>
      <c r="NI85" s="798"/>
      <c r="NJ85" s="798"/>
      <c r="NK85" s="798"/>
      <c r="NL85" s="798"/>
      <c r="NM85" s="798"/>
      <c r="NN85" s="798"/>
      <c r="NO85" s="798"/>
      <c r="NP85" s="798"/>
      <c r="NQ85" s="798"/>
      <c r="NR85" s="798"/>
      <c r="NS85" s="798"/>
      <c r="NT85" s="798"/>
      <c r="NU85" s="798"/>
      <c r="NV85" s="798"/>
      <c r="NW85" s="798"/>
      <c r="NX85" s="798"/>
      <c r="NY85" s="798"/>
      <c r="NZ85" s="798"/>
      <c r="OA85" s="798"/>
      <c r="OB85" s="798"/>
      <c r="OC85" s="798"/>
      <c r="OD85" s="798"/>
      <c r="OE85" s="798"/>
      <c r="OF85" s="798"/>
      <c r="OG85" s="798"/>
      <c r="OH85" s="798"/>
      <c r="OI85" s="798"/>
      <c r="OJ85" s="798"/>
      <c r="OK85" s="798"/>
      <c r="OL85" s="798"/>
      <c r="OM85" s="798"/>
      <c r="ON85" s="798"/>
      <c r="OO85" s="798"/>
      <c r="OP85" s="798"/>
      <c r="OQ85" s="798"/>
      <c r="OR85" s="798"/>
      <c r="OS85" s="798"/>
      <c r="OT85" s="798"/>
      <c r="OU85" s="798"/>
      <c r="OV85" s="798"/>
      <c r="OW85" s="798"/>
      <c r="OX85" s="798"/>
      <c r="OY85" s="798"/>
      <c r="OZ85" s="798"/>
      <c r="PA85" s="798"/>
      <c r="PB85" s="798"/>
      <c r="PC85" s="798"/>
      <c r="PD85" s="798"/>
      <c r="PE85" s="798"/>
      <c r="PF85" s="798"/>
      <c r="PG85" s="798"/>
      <c r="PH85" s="798"/>
      <c r="PI85" s="798"/>
      <c r="PJ85" s="798"/>
      <c r="PK85" s="798"/>
      <c r="PL85" s="798"/>
      <c r="PM85" s="798"/>
      <c r="PN85" s="798"/>
      <c r="PO85" s="798"/>
      <c r="PP85" s="798"/>
      <c r="PQ85" s="798"/>
      <c r="PR85" s="798"/>
      <c r="PS85" s="798"/>
      <c r="PT85" s="798"/>
      <c r="PU85" s="798"/>
      <c r="PV85" s="798"/>
      <c r="PW85" s="798"/>
      <c r="PX85" s="798"/>
      <c r="PY85" s="798"/>
      <c r="PZ85" s="798"/>
      <c r="QA85" s="798"/>
      <c r="QB85" s="798"/>
      <c r="QC85" s="798"/>
      <c r="QD85" s="798"/>
      <c r="QE85" s="798"/>
      <c r="QF85" s="798"/>
      <c r="QG85" s="798"/>
      <c r="QH85" s="798"/>
      <c r="QI85" s="798"/>
      <c r="QJ85" s="798"/>
      <c r="QK85" s="798"/>
      <c r="QL85" s="798"/>
      <c r="QM85" s="798"/>
      <c r="QN85" s="798"/>
      <c r="QO85" s="798"/>
      <c r="QP85" s="798"/>
      <c r="QQ85" s="798"/>
      <c r="QR85" s="798"/>
      <c r="QS85" s="798"/>
      <c r="QT85" s="798"/>
      <c r="QU85" s="798"/>
      <c r="QV85" s="798"/>
      <c r="QW85" s="798"/>
      <c r="QX85" s="798"/>
      <c r="QY85" s="798"/>
      <c r="QZ85" s="798"/>
      <c r="RA85" s="798"/>
      <c r="RB85" s="798"/>
      <c r="RC85" s="798"/>
      <c r="RD85" s="798"/>
      <c r="RE85" s="798"/>
      <c r="RF85" s="798"/>
      <c r="RG85" s="798"/>
      <c r="RH85" s="798"/>
      <c r="RI85" s="798"/>
      <c r="RJ85" s="798"/>
      <c r="RK85" s="798"/>
      <c r="RL85" s="798"/>
      <c r="RM85" s="798"/>
      <c r="RN85" s="798"/>
      <c r="RO85" s="798"/>
      <c r="RP85" s="798"/>
      <c r="RQ85" s="798"/>
      <c r="RR85" s="798"/>
      <c r="RS85" s="798"/>
      <c r="RT85" s="798"/>
      <c r="RU85" s="798"/>
      <c r="RV85" s="798"/>
      <c r="RW85" s="798"/>
      <c r="RX85" s="798"/>
      <c r="RY85" s="798"/>
      <c r="RZ85" s="798"/>
      <c r="SA85" s="798"/>
      <c r="SB85" s="798"/>
      <c r="SC85" s="798"/>
      <c r="SD85" s="798"/>
      <c r="SE85" s="798"/>
      <c r="SF85" s="798"/>
      <c r="SG85" s="798"/>
      <c r="SH85" s="798"/>
      <c r="SI85" s="798"/>
      <c r="SJ85" s="798"/>
      <c r="SK85" s="798"/>
      <c r="SL85" s="798"/>
      <c r="SM85" s="798"/>
      <c r="SN85" s="798"/>
      <c r="SO85" s="798"/>
      <c r="SP85" s="798"/>
      <c r="SQ85" s="798"/>
      <c r="SR85" s="798"/>
      <c r="SS85" s="798"/>
      <c r="ST85" s="798"/>
      <c r="SU85" s="798"/>
      <c r="SV85" s="798"/>
      <c r="SW85" s="798"/>
      <c r="SX85" s="798"/>
      <c r="SY85" s="798"/>
      <c r="SZ85" s="798"/>
      <c r="TA85" s="798"/>
      <c r="TB85" s="798"/>
      <c r="TC85" s="798"/>
      <c r="TD85" s="798"/>
      <c r="TE85" s="798"/>
      <c r="TF85" s="798"/>
      <c r="TG85" s="798"/>
      <c r="TH85" s="798"/>
      <c r="TI85" s="798"/>
      <c r="TJ85" s="798"/>
      <c r="TK85" s="798"/>
      <c r="TL85" s="798"/>
      <c r="TM85" s="798"/>
      <c r="TN85" s="798"/>
      <c r="TO85" s="798"/>
      <c r="TP85" s="798"/>
      <c r="TQ85" s="798"/>
      <c r="TR85" s="798"/>
      <c r="TS85" s="798"/>
      <c r="TT85" s="798"/>
      <c r="TU85" s="798"/>
      <c r="TV85" s="798"/>
      <c r="TW85" s="798"/>
      <c r="TX85" s="798"/>
      <c r="TY85" s="798"/>
      <c r="TZ85" s="798"/>
      <c r="UA85" s="798"/>
      <c r="UB85" s="798"/>
      <c r="UC85" s="798"/>
      <c r="UD85" s="798"/>
      <c r="UE85" s="798"/>
      <c r="UF85" s="798"/>
      <c r="UG85" s="798"/>
      <c r="UH85" s="798"/>
      <c r="UI85" s="798"/>
      <c r="UJ85" s="798"/>
      <c r="UK85" s="798"/>
      <c r="UL85" s="798"/>
      <c r="UM85" s="798"/>
      <c r="UN85" s="798"/>
      <c r="UO85" s="798"/>
      <c r="UP85" s="798"/>
      <c r="UQ85" s="798"/>
      <c r="UR85" s="798"/>
      <c r="US85" s="798"/>
      <c r="UT85" s="798"/>
      <c r="UU85" s="798"/>
      <c r="UV85" s="798"/>
      <c r="UW85" s="798"/>
      <c r="UX85" s="798"/>
      <c r="UY85" s="798"/>
      <c r="UZ85" s="798"/>
      <c r="VA85" s="798"/>
      <c r="VB85" s="798"/>
      <c r="VC85" s="798"/>
      <c r="VD85" s="798"/>
      <c r="VE85" s="798"/>
      <c r="VF85" s="798"/>
      <c r="VG85" s="798"/>
      <c r="VH85" s="798"/>
      <c r="VI85" s="798"/>
      <c r="VJ85" s="798"/>
      <c r="VK85" s="798"/>
      <c r="VL85" s="798"/>
      <c r="VM85" s="798"/>
      <c r="VN85" s="798"/>
      <c r="VO85" s="798"/>
      <c r="VP85" s="798"/>
      <c r="VQ85" s="798"/>
      <c r="VR85" s="798"/>
      <c r="VS85" s="798"/>
      <c r="VT85" s="798"/>
      <c r="VU85" s="798"/>
      <c r="VV85" s="798"/>
      <c r="VW85" s="798"/>
      <c r="VX85" s="798"/>
      <c r="VY85" s="798"/>
      <c r="VZ85" s="798"/>
      <c r="WA85" s="798"/>
      <c r="WB85" s="798"/>
      <c r="WC85" s="798"/>
      <c r="WD85" s="798"/>
      <c r="WE85" s="798"/>
      <c r="WF85" s="798"/>
      <c r="WG85" s="798"/>
      <c r="WH85" s="798"/>
      <c r="WI85" s="798"/>
      <c r="WJ85" s="798"/>
      <c r="WK85" s="798"/>
      <c r="WL85" s="798"/>
      <c r="WM85" s="798"/>
      <c r="WN85" s="798"/>
      <c r="WO85" s="798"/>
      <c r="WP85" s="798"/>
      <c r="WQ85" s="798"/>
      <c r="WR85" s="798"/>
      <c r="WS85" s="798"/>
      <c r="WT85" s="798"/>
      <c r="WU85" s="798"/>
      <c r="WV85" s="798"/>
      <c r="WW85" s="798"/>
      <c r="WX85" s="798"/>
      <c r="WY85" s="798"/>
      <c r="WZ85" s="798"/>
      <c r="XA85" s="798"/>
      <c r="XB85" s="798"/>
      <c r="XC85" s="798"/>
      <c r="XD85" s="798"/>
      <c r="XE85" s="798"/>
      <c r="XF85" s="798"/>
      <c r="XG85" s="798"/>
      <c r="XH85" s="798"/>
      <c r="XI85" s="798"/>
      <c r="XJ85" s="798"/>
      <c r="XK85" s="798"/>
      <c r="XL85" s="798"/>
      <c r="XM85" s="798"/>
      <c r="XN85" s="798"/>
      <c r="XO85" s="798"/>
      <c r="XP85" s="798"/>
      <c r="XQ85" s="798"/>
      <c r="XR85" s="798"/>
      <c r="XS85" s="798"/>
      <c r="XT85" s="798"/>
      <c r="XU85" s="798"/>
      <c r="XV85" s="798"/>
      <c r="XW85" s="798"/>
      <c r="XX85" s="798"/>
      <c r="XY85" s="798"/>
      <c r="XZ85" s="798"/>
      <c r="YA85" s="798"/>
      <c r="YB85" s="798"/>
      <c r="YC85" s="798"/>
      <c r="YD85" s="798"/>
      <c r="YE85" s="798"/>
      <c r="YF85" s="798"/>
      <c r="YG85" s="798"/>
      <c r="YH85" s="798"/>
      <c r="YI85" s="798"/>
      <c r="YJ85" s="798"/>
      <c r="YK85" s="798"/>
      <c r="YL85" s="798"/>
      <c r="YM85" s="798"/>
      <c r="YN85" s="798"/>
      <c r="YO85" s="798"/>
      <c r="YP85" s="798"/>
      <c r="YQ85" s="798"/>
      <c r="YR85" s="798"/>
      <c r="YS85" s="798"/>
      <c r="YT85" s="798"/>
      <c r="YU85" s="798"/>
      <c r="YV85" s="798"/>
      <c r="YW85" s="798"/>
      <c r="YX85" s="798"/>
      <c r="YY85" s="798"/>
      <c r="YZ85" s="798"/>
      <c r="ZA85" s="798"/>
      <c r="ZB85" s="798"/>
      <c r="ZC85" s="798"/>
      <c r="ZD85" s="798"/>
      <c r="ZE85" s="798"/>
      <c r="ZF85" s="798"/>
      <c r="ZG85" s="798"/>
      <c r="ZH85" s="798"/>
      <c r="ZI85" s="798"/>
      <c r="ZJ85" s="798"/>
      <c r="ZK85" s="798"/>
      <c r="ZL85" s="798"/>
      <c r="ZM85" s="798"/>
      <c r="ZN85" s="798"/>
      <c r="ZO85" s="798"/>
      <c r="ZP85" s="798"/>
      <c r="ZQ85" s="798"/>
      <c r="ZR85" s="798"/>
      <c r="ZS85" s="798"/>
      <c r="ZT85" s="798"/>
      <c r="ZU85" s="798"/>
      <c r="ZV85" s="798"/>
      <c r="ZW85" s="798"/>
      <c r="ZX85" s="798"/>
      <c r="ZY85" s="798"/>
      <c r="ZZ85" s="798"/>
      <c r="AAA85" s="798"/>
      <c r="AAB85" s="798"/>
      <c r="AAC85" s="798"/>
      <c r="AAD85" s="798"/>
      <c r="AAE85" s="798"/>
      <c r="AAF85" s="798"/>
      <c r="AAG85" s="798"/>
      <c r="AAH85" s="798"/>
      <c r="AAI85" s="798"/>
      <c r="AAJ85" s="798"/>
      <c r="AAK85" s="798"/>
      <c r="AAL85" s="798"/>
      <c r="AAM85" s="798"/>
      <c r="AAN85" s="798"/>
      <c r="AAO85" s="798"/>
      <c r="AAP85" s="798"/>
      <c r="AAQ85" s="798"/>
      <c r="AAR85" s="798"/>
      <c r="AAS85" s="798"/>
      <c r="AAT85" s="798"/>
      <c r="AAU85" s="798"/>
      <c r="AAV85" s="798"/>
      <c r="AAW85" s="798"/>
      <c r="AAX85" s="798"/>
      <c r="AAY85" s="798"/>
      <c r="AAZ85" s="798"/>
      <c r="ABA85" s="798"/>
      <c r="ABB85" s="798"/>
      <c r="ABC85" s="798"/>
      <c r="ABD85" s="798"/>
      <c r="ABE85" s="798"/>
      <c r="ABF85" s="798"/>
      <c r="ABG85" s="798"/>
      <c r="ABH85" s="798"/>
      <c r="ABI85" s="798"/>
      <c r="ABJ85" s="798"/>
      <c r="ABK85" s="798"/>
      <c r="ABL85" s="798"/>
      <c r="ABM85" s="798"/>
      <c r="ABN85" s="798"/>
      <c r="ABO85" s="798"/>
      <c r="ABP85" s="798"/>
      <c r="ABQ85" s="798"/>
      <c r="ABR85" s="798"/>
      <c r="ABS85" s="798"/>
      <c r="ABT85" s="798"/>
      <c r="ABU85" s="798"/>
      <c r="ABV85" s="798"/>
      <c r="ABW85" s="798"/>
      <c r="ABX85" s="798"/>
      <c r="ABY85" s="798"/>
      <c r="ABZ85" s="798"/>
      <c r="ACA85" s="798"/>
      <c r="ACB85" s="798"/>
      <c r="ACC85" s="798"/>
      <c r="ACD85" s="798"/>
      <c r="ACE85" s="798"/>
      <c r="ACF85" s="798"/>
      <c r="ACG85" s="798"/>
      <c r="ACH85" s="798"/>
      <c r="ACI85" s="798"/>
      <c r="ACJ85" s="798"/>
      <c r="ACK85" s="798"/>
      <c r="ACL85" s="798"/>
      <c r="ACM85" s="798"/>
      <c r="ACN85" s="798"/>
      <c r="ACO85" s="798"/>
      <c r="ACP85" s="798"/>
      <c r="ACQ85" s="798"/>
      <c r="ACR85" s="798"/>
      <c r="ACS85" s="798"/>
      <c r="ACT85" s="798"/>
      <c r="ACU85" s="798"/>
      <c r="ACV85" s="798"/>
      <c r="ACW85" s="798"/>
      <c r="ACX85" s="798"/>
      <c r="ACY85" s="798"/>
      <c r="ACZ85" s="798"/>
      <c r="ADA85" s="798"/>
      <c r="ADB85" s="798"/>
      <c r="ADC85" s="798"/>
      <c r="ADD85" s="798"/>
      <c r="ADE85" s="798"/>
      <c r="ADF85" s="798"/>
      <c r="ADG85" s="798"/>
      <c r="ADH85" s="798"/>
      <c r="ADI85" s="798"/>
      <c r="ADJ85" s="798"/>
      <c r="ADK85" s="798"/>
      <c r="ADL85" s="798"/>
      <c r="ADM85" s="798"/>
      <c r="ADN85" s="798"/>
      <c r="ADO85" s="798"/>
      <c r="ADP85" s="798"/>
      <c r="ADQ85" s="798"/>
      <c r="ADR85" s="798"/>
      <c r="ADS85" s="798"/>
      <c r="ADT85" s="798"/>
      <c r="ADU85" s="798"/>
      <c r="ADV85" s="798"/>
      <c r="ADW85" s="798"/>
      <c r="ADX85" s="798"/>
      <c r="ADY85" s="798"/>
      <c r="ADZ85" s="798"/>
      <c r="AEA85" s="798"/>
      <c r="AEB85" s="798"/>
      <c r="AEC85" s="798"/>
      <c r="AED85" s="798"/>
      <c r="AEE85" s="798"/>
      <c r="AEF85" s="798"/>
      <c r="AEG85" s="798"/>
      <c r="AEH85" s="798"/>
      <c r="AEI85" s="798"/>
      <c r="AEJ85" s="798"/>
      <c r="AEK85" s="798"/>
      <c r="AEL85" s="798"/>
      <c r="AEM85" s="798"/>
      <c r="AEN85" s="798"/>
      <c r="AEO85" s="798"/>
      <c r="AEP85" s="798"/>
      <c r="AEQ85" s="798"/>
      <c r="AER85" s="798"/>
      <c r="AES85" s="798"/>
      <c r="AET85" s="798"/>
      <c r="AEU85" s="798"/>
      <c r="AEV85" s="798"/>
      <c r="AEW85" s="798"/>
      <c r="AEX85" s="798"/>
      <c r="AEY85" s="798"/>
      <c r="AEZ85" s="798"/>
      <c r="AFA85" s="798"/>
      <c r="AFB85" s="798"/>
      <c r="AFC85" s="798"/>
      <c r="AFD85" s="798"/>
      <c r="AFE85" s="798"/>
      <c r="AFF85" s="798"/>
      <c r="AFG85" s="798"/>
      <c r="AFH85" s="798"/>
      <c r="AFI85" s="798"/>
      <c r="AFJ85" s="798"/>
      <c r="AFK85" s="798"/>
      <c r="AFL85" s="798"/>
      <c r="AFM85" s="798"/>
      <c r="AFN85" s="798"/>
      <c r="AFO85" s="798"/>
      <c r="AFP85" s="798"/>
      <c r="AFQ85" s="798"/>
      <c r="AFR85" s="798"/>
      <c r="AFS85" s="798"/>
      <c r="AFT85" s="798"/>
      <c r="AFU85" s="798"/>
      <c r="AFV85" s="798"/>
      <c r="AFW85" s="798"/>
      <c r="AFX85" s="798"/>
      <c r="AFY85" s="798"/>
      <c r="AFZ85" s="798"/>
      <c r="AGA85" s="798"/>
      <c r="AGB85" s="798"/>
      <c r="AGC85" s="798"/>
      <c r="AGD85" s="798"/>
      <c r="AGE85" s="798"/>
      <c r="AGF85" s="798"/>
      <c r="AGG85" s="798"/>
      <c r="AGH85" s="798"/>
      <c r="AGI85" s="798"/>
      <c r="AGJ85" s="798"/>
      <c r="AGK85" s="798"/>
      <c r="AGL85" s="798"/>
      <c r="AGM85" s="798"/>
      <c r="AGN85" s="798"/>
      <c r="AGO85" s="798"/>
      <c r="AGP85" s="798"/>
      <c r="AGQ85" s="798"/>
      <c r="AGR85" s="798"/>
      <c r="AGS85" s="798"/>
      <c r="AGT85" s="798"/>
      <c r="AGU85" s="798"/>
      <c r="AGV85" s="798"/>
      <c r="AGW85" s="798"/>
      <c r="AGX85" s="798"/>
      <c r="AGY85" s="798"/>
      <c r="AGZ85" s="798"/>
      <c r="AHA85" s="798"/>
      <c r="AHB85" s="798"/>
      <c r="AHC85" s="798"/>
      <c r="AHD85" s="798"/>
      <c r="AHE85" s="798"/>
      <c r="AHF85" s="798"/>
      <c r="AHG85" s="798"/>
      <c r="AHH85" s="798"/>
      <c r="AHI85" s="798"/>
      <c r="AHJ85" s="798"/>
      <c r="AHK85" s="798"/>
      <c r="AHL85" s="798"/>
      <c r="AHM85" s="798"/>
      <c r="AHN85" s="798"/>
      <c r="AHO85" s="798"/>
      <c r="AHP85" s="798"/>
      <c r="AHQ85" s="798"/>
      <c r="AHR85" s="798"/>
      <c r="AHS85" s="798"/>
      <c r="AHT85" s="798"/>
      <c r="AHU85" s="798"/>
      <c r="AHV85" s="798"/>
      <c r="AHW85" s="798"/>
      <c r="AHX85" s="798"/>
      <c r="AHY85" s="798"/>
      <c r="AHZ85" s="798"/>
      <c r="AIA85" s="798"/>
      <c r="AIB85" s="798"/>
      <c r="AIC85" s="798"/>
      <c r="AID85" s="798"/>
      <c r="AIE85" s="798"/>
      <c r="AIF85" s="798"/>
      <c r="AIG85" s="798"/>
      <c r="AIH85" s="798"/>
      <c r="AII85" s="798"/>
      <c r="AIJ85" s="798"/>
      <c r="AIK85" s="798"/>
      <c r="AIL85" s="798"/>
      <c r="AIM85" s="798"/>
      <c r="AIN85" s="798"/>
      <c r="AIO85" s="798"/>
      <c r="AIP85" s="798"/>
      <c r="AIQ85" s="798"/>
      <c r="AIR85" s="798"/>
      <c r="AIS85" s="798"/>
      <c r="AIT85" s="798"/>
      <c r="AIU85" s="798"/>
      <c r="AIV85" s="798"/>
      <c r="AIW85" s="798"/>
      <c r="AIX85" s="798"/>
      <c r="AIY85" s="798"/>
      <c r="AIZ85" s="798"/>
      <c r="AJA85" s="798"/>
      <c r="AJB85" s="798"/>
      <c r="AJC85" s="798"/>
      <c r="AJD85" s="798"/>
      <c r="AJE85" s="798"/>
      <c r="AJF85" s="798"/>
      <c r="AJG85" s="798"/>
      <c r="AJH85" s="798"/>
      <c r="AJI85" s="798"/>
      <c r="AJJ85" s="798"/>
      <c r="AJK85" s="798"/>
      <c r="AJL85" s="798"/>
      <c r="AJM85" s="798"/>
      <c r="AJN85" s="798"/>
      <c r="AJO85" s="798"/>
      <c r="AJP85" s="798"/>
      <c r="AJQ85" s="798"/>
      <c r="AJR85" s="798"/>
      <c r="AJS85" s="798"/>
      <c r="AJT85" s="798"/>
      <c r="AJU85" s="798"/>
      <c r="AJV85" s="798"/>
      <c r="AJW85" s="798"/>
      <c r="AJX85" s="798"/>
      <c r="AJY85" s="798"/>
      <c r="AJZ85" s="798"/>
      <c r="AKA85" s="798"/>
      <c r="AKB85" s="798"/>
      <c r="AKC85" s="798"/>
      <c r="AKD85" s="798"/>
      <c r="AKE85" s="798"/>
      <c r="AKF85" s="798"/>
      <c r="AKG85" s="798"/>
      <c r="AKH85" s="798"/>
      <c r="AKI85" s="798"/>
      <c r="AKJ85" s="798"/>
      <c r="AKK85" s="798"/>
      <c r="AKL85" s="798"/>
      <c r="AKM85" s="798"/>
      <c r="AKN85" s="798"/>
      <c r="AKO85" s="798"/>
      <c r="AKP85" s="798"/>
      <c r="AKQ85" s="798"/>
      <c r="AKR85" s="798"/>
      <c r="AKS85" s="798"/>
      <c r="AKT85" s="798"/>
      <c r="AKU85" s="798"/>
      <c r="AKV85" s="798"/>
      <c r="AKW85" s="798"/>
      <c r="AKX85" s="798"/>
      <c r="AKY85" s="798"/>
      <c r="AKZ85" s="798"/>
      <c r="ALA85" s="798"/>
      <c r="ALB85" s="798"/>
      <c r="ALC85" s="798"/>
      <c r="ALD85" s="798"/>
      <c r="ALE85" s="798"/>
      <c r="ALF85" s="798"/>
      <c r="ALG85" s="798"/>
      <c r="ALH85" s="798"/>
      <c r="ALI85" s="798"/>
      <c r="ALJ85" s="798"/>
      <c r="ALK85" s="798"/>
      <c r="ALL85" s="798"/>
      <c r="ALM85" s="798"/>
      <c r="ALN85" s="798"/>
      <c r="ALO85" s="798"/>
      <c r="ALP85" s="798"/>
      <c r="ALQ85" s="798"/>
      <c r="ALR85" s="798"/>
      <c r="ALS85" s="798"/>
      <c r="ALT85" s="798"/>
      <c r="ALU85" s="798"/>
      <c r="ALV85" s="798"/>
      <c r="ALW85" s="798"/>
      <c r="ALX85" s="798"/>
      <c r="ALY85" s="798"/>
      <c r="ALZ85" s="798"/>
      <c r="AMA85" s="798"/>
      <c r="AMB85" s="798"/>
      <c r="AMC85" s="798"/>
      <c r="AMD85" s="798"/>
      <c r="AME85" s="798"/>
      <c r="AMF85" s="798"/>
      <c r="AMG85" s="798"/>
      <c r="AMH85" s="798"/>
      <c r="AMI85" s="798"/>
      <c r="AMJ85" s="798"/>
      <c r="AMK85" s="798"/>
      <c r="AML85" s="798"/>
      <c r="AMM85" s="798"/>
      <c r="AMN85" s="798"/>
      <c r="AMO85" s="798"/>
      <c r="AMP85" s="798"/>
      <c r="AMQ85" s="798"/>
      <c r="AMR85" s="798"/>
      <c r="AMS85" s="798"/>
      <c r="AMT85" s="798"/>
      <c r="AMU85" s="798"/>
      <c r="AMV85" s="798"/>
      <c r="AMW85" s="798"/>
      <c r="AMX85" s="798"/>
      <c r="AMY85" s="798"/>
      <c r="AMZ85" s="798"/>
      <c r="ANA85" s="798"/>
      <c r="ANB85" s="798"/>
      <c r="ANC85" s="798"/>
      <c r="AND85" s="798"/>
      <c r="ANE85" s="798"/>
      <c r="ANF85" s="798"/>
      <c r="ANG85" s="798"/>
      <c r="ANH85" s="798"/>
      <c r="ANI85" s="798"/>
      <c r="ANJ85" s="798"/>
      <c r="ANK85" s="798"/>
      <c r="ANL85" s="798"/>
      <c r="ANM85" s="798"/>
      <c r="ANN85" s="798"/>
      <c r="ANO85" s="798"/>
      <c r="ANP85" s="798"/>
      <c r="ANQ85" s="798"/>
      <c r="ANR85" s="798"/>
      <c r="ANS85" s="798"/>
      <c r="ANT85" s="798"/>
      <c r="ANU85" s="798"/>
      <c r="ANV85" s="798"/>
      <c r="ANW85" s="798"/>
      <c r="ANX85" s="798"/>
      <c r="ANY85" s="798"/>
      <c r="ANZ85" s="798"/>
      <c r="AOA85" s="798"/>
      <c r="AOB85" s="798"/>
      <c r="AOC85" s="798"/>
      <c r="AOD85" s="798"/>
      <c r="AOE85" s="798"/>
      <c r="AOF85" s="798"/>
      <c r="AOG85" s="798"/>
      <c r="AOH85" s="798"/>
      <c r="AOI85" s="798"/>
      <c r="AOJ85" s="798"/>
      <c r="AOK85" s="798"/>
      <c r="AOL85" s="798"/>
      <c r="AOM85" s="798"/>
      <c r="AON85" s="798"/>
      <c r="AOO85" s="798"/>
      <c r="AOP85" s="798"/>
      <c r="AOQ85" s="798"/>
      <c r="AOR85" s="798"/>
      <c r="AOS85" s="798"/>
      <c r="AOT85" s="798"/>
      <c r="AOU85" s="798"/>
      <c r="AOV85" s="798"/>
      <c r="AOW85" s="798"/>
      <c r="AOX85" s="798"/>
      <c r="AOY85" s="798"/>
      <c r="AOZ85" s="798"/>
      <c r="APA85" s="798"/>
      <c r="APB85" s="798"/>
      <c r="APC85" s="798"/>
      <c r="APD85" s="798"/>
      <c r="APE85" s="798"/>
      <c r="APF85" s="798"/>
      <c r="APG85" s="798"/>
      <c r="APH85" s="798"/>
      <c r="API85" s="798"/>
      <c r="APJ85" s="798"/>
      <c r="APK85" s="798"/>
      <c r="APL85" s="798"/>
      <c r="APM85" s="798"/>
      <c r="APN85" s="798"/>
      <c r="APO85" s="798"/>
      <c r="APP85" s="798"/>
      <c r="APQ85" s="798"/>
      <c r="APR85" s="798"/>
      <c r="APS85" s="798"/>
      <c r="APT85" s="798"/>
      <c r="APU85" s="798"/>
      <c r="APV85" s="798"/>
      <c r="APW85" s="798"/>
      <c r="APX85" s="798"/>
      <c r="APY85" s="798"/>
      <c r="APZ85" s="798"/>
      <c r="AQA85" s="798"/>
      <c r="AQB85" s="798"/>
      <c r="AQC85" s="798"/>
      <c r="AQD85" s="798"/>
      <c r="AQE85" s="798"/>
      <c r="AQF85" s="798"/>
      <c r="AQG85" s="798"/>
      <c r="AQH85" s="798"/>
      <c r="AQI85" s="798"/>
      <c r="AQJ85" s="798"/>
      <c r="AQK85" s="798"/>
      <c r="AQL85" s="798"/>
      <c r="AQM85" s="798"/>
      <c r="AQN85" s="798"/>
      <c r="AQO85" s="798"/>
      <c r="AQP85" s="798"/>
      <c r="AQQ85" s="798"/>
      <c r="AQR85" s="798"/>
      <c r="AQS85" s="798"/>
      <c r="AQT85" s="798"/>
      <c r="AQU85" s="798"/>
      <c r="AQV85" s="798"/>
      <c r="AQW85" s="798"/>
      <c r="AQX85" s="798"/>
      <c r="AQY85" s="798"/>
      <c r="AQZ85" s="798"/>
      <c r="ARA85" s="798"/>
      <c r="ARB85" s="798"/>
      <c r="ARC85" s="798"/>
      <c r="ARD85" s="798"/>
      <c r="ARE85" s="798"/>
      <c r="ARF85" s="798"/>
      <c r="ARG85" s="798"/>
      <c r="ARH85" s="798"/>
      <c r="ARI85" s="798"/>
      <c r="ARJ85" s="798"/>
      <c r="ARK85" s="798"/>
      <c r="ARL85" s="798"/>
      <c r="ARM85" s="798"/>
      <c r="ARN85" s="798"/>
      <c r="ARO85" s="798"/>
      <c r="ARP85" s="798"/>
      <c r="ARQ85" s="798"/>
      <c r="ARR85" s="798"/>
      <c r="ARS85" s="798"/>
      <c r="ART85" s="798"/>
      <c r="ARU85" s="798"/>
      <c r="ARV85" s="798"/>
      <c r="ARW85" s="798"/>
      <c r="ARX85" s="798"/>
      <c r="ARY85" s="798"/>
      <c r="ARZ85" s="798"/>
      <c r="ASA85" s="798"/>
      <c r="ASB85" s="798"/>
      <c r="ASC85" s="798"/>
      <c r="ASD85" s="798"/>
      <c r="ASE85" s="798"/>
      <c r="ASF85" s="798"/>
      <c r="ASG85" s="798"/>
      <c r="ASH85" s="798"/>
      <c r="ASI85" s="798"/>
      <c r="ASJ85" s="798"/>
      <c r="ASK85" s="798"/>
      <c r="ASL85" s="798"/>
      <c r="ASM85" s="798"/>
      <c r="ASN85" s="798"/>
      <c r="ASO85" s="798"/>
      <c r="ASP85" s="798"/>
      <c r="ASQ85" s="798"/>
      <c r="ASR85" s="798"/>
      <c r="ASS85" s="798"/>
      <c r="AST85" s="798"/>
      <c r="ASU85" s="798"/>
      <c r="ASV85" s="798"/>
      <c r="ASW85" s="798"/>
      <c r="ASX85" s="798"/>
      <c r="ASY85" s="798"/>
      <c r="ASZ85" s="798"/>
      <c r="ATA85" s="798"/>
      <c r="ATB85" s="798"/>
      <c r="ATC85" s="798"/>
      <c r="ATD85" s="798"/>
      <c r="ATE85" s="798"/>
      <c r="ATF85" s="798"/>
      <c r="ATG85" s="798"/>
      <c r="ATH85" s="798"/>
      <c r="ATI85" s="798"/>
      <c r="ATJ85" s="798"/>
      <c r="ATK85" s="798"/>
      <c r="ATL85" s="798"/>
      <c r="ATM85" s="798"/>
      <c r="ATN85" s="798"/>
      <c r="ATO85" s="798"/>
      <c r="ATP85" s="798"/>
      <c r="ATQ85" s="798"/>
      <c r="ATR85" s="798"/>
      <c r="ATS85" s="798"/>
      <c r="ATT85" s="798"/>
      <c r="ATU85" s="798"/>
      <c r="ATV85" s="798"/>
      <c r="ATW85" s="798"/>
      <c r="ATX85" s="798"/>
      <c r="ATY85" s="798"/>
      <c r="ATZ85" s="798"/>
      <c r="AUA85" s="798"/>
      <c r="AUB85" s="798"/>
      <c r="AUC85" s="798"/>
      <c r="AUD85" s="798"/>
      <c r="AUE85" s="798"/>
      <c r="AUF85" s="798"/>
      <c r="AUG85" s="798"/>
      <c r="AUH85" s="798"/>
      <c r="AUI85" s="798"/>
      <c r="AUJ85" s="798"/>
      <c r="AUK85" s="798"/>
      <c r="AUL85" s="798"/>
      <c r="AUM85" s="798"/>
      <c r="AUN85" s="798"/>
      <c r="AUO85" s="798"/>
      <c r="AUP85" s="798"/>
      <c r="AUQ85" s="798"/>
      <c r="AUR85" s="798"/>
      <c r="AUS85" s="798"/>
      <c r="AUT85" s="798"/>
      <c r="AUU85" s="798"/>
      <c r="AUV85" s="798"/>
      <c r="AUW85" s="798"/>
      <c r="AUX85" s="798"/>
      <c r="AUY85" s="798"/>
      <c r="AUZ85" s="798"/>
      <c r="AVA85" s="798"/>
      <c r="AVB85" s="798"/>
      <c r="AVC85" s="798"/>
      <c r="AVD85" s="798"/>
      <c r="AVE85" s="798"/>
      <c r="AVF85" s="798"/>
      <c r="AVG85" s="798"/>
      <c r="AVH85" s="798"/>
      <c r="AVI85" s="798"/>
      <c r="AVJ85" s="798"/>
      <c r="AVK85" s="798"/>
      <c r="AVL85" s="798"/>
      <c r="AVM85" s="798"/>
      <c r="AVN85" s="798"/>
      <c r="AVO85" s="798"/>
      <c r="AVP85" s="798"/>
      <c r="AVQ85" s="798"/>
      <c r="AVR85" s="798"/>
      <c r="AVS85" s="798"/>
      <c r="AVT85" s="798"/>
      <c r="AVU85" s="798"/>
      <c r="AVV85" s="798"/>
      <c r="AVW85" s="798"/>
      <c r="AVX85" s="798"/>
      <c r="AVY85" s="798"/>
      <c r="AVZ85" s="798"/>
      <c r="AWA85" s="798"/>
      <c r="AWB85" s="798"/>
      <c r="AWC85" s="798"/>
      <c r="AWD85" s="798"/>
      <c r="AWE85" s="798"/>
      <c r="AWF85" s="798"/>
      <c r="AWG85" s="798"/>
      <c r="AWH85" s="798"/>
      <c r="AWI85" s="798"/>
      <c r="AWJ85" s="798"/>
      <c r="AWK85" s="798"/>
      <c r="AWL85" s="798"/>
      <c r="AWM85" s="798"/>
      <c r="AWN85" s="798"/>
      <c r="AWO85" s="798"/>
      <c r="AWP85" s="798"/>
      <c r="AWQ85" s="798"/>
      <c r="AWR85" s="798"/>
      <c r="AWS85" s="798"/>
      <c r="AWT85" s="798"/>
      <c r="AWU85" s="798"/>
      <c r="AWV85" s="798"/>
      <c r="AWW85" s="798"/>
      <c r="AWX85" s="798"/>
      <c r="AWY85" s="798"/>
      <c r="AWZ85" s="798"/>
      <c r="AXA85" s="798"/>
      <c r="AXB85" s="798"/>
      <c r="AXC85" s="798"/>
      <c r="AXD85" s="798"/>
      <c r="AXE85" s="798"/>
      <c r="AXF85" s="798"/>
      <c r="AXG85" s="798"/>
      <c r="AXH85" s="798"/>
      <c r="AXI85" s="798"/>
      <c r="AXJ85" s="798"/>
      <c r="AXK85" s="798"/>
      <c r="AXL85" s="798"/>
      <c r="AXM85" s="798"/>
      <c r="AXN85" s="798"/>
      <c r="AXO85" s="798"/>
      <c r="AXP85" s="798"/>
      <c r="AXQ85" s="798"/>
      <c r="AXR85" s="798"/>
      <c r="AXS85" s="798"/>
      <c r="AXT85" s="798"/>
      <c r="AXU85" s="798"/>
      <c r="AXV85" s="798"/>
      <c r="AXW85" s="798"/>
      <c r="AXX85" s="798"/>
      <c r="AXY85" s="798"/>
      <c r="AXZ85" s="798"/>
      <c r="AYA85" s="798"/>
      <c r="AYB85" s="798"/>
      <c r="AYC85" s="798"/>
      <c r="AYD85" s="798"/>
      <c r="AYE85" s="798"/>
      <c r="AYF85" s="798"/>
      <c r="AYG85" s="798"/>
      <c r="AYH85" s="798"/>
      <c r="AYI85" s="798"/>
      <c r="AYJ85" s="798"/>
      <c r="AYK85" s="798"/>
      <c r="AYL85" s="798"/>
      <c r="AYM85" s="798"/>
      <c r="AYN85" s="798"/>
      <c r="AYO85" s="798"/>
      <c r="AYP85" s="798"/>
      <c r="AYQ85" s="798"/>
      <c r="AYR85" s="798"/>
      <c r="AYS85" s="798"/>
      <c r="AYT85" s="798"/>
      <c r="AYU85" s="798"/>
      <c r="AYV85" s="798"/>
      <c r="AYW85" s="798"/>
      <c r="AYX85" s="798"/>
      <c r="AYY85" s="798"/>
      <c r="AYZ85" s="798"/>
      <c r="AZA85" s="798"/>
      <c r="AZB85" s="798"/>
      <c r="AZC85" s="798"/>
      <c r="AZD85" s="798"/>
      <c r="AZE85" s="798"/>
      <c r="AZF85" s="798"/>
      <c r="AZG85" s="798"/>
      <c r="AZH85" s="798"/>
      <c r="AZI85" s="798"/>
      <c r="AZJ85" s="798"/>
      <c r="AZK85" s="798"/>
      <c r="AZL85" s="798"/>
      <c r="AZM85" s="798"/>
      <c r="AZN85" s="798"/>
      <c r="AZO85" s="798"/>
      <c r="AZP85" s="798"/>
      <c r="AZQ85" s="798"/>
      <c r="AZR85" s="798"/>
      <c r="AZS85" s="798"/>
      <c r="AZT85" s="798"/>
      <c r="AZU85" s="798"/>
      <c r="AZV85" s="798"/>
      <c r="AZW85" s="798"/>
      <c r="AZX85" s="798"/>
      <c r="AZY85" s="798"/>
      <c r="AZZ85" s="798"/>
      <c r="BAA85" s="798"/>
      <c r="BAB85" s="798"/>
      <c r="BAC85" s="798"/>
      <c r="BAD85" s="798"/>
      <c r="BAE85" s="798"/>
      <c r="BAF85" s="798"/>
      <c r="BAG85" s="798"/>
      <c r="BAH85" s="798"/>
      <c r="BAI85" s="798"/>
      <c r="BAJ85" s="798"/>
      <c r="BAK85" s="798"/>
      <c r="BAL85" s="798"/>
      <c r="BAM85" s="798"/>
      <c r="BAN85" s="798"/>
      <c r="BAO85" s="798"/>
      <c r="BAP85" s="798"/>
      <c r="BAQ85" s="798"/>
      <c r="BAR85" s="798"/>
      <c r="BAS85" s="798"/>
      <c r="BAT85" s="798"/>
      <c r="BAU85" s="798"/>
      <c r="BAV85" s="798"/>
      <c r="BAW85" s="798"/>
      <c r="BAX85" s="798"/>
      <c r="BAY85" s="798"/>
      <c r="BAZ85" s="798"/>
      <c r="BBA85" s="798"/>
      <c r="BBB85" s="798"/>
      <c r="BBC85" s="798"/>
      <c r="BBD85" s="798"/>
      <c r="BBE85" s="798"/>
      <c r="BBF85" s="798"/>
      <c r="BBG85" s="798"/>
      <c r="BBH85" s="798"/>
      <c r="BBI85" s="798"/>
      <c r="BBJ85" s="798"/>
      <c r="BBK85" s="798"/>
      <c r="BBL85" s="798"/>
      <c r="BBM85" s="798"/>
      <c r="BBN85" s="798"/>
      <c r="BBO85" s="798"/>
      <c r="BBP85" s="798"/>
      <c r="BBQ85" s="798"/>
      <c r="BBR85" s="798"/>
      <c r="BBS85" s="798"/>
      <c r="BBT85" s="798"/>
      <c r="BBU85" s="798"/>
      <c r="BBV85" s="798"/>
      <c r="BBW85" s="798"/>
      <c r="BBX85" s="798"/>
      <c r="BBY85" s="798"/>
      <c r="BBZ85" s="798"/>
      <c r="BCA85" s="798"/>
      <c r="BCB85" s="798"/>
      <c r="BCC85" s="798"/>
      <c r="BCD85" s="798"/>
      <c r="BCE85" s="798"/>
      <c r="BCF85" s="798"/>
      <c r="BCG85" s="798"/>
      <c r="BCH85" s="798"/>
      <c r="BCI85" s="798"/>
      <c r="BCJ85" s="798"/>
      <c r="BCK85" s="798"/>
      <c r="BCL85" s="798"/>
      <c r="BCM85" s="798"/>
      <c r="BCN85" s="798"/>
      <c r="BCO85" s="798"/>
      <c r="BCP85" s="798"/>
      <c r="BCQ85" s="798"/>
      <c r="BCR85" s="798"/>
      <c r="BCS85" s="798"/>
      <c r="BCT85" s="798"/>
      <c r="BCU85" s="798"/>
      <c r="BCV85" s="798"/>
      <c r="BCW85" s="798"/>
      <c r="BCX85" s="798"/>
      <c r="BCY85" s="798"/>
      <c r="BCZ85" s="798"/>
      <c r="BDA85" s="798"/>
      <c r="BDB85" s="798"/>
      <c r="BDC85" s="798"/>
      <c r="BDD85" s="798"/>
      <c r="BDE85" s="798"/>
      <c r="BDF85" s="798"/>
      <c r="BDG85" s="798"/>
      <c r="BDH85" s="798"/>
      <c r="BDI85" s="798"/>
      <c r="BDJ85" s="798"/>
      <c r="BDK85" s="798"/>
      <c r="BDL85" s="798"/>
      <c r="BDM85" s="798"/>
      <c r="BDN85" s="798"/>
      <c r="BDO85" s="798"/>
      <c r="BDP85" s="798"/>
      <c r="BDQ85" s="798"/>
      <c r="BDR85" s="798"/>
      <c r="BDS85" s="798"/>
      <c r="BDT85" s="798"/>
      <c r="BDU85" s="798"/>
      <c r="BDV85" s="798"/>
      <c r="BDW85" s="798"/>
      <c r="BDX85" s="798"/>
      <c r="BDY85" s="798"/>
      <c r="BDZ85" s="798"/>
      <c r="BEA85" s="798"/>
      <c r="BEB85" s="798"/>
      <c r="BEC85" s="798"/>
      <c r="BED85" s="798"/>
      <c r="BEE85" s="798"/>
      <c r="BEF85" s="798"/>
      <c r="BEG85" s="798"/>
      <c r="BEH85" s="798"/>
      <c r="BEI85" s="798"/>
      <c r="BEJ85" s="798"/>
      <c r="BEK85" s="798"/>
      <c r="BEL85" s="798"/>
      <c r="BEM85" s="798"/>
      <c r="BEN85" s="798"/>
      <c r="BEO85" s="798"/>
      <c r="BEP85" s="798"/>
      <c r="BEQ85" s="798"/>
      <c r="BER85" s="798"/>
      <c r="BES85" s="798"/>
      <c r="BET85" s="798"/>
      <c r="BEU85" s="798"/>
      <c r="BEV85" s="798"/>
      <c r="BEW85" s="798"/>
      <c r="BEX85" s="798"/>
      <c r="BEY85" s="798"/>
      <c r="BEZ85" s="798"/>
      <c r="BFA85" s="798"/>
      <c r="BFB85" s="798"/>
      <c r="BFC85" s="798"/>
      <c r="BFD85" s="798"/>
      <c r="BFE85" s="798"/>
      <c r="BFF85" s="798"/>
      <c r="BFG85" s="798"/>
      <c r="BFH85" s="798"/>
      <c r="BFI85" s="798"/>
      <c r="BFJ85" s="798"/>
      <c r="BFK85" s="798"/>
      <c r="BFL85" s="798"/>
      <c r="BFM85" s="798"/>
      <c r="BFN85" s="798"/>
      <c r="BFO85" s="798"/>
      <c r="BFP85" s="798"/>
      <c r="BFQ85" s="798"/>
      <c r="BFR85" s="798"/>
      <c r="BFS85" s="798"/>
      <c r="BFT85" s="798"/>
      <c r="BFU85" s="798"/>
      <c r="BFV85" s="798"/>
      <c r="BFW85" s="798"/>
      <c r="BFX85" s="798"/>
      <c r="BFY85" s="798"/>
      <c r="BFZ85" s="798"/>
      <c r="BGA85" s="798"/>
      <c r="BGB85" s="798"/>
      <c r="BGC85" s="798"/>
      <c r="BGD85" s="798"/>
      <c r="BGE85" s="798"/>
      <c r="BGF85" s="798"/>
      <c r="BGG85" s="798"/>
      <c r="BGH85" s="798"/>
      <c r="BGI85" s="798"/>
      <c r="BGJ85" s="798"/>
      <c r="BGK85" s="798"/>
      <c r="BGL85" s="798"/>
      <c r="BGM85" s="798"/>
      <c r="BGN85" s="798"/>
      <c r="BGO85" s="798"/>
      <c r="BGP85" s="798"/>
      <c r="BGQ85" s="798"/>
      <c r="BGR85" s="798"/>
      <c r="BGS85" s="798"/>
      <c r="BGT85" s="798"/>
      <c r="BGU85" s="798"/>
      <c r="BGV85" s="798"/>
      <c r="BGW85" s="798"/>
      <c r="BGX85" s="798"/>
      <c r="BGY85" s="798"/>
      <c r="BGZ85" s="798"/>
      <c r="BHA85" s="798"/>
      <c r="BHB85" s="798"/>
      <c r="BHC85" s="798"/>
      <c r="BHD85" s="798"/>
      <c r="BHE85" s="798"/>
      <c r="BHF85" s="798"/>
      <c r="BHG85" s="798"/>
      <c r="BHH85" s="798"/>
      <c r="BHI85" s="798"/>
      <c r="BHJ85" s="798"/>
      <c r="BHK85" s="798"/>
      <c r="BHL85" s="798"/>
      <c r="BHM85" s="798"/>
      <c r="BHN85" s="798"/>
      <c r="BHO85" s="798"/>
      <c r="BHP85" s="798"/>
      <c r="BHQ85" s="798"/>
      <c r="BHR85" s="798"/>
      <c r="BHS85" s="798"/>
      <c r="BHT85" s="798"/>
      <c r="BHU85" s="798"/>
      <c r="BHV85" s="798"/>
      <c r="BHW85" s="798"/>
      <c r="BHX85" s="798"/>
      <c r="BHY85" s="798"/>
      <c r="BHZ85" s="798"/>
      <c r="BIA85" s="798"/>
      <c r="BIB85" s="798"/>
      <c r="BIC85" s="798"/>
      <c r="BID85" s="798"/>
      <c r="BIE85" s="798"/>
      <c r="BIF85" s="798"/>
      <c r="BIG85" s="798"/>
      <c r="BIH85" s="798"/>
      <c r="BII85" s="798"/>
      <c r="BIJ85" s="798"/>
      <c r="BIK85" s="798"/>
      <c r="BIL85" s="798"/>
      <c r="BIM85" s="798"/>
      <c r="BIN85" s="798"/>
      <c r="BIO85" s="798"/>
      <c r="BIP85" s="798"/>
      <c r="BIQ85" s="798"/>
      <c r="BIR85" s="798"/>
      <c r="BIS85" s="798"/>
      <c r="BIT85" s="798"/>
      <c r="BIU85" s="798"/>
      <c r="BIV85" s="798"/>
      <c r="BIW85" s="798"/>
      <c r="BIX85" s="798"/>
      <c r="BIY85" s="798"/>
      <c r="BIZ85" s="798"/>
      <c r="BJA85" s="798"/>
      <c r="BJB85" s="798"/>
      <c r="BJC85" s="798"/>
      <c r="BJD85" s="798"/>
      <c r="BJE85" s="798"/>
      <c r="BJF85" s="798"/>
      <c r="BJG85" s="798"/>
      <c r="BJH85" s="798"/>
      <c r="BJI85" s="798"/>
      <c r="BJJ85" s="798"/>
      <c r="BJK85" s="798"/>
      <c r="BJL85" s="798"/>
      <c r="BJM85" s="798"/>
      <c r="BJN85" s="798"/>
      <c r="BJO85" s="798"/>
      <c r="BJP85" s="798"/>
      <c r="BJQ85" s="798"/>
      <c r="BJR85" s="798"/>
      <c r="BJS85" s="798"/>
      <c r="BJT85" s="798"/>
      <c r="BJU85" s="798"/>
      <c r="BJV85" s="798"/>
      <c r="BJW85" s="798"/>
      <c r="BJX85" s="798"/>
      <c r="BJY85" s="798"/>
      <c r="BJZ85" s="798"/>
      <c r="BKA85" s="798"/>
      <c r="BKB85" s="798"/>
      <c r="BKC85" s="798"/>
      <c r="BKD85" s="798"/>
      <c r="BKE85" s="798"/>
      <c r="BKF85" s="798"/>
      <c r="BKG85" s="798"/>
      <c r="BKH85" s="798"/>
      <c r="BKI85" s="798"/>
      <c r="BKJ85" s="798"/>
      <c r="BKK85" s="798"/>
      <c r="BKL85" s="798"/>
      <c r="BKM85" s="798"/>
      <c r="BKN85" s="798"/>
      <c r="BKO85" s="798"/>
      <c r="BKP85" s="798"/>
      <c r="BKQ85" s="798"/>
      <c r="BKR85" s="798"/>
      <c r="BKS85" s="798"/>
      <c r="BKT85" s="798"/>
      <c r="BKU85" s="798"/>
      <c r="BKV85" s="798"/>
      <c r="BKW85" s="798"/>
      <c r="BKX85" s="798"/>
      <c r="BKY85" s="798"/>
      <c r="BKZ85" s="798"/>
      <c r="BLA85" s="798"/>
      <c r="BLB85" s="798"/>
      <c r="BLC85" s="798"/>
      <c r="BLD85" s="798"/>
      <c r="BLE85" s="798"/>
      <c r="BLF85" s="798"/>
      <c r="BLG85" s="798"/>
      <c r="BLH85" s="798"/>
      <c r="BLI85" s="798"/>
      <c r="BLJ85" s="798"/>
      <c r="BLK85" s="798"/>
      <c r="BLL85" s="798"/>
      <c r="BLM85" s="798"/>
      <c r="BLN85" s="798"/>
      <c r="BLO85" s="798"/>
      <c r="BLP85" s="798"/>
      <c r="BLQ85" s="798"/>
      <c r="BLR85" s="798"/>
      <c r="BLS85" s="798"/>
      <c r="BLT85" s="798"/>
      <c r="BLU85" s="798"/>
      <c r="BLV85" s="798"/>
      <c r="BLW85" s="798"/>
      <c r="BLX85" s="798"/>
      <c r="BLY85" s="798"/>
      <c r="BLZ85" s="798"/>
      <c r="BMA85" s="798"/>
      <c r="BMB85" s="798"/>
      <c r="BMC85" s="798"/>
      <c r="BMD85" s="798"/>
      <c r="BME85" s="798"/>
      <c r="BMF85" s="798"/>
      <c r="BMG85" s="798"/>
      <c r="BMH85" s="798"/>
      <c r="BMI85" s="798"/>
      <c r="BMJ85" s="798"/>
      <c r="BMK85" s="798"/>
      <c r="BML85" s="798"/>
      <c r="BMM85" s="798"/>
      <c r="BMN85" s="798"/>
      <c r="BMO85" s="798"/>
      <c r="BMP85" s="798"/>
      <c r="BMQ85" s="798"/>
      <c r="BMR85" s="798"/>
      <c r="BMS85" s="798"/>
      <c r="BMT85" s="798"/>
      <c r="BMU85" s="798"/>
      <c r="BMV85" s="798"/>
      <c r="BMW85" s="798"/>
      <c r="BMX85" s="798"/>
      <c r="BMY85" s="798"/>
      <c r="BMZ85" s="798"/>
      <c r="BNA85" s="798"/>
      <c r="BNB85" s="798"/>
      <c r="BNC85" s="798"/>
      <c r="BND85" s="798"/>
      <c r="BNE85" s="798"/>
      <c r="BNF85" s="798"/>
      <c r="BNG85" s="798"/>
      <c r="BNH85" s="798"/>
      <c r="BNI85" s="798"/>
      <c r="BNJ85" s="798"/>
      <c r="BNK85" s="798"/>
      <c r="BNL85" s="798"/>
      <c r="BNM85" s="798"/>
      <c r="BNN85" s="798"/>
      <c r="BNO85" s="798"/>
      <c r="BNP85" s="798"/>
      <c r="BNQ85" s="798"/>
      <c r="BNR85" s="798"/>
      <c r="BNS85" s="798"/>
      <c r="BNT85" s="798"/>
      <c r="BNU85" s="798"/>
      <c r="BNV85" s="798"/>
      <c r="BNW85" s="798"/>
      <c r="BNX85" s="798"/>
      <c r="BNY85" s="798"/>
      <c r="BNZ85" s="798"/>
      <c r="BOA85" s="798"/>
      <c r="BOB85" s="798"/>
      <c r="BOC85" s="798"/>
      <c r="BOD85" s="798"/>
      <c r="BOE85" s="798"/>
      <c r="BOF85" s="798"/>
      <c r="BOG85" s="798"/>
      <c r="BOH85" s="798"/>
      <c r="BOI85" s="798"/>
      <c r="BOJ85" s="798"/>
      <c r="BOK85" s="798"/>
      <c r="BOL85" s="798"/>
      <c r="BOM85" s="798"/>
      <c r="BON85" s="798"/>
      <c r="BOO85" s="798"/>
      <c r="BOP85" s="798"/>
      <c r="BOQ85" s="798"/>
      <c r="BOR85" s="798"/>
      <c r="BOS85" s="798"/>
      <c r="BOT85" s="798"/>
      <c r="BOU85" s="798"/>
      <c r="BOV85" s="798"/>
      <c r="BOW85" s="798"/>
      <c r="BOX85" s="798"/>
      <c r="BOY85" s="798"/>
      <c r="BOZ85" s="798"/>
      <c r="BPA85" s="798"/>
      <c r="BPB85" s="798"/>
      <c r="BPC85" s="798"/>
      <c r="BPD85" s="798"/>
      <c r="BPE85" s="798"/>
      <c r="BPF85" s="798"/>
      <c r="BPG85" s="798"/>
      <c r="BPH85" s="798"/>
      <c r="BPI85" s="798"/>
      <c r="BPJ85" s="798"/>
      <c r="BPK85" s="798"/>
      <c r="BPL85" s="798"/>
      <c r="BPM85" s="798"/>
      <c r="BPN85" s="798"/>
      <c r="BPO85" s="798"/>
      <c r="BPP85" s="798"/>
      <c r="BPQ85" s="798"/>
      <c r="BPR85" s="798"/>
      <c r="BPS85" s="798"/>
      <c r="BPT85" s="798"/>
      <c r="BPU85" s="798"/>
      <c r="BPV85" s="798"/>
      <c r="BPW85" s="798"/>
      <c r="BPX85" s="798"/>
      <c r="BPY85" s="798"/>
      <c r="BPZ85" s="798"/>
      <c r="BQA85" s="798"/>
      <c r="BQB85" s="798"/>
      <c r="BQC85" s="798"/>
      <c r="BQD85" s="798"/>
      <c r="BQE85" s="798"/>
      <c r="BQF85" s="798"/>
      <c r="BQG85" s="798"/>
      <c r="BQH85" s="798"/>
      <c r="BQI85" s="798"/>
      <c r="BQJ85" s="798"/>
      <c r="BQK85" s="798"/>
      <c r="BQL85" s="798"/>
      <c r="BQM85" s="798"/>
      <c r="BQN85" s="798"/>
      <c r="BQO85" s="798"/>
      <c r="BQP85" s="798"/>
      <c r="BQQ85" s="798"/>
      <c r="BQR85" s="798"/>
      <c r="BQS85" s="798"/>
      <c r="BQT85" s="798"/>
      <c r="BQU85" s="798"/>
      <c r="BQV85" s="798"/>
      <c r="BQW85" s="798"/>
      <c r="BQX85" s="798"/>
      <c r="BQY85" s="798"/>
      <c r="BQZ85" s="798"/>
      <c r="BRA85" s="798"/>
      <c r="BRB85" s="798"/>
      <c r="BRC85" s="798"/>
      <c r="BRD85" s="798"/>
      <c r="BRE85" s="798"/>
      <c r="BRF85" s="798"/>
      <c r="BRG85" s="798"/>
      <c r="BRH85" s="798"/>
      <c r="BRI85" s="798"/>
      <c r="BRJ85" s="798"/>
      <c r="BRK85" s="798"/>
      <c r="BRL85" s="798"/>
      <c r="BRM85" s="798"/>
      <c r="BRN85" s="798"/>
      <c r="BRO85" s="798"/>
      <c r="BRP85" s="798"/>
      <c r="BRQ85" s="798"/>
      <c r="BRR85" s="798"/>
      <c r="BRS85" s="798"/>
      <c r="BRT85" s="798"/>
      <c r="BRU85" s="798"/>
      <c r="BRV85" s="798"/>
      <c r="BRW85" s="798"/>
      <c r="BRX85" s="798"/>
      <c r="BRY85" s="798"/>
      <c r="BRZ85" s="798"/>
      <c r="BSA85" s="798"/>
      <c r="BSB85" s="798"/>
      <c r="BSC85" s="798"/>
      <c r="BSD85" s="798"/>
      <c r="BSE85" s="798"/>
      <c r="BSF85" s="798"/>
      <c r="BSG85" s="798"/>
      <c r="BSH85" s="798"/>
      <c r="BSI85" s="798"/>
      <c r="BSJ85" s="798"/>
      <c r="BSK85" s="798"/>
      <c r="BSL85" s="798"/>
      <c r="BSM85" s="798"/>
      <c r="BSN85" s="798"/>
      <c r="BSO85" s="798"/>
      <c r="BSP85" s="798"/>
      <c r="BSQ85" s="798"/>
      <c r="BSR85" s="798"/>
      <c r="BSS85" s="798"/>
      <c r="BST85" s="798"/>
      <c r="BSU85" s="798"/>
      <c r="BSV85" s="798"/>
      <c r="BSW85" s="798"/>
      <c r="BSX85" s="798"/>
      <c r="BSY85" s="798"/>
      <c r="BSZ85" s="798"/>
      <c r="BTA85" s="798"/>
      <c r="BTB85" s="798"/>
      <c r="BTC85" s="798"/>
      <c r="BTD85" s="798"/>
      <c r="BTE85" s="798"/>
      <c r="BTF85" s="798"/>
      <c r="BTG85" s="798"/>
      <c r="BTH85" s="798"/>
      <c r="BTI85" s="798"/>
      <c r="BTJ85" s="798"/>
      <c r="BTK85" s="798"/>
      <c r="BTL85" s="798"/>
      <c r="BTM85" s="798"/>
      <c r="BTN85" s="798"/>
      <c r="BTO85" s="798"/>
      <c r="BTP85" s="798"/>
      <c r="BTQ85" s="798"/>
      <c r="BTR85" s="798"/>
      <c r="BTS85" s="798"/>
      <c r="BTT85" s="798"/>
      <c r="BTU85" s="798"/>
      <c r="BTV85" s="798"/>
      <c r="BTW85" s="798"/>
      <c r="BTX85" s="798"/>
      <c r="BTY85" s="798"/>
      <c r="BTZ85" s="798"/>
      <c r="BUA85" s="798"/>
      <c r="BUB85" s="798"/>
      <c r="BUC85" s="798"/>
      <c r="BUD85" s="798"/>
      <c r="BUE85" s="798"/>
      <c r="BUF85" s="798"/>
      <c r="BUG85" s="798"/>
      <c r="BUH85" s="798"/>
      <c r="BUI85" s="798"/>
      <c r="BUJ85" s="798"/>
      <c r="BUK85" s="798"/>
      <c r="BUL85" s="798"/>
      <c r="BUM85" s="798"/>
      <c r="BUN85" s="798"/>
      <c r="BUO85" s="798"/>
      <c r="BUP85" s="798"/>
      <c r="BUQ85" s="798"/>
      <c r="BUR85" s="798"/>
      <c r="BUS85" s="798"/>
      <c r="BUT85" s="798"/>
      <c r="BUU85" s="798"/>
      <c r="BUV85" s="798"/>
      <c r="BUW85" s="798"/>
      <c r="BUX85" s="798"/>
      <c r="BUY85" s="798"/>
      <c r="BUZ85" s="798"/>
      <c r="BVA85" s="798"/>
      <c r="BVB85" s="798"/>
      <c r="BVC85" s="798"/>
      <c r="BVD85" s="798"/>
      <c r="BVE85" s="798"/>
      <c r="BVF85" s="798"/>
      <c r="BVG85" s="798"/>
      <c r="BVH85" s="798"/>
      <c r="BVI85" s="798"/>
      <c r="BVJ85" s="798"/>
      <c r="BVK85" s="798"/>
      <c r="BVL85" s="798"/>
      <c r="BVM85" s="798"/>
      <c r="BVN85" s="798"/>
      <c r="BVO85" s="798"/>
      <c r="BVP85" s="798"/>
      <c r="BVQ85" s="798"/>
      <c r="BVR85" s="798"/>
      <c r="BVS85" s="798"/>
      <c r="BVT85" s="798"/>
      <c r="BVU85" s="798"/>
      <c r="BVV85" s="798"/>
      <c r="BVW85" s="798"/>
      <c r="BVX85" s="798"/>
      <c r="BVY85" s="798"/>
      <c r="BVZ85" s="798"/>
      <c r="BWA85" s="798"/>
      <c r="BWB85" s="798"/>
      <c r="BWC85" s="798"/>
      <c r="BWD85" s="798"/>
      <c r="BWE85" s="798"/>
      <c r="BWF85" s="798"/>
      <c r="BWG85" s="798"/>
      <c r="BWH85" s="798"/>
      <c r="BWI85" s="798"/>
      <c r="BWJ85" s="798"/>
      <c r="BWK85" s="798"/>
      <c r="BWL85" s="798"/>
      <c r="BWM85" s="798"/>
      <c r="BWN85" s="798"/>
      <c r="BWO85" s="798"/>
      <c r="BWP85" s="798"/>
      <c r="BWQ85" s="798"/>
      <c r="BWR85" s="798"/>
      <c r="BWS85" s="798"/>
      <c r="BWT85" s="798"/>
      <c r="BWU85" s="798"/>
      <c r="BWV85" s="798"/>
      <c r="BWW85" s="798"/>
      <c r="BWX85" s="798"/>
      <c r="BWY85" s="798"/>
      <c r="BWZ85" s="798"/>
      <c r="BXA85" s="798"/>
      <c r="BXB85" s="798"/>
      <c r="BXC85" s="798"/>
      <c r="BXD85" s="798"/>
      <c r="BXE85" s="798"/>
      <c r="BXF85" s="798"/>
      <c r="BXG85" s="798"/>
      <c r="BXH85" s="798"/>
      <c r="BXI85" s="798"/>
      <c r="BXJ85" s="798"/>
      <c r="BXK85" s="798"/>
      <c r="BXL85" s="798"/>
      <c r="BXM85" s="798"/>
      <c r="BXN85" s="798"/>
      <c r="BXO85" s="798"/>
      <c r="BXP85" s="798"/>
      <c r="BXQ85" s="798"/>
      <c r="BXR85" s="798"/>
      <c r="BXS85" s="798"/>
      <c r="BXT85" s="798"/>
      <c r="BXU85" s="798"/>
      <c r="BXV85" s="798"/>
      <c r="BXW85" s="798"/>
      <c r="BXX85" s="798"/>
      <c r="BXY85" s="798"/>
      <c r="BXZ85" s="798"/>
      <c r="BYA85" s="798"/>
      <c r="BYB85" s="798"/>
      <c r="BYC85" s="798"/>
      <c r="BYD85" s="798"/>
      <c r="BYE85" s="798"/>
      <c r="BYF85" s="798"/>
      <c r="BYG85" s="798"/>
      <c r="BYH85" s="798"/>
      <c r="BYI85" s="798"/>
      <c r="BYJ85" s="798"/>
      <c r="BYK85" s="798"/>
      <c r="BYL85" s="798"/>
      <c r="BYM85" s="798"/>
      <c r="BYN85" s="798"/>
      <c r="BYO85" s="798"/>
      <c r="BYP85" s="798"/>
      <c r="BYQ85" s="798"/>
      <c r="BYR85" s="798"/>
      <c r="BYS85" s="798"/>
      <c r="BYT85" s="798"/>
      <c r="BYU85" s="798"/>
      <c r="BYV85" s="798"/>
      <c r="BYW85" s="798"/>
      <c r="BYX85" s="798"/>
      <c r="BYY85" s="798"/>
      <c r="BYZ85" s="798"/>
      <c r="BZA85" s="798"/>
      <c r="BZB85" s="798"/>
      <c r="BZC85" s="798"/>
      <c r="BZD85" s="798"/>
      <c r="BZE85" s="798"/>
      <c r="BZF85" s="798"/>
      <c r="BZG85" s="798"/>
      <c r="BZH85" s="798"/>
      <c r="BZI85" s="798"/>
      <c r="BZJ85" s="798"/>
      <c r="BZK85" s="798"/>
      <c r="BZL85" s="798"/>
      <c r="BZM85" s="798"/>
      <c r="BZN85" s="798"/>
      <c r="BZO85" s="798"/>
      <c r="BZP85" s="798"/>
      <c r="BZQ85" s="798"/>
      <c r="BZR85" s="798"/>
      <c r="BZS85" s="798"/>
      <c r="BZT85" s="798"/>
      <c r="BZU85" s="798"/>
      <c r="BZV85" s="798"/>
      <c r="BZW85" s="798"/>
      <c r="BZX85" s="798"/>
      <c r="BZY85" s="798"/>
      <c r="BZZ85" s="798"/>
      <c r="CAA85" s="798"/>
      <c r="CAB85" s="798"/>
      <c r="CAC85" s="798"/>
      <c r="CAD85" s="798"/>
      <c r="CAE85" s="798"/>
      <c r="CAF85" s="798"/>
      <c r="CAG85" s="798"/>
      <c r="CAH85" s="798"/>
      <c r="CAI85" s="798"/>
      <c r="CAJ85" s="798"/>
      <c r="CAK85" s="798"/>
      <c r="CAL85" s="798"/>
      <c r="CAM85" s="798"/>
      <c r="CAN85" s="798"/>
      <c r="CAO85" s="798"/>
      <c r="CAP85" s="798"/>
      <c r="CAQ85" s="798"/>
      <c r="CAR85" s="798"/>
      <c r="CAS85" s="798"/>
      <c r="CAT85" s="798"/>
      <c r="CAU85" s="798"/>
      <c r="CAV85" s="798"/>
      <c r="CAW85" s="798"/>
      <c r="CAX85" s="798"/>
      <c r="CAY85" s="798"/>
      <c r="CAZ85" s="798"/>
      <c r="CBA85" s="798"/>
      <c r="CBB85" s="798"/>
      <c r="CBC85" s="798"/>
      <c r="CBD85" s="798"/>
      <c r="CBE85" s="798"/>
      <c r="CBF85" s="798"/>
      <c r="CBG85" s="798"/>
      <c r="CBH85" s="798"/>
      <c r="CBI85" s="798"/>
      <c r="CBJ85" s="798"/>
      <c r="CBK85" s="798"/>
      <c r="CBL85" s="798"/>
      <c r="CBM85" s="798"/>
      <c r="CBN85" s="798"/>
      <c r="CBO85" s="798"/>
      <c r="CBP85" s="798"/>
      <c r="CBQ85" s="798"/>
      <c r="CBR85" s="798"/>
      <c r="CBS85" s="798"/>
      <c r="CBT85" s="798"/>
      <c r="CBU85" s="798"/>
      <c r="CBV85" s="798"/>
      <c r="CBW85" s="798"/>
      <c r="CBX85" s="798"/>
      <c r="CBY85" s="798"/>
      <c r="CBZ85" s="798"/>
      <c r="CCA85" s="798"/>
      <c r="CCB85" s="798"/>
      <c r="CCC85" s="798"/>
      <c r="CCD85" s="798"/>
      <c r="CCE85" s="798"/>
      <c r="CCF85" s="798"/>
      <c r="CCG85" s="798"/>
      <c r="CCH85" s="798"/>
      <c r="CCI85" s="798"/>
      <c r="CCJ85" s="798"/>
      <c r="CCK85" s="798"/>
      <c r="CCL85" s="798"/>
      <c r="CCM85" s="798"/>
      <c r="CCN85" s="798"/>
      <c r="CCO85" s="798"/>
      <c r="CCP85" s="798"/>
      <c r="CCQ85" s="798"/>
      <c r="CCR85" s="798"/>
      <c r="CCS85" s="798"/>
      <c r="CCT85" s="798"/>
      <c r="CCU85" s="798"/>
      <c r="CCV85" s="798"/>
      <c r="CCW85" s="798"/>
      <c r="CCX85" s="798"/>
      <c r="CCY85" s="798"/>
      <c r="CCZ85" s="798"/>
      <c r="CDA85" s="798"/>
      <c r="CDB85" s="798"/>
      <c r="CDC85" s="798"/>
      <c r="CDD85" s="798"/>
      <c r="CDE85" s="798"/>
      <c r="CDF85" s="798"/>
      <c r="CDG85" s="798"/>
      <c r="CDH85" s="798"/>
      <c r="CDI85" s="798"/>
      <c r="CDJ85" s="798"/>
      <c r="CDK85" s="798"/>
      <c r="CDL85" s="798"/>
      <c r="CDM85" s="798"/>
      <c r="CDN85" s="798"/>
      <c r="CDO85" s="798"/>
      <c r="CDP85" s="798"/>
      <c r="CDQ85" s="798"/>
      <c r="CDR85" s="798"/>
      <c r="CDS85" s="798"/>
      <c r="CDT85" s="798"/>
      <c r="CDU85" s="798"/>
      <c r="CDV85" s="798"/>
      <c r="CDW85" s="798"/>
      <c r="CDX85" s="798"/>
      <c r="CDY85" s="798"/>
      <c r="CDZ85" s="798"/>
      <c r="CEA85" s="798"/>
      <c r="CEB85" s="798"/>
      <c r="CEC85" s="798"/>
      <c r="CED85" s="798"/>
      <c r="CEE85" s="798"/>
      <c r="CEF85" s="798"/>
      <c r="CEG85" s="798"/>
      <c r="CEH85" s="798"/>
      <c r="CEI85" s="798"/>
      <c r="CEJ85" s="798"/>
      <c r="CEK85" s="798"/>
      <c r="CEL85" s="798"/>
      <c r="CEM85" s="798"/>
      <c r="CEN85" s="798"/>
      <c r="CEO85" s="798"/>
      <c r="CEP85" s="798"/>
      <c r="CEQ85" s="798"/>
      <c r="CER85" s="798"/>
      <c r="CES85" s="798"/>
      <c r="CET85" s="798"/>
      <c r="CEU85" s="798"/>
      <c r="CEV85" s="798"/>
      <c r="CEW85" s="798"/>
      <c r="CEX85" s="798"/>
      <c r="CEY85" s="798"/>
      <c r="CEZ85" s="798"/>
      <c r="CFA85" s="798"/>
      <c r="CFB85" s="798"/>
      <c r="CFC85" s="798"/>
      <c r="CFD85" s="798"/>
      <c r="CFE85" s="798"/>
      <c r="CFF85" s="798"/>
      <c r="CFG85" s="798"/>
      <c r="CFH85" s="798"/>
      <c r="CFI85" s="798"/>
      <c r="CFJ85" s="798"/>
      <c r="CFK85" s="798"/>
      <c r="CFL85" s="798"/>
      <c r="CFM85" s="798"/>
      <c r="CFN85" s="798"/>
      <c r="CFO85" s="798"/>
      <c r="CFP85" s="798"/>
      <c r="CFQ85" s="798"/>
      <c r="CFR85" s="798"/>
      <c r="CFS85" s="798"/>
      <c r="CFT85" s="798"/>
      <c r="CFU85" s="798"/>
      <c r="CFV85" s="798"/>
      <c r="CFW85" s="798"/>
      <c r="CFX85" s="798"/>
      <c r="CFY85" s="798"/>
      <c r="CFZ85" s="798"/>
      <c r="CGA85" s="798"/>
      <c r="CGB85" s="798"/>
      <c r="CGC85" s="798"/>
      <c r="CGD85" s="798"/>
      <c r="CGE85" s="798"/>
      <c r="CGF85" s="798"/>
      <c r="CGG85" s="798"/>
      <c r="CGH85" s="798"/>
      <c r="CGI85" s="798"/>
      <c r="CGJ85" s="798"/>
      <c r="CGK85" s="798"/>
      <c r="CGL85" s="798"/>
      <c r="CGM85" s="798"/>
      <c r="CGN85" s="798"/>
      <c r="CGO85" s="798"/>
      <c r="CGP85" s="798"/>
      <c r="CGQ85" s="798"/>
      <c r="CGR85" s="798"/>
      <c r="CGS85" s="798"/>
      <c r="CGT85" s="798"/>
      <c r="CGU85" s="798"/>
      <c r="CGV85" s="798"/>
      <c r="CGW85" s="798"/>
      <c r="CGX85" s="798"/>
      <c r="CGY85" s="798"/>
      <c r="CGZ85" s="798"/>
      <c r="CHA85" s="798"/>
      <c r="CHB85" s="798"/>
      <c r="CHC85" s="798"/>
      <c r="CHD85" s="798"/>
      <c r="CHE85" s="798"/>
      <c r="CHF85" s="798"/>
      <c r="CHG85" s="798"/>
      <c r="CHH85" s="798"/>
      <c r="CHI85" s="798"/>
      <c r="CHJ85" s="798"/>
      <c r="CHK85" s="798"/>
      <c r="CHL85" s="798"/>
      <c r="CHM85" s="798"/>
      <c r="CHN85" s="798"/>
      <c r="CHO85" s="798"/>
      <c r="CHP85" s="798"/>
      <c r="CHQ85" s="798"/>
      <c r="CHR85" s="798"/>
      <c r="CHS85" s="798"/>
      <c r="CHT85" s="798"/>
      <c r="CHU85" s="798"/>
      <c r="CHV85" s="798"/>
      <c r="CHW85" s="798"/>
      <c r="CHX85" s="798"/>
      <c r="CHY85" s="798"/>
      <c r="CHZ85" s="798"/>
      <c r="CIA85" s="798"/>
      <c r="CIB85" s="798"/>
      <c r="CIC85" s="798"/>
      <c r="CID85" s="798"/>
      <c r="CIE85" s="798"/>
      <c r="CIF85" s="798"/>
      <c r="CIG85" s="798"/>
      <c r="CIH85" s="798"/>
      <c r="CII85" s="798"/>
      <c r="CIJ85" s="798"/>
      <c r="CIK85" s="798"/>
      <c r="CIL85" s="798"/>
      <c r="CIM85" s="798"/>
      <c r="CIN85" s="798"/>
      <c r="CIO85" s="798"/>
      <c r="CIP85" s="798"/>
      <c r="CIQ85" s="798"/>
      <c r="CIR85" s="798"/>
      <c r="CIS85" s="798"/>
      <c r="CIT85" s="798"/>
      <c r="CIU85" s="798"/>
      <c r="CIV85" s="798"/>
      <c r="CIW85" s="798"/>
      <c r="CIX85" s="798"/>
      <c r="CIY85" s="798"/>
      <c r="CIZ85" s="798"/>
      <c r="CJA85" s="798"/>
      <c r="CJB85" s="798"/>
      <c r="CJC85" s="798"/>
      <c r="CJD85" s="798"/>
      <c r="CJE85" s="798"/>
      <c r="CJF85" s="798"/>
      <c r="CJG85" s="798"/>
      <c r="CJH85" s="798"/>
      <c r="CJI85" s="798"/>
      <c r="CJJ85" s="798"/>
      <c r="CJK85" s="798"/>
      <c r="CJL85" s="798"/>
      <c r="CJM85" s="798"/>
      <c r="CJN85" s="798"/>
      <c r="CJO85" s="798"/>
      <c r="CJP85" s="798"/>
      <c r="CJQ85" s="798"/>
      <c r="CJR85" s="798"/>
      <c r="CJS85" s="798"/>
      <c r="CJT85" s="798"/>
      <c r="CJU85" s="798"/>
      <c r="CJV85" s="798"/>
      <c r="CJW85" s="798"/>
      <c r="CJX85" s="798"/>
      <c r="CJY85" s="798"/>
      <c r="CJZ85" s="798"/>
      <c r="CKA85" s="798"/>
      <c r="CKB85" s="798"/>
      <c r="CKC85" s="798"/>
      <c r="CKD85" s="798"/>
      <c r="CKE85" s="798"/>
      <c r="CKF85" s="798"/>
      <c r="CKG85" s="798"/>
      <c r="CKH85" s="798"/>
      <c r="CKI85" s="798"/>
      <c r="CKJ85" s="798"/>
      <c r="CKK85" s="798"/>
      <c r="CKL85" s="798"/>
      <c r="CKM85" s="798"/>
      <c r="CKN85" s="798"/>
      <c r="CKO85" s="798"/>
      <c r="CKP85" s="798"/>
      <c r="CKQ85" s="798"/>
      <c r="CKR85" s="798"/>
      <c r="CKS85" s="798"/>
      <c r="CKT85" s="798"/>
      <c r="CKU85" s="798"/>
      <c r="CKV85" s="798"/>
      <c r="CKW85" s="798"/>
      <c r="CKX85" s="798"/>
      <c r="CKY85" s="798"/>
      <c r="CKZ85" s="798"/>
      <c r="CLA85" s="798"/>
      <c r="CLB85" s="798"/>
      <c r="CLC85" s="798"/>
      <c r="CLD85" s="798"/>
      <c r="CLE85" s="798"/>
      <c r="CLF85" s="798"/>
      <c r="CLG85" s="798"/>
      <c r="CLH85" s="798"/>
      <c r="CLI85" s="798"/>
      <c r="CLJ85" s="798"/>
      <c r="CLK85" s="798"/>
      <c r="CLL85" s="798"/>
      <c r="CLM85" s="798"/>
      <c r="CLN85" s="798"/>
      <c r="CLO85" s="798"/>
      <c r="CLP85" s="798"/>
      <c r="CLQ85" s="798"/>
      <c r="CLR85" s="798"/>
      <c r="CLS85" s="798"/>
      <c r="CLT85" s="798"/>
      <c r="CLU85" s="798"/>
      <c r="CLV85" s="798"/>
      <c r="CLW85" s="798"/>
      <c r="CLX85" s="798"/>
      <c r="CLY85" s="798"/>
      <c r="CLZ85" s="798"/>
      <c r="CMA85" s="798"/>
      <c r="CMB85" s="798"/>
      <c r="CMC85" s="798"/>
      <c r="CMD85" s="798"/>
      <c r="CME85" s="798"/>
      <c r="CMF85" s="798"/>
      <c r="CMG85" s="798"/>
      <c r="CMH85" s="798"/>
      <c r="CMI85" s="798"/>
      <c r="CMJ85" s="798"/>
      <c r="CMK85" s="798"/>
      <c r="CML85" s="798"/>
      <c r="CMM85" s="798"/>
      <c r="CMN85" s="798"/>
      <c r="CMO85" s="798"/>
      <c r="CMP85" s="798"/>
      <c r="CMQ85" s="798"/>
      <c r="CMR85" s="798"/>
      <c r="CMS85" s="798"/>
      <c r="CMT85" s="798"/>
      <c r="CMU85" s="798"/>
      <c r="CMV85" s="798"/>
      <c r="CMW85" s="798"/>
      <c r="CMX85" s="798"/>
      <c r="CMY85" s="798"/>
      <c r="CMZ85" s="798"/>
      <c r="CNA85" s="798"/>
      <c r="CNB85" s="798"/>
      <c r="CNC85" s="798"/>
      <c r="CND85" s="798"/>
      <c r="CNE85" s="798"/>
      <c r="CNF85" s="798"/>
      <c r="CNG85" s="798"/>
      <c r="CNH85" s="798"/>
      <c r="CNI85" s="798"/>
      <c r="CNJ85" s="798"/>
      <c r="CNK85" s="798"/>
      <c r="CNL85" s="798"/>
      <c r="CNM85" s="798"/>
      <c r="CNN85" s="798"/>
      <c r="CNO85" s="798"/>
      <c r="CNP85" s="798"/>
      <c r="CNQ85" s="798"/>
      <c r="CNR85" s="798"/>
      <c r="CNS85" s="798"/>
      <c r="CNT85" s="798"/>
      <c r="CNU85" s="798"/>
      <c r="CNV85" s="798"/>
      <c r="CNW85" s="798"/>
      <c r="CNX85" s="798"/>
      <c r="CNY85" s="798"/>
      <c r="CNZ85" s="798"/>
      <c r="COA85" s="798"/>
      <c r="COB85" s="798"/>
      <c r="COC85" s="798"/>
      <c r="COD85" s="798"/>
      <c r="COE85" s="798"/>
      <c r="COF85" s="798"/>
      <c r="COG85" s="798"/>
      <c r="COH85" s="798"/>
      <c r="COI85" s="798"/>
      <c r="COJ85" s="798"/>
      <c r="COK85" s="798"/>
      <c r="COL85" s="798"/>
      <c r="COM85" s="798"/>
      <c r="CON85" s="798"/>
      <c r="COO85" s="798"/>
      <c r="COP85" s="798"/>
      <c r="COQ85" s="798"/>
      <c r="COR85" s="798"/>
      <c r="COS85" s="798"/>
      <c r="COT85" s="798"/>
      <c r="COU85" s="798"/>
      <c r="COV85" s="798"/>
      <c r="COW85" s="798"/>
      <c r="COX85" s="798"/>
      <c r="COY85" s="798"/>
      <c r="COZ85" s="798"/>
      <c r="CPA85" s="798"/>
      <c r="CPB85" s="798"/>
      <c r="CPC85" s="798"/>
      <c r="CPD85" s="798"/>
      <c r="CPE85" s="798"/>
      <c r="CPF85" s="798"/>
      <c r="CPG85" s="798"/>
      <c r="CPH85" s="798"/>
      <c r="CPI85" s="798"/>
      <c r="CPJ85" s="798"/>
      <c r="CPK85" s="798"/>
      <c r="CPL85" s="798"/>
      <c r="CPM85" s="798"/>
      <c r="CPN85" s="798"/>
      <c r="CPO85" s="798"/>
      <c r="CPP85" s="798"/>
      <c r="CPQ85" s="798"/>
      <c r="CPR85" s="798"/>
      <c r="CPS85" s="798"/>
      <c r="CPT85" s="798"/>
      <c r="CPU85" s="798"/>
      <c r="CPV85" s="798"/>
      <c r="CPW85" s="798"/>
      <c r="CPX85" s="798"/>
      <c r="CPY85" s="798"/>
      <c r="CPZ85" s="798"/>
      <c r="CQA85" s="798"/>
      <c r="CQB85" s="798"/>
      <c r="CQC85" s="798"/>
      <c r="CQD85" s="798"/>
      <c r="CQE85" s="798"/>
      <c r="CQF85" s="798"/>
      <c r="CQG85" s="798"/>
      <c r="CQH85" s="798"/>
      <c r="CQI85" s="798"/>
      <c r="CQJ85" s="798"/>
      <c r="CQK85" s="798"/>
      <c r="CQL85" s="798"/>
      <c r="CQM85" s="798"/>
      <c r="CQN85" s="798"/>
      <c r="CQO85" s="798"/>
      <c r="CQP85" s="798"/>
      <c r="CQQ85" s="798"/>
      <c r="CQR85" s="798"/>
      <c r="CQS85" s="798"/>
      <c r="CQT85" s="798"/>
      <c r="CQU85" s="798"/>
      <c r="CQV85" s="798"/>
      <c r="CQW85" s="798"/>
      <c r="CQX85" s="798"/>
      <c r="CQY85" s="798"/>
      <c r="CQZ85" s="798"/>
      <c r="CRA85" s="798"/>
      <c r="CRB85" s="798"/>
      <c r="CRC85" s="798"/>
      <c r="CRD85" s="798"/>
      <c r="CRE85" s="798"/>
      <c r="CRF85" s="798"/>
      <c r="CRG85" s="798"/>
      <c r="CRH85" s="798"/>
      <c r="CRI85" s="798"/>
      <c r="CRJ85" s="798"/>
      <c r="CRK85" s="798"/>
      <c r="CRL85" s="798"/>
      <c r="CRM85" s="798"/>
      <c r="CRN85" s="798"/>
      <c r="CRO85" s="798"/>
      <c r="CRP85" s="798"/>
      <c r="CRQ85" s="798"/>
      <c r="CRR85" s="798"/>
      <c r="CRS85" s="798"/>
      <c r="CRT85" s="798"/>
      <c r="CRU85" s="798"/>
      <c r="CRV85" s="798"/>
      <c r="CRW85" s="798"/>
      <c r="CRX85" s="798"/>
      <c r="CRY85" s="798"/>
      <c r="CRZ85" s="798"/>
      <c r="CSA85" s="798"/>
      <c r="CSB85" s="798"/>
      <c r="CSC85" s="798"/>
      <c r="CSD85" s="798"/>
      <c r="CSE85" s="798"/>
      <c r="CSF85" s="798"/>
      <c r="CSG85" s="798"/>
      <c r="CSH85" s="798"/>
      <c r="CSI85" s="798"/>
      <c r="CSJ85" s="798"/>
      <c r="CSK85" s="798"/>
      <c r="CSL85" s="798"/>
      <c r="CSM85" s="798"/>
      <c r="CSN85" s="798"/>
      <c r="CSO85" s="798"/>
      <c r="CSP85" s="798"/>
      <c r="CSQ85" s="798"/>
      <c r="CSR85" s="798"/>
      <c r="CSS85" s="798"/>
      <c r="CST85" s="798"/>
      <c r="CSU85" s="798"/>
      <c r="CSV85" s="798"/>
      <c r="CSW85" s="798"/>
      <c r="CSX85" s="798"/>
      <c r="CSY85" s="798"/>
      <c r="CSZ85" s="798"/>
      <c r="CTA85" s="798"/>
      <c r="CTB85" s="798"/>
      <c r="CTC85" s="798"/>
      <c r="CTD85" s="798"/>
      <c r="CTE85" s="798"/>
      <c r="CTF85" s="798"/>
      <c r="CTG85" s="798"/>
      <c r="CTH85" s="798"/>
      <c r="CTI85" s="798"/>
      <c r="CTJ85" s="798"/>
      <c r="CTK85" s="798"/>
      <c r="CTL85" s="798"/>
      <c r="CTM85" s="798"/>
      <c r="CTN85" s="798"/>
      <c r="CTO85" s="798"/>
      <c r="CTP85" s="798"/>
      <c r="CTQ85" s="798"/>
      <c r="CTR85" s="798"/>
      <c r="CTS85" s="798"/>
      <c r="CTT85" s="798"/>
      <c r="CTU85" s="798"/>
      <c r="CTV85" s="798"/>
      <c r="CTW85" s="798"/>
      <c r="CTX85" s="798"/>
      <c r="CTY85" s="798"/>
      <c r="CTZ85" s="798"/>
      <c r="CUA85" s="798"/>
      <c r="CUB85" s="798"/>
      <c r="CUC85" s="798"/>
      <c r="CUD85" s="798"/>
      <c r="CUE85" s="798"/>
      <c r="CUF85" s="798"/>
      <c r="CUG85" s="798"/>
      <c r="CUH85" s="798"/>
      <c r="CUI85" s="798"/>
      <c r="CUJ85" s="798"/>
      <c r="CUK85" s="798"/>
      <c r="CUL85" s="798"/>
      <c r="CUM85" s="798"/>
      <c r="CUN85" s="798"/>
      <c r="CUO85" s="798"/>
      <c r="CUP85" s="798"/>
      <c r="CUQ85" s="798"/>
      <c r="CUR85" s="798"/>
      <c r="CUS85" s="798"/>
      <c r="CUT85" s="798"/>
      <c r="CUU85" s="798"/>
      <c r="CUV85" s="798"/>
      <c r="CUW85" s="798"/>
      <c r="CUX85" s="798"/>
      <c r="CUY85" s="798"/>
      <c r="CUZ85" s="798"/>
      <c r="CVA85" s="798"/>
      <c r="CVB85" s="798"/>
      <c r="CVC85" s="798"/>
      <c r="CVD85" s="798"/>
      <c r="CVE85" s="798"/>
      <c r="CVF85" s="798"/>
      <c r="CVG85" s="798"/>
      <c r="CVH85" s="798"/>
      <c r="CVI85" s="798"/>
      <c r="CVJ85" s="798"/>
      <c r="CVK85" s="798"/>
      <c r="CVL85" s="798"/>
      <c r="CVM85" s="798"/>
      <c r="CVN85" s="798"/>
      <c r="CVO85" s="798"/>
      <c r="CVP85" s="798"/>
      <c r="CVQ85" s="798"/>
      <c r="CVR85" s="798"/>
      <c r="CVS85" s="798"/>
      <c r="CVT85" s="798"/>
      <c r="CVU85" s="798"/>
      <c r="CVV85" s="798"/>
      <c r="CVW85" s="798"/>
      <c r="CVX85" s="798"/>
      <c r="CVY85" s="798"/>
      <c r="CVZ85" s="798"/>
      <c r="CWA85" s="798"/>
      <c r="CWB85" s="798"/>
      <c r="CWC85" s="798"/>
      <c r="CWD85" s="798"/>
      <c r="CWE85" s="798"/>
      <c r="CWF85" s="798"/>
      <c r="CWG85" s="798"/>
      <c r="CWH85" s="798"/>
      <c r="CWI85" s="798"/>
      <c r="CWJ85" s="798"/>
      <c r="CWK85" s="798"/>
      <c r="CWL85" s="798"/>
      <c r="CWM85" s="798"/>
      <c r="CWN85" s="798"/>
      <c r="CWO85" s="798"/>
      <c r="CWP85" s="798"/>
      <c r="CWQ85" s="798"/>
      <c r="CWR85" s="798"/>
      <c r="CWS85" s="798"/>
      <c r="CWT85" s="798"/>
      <c r="CWU85" s="798"/>
      <c r="CWV85" s="798"/>
      <c r="CWW85" s="798"/>
      <c r="CWX85" s="798"/>
      <c r="CWY85" s="798"/>
      <c r="CWZ85" s="798"/>
      <c r="CXA85" s="798"/>
      <c r="CXB85" s="798"/>
      <c r="CXC85" s="798"/>
      <c r="CXD85" s="798"/>
      <c r="CXE85" s="798"/>
      <c r="CXF85" s="798"/>
      <c r="CXG85" s="798"/>
      <c r="CXH85" s="798"/>
      <c r="CXI85" s="798"/>
      <c r="CXJ85" s="798"/>
      <c r="CXK85" s="798"/>
      <c r="CXL85" s="798"/>
      <c r="CXM85" s="798"/>
      <c r="CXN85" s="798"/>
      <c r="CXO85" s="798"/>
      <c r="CXP85" s="798"/>
      <c r="CXQ85" s="798"/>
      <c r="CXR85" s="798"/>
      <c r="CXS85" s="798"/>
      <c r="CXT85" s="798"/>
      <c r="CXU85" s="798"/>
      <c r="CXV85" s="798"/>
      <c r="CXW85" s="798"/>
      <c r="CXX85" s="798"/>
      <c r="CXY85" s="798"/>
      <c r="CXZ85" s="798"/>
      <c r="CYA85" s="798"/>
      <c r="CYB85" s="798"/>
      <c r="CYC85" s="798"/>
      <c r="CYD85" s="798"/>
      <c r="CYE85" s="798"/>
      <c r="CYF85" s="798"/>
      <c r="CYG85" s="798"/>
      <c r="CYH85" s="798"/>
      <c r="CYI85" s="798"/>
      <c r="CYJ85" s="798"/>
      <c r="CYK85" s="798"/>
      <c r="CYL85" s="798"/>
      <c r="CYM85" s="798"/>
      <c r="CYN85" s="798"/>
      <c r="CYO85" s="798"/>
      <c r="CYP85" s="798"/>
      <c r="CYQ85" s="798"/>
      <c r="CYR85" s="798"/>
      <c r="CYS85" s="798"/>
      <c r="CYT85" s="798"/>
      <c r="CYU85" s="798"/>
      <c r="CYV85" s="798"/>
      <c r="CYW85" s="798"/>
      <c r="CYX85" s="798"/>
      <c r="CYY85" s="798"/>
      <c r="CYZ85" s="798"/>
      <c r="CZA85" s="798"/>
      <c r="CZB85" s="798"/>
      <c r="CZC85" s="798"/>
      <c r="CZD85" s="798"/>
      <c r="CZE85" s="798"/>
      <c r="CZF85" s="798"/>
      <c r="CZG85" s="798"/>
      <c r="CZH85" s="798"/>
      <c r="CZI85" s="798"/>
      <c r="CZJ85" s="798"/>
      <c r="CZK85" s="798"/>
      <c r="CZL85" s="798"/>
      <c r="CZM85" s="798"/>
      <c r="CZN85" s="798"/>
      <c r="CZO85" s="798"/>
      <c r="CZP85" s="798"/>
      <c r="CZQ85" s="798"/>
      <c r="CZR85" s="798"/>
      <c r="CZS85" s="798"/>
      <c r="CZT85" s="798"/>
      <c r="CZU85" s="798"/>
      <c r="CZV85" s="798"/>
      <c r="CZW85" s="798"/>
      <c r="CZX85" s="798"/>
      <c r="CZY85" s="798"/>
      <c r="CZZ85" s="798"/>
      <c r="DAA85" s="798"/>
      <c r="DAB85" s="798"/>
      <c r="DAC85" s="798"/>
      <c r="DAD85" s="798"/>
      <c r="DAE85" s="798"/>
      <c r="DAF85" s="798"/>
      <c r="DAG85" s="798"/>
      <c r="DAH85" s="798"/>
      <c r="DAI85" s="798"/>
      <c r="DAJ85" s="798"/>
      <c r="DAK85" s="798"/>
      <c r="DAL85" s="798"/>
      <c r="DAM85" s="798"/>
      <c r="DAN85" s="798"/>
      <c r="DAO85" s="798"/>
      <c r="DAP85" s="798"/>
      <c r="DAQ85" s="798"/>
      <c r="DAR85" s="798"/>
      <c r="DAS85" s="798"/>
      <c r="DAT85" s="798"/>
      <c r="DAU85" s="798"/>
      <c r="DAV85" s="798"/>
      <c r="DAW85" s="798"/>
      <c r="DAX85" s="798"/>
      <c r="DAY85" s="798"/>
      <c r="DAZ85" s="798"/>
      <c r="DBA85" s="798"/>
      <c r="DBB85" s="798"/>
      <c r="DBC85" s="798"/>
      <c r="DBD85" s="798"/>
      <c r="DBE85" s="798"/>
      <c r="DBF85" s="798"/>
      <c r="DBG85" s="798"/>
      <c r="DBH85" s="798"/>
      <c r="DBI85" s="798"/>
      <c r="DBJ85" s="798"/>
      <c r="DBK85" s="798"/>
      <c r="DBL85" s="798"/>
      <c r="DBM85" s="798"/>
      <c r="DBN85" s="798"/>
      <c r="DBO85" s="798"/>
      <c r="DBP85" s="798"/>
      <c r="DBQ85" s="798"/>
      <c r="DBR85" s="798"/>
      <c r="DBS85" s="798"/>
      <c r="DBT85" s="798"/>
      <c r="DBU85" s="798"/>
      <c r="DBV85" s="798"/>
      <c r="DBW85" s="798"/>
      <c r="DBX85" s="798"/>
      <c r="DBY85" s="798"/>
      <c r="DBZ85" s="798"/>
      <c r="DCA85" s="798"/>
      <c r="DCB85" s="798"/>
      <c r="DCC85" s="798"/>
      <c r="DCD85" s="798"/>
      <c r="DCE85" s="798"/>
      <c r="DCF85" s="798"/>
      <c r="DCG85" s="798"/>
      <c r="DCH85" s="798"/>
      <c r="DCI85" s="798"/>
      <c r="DCJ85" s="798"/>
      <c r="DCK85" s="798"/>
      <c r="DCL85" s="798"/>
      <c r="DCM85" s="798"/>
      <c r="DCN85" s="798"/>
      <c r="DCO85" s="798"/>
      <c r="DCP85" s="798"/>
      <c r="DCQ85" s="798"/>
      <c r="DCR85" s="798"/>
      <c r="DCS85" s="798"/>
      <c r="DCT85" s="798"/>
      <c r="DCU85" s="798"/>
      <c r="DCV85" s="798"/>
      <c r="DCW85" s="798"/>
      <c r="DCX85" s="798"/>
      <c r="DCY85" s="798"/>
      <c r="DCZ85" s="798"/>
      <c r="DDA85" s="798"/>
      <c r="DDB85" s="798"/>
      <c r="DDC85" s="798"/>
      <c r="DDD85" s="798"/>
      <c r="DDE85" s="798"/>
      <c r="DDF85" s="798"/>
      <c r="DDG85" s="798"/>
      <c r="DDH85" s="798"/>
      <c r="DDI85" s="798"/>
      <c r="DDJ85" s="798"/>
      <c r="DDK85" s="798"/>
      <c r="DDL85" s="798"/>
      <c r="DDM85" s="798"/>
      <c r="DDN85" s="798"/>
      <c r="DDO85" s="798"/>
      <c r="DDP85" s="798"/>
      <c r="DDQ85" s="798"/>
      <c r="DDR85" s="798"/>
      <c r="DDS85" s="798"/>
      <c r="DDT85" s="798"/>
      <c r="DDU85" s="798"/>
      <c r="DDV85" s="798"/>
      <c r="DDW85" s="798"/>
      <c r="DDX85" s="798"/>
      <c r="DDY85" s="798"/>
      <c r="DDZ85" s="798"/>
      <c r="DEA85" s="798"/>
      <c r="DEB85" s="798"/>
      <c r="DEC85" s="798"/>
      <c r="DED85" s="798"/>
      <c r="DEE85" s="798"/>
      <c r="DEF85" s="798"/>
      <c r="DEG85" s="798"/>
      <c r="DEH85" s="798"/>
      <c r="DEI85" s="798"/>
      <c r="DEJ85" s="798"/>
      <c r="DEK85" s="798"/>
      <c r="DEL85" s="798"/>
      <c r="DEM85" s="798"/>
      <c r="DEN85" s="798"/>
      <c r="DEO85" s="798"/>
      <c r="DEP85" s="798"/>
      <c r="DEQ85" s="798"/>
      <c r="DER85" s="798"/>
      <c r="DES85" s="798"/>
      <c r="DET85" s="798"/>
      <c r="DEU85" s="798"/>
      <c r="DEV85" s="798"/>
      <c r="DEW85" s="798"/>
      <c r="DEX85" s="798"/>
      <c r="DEY85" s="798"/>
      <c r="DEZ85" s="798"/>
      <c r="DFA85" s="798"/>
      <c r="DFB85" s="798"/>
      <c r="DFC85" s="798"/>
      <c r="DFD85" s="798"/>
      <c r="DFE85" s="798"/>
      <c r="DFF85" s="798"/>
      <c r="DFG85" s="798"/>
      <c r="DFH85" s="798"/>
      <c r="DFI85" s="798"/>
      <c r="DFJ85" s="798"/>
      <c r="DFK85" s="798"/>
      <c r="DFL85" s="798"/>
      <c r="DFM85" s="798"/>
      <c r="DFN85" s="798"/>
      <c r="DFO85" s="798"/>
      <c r="DFP85" s="798"/>
      <c r="DFQ85" s="798"/>
      <c r="DFR85" s="798"/>
      <c r="DFS85" s="798"/>
      <c r="DFT85" s="798"/>
      <c r="DFU85" s="798"/>
      <c r="DFV85" s="798"/>
      <c r="DFW85" s="798"/>
      <c r="DFX85" s="798"/>
      <c r="DFY85" s="798"/>
      <c r="DFZ85" s="798"/>
      <c r="DGA85" s="798"/>
      <c r="DGB85" s="798"/>
      <c r="DGC85" s="798"/>
      <c r="DGD85" s="798"/>
      <c r="DGE85" s="798"/>
      <c r="DGF85" s="798"/>
      <c r="DGG85" s="798"/>
      <c r="DGH85" s="798"/>
      <c r="DGI85" s="798"/>
      <c r="DGJ85" s="798"/>
      <c r="DGK85" s="798"/>
      <c r="DGL85" s="798"/>
      <c r="DGM85" s="798"/>
      <c r="DGN85" s="798"/>
      <c r="DGO85" s="798"/>
      <c r="DGP85" s="798"/>
      <c r="DGQ85" s="798"/>
      <c r="DGR85" s="798"/>
      <c r="DGS85" s="798"/>
      <c r="DGT85" s="798"/>
      <c r="DGU85" s="798"/>
      <c r="DGV85" s="798"/>
      <c r="DGW85" s="798"/>
      <c r="DGX85" s="798"/>
      <c r="DGY85" s="798"/>
      <c r="DGZ85" s="798"/>
      <c r="DHA85" s="798"/>
      <c r="DHB85" s="798"/>
      <c r="DHC85" s="798"/>
      <c r="DHD85" s="798"/>
      <c r="DHE85" s="798"/>
      <c r="DHF85" s="798"/>
      <c r="DHG85" s="798"/>
      <c r="DHH85" s="798"/>
      <c r="DHI85" s="798"/>
      <c r="DHJ85" s="798"/>
      <c r="DHK85" s="798"/>
      <c r="DHL85" s="798"/>
      <c r="DHM85" s="798"/>
      <c r="DHN85" s="798"/>
      <c r="DHO85" s="798"/>
      <c r="DHP85" s="798"/>
      <c r="DHQ85" s="798"/>
      <c r="DHR85" s="798"/>
      <c r="DHS85" s="798"/>
      <c r="DHT85" s="798"/>
      <c r="DHU85" s="798"/>
      <c r="DHV85" s="798"/>
      <c r="DHW85" s="798"/>
      <c r="DHX85" s="798"/>
      <c r="DHY85" s="798"/>
      <c r="DHZ85" s="798"/>
      <c r="DIA85" s="798"/>
      <c r="DIB85" s="798"/>
      <c r="DIC85" s="798"/>
      <c r="DID85" s="798"/>
      <c r="DIE85" s="798"/>
      <c r="DIF85" s="798"/>
      <c r="DIG85" s="798"/>
      <c r="DIH85" s="798"/>
      <c r="DII85" s="798"/>
      <c r="DIJ85" s="798"/>
      <c r="DIK85" s="798"/>
      <c r="DIL85" s="798"/>
      <c r="DIM85" s="798"/>
      <c r="DIN85" s="798"/>
      <c r="DIO85" s="798"/>
      <c r="DIP85" s="798"/>
      <c r="DIQ85" s="798"/>
      <c r="DIR85" s="798"/>
      <c r="DIS85" s="798"/>
      <c r="DIT85" s="798"/>
      <c r="DIU85" s="798"/>
      <c r="DIV85" s="798"/>
      <c r="DIW85" s="798"/>
      <c r="DIX85" s="798"/>
      <c r="DIY85" s="798"/>
      <c r="DIZ85" s="798"/>
      <c r="DJA85" s="798"/>
      <c r="DJB85" s="798"/>
      <c r="DJC85" s="798"/>
      <c r="DJD85" s="798"/>
      <c r="DJE85" s="798"/>
      <c r="DJF85" s="798"/>
      <c r="DJG85" s="798"/>
      <c r="DJH85" s="798"/>
      <c r="DJI85" s="798"/>
      <c r="DJJ85" s="798"/>
      <c r="DJK85" s="798"/>
      <c r="DJL85" s="798"/>
      <c r="DJM85" s="798"/>
      <c r="DJN85" s="798"/>
      <c r="DJO85" s="798"/>
      <c r="DJP85" s="798"/>
      <c r="DJQ85" s="798"/>
      <c r="DJR85" s="798"/>
      <c r="DJS85" s="798"/>
      <c r="DJT85" s="798"/>
      <c r="DJU85" s="798"/>
      <c r="DJV85" s="798"/>
      <c r="DJW85" s="798"/>
      <c r="DJX85" s="798"/>
      <c r="DJY85" s="798"/>
      <c r="DJZ85" s="798"/>
      <c r="DKA85" s="798"/>
      <c r="DKB85" s="798"/>
      <c r="DKC85" s="798"/>
      <c r="DKD85" s="798"/>
      <c r="DKE85" s="798"/>
      <c r="DKF85" s="798"/>
      <c r="DKG85" s="798"/>
      <c r="DKH85" s="798"/>
      <c r="DKI85" s="798"/>
      <c r="DKJ85" s="798"/>
      <c r="DKK85" s="798"/>
      <c r="DKL85" s="798"/>
      <c r="DKM85" s="798"/>
      <c r="DKN85" s="798"/>
      <c r="DKO85" s="798"/>
      <c r="DKP85" s="798"/>
      <c r="DKQ85" s="798"/>
      <c r="DKR85" s="798"/>
      <c r="DKS85" s="798"/>
      <c r="DKT85" s="798"/>
      <c r="DKU85" s="798"/>
      <c r="DKV85" s="798"/>
      <c r="DKW85" s="798"/>
      <c r="DKX85" s="798"/>
      <c r="DKY85" s="798"/>
      <c r="DKZ85" s="798"/>
      <c r="DLA85" s="798"/>
      <c r="DLB85" s="798"/>
      <c r="DLC85" s="798"/>
      <c r="DLD85" s="798"/>
      <c r="DLE85" s="798"/>
      <c r="DLF85" s="798"/>
      <c r="DLG85" s="798"/>
      <c r="DLH85" s="798"/>
      <c r="DLI85" s="798"/>
      <c r="DLJ85" s="798"/>
      <c r="DLK85" s="798"/>
      <c r="DLL85" s="798"/>
      <c r="DLM85" s="798"/>
      <c r="DLN85" s="798"/>
      <c r="DLO85" s="798"/>
      <c r="DLP85" s="798"/>
      <c r="DLQ85" s="798"/>
      <c r="DLR85" s="798"/>
      <c r="DLS85" s="798"/>
      <c r="DLT85" s="798"/>
      <c r="DLU85" s="798"/>
      <c r="DLV85" s="798"/>
      <c r="DLW85" s="798"/>
      <c r="DLX85" s="798"/>
      <c r="DLY85" s="798"/>
      <c r="DLZ85" s="798"/>
      <c r="DMA85" s="798"/>
      <c r="DMB85" s="798"/>
      <c r="DMC85" s="798"/>
      <c r="DMD85" s="798"/>
      <c r="DME85" s="798"/>
      <c r="DMF85" s="798"/>
      <c r="DMG85" s="798"/>
      <c r="DMH85" s="798"/>
      <c r="DMI85" s="798"/>
      <c r="DMJ85" s="798"/>
      <c r="DMK85" s="798"/>
      <c r="DML85" s="798"/>
      <c r="DMM85" s="798"/>
      <c r="DMN85" s="798"/>
      <c r="DMO85" s="798"/>
      <c r="DMP85" s="798"/>
      <c r="DMQ85" s="798"/>
      <c r="DMR85" s="798"/>
      <c r="DMS85" s="798"/>
      <c r="DMT85" s="798"/>
      <c r="DMU85" s="798"/>
      <c r="DMV85" s="798"/>
      <c r="DMW85" s="798"/>
      <c r="DMX85" s="798"/>
      <c r="DMY85" s="798"/>
      <c r="DMZ85" s="798"/>
      <c r="DNA85" s="798"/>
      <c r="DNB85" s="798"/>
      <c r="DNC85" s="798"/>
      <c r="DND85" s="798"/>
      <c r="DNE85" s="798"/>
      <c r="DNF85" s="798"/>
      <c r="DNG85" s="798"/>
      <c r="DNH85" s="798"/>
      <c r="DNI85" s="798"/>
      <c r="DNJ85" s="798"/>
      <c r="DNK85" s="798"/>
      <c r="DNL85" s="798"/>
      <c r="DNM85" s="798"/>
      <c r="DNN85" s="798"/>
      <c r="DNO85" s="798"/>
      <c r="DNP85" s="798"/>
      <c r="DNQ85" s="798"/>
      <c r="DNR85" s="798"/>
      <c r="DNS85" s="798"/>
      <c r="DNT85" s="798"/>
      <c r="DNU85" s="798"/>
      <c r="DNV85" s="798"/>
      <c r="DNW85" s="798"/>
      <c r="DNX85" s="798"/>
      <c r="DNY85" s="798"/>
      <c r="DNZ85" s="798"/>
      <c r="DOA85" s="798"/>
      <c r="DOB85" s="798"/>
      <c r="DOC85" s="798"/>
      <c r="DOD85" s="798"/>
      <c r="DOE85" s="798"/>
      <c r="DOF85" s="798"/>
      <c r="DOG85" s="798"/>
      <c r="DOH85" s="798"/>
      <c r="DOI85" s="798"/>
      <c r="DOJ85" s="798"/>
      <c r="DOK85" s="798"/>
      <c r="DOL85" s="798"/>
      <c r="DOM85" s="798"/>
      <c r="DON85" s="798"/>
      <c r="DOO85" s="798"/>
      <c r="DOP85" s="798"/>
      <c r="DOQ85" s="798"/>
      <c r="DOR85" s="798"/>
      <c r="DOS85" s="798"/>
      <c r="DOT85" s="798"/>
      <c r="DOU85" s="798"/>
      <c r="DOV85" s="798"/>
      <c r="DOW85" s="798"/>
      <c r="DOX85" s="798"/>
      <c r="DOY85" s="798"/>
      <c r="DOZ85" s="798"/>
      <c r="DPA85" s="798"/>
      <c r="DPB85" s="798"/>
      <c r="DPC85" s="798"/>
      <c r="DPD85" s="798"/>
      <c r="DPE85" s="798"/>
      <c r="DPF85" s="798"/>
      <c r="DPG85" s="798"/>
      <c r="DPH85" s="798"/>
      <c r="DPI85" s="798"/>
      <c r="DPJ85" s="798"/>
      <c r="DPK85" s="798"/>
      <c r="DPL85" s="798"/>
      <c r="DPM85" s="798"/>
      <c r="DPN85" s="798"/>
      <c r="DPO85" s="798"/>
      <c r="DPP85" s="798"/>
      <c r="DPQ85" s="798"/>
      <c r="DPR85" s="798"/>
      <c r="DPS85" s="798"/>
      <c r="DPT85" s="798"/>
      <c r="DPU85" s="798"/>
      <c r="DPV85" s="798"/>
      <c r="DPW85" s="798"/>
      <c r="DPX85" s="798"/>
      <c r="DPY85" s="798"/>
      <c r="DPZ85" s="798"/>
      <c r="DQA85" s="798"/>
      <c r="DQB85" s="798"/>
      <c r="DQC85" s="798"/>
      <c r="DQD85" s="798"/>
      <c r="DQE85" s="798"/>
      <c r="DQF85" s="798"/>
      <c r="DQG85" s="798"/>
      <c r="DQH85" s="798"/>
      <c r="DQI85" s="798"/>
      <c r="DQJ85" s="798"/>
      <c r="DQK85" s="798"/>
      <c r="DQL85" s="798"/>
      <c r="DQM85" s="798"/>
      <c r="DQN85" s="798"/>
      <c r="DQO85" s="798"/>
      <c r="DQP85" s="798"/>
      <c r="DQQ85" s="798"/>
      <c r="DQR85" s="798"/>
      <c r="DQS85" s="798"/>
      <c r="DQT85" s="798"/>
      <c r="DQU85" s="798"/>
      <c r="DQV85" s="798"/>
      <c r="DQW85" s="798"/>
      <c r="DQX85" s="798"/>
      <c r="DQY85" s="798"/>
      <c r="DQZ85" s="798"/>
      <c r="DRA85" s="798"/>
      <c r="DRB85" s="798"/>
      <c r="DRC85" s="798"/>
      <c r="DRD85" s="798"/>
      <c r="DRE85" s="798"/>
      <c r="DRF85" s="798"/>
      <c r="DRG85" s="798"/>
      <c r="DRH85" s="798"/>
      <c r="DRI85" s="798"/>
      <c r="DRJ85" s="798"/>
      <c r="DRK85" s="798"/>
      <c r="DRL85" s="798"/>
      <c r="DRM85" s="798"/>
      <c r="DRN85" s="798"/>
      <c r="DRO85" s="798"/>
      <c r="DRP85" s="798"/>
      <c r="DRQ85" s="798"/>
      <c r="DRR85" s="798"/>
      <c r="DRS85" s="798"/>
      <c r="DRT85" s="798"/>
      <c r="DRU85" s="798"/>
      <c r="DRV85" s="798"/>
      <c r="DRW85" s="798"/>
      <c r="DRX85" s="798"/>
      <c r="DRY85" s="798"/>
      <c r="DRZ85" s="798"/>
      <c r="DSA85" s="798"/>
      <c r="DSB85" s="798"/>
      <c r="DSC85" s="798"/>
      <c r="DSD85" s="798"/>
      <c r="DSE85" s="798"/>
      <c r="DSF85" s="798"/>
      <c r="DSG85" s="798"/>
      <c r="DSH85" s="798"/>
      <c r="DSI85" s="798"/>
      <c r="DSJ85" s="798"/>
      <c r="DSK85" s="798"/>
      <c r="DSL85" s="798"/>
      <c r="DSM85" s="798"/>
      <c r="DSN85" s="798"/>
      <c r="DSO85" s="798"/>
      <c r="DSP85" s="798"/>
      <c r="DSQ85" s="798"/>
      <c r="DSR85" s="798"/>
      <c r="DSS85" s="798"/>
      <c r="DST85" s="798"/>
      <c r="DSU85" s="798"/>
      <c r="DSV85" s="798"/>
      <c r="DSW85" s="798"/>
      <c r="DSX85" s="798"/>
      <c r="DSY85" s="798"/>
      <c r="DSZ85" s="798"/>
      <c r="DTA85" s="798"/>
      <c r="DTB85" s="798"/>
      <c r="DTC85" s="798"/>
      <c r="DTD85" s="798"/>
      <c r="DTE85" s="798"/>
      <c r="DTF85" s="798"/>
      <c r="DTG85" s="798"/>
      <c r="DTH85" s="798"/>
      <c r="DTI85" s="798"/>
      <c r="DTJ85" s="798"/>
      <c r="DTK85" s="798"/>
      <c r="DTL85" s="798"/>
      <c r="DTM85" s="798"/>
      <c r="DTN85" s="798"/>
      <c r="DTO85" s="798"/>
      <c r="DTP85" s="798"/>
      <c r="DTQ85" s="798"/>
      <c r="DTR85" s="798"/>
      <c r="DTS85" s="798"/>
      <c r="DTT85" s="798"/>
      <c r="DTU85" s="798"/>
      <c r="DTV85" s="798"/>
      <c r="DTW85" s="798"/>
      <c r="DTX85" s="798"/>
      <c r="DTY85" s="798"/>
      <c r="DTZ85" s="798"/>
      <c r="DUA85" s="798"/>
      <c r="DUB85" s="798"/>
      <c r="DUC85" s="798"/>
      <c r="DUD85" s="798"/>
      <c r="DUE85" s="798"/>
      <c r="DUF85" s="798"/>
      <c r="DUG85" s="798"/>
      <c r="DUH85" s="798"/>
      <c r="DUI85" s="798"/>
      <c r="DUJ85" s="798"/>
      <c r="DUK85" s="798"/>
      <c r="DUL85" s="798"/>
      <c r="DUM85" s="798"/>
      <c r="DUN85" s="798"/>
      <c r="DUO85" s="798"/>
      <c r="DUP85" s="798"/>
      <c r="DUQ85" s="798"/>
      <c r="DUR85" s="798"/>
      <c r="DUS85" s="798"/>
      <c r="DUT85" s="798"/>
      <c r="DUU85" s="798"/>
      <c r="DUV85" s="798"/>
      <c r="DUW85" s="798"/>
      <c r="DUX85" s="798"/>
      <c r="DUY85" s="798"/>
      <c r="DUZ85" s="798"/>
      <c r="DVA85" s="798"/>
      <c r="DVB85" s="798"/>
      <c r="DVC85" s="798"/>
      <c r="DVD85" s="798"/>
      <c r="DVE85" s="798"/>
      <c r="DVF85" s="798"/>
      <c r="DVG85" s="798"/>
      <c r="DVH85" s="798"/>
      <c r="DVI85" s="798"/>
      <c r="DVJ85" s="798"/>
      <c r="DVK85" s="798"/>
      <c r="DVL85" s="798"/>
      <c r="DVM85" s="798"/>
      <c r="DVN85" s="798"/>
      <c r="DVO85" s="798"/>
      <c r="DVP85" s="798"/>
      <c r="DVQ85" s="798"/>
      <c r="DVR85" s="798"/>
      <c r="DVS85" s="798"/>
      <c r="DVT85" s="798"/>
      <c r="DVU85" s="798"/>
      <c r="DVV85" s="798"/>
      <c r="DVW85" s="798"/>
      <c r="DVX85" s="798"/>
      <c r="DVY85" s="798"/>
      <c r="DVZ85" s="798"/>
      <c r="DWA85" s="798"/>
      <c r="DWB85" s="798"/>
      <c r="DWC85" s="798"/>
      <c r="DWD85" s="798"/>
      <c r="DWE85" s="798"/>
      <c r="DWF85" s="798"/>
      <c r="DWG85" s="798"/>
      <c r="DWH85" s="798"/>
      <c r="DWI85" s="798"/>
      <c r="DWJ85" s="798"/>
      <c r="DWK85" s="798"/>
      <c r="DWL85" s="798"/>
      <c r="DWM85" s="798"/>
      <c r="DWN85" s="798"/>
      <c r="DWO85" s="798"/>
      <c r="DWP85" s="798"/>
      <c r="DWQ85" s="798"/>
      <c r="DWR85" s="798"/>
      <c r="DWS85" s="798"/>
      <c r="DWT85" s="798"/>
      <c r="DWU85" s="798"/>
      <c r="DWV85" s="798"/>
      <c r="DWW85" s="798"/>
      <c r="DWX85" s="798"/>
      <c r="DWY85" s="798"/>
      <c r="DWZ85" s="798"/>
      <c r="DXA85" s="798"/>
      <c r="DXB85" s="798"/>
      <c r="DXC85" s="798"/>
      <c r="DXD85" s="798"/>
      <c r="DXE85" s="798"/>
      <c r="DXF85" s="798"/>
      <c r="DXG85" s="798"/>
      <c r="DXH85" s="798"/>
      <c r="DXI85" s="798"/>
      <c r="DXJ85" s="798"/>
      <c r="DXK85" s="798"/>
      <c r="DXL85" s="798"/>
      <c r="DXM85" s="798"/>
      <c r="DXN85" s="798"/>
      <c r="DXO85" s="798"/>
      <c r="DXP85" s="798"/>
      <c r="DXQ85" s="798"/>
      <c r="DXR85" s="798"/>
      <c r="DXS85" s="798"/>
      <c r="DXT85" s="798"/>
      <c r="DXU85" s="798"/>
      <c r="DXV85" s="798"/>
      <c r="DXW85" s="798"/>
      <c r="DXX85" s="798"/>
      <c r="DXY85" s="798"/>
      <c r="DXZ85" s="798"/>
      <c r="DYA85" s="798"/>
      <c r="DYB85" s="798"/>
      <c r="DYC85" s="798"/>
      <c r="DYD85" s="798"/>
      <c r="DYE85" s="798"/>
      <c r="DYF85" s="798"/>
      <c r="DYG85" s="798"/>
      <c r="DYH85" s="798"/>
      <c r="DYI85" s="798"/>
      <c r="DYJ85" s="798"/>
      <c r="DYK85" s="798"/>
      <c r="DYL85" s="798"/>
      <c r="DYM85" s="798"/>
      <c r="DYN85" s="798"/>
      <c r="DYO85" s="798"/>
      <c r="DYP85" s="798"/>
      <c r="DYQ85" s="798"/>
      <c r="DYR85" s="798"/>
      <c r="DYS85" s="798"/>
      <c r="DYT85" s="798"/>
      <c r="DYU85" s="798"/>
      <c r="DYV85" s="798"/>
      <c r="DYW85" s="798"/>
      <c r="DYX85" s="798"/>
      <c r="DYY85" s="798"/>
      <c r="DYZ85" s="798"/>
      <c r="DZA85" s="798"/>
      <c r="DZB85" s="798"/>
      <c r="DZC85" s="798"/>
      <c r="DZD85" s="798"/>
      <c r="DZE85" s="798"/>
      <c r="DZF85" s="798"/>
      <c r="DZG85" s="798"/>
      <c r="DZH85" s="798"/>
      <c r="DZI85" s="798"/>
      <c r="DZJ85" s="798"/>
      <c r="DZK85" s="798"/>
      <c r="DZL85" s="798"/>
      <c r="DZM85" s="798"/>
      <c r="DZN85" s="798"/>
      <c r="DZO85" s="798"/>
      <c r="DZP85" s="798"/>
      <c r="DZQ85" s="798"/>
      <c r="DZR85" s="798"/>
      <c r="DZS85" s="798"/>
      <c r="DZT85" s="798"/>
      <c r="DZU85" s="798"/>
      <c r="DZV85" s="798"/>
      <c r="DZW85" s="798"/>
      <c r="DZX85" s="798"/>
      <c r="DZY85" s="798"/>
      <c r="DZZ85" s="798"/>
      <c r="EAA85" s="798"/>
      <c r="EAB85" s="798"/>
      <c r="EAC85" s="798"/>
      <c r="EAD85" s="798"/>
      <c r="EAE85" s="798"/>
      <c r="EAF85" s="798"/>
      <c r="EAG85" s="798"/>
      <c r="EAH85" s="798"/>
      <c r="EAI85" s="798"/>
      <c r="EAJ85" s="798"/>
      <c r="EAK85" s="798"/>
      <c r="EAL85" s="798"/>
      <c r="EAM85" s="798"/>
      <c r="EAN85" s="798"/>
      <c r="EAO85" s="798"/>
      <c r="EAP85" s="798"/>
      <c r="EAQ85" s="798"/>
      <c r="EAR85" s="798"/>
      <c r="EAS85" s="798"/>
      <c r="EAT85" s="798"/>
      <c r="EAU85" s="798"/>
      <c r="EAV85" s="798"/>
      <c r="EAW85" s="798"/>
      <c r="EAX85" s="798"/>
      <c r="EAY85" s="798"/>
      <c r="EAZ85" s="798"/>
      <c r="EBA85" s="798"/>
      <c r="EBB85" s="798"/>
      <c r="EBC85" s="798"/>
      <c r="EBD85" s="798"/>
      <c r="EBE85" s="798"/>
      <c r="EBF85" s="798"/>
      <c r="EBG85" s="798"/>
      <c r="EBH85" s="798"/>
      <c r="EBI85" s="798"/>
      <c r="EBJ85" s="798"/>
      <c r="EBK85" s="798"/>
      <c r="EBL85" s="798"/>
      <c r="EBM85" s="798"/>
      <c r="EBN85" s="798"/>
      <c r="EBO85" s="798"/>
      <c r="EBP85" s="798"/>
      <c r="EBQ85" s="798"/>
      <c r="EBR85" s="798"/>
      <c r="EBS85" s="798"/>
      <c r="EBT85" s="798"/>
      <c r="EBU85" s="798"/>
      <c r="EBV85" s="798"/>
      <c r="EBW85" s="798"/>
      <c r="EBX85" s="798"/>
      <c r="EBY85" s="798"/>
      <c r="EBZ85" s="798"/>
      <c r="ECA85" s="798"/>
      <c r="ECB85" s="798"/>
      <c r="ECC85" s="798"/>
      <c r="ECD85" s="798"/>
      <c r="ECE85" s="798"/>
      <c r="ECF85" s="798"/>
      <c r="ECG85" s="798"/>
      <c r="ECH85" s="798"/>
      <c r="ECI85" s="798"/>
      <c r="ECJ85" s="798"/>
      <c r="ECK85" s="798"/>
      <c r="ECL85" s="798"/>
      <c r="ECM85" s="798"/>
      <c r="ECN85" s="798"/>
      <c r="ECO85" s="798"/>
      <c r="ECP85" s="798"/>
      <c r="ECQ85" s="798"/>
      <c r="ECR85" s="798"/>
      <c r="ECS85" s="798"/>
      <c r="ECT85" s="798"/>
      <c r="ECU85" s="798"/>
      <c r="ECV85" s="798"/>
      <c r="ECW85" s="798"/>
      <c r="ECX85" s="798"/>
      <c r="ECY85" s="798"/>
      <c r="ECZ85" s="798"/>
      <c r="EDA85" s="798"/>
      <c r="EDB85" s="798"/>
      <c r="EDC85" s="798"/>
      <c r="EDD85" s="798"/>
      <c r="EDE85" s="798"/>
      <c r="EDF85" s="798"/>
      <c r="EDG85" s="798"/>
      <c r="EDH85" s="798"/>
      <c r="EDI85" s="798"/>
      <c r="EDJ85" s="798"/>
      <c r="EDK85" s="798"/>
      <c r="EDL85" s="798"/>
      <c r="EDM85" s="798"/>
      <c r="EDN85" s="798"/>
      <c r="EDO85" s="798"/>
      <c r="EDP85" s="798"/>
      <c r="EDQ85" s="798"/>
      <c r="EDR85" s="798"/>
      <c r="EDS85" s="798"/>
      <c r="EDT85" s="798"/>
      <c r="EDU85" s="798"/>
      <c r="EDV85" s="798"/>
      <c r="EDW85" s="798"/>
      <c r="EDX85" s="798"/>
      <c r="EDY85" s="798"/>
      <c r="EDZ85" s="798"/>
      <c r="EEA85" s="798"/>
      <c r="EEB85" s="798"/>
      <c r="EEC85" s="798"/>
      <c r="EED85" s="798"/>
      <c r="EEE85" s="798"/>
      <c r="EEF85" s="798"/>
      <c r="EEG85" s="798"/>
      <c r="EEH85" s="798"/>
      <c r="EEI85" s="798"/>
      <c r="EEJ85" s="798"/>
      <c r="EEK85" s="798"/>
      <c r="EEL85" s="798"/>
      <c r="EEM85" s="798"/>
      <c r="EEN85" s="798"/>
      <c r="EEO85" s="798"/>
      <c r="EEP85" s="798"/>
      <c r="EEQ85" s="798"/>
      <c r="EER85" s="798"/>
      <c r="EES85" s="798"/>
      <c r="EET85" s="798"/>
      <c r="EEU85" s="798"/>
      <c r="EEV85" s="798"/>
      <c r="EEW85" s="798"/>
      <c r="EEX85" s="798"/>
      <c r="EEY85" s="798"/>
      <c r="EEZ85" s="798"/>
      <c r="EFA85" s="798"/>
      <c r="EFB85" s="798"/>
      <c r="EFC85" s="798"/>
      <c r="EFD85" s="798"/>
      <c r="EFE85" s="798"/>
      <c r="EFF85" s="798"/>
      <c r="EFG85" s="798"/>
      <c r="EFH85" s="798"/>
      <c r="EFI85" s="798"/>
      <c r="EFJ85" s="798"/>
      <c r="EFK85" s="798"/>
      <c r="EFL85" s="798"/>
      <c r="EFM85" s="798"/>
      <c r="EFN85" s="798"/>
      <c r="EFO85" s="798"/>
      <c r="EFP85" s="798"/>
      <c r="EFQ85" s="798"/>
      <c r="EFR85" s="798"/>
      <c r="EFS85" s="798"/>
      <c r="EFT85" s="798"/>
      <c r="EFU85" s="798"/>
      <c r="EFV85" s="798"/>
      <c r="EFW85" s="798"/>
      <c r="EFX85" s="798"/>
      <c r="EFY85" s="798"/>
      <c r="EFZ85" s="798"/>
      <c r="EGA85" s="798"/>
      <c r="EGB85" s="798"/>
      <c r="EGC85" s="798"/>
      <c r="EGD85" s="798"/>
      <c r="EGE85" s="798"/>
      <c r="EGF85" s="798"/>
      <c r="EGG85" s="798"/>
      <c r="EGH85" s="798"/>
      <c r="EGI85" s="798"/>
      <c r="EGJ85" s="798"/>
      <c r="EGK85" s="798"/>
      <c r="EGL85" s="798"/>
      <c r="EGM85" s="798"/>
      <c r="EGN85" s="798"/>
      <c r="EGO85" s="798"/>
      <c r="EGP85" s="798"/>
      <c r="EGQ85" s="798"/>
      <c r="EGR85" s="798"/>
      <c r="EGS85" s="798"/>
      <c r="EGT85" s="798"/>
      <c r="EGU85" s="798"/>
      <c r="EGV85" s="798"/>
      <c r="EGW85" s="798"/>
      <c r="EGX85" s="798"/>
      <c r="EGY85" s="798"/>
      <c r="EGZ85" s="798"/>
      <c r="EHA85" s="798"/>
      <c r="EHB85" s="798"/>
      <c r="EHC85" s="798"/>
      <c r="EHD85" s="798"/>
      <c r="EHE85" s="798"/>
      <c r="EHF85" s="798"/>
      <c r="EHG85" s="798"/>
      <c r="EHH85" s="798"/>
      <c r="EHI85" s="798"/>
      <c r="EHJ85" s="798"/>
      <c r="EHK85" s="798"/>
      <c r="EHL85" s="798"/>
      <c r="EHM85" s="798"/>
      <c r="EHN85" s="798"/>
      <c r="EHO85" s="798"/>
      <c r="EHP85" s="798"/>
      <c r="EHQ85" s="798"/>
      <c r="EHR85" s="798"/>
      <c r="EHS85" s="798"/>
      <c r="EHT85" s="798"/>
      <c r="EHU85" s="798"/>
      <c r="EHV85" s="798"/>
      <c r="EHW85" s="798"/>
      <c r="EHX85" s="798"/>
      <c r="EHY85" s="798"/>
      <c r="EHZ85" s="798"/>
      <c r="EIA85" s="798"/>
      <c r="EIB85" s="798"/>
      <c r="EIC85" s="798"/>
      <c r="EID85" s="798"/>
      <c r="EIE85" s="798"/>
      <c r="EIF85" s="798"/>
      <c r="EIG85" s="798"/>
      <c r="EIH85" s="798"/>
      <c r="EII85" s="798"/>
      <c r="EIJ85" s="798"/>
      <c r="EIK85" s="798"/>
      <c r="EIL85" s="798"/>
      <c r="EIM85" s="798"/>
      <c r="EIN85" s="798"/>
      <c r="EIO85" s="798"/>
      <c r="EIP85" s="798"/>
      <c r="EIQ85" s="798"/>
      <c r="EIR85" s="798"/>
      <c r="EIS85" s="798"/>
      <c r="EIT85" s="798"/>
      <c r="EIU85" s="798"/>
      <c r="EIV85" s="798"/>
      <c r="EIW85" s="798"/>
      <c r="EIX85" s="798"/>
      <c r="EIY85" s="798"/>
      <c r="EIZ85" s="798"/>
      <c r="EJA85" s="798"/>
      <c r="EJB85" s="798"/>
      <c r="EJC85" s="798"/>
      <c r="EJD85" s="798"/>
      <c r="EJE85" s="798"/>
      <c r="EJF85" s="798"/>
      <c r="EJG85" s="798"/>
      <c r="EJH85" s="798"/>
      <c r="EJI85" s="798"/>
      <c r="EJJ85" s="798"/>
      <c r="EJK85" s="798"/>
      <c r="EJL85" s="798"/>
      <c r="EJM85" s="798"/>
      <c r="EJN85" s="798"/>
      <c r="EJO85" s="798"/>
      <c r="EJP85" s="798"/>
      <c r="EJQ85" s="798"/>
      <c r="EJR85" s="798"/>
      <c r="EJS85" s="798"/>
      <c r="EJT85" s="798"/>
      <c r="EJU85" s="798"/>
      <c r="EJV85" s="798"/>
      <c r="EJW85" s="798"/>
      <c r="EJX85" s="798"/>
      <c r="EJY85" s="798"/>
      <c r="EJZ85" s="798"/>
      <c r="EKA85" s="798"/>
      <c r="EKB85" s="798"/>
      <c r="EKC85" s="798"/>
      <c r="EKD85" s="798"/>
      <c r="EKE85" s="798"/>
      <c r="EKF85" s="798"/>
      <c r="EKG85" s="798"/>
      <c r="EKH85" s="798"/>
      <c r="EKI85" s="798"/>
      <c r="EKJ85" s="798"/>
      <c r="EKK85" s="798"/>
      <c r="EKL85" s="798"/>
      <c r="EKM85" s="798"/>
      <c r="EKN85" s="798"/>
      <c r="EKO85" s="798"/>
      <c r="EKP85" s="798"/>
      <c r="EKQ85" s="798"/>
      <c r="EKR85" s="798"/>
      <c r="EKS85" s="798"/>
      <c r="EKT85" s="798"/>
      <c r="EKU85" s="798"/>
      <c r="EKV85" s="798"/>
      <c r="EKW85" s="798"/>
      <c r="EKX85" s="798"/>
      <c r="EKY85" s="798"/>
      <c r="EKZ85" s="798"/>
      <c r="ELA85" s="798"/>
      <c r="ELB85" s="798"/>
      <c r="ELC85" s="798"/>
      <c r="ELD85" s="798"/>
      <c r="ELE85" s="798"/>
      <c r="ELF85" s="798"/>
      <c r="ELG85" s="798"/>
      <c r="ELH85" s="798"/>
      <c r="ELI85" s="798"/>
      <c r="ELJ85" s="798"/>
      <c r="ELK85" s="798"/>
      <c r="ELL85" s="798"/>
      <c r="ELM85" s="798"/>
      <c r="ELN85" s="798"/>
      <c r="ELO85" s="798"/>
      <c r="ELP85" s="798"/>
      <c r="ELQ85" s="798"/>
      <c r="ELR85" s="798"/>
      <c r="ELS85" s="798"/>
      <c r="ELT85" s="798"/>
      <c r="ELU85" s="798"/>
      <c r="ELV85" s="798"/>
      <c r="ELW85" s="798"/>
      <c r="ELX85" s="798"/>
      <c r="ELY85" s="798"/>
      <c r="ELZ85" s="798"/>
      <c r="EMA85" s="798"/>
      <c r="EMB85" s="798"/>
      <c r="EMC85" s="798"/>
      <c r="EMD85" s="798"/>
      <c r="EME85" s="798"/>
      <c r="EMF85" s="798"/>
      <c r="EMG85" s="798"/>
      <c r="EMH85" s="798"/>
      <c r="EMI85" s="798"/>
      <c r="EMJ85" s="798"/>
      <c r="EMK85" s="798"/>
      <c r="EML85" s="798"/>
      <c r="EMM85" s="798"/>
      <c r="EMN85" s="798"/>
      <c r="EMO85" s="798"/>
      <c r="EMP85" s="798"/>
      <c r="EMQ85" s="798"/>
      <c r="EMR85" s="798"/>
      <c r="EMS85" s="798"/>
      <c r="EMT85" s="798"/>
      <c r="EMU85" s="798"/>
      <c r="EMV85" s="798"/>
      <c r="EMW85" s="798"/>
      <c r="EMX85" s="798"/>
      <c r="EMY85" s="798"/>
      <c r="EMZ85" s="798"/>
      <c r="ENA85" s="798"/>
      <c r="ENB85" s="798"/>
      <c r="ENC85" s="798"/>
      <c r="END85" s="798"/>
      <c r="ENE85" s="798"/>
      <c r="ENF85" s="798"/>
      <c r="ENG85" s="798"/>
      <c r="ENH85" s="798"/>
      <c r="ENI85" s="798"/>
      <c r="ENJ85" s="798"/>
      <c r="ENK85" s="798"/>
      <c r="ENL85" s="798"/>
      <c r="ENM85" s="798"/>
      <c r="ENN85" s="798"/>
      <c r="ENO85" s="798"/>
      <c r="ENP85" s="798"/>
      <c r="ENQ85" s="798"/>
      <c r="ENR85" s="798"/>
      <c r="ENS85" s="798"/>
      <c r="ENT85" s="798"/>
      <c r="ENU85" s="798"/>
      <c r="ENV85" s="798"/>
      <c r="ENW85" s="798"/>
      <c r="ENX85" s="798"/>
      <c r="ENY85" s="798"/>
      <c r="ENZ85" s="798"/>
      <c r="EOA85" s="798"/>
      <c r="EOB85" s="798"/>
      <c r="EOC85" s="798"/>
      <c r="EOD85" s="798"/>
      <c r="EOE85" s="798"/>
      <c r="EOF85" s="798"/>
      <c r="EOG85" s="798"/>
      <c r="EOH85" s="798"/>
      <c r="EOI85" s="798"/>
      <c r="EOJ85" s="798"/>
      <c r="EOK85" s="798"/>
      <c r="EOL85" s="798"/>
      <c r="EOM85" s="798"/>
      <c r="EON85" s="798"/>
      <c r="EOO85" s="798"/>
      <c r="EOP85" s="798"/>
      <c r="EOQ85" s="798"/>
      <c r="EOR85" s="798"/>
      <c r="EOS85" s="798"/>
      <c r="EOT85" s="798"/>
      <c r="EOU85" s="798"/>
      <c r="EOV85" s="798"/>
      <c r="EOW85" s="798"/>
      <c r="EOX85" s="798"/>
      <c r="EOY85" s="798"/>
      <c r="EOZ85" s="798"/>
      <c r="EPA85" s="798"/>
      <c r="EPB85" s="798"/>
      <c r="EPC85" s="798"/>
      <c r="EPD85" s="798"/>
      <c r="EPE85" s="798"/>
      <c r="EPF85" s="798"/>
      <c r="EPG85" s="798"/>
      <c r="EPH85" s="798"/>
      <c r="EPI85" s="798"/>
      <c r="EPJ85" s="798"/>
      <c r="EPK85" s="798"/>
      <c r="EPL85" s="798"/>
      <c r="EPM85" s="798"/>
      <c r="EPN85" s="798"/>
      <c r="EPO85" s="798"/>
      <c r="EPP85" s="798"/>
      <c r="EPQ85" s="798"/>
      <c r="EPR85" s="798"/>
      <c r="EPS85" s="798"/>
      <c r="EPT85" s="798"/>
      <c r="EPU85" s="798"/>
      <c r="EPV85" s="798"/>
      <c r="EPW85" s="798"/>
      <c r="EPX85" s="798"/>
      <c r="EPY85" s="798"/>
      <c r="EPZ85" s="798"/>
      <c r="EQA85" s="798"/>
      <c r="EQB85" s="798"/>
      <c r="EQC85" s="798"/>
      <c r="EQD85" s="798"/>
      <c r="EQE85" s="798"/>
      <c r="EQF85" s="798"/>
      <c r="EQG85" s="798"/>
      <c r="EQH85" s="798"/>
      <c r="EQI85" s="798"/>
      <c r="EQJ85" s="798"/>
      <c r="EQK85" s="798"/>
      <c r="EQL85" s="798"/>
      <c r="EQM85" s="798"/>
      <c r="EQN85" s="798"/>
      <c r="EQO85" s="798"/>
      <c r="EQP85" s="798"/>
      <c r="EQQ85" s="798"/>
      <c r="EQR85" s="798"/>
      <c r="EQS85" s="798"/>
      <c r="EQT85" s="798"/>
      <c r="EQU85" s="798"/>
      <c r="EQV85" s="798"/>
      <c r="EQW85" s="798"/>
      <c r="EQX85" s="798"/>
      <c r="EQY85" s="798"/>
      <c r="EQZ85" s="798"/>
      <c r="ERA85" s="798"/>
      <c r="ERB85" s="798"/>
      <c r="ERC85" s="798"/>
      <c r="ERD85" s="798"/>
      <c r="ERE85" s="798"/>
      <c r="ERF85" s="798"/>
      <c r="ERG85" s="798"/>
      <c r="ERH85" s="798"/>
      <c r="ERI85" s="798"/>
      <c r="ERJ85" s="798"/>
      <c r="ERK85" s="798"/>
      <c r="ERL85" s="798"/>
      <c r="ERM85" s="798"/>
      <c r="ERN85" s="798"/>
      <c r="ERO85" s="798"/>
      <c r="ERP85" s="798"/>
      <c r="ERQ85" s="798"/>
      <c r="ERR85" s="798"/>
      <c r="ERS85" s="798"/>
      <c r="ERT85" s="798"/>
      <c r="ERU85" s="798"/>
      <c r="ERV85" s="798"/>
      <c r="ERW85" s="798"/>
      <c r="ERX85" s="798"/>
      <c r="ERY85" s="798"/>
      <c r="ERZ85" s="798"/>
      <c r="ESA85" s="798"/>
      <c r="ESB85" s="798"/>
      <c r="ESC85" s="798"/>
      <c r="ESD85" s="798"/>
      <c r="ESE85" s="798"/>
      <c r="ESF85" s="798"/>
      <c r="ESG85" s="798"/>
      <c r="ESH85" s="798"/>
      <c r="ESI85" s="798"/>
      <c r="ESJ85" s="798"/>
      <c r="ESK85" s="798"/>
      <c r="ESL85" s="798"/>
      <c r="ESM85" s="798"/>
      <c r="ESN85" s="798"/>
      <c r="ESO85" s="798"/>
      <c r="ESP85" s="798"/>
      <c r="ESQ85" s="798"/>
      <c r="ESR85" s="798"/>
      <c r="ESS85" s="798"/>
      <c r="EST85" s="798"/>
      <c r="ESU85" s="798"/>
      <c r="ESV85" s="798"/>
      <c r="ESW85" s="798"/>
      <c r="ESX85" s="798"/>
      <c r="ESY85" s="798"/>
      <c r="ESZ85" s="798"/>
      <c r="ETA85" s="798"/>
      <c r="ETB85" s="798"/>
      <c r="ETC85" s="798"/>
      <c r="ETD85" s="798"/>
      <c r="ETE85" s="798"/>
      <c r="ETF85" s="798"/>
      <c r="ETG85" s="798"/>
      <c r="ETH85" s="798"/>
      <c r="ETI85" s="798"/>
      <c r="ETJ85" s="798"/>
      <c r="ETK85" s="798"/>
      <c r="ETL85" s="798"/>
      <c r="ETM85" s="798"/>
      <c r="ETN85" s="798"/>
      <c r="ETO85" s="798"/>
      <c r="ETP85" s="798"/>
      <c r="ETQ85" s="798"/>
      <c r="ETR85" s="798"/>
      <c r="ETS85" s="798"/>
      <c r="ETT85" s="798"/>
      <c r="ETU85" s="798"/>
      <c r="ETV85" s="798"/>
      <c r="ETW85" s="798"/>
      <c r="ETX85" s="798"/>
      <c r="ETY85" s="798"/>
      <c r="ETZ85" s="798"/>
      <c r="EUA85" s="798"/>
      <c r="EUB85" s="798"/>
      <c r="EUC85" s="798"/>
      <c r="EUD85" s="798"/>
      <c r="EUE85" s="798"/>
      <c r="EUF85" s="798"/>
      <c r="EUG85" s="798"/>
      <c r="EUH85" s="798"/>
      <c r="EUI85" s="798"/>
      <c r="EUJ85" s="798"/>
      <c r="EUK85" s="798"/>
      <c r="EUL85" s="798"/>
      <c r="EUM85" s="798"/>
      <c r="EUN85" s="798"/>
      <c r="EUO85" s="798"/>
      <c r="EUP85" s="798"/>
      <c r="EUQ85" s="798"/>
      <c r="EUR85" s="798"/>
      <c r="EUS85" s="798"/>
      <c r="EUT85" s="798"/>
      <c r="EUU85" s="798"/>
      <c r="EUV85" s="798"/>
      <c r="EUW85" s="798"/>
      <c r="EUX85" s="798"/>
      <c r="EUY85" s="798"/>
      <c r="EUZ85" s="798"/>
      <c r="EVA85" s="798"/>
      <c r="EVB85" s="798"/>
      <c r="EVC85" s="798"/>
      <c r="EVD85" s="798"/>
      <c r="EVE85" s="798"/>
      <c r="EVF85" s="798"/>
      <c r="EVG85" s="798"/>
      <c r="EVH85" s="798"/>
      <c r="EVI85" s="798"/>
      <c r="EVJ85" s="798"/>
      <c r="EVK85" s="798"/>
      <c r="EVL85" s="798"/>
      <c r="EVM85" s="798"/>
      <c r="EVN85" s="798"/>
      <c r="EVO85" s="798"/>
      <c r="EVP85" s="798"/>
      <c r="EVQ85" s="798"/>
      <c r="EVR85" s="798"/>
      <c r="EVS85" s="798"/>
      <c r="EVT85" s="798"/>
      <c r="EVU85" s="798"/>
      <c r="EVV85" s="798"/>
      <c r="EVW85" s="798"/>
      <c r="EVX85" s="798"/>
      <c r="EVY85" s="798"/>
      <c r="EVZ85" s="798"/>
      <c r="EWA85" s="798"/>
      <c r="EWB85" s="798"/>
      <c r="EWC85" s="798"/>
      <c r="EWD85" s="798"/>
      <c r="EWE85" s="798"/>
      <c r="EWF85" s="798"/>
      <c r="EWG85" s="798"/>
      <c r="EWH85" s="798"/>
      <c r="EWI85" s="798"/>
      <c r="EWJ85" s="798"/>
      <c r="EWK85" s="798"/>
      <c r="EWL85" s="798"/>
      <c r="EWM85" s="798"/>
      <c r="EWN85" s="798"/>
      <c r="EWO85" s="798"/>
      <c r="EWP85" s="798"/>
      <c r="EWQ85" s="798"/>
      <c r="EWR85" s="798"/>
      <c r="EWS85" s="798"/>
      <c r="EWT85" s="798"/>
      <c r="EWU85" s="798"/>
      <c r="EWV85" s="798"/>
      <c r="EWW85" s="798"/>
      <c r="EWX85" s="798"/>
      <c r="EWY85" s="798"/>
      <c r="EWZ85" s="798"/>
      <c r="EXA85" s="798"/>
      <c r="EXB85" s="798"/>
      <c r="EXC85" s="798"/>
      <c r="EXD85" s="798"/>
      <c r="EXE85" s="798"/>
      <c r="EXF85" s="798"/>
      <c r="EXG85" s="798"/>
      <c r="EXH85" s="798"/>
      <c r="EXI85" s="798"/>
      <c r="EXJ85" s="798"/>
      <c r="EXK85" s="798"/>
      <c r="EXL85" s="798"/>
      <c r="EXM85" s="798"/>
      <c r="EXN85" s="798"/>
      <c r="EXO85" s="798"/>
      <c r="EXP85" s="798"/>
      <c r="EXQ85" s="798"/>
      <c r="EXR85" s="798"/>
      <c r="EXS85" s="798"/>
      <c r="EXT85" s="798"/>
      <c r="EXU85" s="798"/>
      <c r="EXV85" s="798"/>
      <c r="EXW85" s="798"/>
      <c r="EXX85" s="798"/>
      <c r="EXY85" s="798"/>
      <c r="EXZ85" s="798"/>
      <c r="EYA85" s="798"/>
      <c r="EYB85" s="798"/>
      <c r="EYC85" s="798"/>
      <c r="EYD85" s="798"/>
      <c r="EYE85" s="798"/>
      <c r="EYF85" s="798"/>
      <c r="EYG85" s="798"/>
      <c r="EYH85" s="798"/>
      <c r="EYI85" s="798"/>
      <c r="EYJ85" s="798"/>
      <c r="EYK85" s="798"/>
      <c r="EYL85" s="798"/>
      <c r="EYM85" s="798"/>
      <c r="EYN85" s="798"/>
      <c r="EYO85" s="798"/>
      <c r="EYP85" s="798"/>
      <c r="EYQ85" s="798"/>
      <c r="EYR85" s="798"/>
      <c r="EYS85" s="798"/>
      <c r="EYT85" s="798"/>
      <c r="EYU85" s="798"/>
      <c r="EYV85" s="798"/>
      <c r="EYW85" s="798"/>
      <c r="EYX85" s="798"/>
      <c r="EYY85" s="798"/>
      <c r="EYZ85" s="798"/>
      <c r="EZA85" s="798"/>
      <c r="EZB85" s="798"/>
      <c r="EZC85" s="798"/>
      <c r="EZD85" s="798"/>
      <c r="EZE85" s="798"/>
      <c r="EZF85" s="798"/>
      <c r="EZG85" s="798"/>
      <c r="EZH85" s="798"/>
      <c r="EZI85" s="798"/>
      <c r="EZJ85" s="798"/>
      <c r="EZK85" s="798"/>
      <c r="EZL85" s="798"/>
      <c r="EZM85" s="798"/>
      <c r="EZN85" s="798"/>
      <c r="EZO85" s="798"/>
      <c r="EZP85" s="798"/>
      <c r="EZQ85" s="798"/>
      <c r="EZR85" s="798"/>
      <c r="EZS85" s="798"/>
      <c r="EZT85" s="798"/>
      <c r="EZU85" s="798"/>
      <c r="EZV85" s="798"/>
      <c r="EZW85" s="798"/>
      <c r="EZX85" s="798"/>
      <c r="EZY85" s="798"/>
      <c r="EZZ85" s="798"/>
      <c r="FAA85" s="798"/>
      <c r="FAB85" s="798"/>
      <c r="FAC85" s="798"/>
      <c r="FAD85" s="798"/>
      <c r="FAE85" s="798"/>
      <c r="FAF85" s="798"/>
      <c r="FAG85" s="798"/>
      <c r="FAH85" s="798"/>
      <c r="FAI85" s="798"/>
      <c r="FAJ85" s="798"/>
      <c r="FAK85" s="798"/>
      <c r="FAL85" s="798"/>
      <c r="FAM85" s="798"/>
      <c r="FAN85" s="798"/>
      <c r="FAO85" s="798"/>
      <c r="FAP85" s="798"/>
      <c r="FAQ85" s="798"/>
      <c r="FAR85" s="798"/>
      <c r="FAS85" s="798"/>
      <c r="FAT85" s="798"/>
      <c r="FAU85" s="798"/>
      <c r="FAV85" s="798"/>
      <c r="FAW85" s="798"/>
      <c r="FAX85" s="798"/>
      <c r="FAY85" s="798"/>
      <c r="FAZ85" s="798"/>
      <c r="FBA85" s="798"/>
      <c r="FBB85" s="798"/>
      <c r="FBC85" s="798"/>
      <c r="FBD85" s="798"/>
      <c r="FBE85" s="798"/>
      <c r="FBF85" s="798"/>
      <c r="FBG85" s="798"/>
      <c r="FBH85" s="798"/>
      <c r="FBI85" s="798"/>
      <c r="FBJ85" s="798"/>
      <c r="FBK85" s="798"/>
      <c r="FBL85" s="798"/>
      <c r="FBM85" s="798"/>
      <c r="FBN85" s="798"/>
      <c r="FBO85" s="798"/>
      <c r="FBP85" s="798"/>
      <c r="FBQ85" s="798"/>
      <c r="FBR85" s="798"/>
      <c r="FBS85" s="798"/>
      <c r="FBT85" s="798"/>
      <c r="FBU85" s="798"/>
      <c r="FBV85" s="798"/>
      <c r="FBW85" s="798"/>
      <c r="FBX85" s="798"/>
      <c r="FBY85" s="798"/>
      <c r="FBZ85" s="798"/>
      <c r="FCA85" s="798"/>
      <c r="FCB85" s="798"/>
      <c r="FCC85" s="798"/>
      <c r="FCD85" s="798"/>
      <c r="FCE85" s="798"/>
      <c r="FCF85" s="798"/>
      <c r="FCG85" s="798"/>
      <c r="FCH85" s="798"/>
      <c r="FCI85" s="798"/>
      <c r="FCJ85" s="798"/>
      <c r="FCK85" s="798"/>
      <c r="FCL85" s="798"/>
      <c r="FCM85" s="798"/>
      <c r="FCN85" s="798"/>
      <c r="FCO85" s="798"/>
      <c r="FCP85" s="798"/>
      <c r="FCQ85" s="798"/>
      <c r="FCR85" s="798"/>
      <c r="FCS85" s="798"/>
      <c r="FCT85" s="798"/>
      <c r="FCU85" s="798"/>
      <c r="FCV85" s="798"/>
      <c r="FCW85" s="798"/>
      <c r="FCX85" s="798"/>
      <c r="FCY85" s="798"/>
      <c r="FCZ85" s="798"/>
      <c r="FDA85" s="798"/>
      <c r="FDB85" s="798"/>
      <c r="FDC85" s="798"/>
      <c r="FDD85" s="798"/>
      <c r="FDE85" s="798"/>
      <c r="FDF85" s="798"/>
      <c r="FDG85" s="798"/>
      <c r="FDH85" s="798"/>
      <c r="FDI85" s="798"/>
      <c r="FDJ85" s="798"/>
      <c r="FDK85" s="798"/>
      <c r="FDL85" s="798"/>
      <c r="FDM85" s="798"/>
      <c r="FDN85" s="798"/>
      <c r="FDO85" s="798"/>
      <c r="FDP85" s="798"/>
      <c r="FDQ85" s="798"/>
      <c r="FDR85" s="798"/>
      <c r="FDS85" s="798"/>
      <c r="FDT85" s="798"/>
      <c r="FDU85" s="798"/>
      <c r="FDV85" s="798"/>
      <c r="FDW85" s="798"/>
      <c r="FDX85" s="798"/>
      <c r="FDY85" s="798"/>
      <c r="FDZ85" s="798"/>
      <c r="FEA85" s="798"/>
      <c r="FEB85" s="798"/>
      <c r="FEC85" s="798"/>
      <c r="FED85" s="798"/>
      <c r="FEE85" s="798"/>
      <c r="FEF85" s="798"/>
      <c r="FEG85" s="798"/>
      <c r="FEH85" s="798"/>
      <c r="FEI85" s="798"/>
      <c r="FEJ85" s="798"/>
      <c r="FEK85" s="798"/>
      <c r="FEL85" s="798"/>
      <c r="FEM85" s="798"/>
      <c r="FEN85" s="798"/>
      <c r="FEO85" s="798"/>
      <c r="FEP85" s="798"/>
      <c r="FEQ85" s="798"/>
      <c r="FER85" s="798"/>
      <c r="FES85" s="798"/>
      <c r="FET85" s="798"/>
      <c r="FEU85" s="798"/>
      <c r="FEV85" s="798"/>
      <c r="FEW85" s="798"/>
      <c r="FEX85" s="798"/>
      <c r="FEY85" s="798"/>
      <c r="FEZ85" s="798"/>
      <c r="FFA85" s="798"/>
      <c r="FFB85" s="798"/>
      <c r="FFC85" s="798"/>
      <c r="FFD85" s="798"/>
      <c r="FFE85" s="798"/>
      <c r="FFF85" s="798"/>
      <c r="FFG85" s="798"/>
      <c r="FFH85" s="798"/>
      <c r="FFI85" s="798"/>
      <c r="FFJ85" s="798"/>
      <c r="FFK85" s="798"/>
      <c r="FFL85" s="798"/>
      <c r="FFM85" s="798"/>
      <c r="FFN85" s="798"/>
      <c r="FFO85" s="798"/>
      <c r="FFP85" s="798"/>
      <c r="FFQ85" s="798"/>
      <c r="FFR85" s="798"/>
      <c r="FFS85" s="798"/>
      <c r="FFT85" s="798"/>
      <c r="FFU85" s="798"/>
      <c r="FFV85" s="798"/>
      <c r="FFW85" s="798"/>
      <c r="FFX85" s="798"/>
      <c r="FFY85" s="798"/>
      <c r="FFZ85" s="798"/>
      <c r="FGA85" s="798"/>
      <c r="FGB85" s="798"/>
      <c r="FGC85" s="798"/>
      <c r="FGD85" s="798"/>
      <c r="FGE85" s="798"/>
      <c r="FGF85" s="798"/>
      <c r="FGG85" s="798"/>
      <c r="FGH85" s="798"/>
      <c r="FGI85" s="798"/>
      <c r="FGJ85" s="798"/>
      <c r="FGK85" s="798"/>
      <c r="FGL85" s="798"/>
      <c r="FGM85" s="798"/>
      <c r="FGN85" s="798"/>
      <c r="FGO85" s="798"/>
      <c r="FGP85" s="798"/>
      <c r="FGQ85" s="798"/>
      <c r="FGR85" s="798"/>
      <c r="FGS85" s="798"/>
      <c r="FGT85" s="798"/>
      <c r="FGU85" s="798"/>
      <c r="FGV85" s="798"/>
      <c r="FGW85" s="798"/>
      <c r="FGX85" s="798"/>
      <c r="FGY85" s="798"/>
      <c r="FGZ85" s="798"/>
      <c r="FHA85" s="798"/>
      <c r="FHB85" s="798"/>
      <c r="FHC85" s="798"/>
      <c r="FHD85" s="798"/>
      <c r="FHE85" s="798"/>
      <c r="FHF85" s="798"/>
      <c r="FHG85" s="798"/>
      <c r="FHH85" s="798"/>
      <c r="FHI85" s="798"/>
      <c r="FHJ85" s="798"/>
      <c r="FHK85" s="798"/>
      <c r="FHL85" s="798"/>
      <c r="FHM85" s="798"/>
      <c r="FHN85" s="798"/>
      <c r="FHO85" s="798"/>
      <c r="FHP85" s="798"/>
      <c r="FHQ85" s="798"/>
      <c r="FHR85" s="798"/>
      <c r="FHS85" s="798"/>
      <c r="FHT85" s="798"/>
      <c r="FHU85" s="798"/>
      <c r="FHV85" s="798"/>
      <c r="FHW85" s="798"/>
      <c r="FHX85" s="798"/>
      <c r="FHY85" s="798"/>
      <c r="FHZ85" s="798"/>
      <c r="FIA85" s="798"/>
      <c r="FIB85" s="798"/>
      <c r="FIC85" s="798"/>
      <c r="FID85" s="798"/>
      <c r="FIE85" s="798"/>
      <c r="FIF85" s="798"/>
      <c r="FIG85" s="798"/>
      <c r="FIH85" s="798"/>
      <c r="FII85" s="798"/>
      <c r="FIJ85" s="798"/>
      <c r="FIK85" s="798"/>
      <c r="FIL85" s="798"/>
      <c r="FIM85" s="798"/>
      <c r="FIN85" s="798"/>
      <c r="FIO85" s="798"/>
      <c r="FIP85" s="798"/>
      <c r="FIQ85" s="798"/>
      <c r="FIR85" s="798"/>
      <c r="FIS85" s="798"/>
      <c r="FIT85" s="798"/>
      <c r="FIU85" s="798"/>
      <c r="FIV85" s="798"/>
      <c r="FIW85" s="798"/>
      <c r="FIX85" s="798"/>
      <c r="FIY85" s="798"/>
      <c r="FIZ85" s="798"/>
      <c r="FJA85" s="798"/>
      <c r="FJB85" s="798"/>
      <c r="FJC85" s="798"/>
      <c r="FJD85" s="798"/>
      <c r="FJE85" s="798"/>
      <c r="FJF85" s="798"/>
      <c r="FJG85" s="798"/>
      <c r="FJH85" s="798"/>
      <c r="FJI85" s="798"/>
      <c r="FJJ85" s="798"/>
      <c r="FJK85" s="798"/>
      <c r="FJL85" s="798"/>
      <c r="FJM85" s="798"/>
      <c r="FJN85" s="798"/>
      <c r="FJO85" s="798"/>
      <c r="FJP85" s="798"/>
      <c r="FJQ85" s="798"/>
      <c r="FJR85" s="798"/>
      <c r="FJS85" s="798"/>
      <c r="FJT85" s="798"/>
      <c r="FJU85" s="798"/>
      <c r="FJV85" s="798"/>
      <c r="FJW85" s="798"/>
      <c r="FJX85" s="798"/>
      <c r="FJY85" s="798"/>
      <c r="FJZ85" s="798"/>
      <c r="FKA85" s="798"/>
      <c r="FKB85" s="798"/>
      <c r="FKC85" s="798"/>
      <c r="FKD85" s="798"/>
      <c r="FKE85" s="798"/>
      <c r="FKF85" s="798"/>
      <c r="FKG85" s="798"/>
      <c r="FKH85" s="798"/>
      <c r="FKI85" s="798"/>
      <c r="FKJ85" s="798"/>
      <c r="FKK85" s="798"/>
      <c r="FKL85" s="798"/>
      <c r="FKM85" s="798"/>
      <c r="FKN85" s="798"/>
      <c r="FKO85" s="798"/>
      <c r="FKP85" s="798"/>
      <c r="FKQ85" s="798"/>
      <c r="FKR85" s="798"/>
      <c r="FKS85" s="798"/>
      <c r="FKT85" s="798"/>
      <c r="FKU85" s="798"/>
      <c r="FKV85" s="798"/>
      <c r="FKW85" s="798"/>
      <c r="FKX85" s="798"/>
      <c r="FKY85" s="798"/>
      <c r="FKZ85" s="798"/>
      <c r="FLA85" s="798"/>
      <c r="FLB85" s="798"/>
      <c r="FLC85" s="798"/>
      <c r="FLD85" s="798"/>
      <c r="FLE85" s="798"/>
      <c r="FLF85" s="798"/>
      <c r="FLG85" s="798"/>
      <c r="FLH85" s="798"/>
      <c r="FLI85" s="798"/>
      <c r="FLJ85" s="798"/>
      <c r="FLK85" s="798"/>
      <c r="FLL85" s="798"/>
      <c r="FLM85" s="798"/>
      <c r="FLN85" s="798"/>
      <c r="FLO85" s="798"/>
      <c r="FLP85" s="798"/>
      <c r="FLQ85" s="798"/>
      <c r="FLR85" s="798"/>
      <c r="FLS85" s="798"/>
      <c r="FLT85" s="798"/>
      <c r="FLU85" s="798"/>
      <c r="FLV85" s="798"/>
      <c r="FLW85" s="798"/>
      <c r="FLX85" s="798"/>
      <c r="FLY85" s="798"/>
      <c r="FLZ85" s="798"/>
      <c r="FMA85" s="798"/>
      <c r="FMB85" s="798"/>
      <c r="FMC85" s="798"/>
      <c r="FMD85" s="798"/>
      <c r="FME85" s="798"/>
      <c r="FMF85" s="798"/>
      <c r="FMG85" s="798"/>
      <c r="FMH85" s="798"/>
      <c r="FMI85" s="798"/>
      <c r="FMJ85" s="798"/>
      <c r="FMK85" s="798"/>
      <c r="FML85" s="798"/>
      <c r="FMM85" s="798"/>
      <c r="FMN85" s="798"/>
      <c r="FMO85" s="798"/>
      <c r="FMP85" s="798"/>
      <c r="FMQ85" s="798"/>
      <c r="FMR85" s="798"/>
      <c r="FMS85" s="798"/>
      <c r="FMT85" s="798"/>
      <c r="FMU85" s="798"/>
      <c r="FMV85" s="798"/>
      <c r="FMW85" s="798"/>
      <c r="FMX85" s="798"/>
      <c r="FMY85" s="798"/>
      <c r="FMZ85" s="798"/>
      <c r="FNA85" s="798"/>
      <c r="FNB85" s="798"/>
      <c r="FNC85" s="798"/>
      <c r="FND85" s="798"/>
      <c r="FNE85" s="798"/>
      <c r="FNF85" s="798"/>
      <c r="FNG85" s="798"/>
      <c r="FNH85" s="798"/>
      <c r="FNI85" s="798"/>
      <c r="FNJ85" s="798"/>
      <c r="FNK85" s="798"/>
      <c r="FNL85" s="798"/>
      <c r="FNM85" s="798"/>
      <c r="FNN85" s="798"/>
      <c r="FNO85" s="798"/>
      <c r="FNP85" s="798"/>
      <c r="FNQ85" s="798"/>
      <c r="FNR85" s="798"/>
      <c r="FNS85" s="798"/>
      <c r="FNT85" s="798"/>
      <c r="FNU85" s="798"/>
      <c r="FNV85" s="798"/>
      <c r="FNW85" s="798"/>
      <c r="FNX85" s="798"/>
      <c r="FNY85" s="798"/>
      <c r="FNZ85" s="798"/>
      <c r="FOA85" s="798"/>
      <c r="FOB85" s="798"/>
      <c r="FOC85" s="798"/>
      <c r="FOD85" s="798"/>
      <c r="FOE85" s="798"/>
      <c r="FOF85" s="798"/>
      <c r="FOG85" s="798"/>
      <c r="FOH85" s="798"/>
      <c r="FOI85" s="798"/>
      <c r="FOJ85" s="798"/>
      <c r="FOK85" s="798"/>
      <c r="FOL85" s="798"/>
      <c r="FOM85" s="798"/>
      <c r="FON85" s="798"/>
      <c r="FOO85" s="798"/>
      <c r="FOP85" s="798"/>
      <c r="FOQ85" s="798"/>
      <c r="FOR85" s="798"/>
      <c r="FOS85" s="798"/>
      <c r="FOT85" s="798"/>
      <c r="FOU85" s="798"/>
      <c r="FOV85" s="798"/>
      <c r="FOW85" s="798"/>
      <c r="FOX85" s="798"/>
      <c r="FOY85" s="798"/>
      <c r="FOZ85" s="798"/>
      <c r="FPA85" s="798"/>
      <c r="FPB85" s="798"/>
      <c r="FPC85" s="798"/>
      <c r="FPD85" s="798"/>
      <c r="FPE85" s="798"/>
      <c r="FPF85" s="798"/>
      <c r="FPG85" s="798"/>
      <c r="FPH85" s="798"/>
      <c r="FPI85" s="798"/>
      <c r="FPJ85" s="798"/>
      <c r="FPK85" s="798"/>
      <c r="FPL85" s="798"/>
      <c r="FPM85" s="798"/>
      <c r="FPN85" s="798"/>
      <c r="FPO85" s="798"/>
      <c r="FPP85" s="798"/>
      <c r="FPQ85" s="798"/>
      <c r="FPR85" s="798"/>
      <c r="FPS85" s="798"/>
      <c r="FPT85" s="798"/>
      <c r="FPU85" s="798"/>
      <c r="FPV85" s="798"/>
      <c r="FPW85" s="798"/>
      <c r="FPX85" s="798"/>
      <c r="FPY85" s="798"/>
      <c r="FPZ85" s="798"/>
      <c r="FQA85" s="798"/>
      <c r="FQB85" s="798"/>
      <c r="FQC85" s="798"/>
      <c r="FQD85" s="798"/>
      <c r="FQE85" s="798"/>
      <c r="FQF85" s="798"/>
      <c r="FQG85" s="798"/>
      <c r="FQH85" s="798"/>
      <c r="FQI85" s="798"/>
      <c r="FQJ85" s="798"/>
      <c r="FQK85" s="798"/>
      <c r="FQL85" s="798"/>
      <c r="FQM85" s="798"/>
      <c r="FQN85" s="798"/>
      <c r="FQO85" s="798"/>
      <c r="FQP85" s="798"/>
      <c r="FQQ85" s="798"/>
      <c r="FQR85" s="798"/>
      <c r="FQS85" s="798"/>
      <c r="FQT85" s="798"/>
      <c r="FQU85" s="798"/>
      <c r="FQV85" s="798"/>
      <c r="FQW85" s="798"/>
      <c r="FQX85" s="798"/>
      <c r="FQY85" s="798"/>
      <c r="FQZ85" s="798"/>
      <c r="FRA85" s="798"/>
      <c r="FRB85" s="798"/>
      <c r="FRC85" s="798"/>
      <c r="FRD85" s="798"/>
      <c r="FRE85" s="798"/>
      <c r="FRF85" s="798"/>
      <c r="FRG85" s="798"/>
      <c r="FRH85" s="798"/>
      <c r="FRI85" s="798"/>
      <c r="FRJ85" s="798"/>
      <c r="FRK85" s="798"/>
      <c r="FRL85" s="798"/>
      <c r="FRM85" s="798"/>
      <c r="FRN85" s="798"/>
      <c r="FRO85" s="798"/>
      <c r="FRP85" s="798"/>
      <c r="FRQ85" s="798"/>
      <c r="FRR85" s="798"/>
      <c r="FRS85" s="798"/>
      <c r="FRT85" s="798"/>
      <c r="FRU85" s="798"/>
      <c r="FRV85" s="798"/>
      <c r="FRW85" s="798"/>
      <c r="FRX85" s="798"/>
      <c r="FRY85" s="798"/>
      <c r="FRZ85" s="798"/>
      <c r="FSA85" s="798"/>
      <c r="FSB85" s="798"/>
      <c r="FSC85" s="798"/>
      <c r="FSD85" s="798"/>
      <c r="FSE85" s="798"/>
      <c r="FSF85" s="798"/>
      <c r="FSG85" s="798"/>
      <c r="FSH85" s="798"/>
      <c r="FSI85" s="798"/>
      <c r="FSJ85" s="798"/>
      <c r="FSK85" s="798"/>
      <c r="FSL85" s="798"/>
      <c r="FSM85" s="798"/>
      <c r="FSN85" s="798"/>
      <c r="FSO85" s="798"/>
      <c r="FSP85" s="798"/>
      <c r="FSQ85" s="798"/>
      <c r="FSR85" s="798"/>
      <c r="FSS85" s="798"/>
      <c r="FST85" s="798"/>
      <c r="FSU85" s="798"/>
      <c r="FSV85" s="798"/>
      <c r="FSW85" s="798"/>
      <c r="FSX85" s="798"/>
      <c r="FSY85" s="798"/>
      <c r="FSZ85" s="798"/>
      <c r="FTA85" s="798"/>
      <c r="FTB85" s="798"/>
      <c r="FTC85" s="798"/>
      <c r="FTD85" s="798"/>
      <c r="FTE85" s="798"/>
      <c r="FTF85" s="798"/>
      <c r="FTG85" s="798"/>
      <c r="FTH85" s="798"/>
      <c r="FTI85" s="798"/>
      <c r="FTJ85" s="798"/>
      <c r="FTK85" s="798"/>
      <c r="FTL85" s="798"/>
      <c r="FTM85" s="798"/>
      <c r="FTN85" s="798"/>
      <c r="FTO85" s="798"/>
      <c r="FTP85" s="798"/>
      <c r="FTQ85" s="798"/>
      <c r="FTR85" s="798"/>
      <c r="FTS85" s="798"/>
      <c r="FTT85" s="798"/>
      <c r="FTU85" s="798"/>
      <c r="FTV85" s="798"/>
      <c r="FTW85" s="798"/>
      <c r="FTX85" s="798"/>
      <c r="FTY85" s="798"/>
      <c r="FTZ85" s="798"/>
      <c r="FUA85" s="798"/>
      <c r="FUB85" s="798"/>
      <c r="FUC85" s="798"/>
      <c r="FUD85" s="798"/>
      <c r="FUE85" s="798"/>
      <c r="FUF85" s="798"/>
      <c r="FUG85" s="798"/>
      <c r="FUH85" s="798"/>
      <c r="FUI85" s="798"/>
      <c r="FUJ85" s="798"/>
      <c r="FUK85" s="798"/>
      <c r="FUL85" s="798"/>
      <c r="FUM85" s="798"/>
      <c r="FUN85" s="798"/>
      <c r="FUO85" s="798"/>
      <c r="FUP85" s="798"/>
      <c r="FUQ85" s="798"/>
      <c r="FUR85" s="798"/>
      <c r="FUS85" s="798"/>
      <c r="FUT85" s="798"/>
      <c r="FUU85" s="798"/>
      <c r="FUV85" s="798"/>
      <c r="FUW85" s="798"/>
      <c r="FUX85" s="798"/>
      <c r="FUY85" s="798"/>
      <c r="FUZ85" s="798"/>
      <c r="FVA85" s="798"/>
      <c r="FVB85" s="798"/>
      <c r="FVC85" s="798"/>
      <c r="FVD85" s="798"/>
      <c r="FVE85" s="798"/>
      <c r="FVF85" s="798"/>
      <c r="FVG85" s="798"/>
      <c r="FVH85" s="798"/>
      <c r="FVI85" s="798"/>
      <c r="FVJ85" s="798"/>
      <c r="FVK85" s="798"/>
      <c r="FVL85" s="798"/>
      <c r="FVM85" s="798"/>
      <c r="FVN85" s="798"/>
      <c r="FVO85" s="798"/>
      <c r="FVP85" s="798"/>
      <c r="FVQ85" s="798"/>
      <c r="FVR85" s="798"/>
      <c r="FVS85" s="798"/>
      <c r="FVT85" s="798"/>
      <c r="FVU85" s="798"/>
      <c r="FVV85" s="798"/>
      <c r="FVW85" s="798"/>
      <c r="FVX85" s="798"/>
      <c r="FVY85" s="798"/>
      <c r="FVZ85" s="798"/>
      <c r="FWA85" s="798"/>
      <c r="FWB85" s="798"/>
      <c r="FWC85" s="798"/>
      <c r="FWD85" s="798"/>
      <c r="FWE85" s="798"/>
      <c r="FWF85" s="798"/>
      <c r="FWG85" s="798"/>
      <c r="FWH85" s="798"/>
      <c r="FWI85" s="798"/>
      <c r="FWJ85" s="798"/>
      <c r="FWK85" s="798"/>
      <c r="FWL85" s="798"/>
      <c r="FWM85" s="798"/>
      <c r="FWN85" s="798"/>
      <c r="FWO85" s="798"/>
      <c r="FWP85" s="798"/>
      <c r="FWQ85" s="798"/>
      <c r="FWR85" s="798"/>
      <c r="FWS85" s="798"/>
      <c r="FWT85" s="798"/>
      <c r="FWU85" s="798"/>
      <c r="FWV85" s="798"/>
      <c r="FWW85" s="798"/>
      <c r="FWX85" s="798"/>
      <c r="FWY85" s="798"/>
      <c r="FWZ85" s="798"/>
      <c r="FXA85" s="798"/>
      <c r="FXB85" s="798"/>
      <c r="FXC85" s="798"/>
      <c r="FXD85" s="798"/>
      <c r="FXE85" s="798"/>
      <c r="FXF85" s="798"/>
      <c r="FXG85" s="798"/>
      <c r="FXH85" s="798"/>
      <c r="FXI85" s="798"/>
      <c r="FXJ85" s="798"/>
      <c r="FXK85" s="798"/>
      <c r="FXL85" s="798"/>
      <c r="FXM85" s="798"/>
      <c r="FXN85" s="798"/>
      <c r="FXO85" s="798"/>
      <c r="FXP85" s="798"/>
      <c r="FXQ85" s="798"/>
      <c r="FXR85" s="798"/>
      <c r="FXS85" s="798"/>
      <c r="FXT85" s="798"/>
      <c r="FXU85" s="798"/>
      <c r="FXV85" s="798"/>
      <c r="FXW85" s="798"/>
      <c r="FXX85" s="798"/>
      <c r="FXY85" s="798"/>
      <c r="FXZ85" s="798"/>
      <c r="FYA85" s="798"/>
      <c r="FYB85" s="798"/>
      <c r="FYC85" s="798"/>
      <c r="FYD85" s="798"/>
      <c r="FYE85" s="798"/>
      <c r="FYF85" s="798"/>
      <c r="FYG85" s="798"/>
      <c r="FYH85" s="798"/>
      <c r="FYI85" s="798"/>
      <c r="FYJ85" s="798"/>
      <c r="FYK85" s="798"/>
      <c r="FYL85" s="798"/>
      <c r="FYM85" s="798"/>
      <c r="FYN85" s="798"/>
      <c r="FYO85" s="798"/>
      <c r="FYP85" s="798"/>
      <c r="FYQ85" s="798"/>
      <c r="FYR85" s="798"/>
      <c r="FYS85" s="798"/>
      <c r="FYT85" s="798"/>
      <c r="FYU85" s="798"/>
      <c r="FYV85" s="798"/>
      <c r="FYW85" s="798"/>
      <c r="FYX85" s="798"/>
      <c r="FYY85" s="798"/>
      <c r="FYZ85" s="798"/>
      <c r="FZA85" s="798"/>
      <c r="FZB85" s="798"/>
      <c r="FZC85" s="798"/>
      <c r="FZD85" s="798"/>
      <c r="FZE85" s="798"/>
      <c r="FZF85" s="798"/>
      <c r="FZG85" s="798"/>
      <c r="FZH85" s="798"/>
      <c r="FZI85" s="798"/>
      <c r="FZJ85" s="798"/>
      <c r="FZK85" s="798"/>
      <c r="FZL85" s="798"/>
      <c r="FZM85" s="798"/>
      <c r="FZN85" s="798"/>
      <c r="FZO85" s="798"/>
      <c r="FZP85" s="798"/>
      <c r="FZQ85" s="798"/>
      <c r="FZR85" s="798"/>
      <c r="FZS85" s="798"/>
      <c r="FZT85" s="798"/>
      <c r="FZU85" s="798"/>
      <c r="FZV85" s="798"/>
      <c r="FZW85" s="798"/>
      <c r="FZX85" s="798"/>
      <c r="FZY85" s="798"/>
      <c r="FZZ85" s="798"/>
      <c r="GAA85" s="798"/>
      <c r="GAB85" s="798"/>
      <c r="GAC85" s="798"/>
      <c r="GAD85" s="798"/>
      <c r="GAE85" s="798"/>
      <c r="GAF85" s="798"/>
      <c r="GAG85" s="798"/>
      <c r="GAH85" s="798"/>
      <c r="GAI85" s="798"/>
      <c r="GAJ85" s="798"/>
      <c r="GAK85" s="798"/>
      <c r="GAL85" s="798"/>
      <c r="GAM85" s="798"/>
      <c r="GAN85" s="798"/>
      <c r="GAO85" s="798"/>
      <c r="GAP85" s="798"/>
      <c r="GAQ85" s="798"/>
      <c r="GAR85" s="798"/>
      <c r="GAS85" s="798"/>
      <c r="GAT85" s="798"/>
      <c r="GAU85" s="798"/>
      <c r="GAV85" s="798"/>
      <c r="GAW85" s="798"/>
      <c r="GAX85" s="798"/>
      <c r="GAY85" s="798"/>
      <c r="GAZ85" s="798"/>
      <c r="GBA85" s="798"/>
      <c r="GBB85" s="798"/>
      <c r="GBC85" s="798"/>
      <c r="GBD85" s="798"/>
      <c r="GBE85" s="798"/>
      <c r="GBF85" s="798"/>
      <c r="GBG85" s="798"/>
      <c r="GBH85" s="798"/>
      <c r="GBI85" s="798"/>
      <c r="GBJ85" s="798"/>
      <c r="GBK85" s="798"/>
      <c r="GBL85" s="798"/>
      <c r="GBM85" s="798"/>
      <c r="GBN85" s="798"/>
      <c r="GBO85" s="798"/>
      <c r="GBP85" s="798"/>
      <c r="GBQ85" s="798"/>
      <c r="GBR85" s="798"/>
      <c r="GBS85" s="798"/>
      <c r="GBT85" s="798"/>
      <c r="GBU85" s="798"/>
      <c r="GBV85" s="798"/>
      <c r="GBW85" s="798"/>
      <c r="GBX85" s="798"/>
      <c r="GBY85" s="798"/>
      <c r="GBZ85" s="798"/>
      <c r="GCA85" s="798"/>
      <c r="GCB85" s="798"/>
      <c r="GCC85" s="798"/>
      <c r="GCD85" s="798"/>
      <c r="GCE85" s="798"/>
      <c r="GCF85" s="798"/>
      <c r="GCG85" s="798"/>
      <c r="GCH85" s="798"/>
      <c r="GCI85" s="798"/>
      <c r="GCJ85" s="798"/>
      <c r="GCK85" s="798"/>
      <c r="GCL85" s="798"/>
      <c r="GCM85" s="798"/>
      <c r="GCN85" s="798"/>
      <c r="GCO85" s="798"/>
      <c r="GCP85" s="798"/>
      <c r="GCQ85" s="798"/>
      <c r="GCR85" s="798"/>
      <c r="GCS85" s="798"/>
      <c r="GCT85" s="798"/>
      <c r="GCU85" s="798"/>
      <c r="GCV85" s="798"/>
      <c r="GCW85" s="798"/>
      <c r="GCX85" s="798"/>
      <c r="GCY85" s="798"/>
      <c r="GCZ85" s="798"/>
      <c r="GDA85" s="798"/>
      <c r="GDB85" s="798"/>
      <c r="GDC85" s="798"/>
      <c r="GDD85" s="798"/>
      <c r="GDE85" s="798"/>
      <c r="GDF85" s="798"/>
      <c r="GDG85" s="798"/>
      <c r="GDH85" s="798"/>
      <c r="GDI85" s="798"/>
      <c r="GDJ85" s="798"/>
      <c r="GDK85" s="798"/>
      <c r="GDL85" s="798"/>
      <c r="GDM85" s="798"/>
      <c r="GDN85" s="798"/>
      <c r="GDO85" s="798"/>
      <c r="GDP85" s="798"/>
      <c r="GDQ85" s="798"/>
      <c r="GDR85" s="798"/>
      <c r="GDS85" s="798"/>
      <c r="GDT85" s="798"/>
      <c r="GDU85" s="798"/>
      <c r="GDV85" s="798"/>
      <c r="GDW85" s="798"/>
      <c r="GDX85" s="798"/>
      <c r="GDY85" s="798"/>
      <c r="GDZ85" s="798"/>
      <c r="GEA85" s="798"/>
      <c r="GEB85" s="798"/>
      <c r="GEC85" s="798"/>
      <c r="GED85" s="798"/>
      <c r="GEE85" s="798"/>
      <c r="GEF85" s="798"/>
      <c r="GEG85" s="798"/>
      <c r="GEH85" s="798"/>
      <c r="GEI85" s="798"/>
      <c r="GEJ85" s="798"/>
      <c r="GEK85" s="798"/>
      <c r="GEL85" s="798"/>
      <c r="GEM85" s="798"/>
      <c r="GEN85" s="798"/>
      <c r="GEO85" s="798"/>
      <c r="GEP85" s="798"/>
      <c r="GEQ85" s="798"/>
      <c r="GER85" s="798"/>
      <c r="GES85" s="798"/>
      <c r="GET85" s="798"/>
      <c r="GEU85" s="798"/>
      <c r="GEV85" s="798"/>
      <c r="GEW85" s="798"/>
      <c r="GEX85" s="798"/>
      <c r="GEY85" s="798"/>
      <c r="GEZ85" s="798"/>
      <c r="GFA85" s="798"/>
      <c r="GFB85" s="798"/>
      <c r="GFC85" s="798"/>
      <c r="GFD85" s="798"/>
      <c r="GFE85" s="798"/>
      <c r="GFF85" s="798"/>
      <c r="GFG85" s="798"/>
      <c r="GFH85" s="798"/>
      <c r="GFI85" s="798"/>
      <c r="GFJ85" s="798"/>
      <c r="GFK85" s="798"/>
      <c r="GFL85" s="798"/>
      <c r="GFM85" s="798"/>
      <c r="GFN85" s="798"/>
      <c r="GFO85" s="798"/>
      <c r="GFP85" s="798"/>
      <c r="GFQ85" s="798"/>
      <c r="GFR85" s="798"/>
      <c r="GFS85" s="798"/>
      <c r="GFT85" s="798"/>
      <c r="GFU85" s="798"/>
      <c r="GFV85" s="798"/>
      <c r="GFW85" s="798"/>
      <c r="GFX85" s="798"/>
      <c r="GFY85" s="798"/>
      <c r="GFZ85" s="798"/>
      <c r="GGA85" s="798"/>
      <c r="GGB85" s="798"/>
      <c r="GGC85" s="798"/>
      <c r="GGD85" s="798"/>
      <c r="GGE85" s="798"/>
      <c r="GGF85" s="798"/>
      <c r="GGG85" s="798"/>
      <c r="GGH85" s="798"/>
      <c r="GGI85" s="798"/>
      <c r="GGJ85" s="798"/>
      <c r="GGK85" s="798"/>
      <c r="GGL85" s="798"/>
      <c r="GGM85" s="798"/>
      <c r="GGN85" s="798"/>
      <c r="GGO85" s="798"/>
      <c r="GGP85" s="798"/>
      <c r="GGQ85" s="798"/>
      <c r="GGR85" s="798"/>
      <c r="GGS85" s="798"/>
      <c r="GGT85" s="798"/>
      <c r="GGU85" s="798"/>
      <c r="GGV85" s="798"/>
      <c r="GGW85" s="798"/>
      <c r="GGX85" s="798"/>
      <c r="GGY85" s="798"/>
      <c r="GGZ85" s="798"/>
      <c r="GHA85" s="798"/>
      <c r="GHB85" s="798"/>
      <c r="GHC85" s="798"/>
      <c r="GHD85" s="798"/>
      <c r="GHE85" s="798"/>
      <c r="GHF85" s="798"/>
      <c r="GHG85" s="798"/>
      <c r="GHH85" s="798"/>
      <c r="GHI85" s="798"/>
      <c r="GHJ85" s="798"/>
      <c r="GHK85" s="798"/>
      <c r="GHL85" s="798"/>
      <c r="GHM85" s="798"/>
      <c r="GHN85" s="798"/>
      <c r="GHO85" s="798"/>
      <c r="GHP85" s="798"/>
      <c r="GHQ85" s="798"/>
      <c r="GHR85" s="798"/>
      <c r="GHS85" s="798"/>
      <c r="GHT85" s="798"/>
      <c r="GHU85" s="798"/>
      <c r="GHV85" s="798"/>
      <c r="GHW85" s="798"/>
      <c r="GHX85" s="798"/>
      <c r="GHY85" s="798"/>
      <c r="GHZ85" s="798"/>
      <c r="GIA85" s="798"/>
      <c r="GIB85" s="798"/>
      <c r="GIC85" s="798"/>
      <c r="GID85" s="798"/>
      <c r="GIE85" s="798"/>
      <c r="GIF85" s="798"/>
      <c r="GIG85" s="798"/>
      <c r="GIH85" s="798"/>
      <c r="GII85" s="798"/>
      <c r="GIJ85" s="798"/>
      <c r="GIK85" s="798"/>
      <c r="GIL85" s="798"/>
      <c r="GIM85" s="798"/>
      <c r="GIN85" s="798"/>
      <c r="GIO85" s="798"/>
      <c r="GIP85" s="798"/>
      <c r="GIQ85" s="798"/>
      <c r="GIR85" s="798"/>
      <c r="GIS85" s="798"/>
      <c r="GIT85" s="798"/>
      <c r="GIU85" s="798"/>
      <c r="GIV85" s="798"/>
      <c r="GIW85" s="798"/>
      <c r="GIX85" s="798"/>
      <c r="GIY85" s="798"/>
      <c r="GIZ85" s="798"/>
      <c r="GJA85" s="798"/>
      <c r="GJB85" s="798"/>
      <c r="GJC85" s="798"/>
      <c r="GJD85" s="798"/>
      <c r="GJE85" s="798"/>
      <c r="GJF85" s="798"/>
      <c r="GJG85" s="798"/>
      <c r="GJH85" s="798"/>
      <c r="GJI85" s="798"/>
      <c r="GJJ85" s="798"/>
      <c r="GJK85" s="798"/>
      <c r="GJL85" s="798"/>
      <c r="GJM85" s="798"/>
      <c r="GJN85" s="798"/>
      <c r="GJO85" s="798"/>
      <c r="GJP85" s="798"/>
      <c r="GJQ85" s="798"/>
      <c r="GJR85" s="798"/>
      <c r="GJS85" s="798"/>
      <c r="GJT85" s="798"/>
      <c r="GJU85" s="798"/>
      <c r="GJV85" s="798"/>
      <c r="GJW85" s="798"/>
      <c r="GJX85" s="798"/>
      <c r="GJY85" s="798"/>
      <c r="GJZ85" s="798"/>
      <c r="GKA85" s="798"/>
      <c r="GKB85" s="798"/>
      <c r="GKC85" s="798"/>
      <c r="GKD85" s="798"/>
      <c r="GKE85" s="798"/>
      <c r="GKF85" s="798"/>
      <c r="GKG85" s="798"/>
      <c r="GKH85" s="798"/>
      <c r="GKI85" s="798"/>
      <c r="GKJ85" s="798"/>
      <c r="GKK85" s="798"/>
      <c r="GKL85" s="798"/>
      <c r="GKM85" s="798"/>
      <c r="GKN85" s="798"/>
      <c r="GKO85" s="798"/>
      <c r="GKP85" s="798"/>
      <c r="GKQ85" s="798"/>
      <c r="GKR85" s="798"/>
      <c r="GKS85" s="798"/>
      <c r="GKT85" s="798"/>
      <c r="GKU85" s="798"/>
      <c r="GKV85" s="798"/>
      <c r="GKW85" s="798"/>
      <c r="GKX85" s="798"/>
      <c r="GKY85" s="798"/>
      <c r="GKZ85" s="798"/>
      <c r="GLA85" s="798"/>
      <c r="GLB85" s="798"/>
      <c r="GLC85" s="798"/>
      <c r="GLD85" s="798"/>
      <c r="GLE85" s="798"/>
      <c r="GLF85" s="798"/>
      <c r="GLG85" s="798"/>
      <c r="GLH85" s="798"/>
      <c r="GLI85" s="798"/>
      <c r="GLJ85" s="798"/>
      <c r="GLK85" s="798"/>
      <c r="GLL85" s="798"/>
      <c r="GLM85" s="798"/>
      <c r="GLN85" s="798"/>
      <c r="GLO85" s="798"/>
      <c r="GLP85" s="798"/>
      <c r="GLQ85" s="798"/>
      <c r="GLR85" s="798"/>
      <c r="GLS85" s="798"/>
      <c r="GLT85" s="798"/>
      <c r="GLU85" s="798"/>
      <c r="GLV85" s="798"/>
      <c r="GLW85" s="798"/>
      <c r="GLX85" s="798"/>
      <c r="GLY85" s="798"/>
      <c r="GLZ85" s="798"/>
      <c r="GMA85" s="798"/>
      <c r="GMB85" s="798"/>
      <c r="GMC85" s="798"/>
      <c r="GMD85" s="798"/>
      <c r="GME85" s="798"/>
      <c r="GMF85" s="798"/>
      <c r="GMG85" s="798"/>
      <c r="GMH85" s="798"/>
      <c r="GMI85" s="798"/>
      <c r="GMJ85" s="798"/>
      <c r="GMK85" s="798"/>
      <c r="GML85" s="798"/>
      <c r="GMM85" s="798"/>
      <c r="GMN85" s="798"/>
      <c r="GMO85" s="798"/>
      <c r="GMP85" s="798"/>
      <c r="GMQ85" s="798"/>
      <c r="GMR85" s="798"/>
      <c r="GMS85" s="798"/>
      <c r="GMT85" s="798"/>
      <c r="GMU85" s="798"/>
      <c r="GMV85" s="798"/>
      <c r="GMW85" s="798"/>
      <c r="GMX85" s="798"/>
      <c r="GMY85" s="798"/>
      <c r="GMZ85" s="798"/>
      <c r="GNA85" s="798"/>
      <c r="GNB85" s="798"/>
      <c r="GNC85" s="798"/>
      <c r="GND85" s="798"/>
      <c r="GNE85" s="798"/>
      <c r="GNF85" s="798"/>
      <c r="GNG85" s="798"/>
      <c r="GNH85" s="798"/>
      <c r="GNI85" s="798"/>
      <c r="GNJ85" s="798"/>
      <c r="GNK85" s="798"/>
      <c r="GNL85" s="798"/>
      <c r="GNM85" s="798"/>
      <c r="GNN85" s="798"/>
      <c r="GNO85" s="798"/>
      <c r="GNP85" s="798"/>
      <c r="GNQ85" s="798"/>
      <c r="GNR85" s="798"/>
      <c r="GNS85" s="798"/>
      <c r="GNT85" s="798"/>
      <c r="GNU85" s="798"/>
      <c r="GNV85" s="798"/>
      <c r="GNW85" s="798"/>
      <c r="GNX85" s="798"/>
      <c r="GNY85" s="798"/>
      <c r="GNZ85" s="798"/>
      <c r="GOA85" s="798"/>
      <c r="GOB85" s="798"/>
      <c r="GOC85" s="798"/>
      <c r="GOD85" s="798"/>
      <c r="GOE85" s="798"/>
      <c r="GOF85" s="798"/>
      <c r="GOG85" s="798"/>
      <c r="GOH85" s="798"/>
      <c r="GOI85" s="798"/>
      <c r="GOJ85" s="798"/>
      <c r="GOK85" s="798"/>
      <c r="GOL85" s="798"/>
      <c r="GOM85" s="798"/>
      <c r="GON85" s="798"/>
      <c r="GOO85" s="798"/>
      <c r="GOP85" s="798"/>
      <c r="GOQ85" s="798"/>
      <c r="GOR85" s="798"/>
      <c r="GOS85" s="798"/>
      <c r="GOT85" s="798"/>
      <c r="GOU85" s="798"/>
      <c r="GOV85" s="798"/>
      <c r="GOW85" s="798"/>
      <c r="GOX85" s="798"/>
      <c r="GOY85" s="798"/>
      <c r="GOZ85" s="798"/>
      <c r="GPA85" s="798"/>
      <c r="GPB85" s="798"/>
      <c r="GPC85" s="798"/>
      <c r="GPD85" s="798"/>
      <c r="GPE85" s="798"/>
      <c r="GPF85" s="798"/>
      <c r="GPG85" s="798"/>
      <c r="GPH85" s="798"/>
      <c r="GPI85" s="798"/>
      <c r="GPJ85" s="798"/>
      <c r="GPK85" s="798"/>
      <c r="GPL85" s="798"/>
      <c r="GPM85" s="798"/>
      <c r="GPN85" s="798"/>
      <c r="GPO85" s="798"/>
      <c r="GPP85" s="798"/>
      <c r="GPQ85" s="798"/>
      <c r="GPR85" s="798"/>
      <c r="GPS85" s="798"/>
      <c r="GPT85" s="798"/>
      <c r="GPU85" s="798"/>
      <c r="GPV85" s="798"/>
      <c r="GPW85" s="798"/>
      <c r="GPX85" s="798"/>
      <c r="GPY85" s="798"/>
      <c r="GPZ85" s="798"/>
      <c r="GQA85" s="798"/>
      <c r="GQB85" s="798"/>
      <c r="GQC85" s="798"/>
      <c r="GQD85" s="798"/>
      <c r="GQE85" s="798"/>
      <c r="GQF85" s="798"/>
      <c r="GQG85" s="798"/>
      <c r="GQH85" s="798"/>
      <c r="GQI85" s="798"/>
      <c r="GQJ85" s="798"/>
      <c r="GQK85" s="798"/>
      <c r="GQL85" s="798"/>
      <c r="GQM85" s="798"/>
      <c r="GQN85" s="798"/>
      <c r="GQO85" s="798"/>
      <c r="GQP85" s="798"/>
      <c r="GQQ85" s="798"/>
      <c r="GQR85" s="798"/>
      <c r="GQS85" s="798"/>
      <c r="GQT85" s="798"/>
      <c r="GQU85" s="798"/>
      <c r="GQV85" s="798"/>
      <c r="GQW85" s="798"/>
      <c r="GQX85" s="798"/>
      <c r="GQY85" s="798"/>
      <c r="GQZ85" s="798"/>
      <c r="GRA85" s="798"/>
      <c r="GRB85" s="798"/>
      <c r="GRC85" s="798"/>
      <c r="GRD85" s="798"/>
      <c r="GRE85" s="798"/>
      <c r="GRF85" s="798"/>
      <c r="GRG85" s="798"/>
      <c r="GRH85" s="798"/>
      <c r="GRI85" s="798"/>
      <c r="GRJ85" s="798"/>
      <c r="GRK85" s="798"/>
      <c r="GRL85" s="798"/>
      <c r="GRM85" s="798"/>
      <c r="GRN85" s="798"/>
      <c r="GRO85" s="798"/>
      <c r="GRP85" s="798"/>
      <c r="GRQ85" s="798"/>
      <c r="GRR85" s="798"/>
      <c r="GRS85" s="798"/>
      <c r="GRT85" s="798"/>
      <c r="GRU85" s="798"/>
      <c r="GRV85" s="798"/>
      <c r="GRW85" s="798"/>
      <c r="GRX85" s="798"/>
      <c r="GRY85" s="798"/>
      <c r="GRZ85" s="798"/>
      <c r="GSA85" s="798"/>
      <c r="GSB85" s="798"/>
      <c r="GSC85" s="798"/>
      <c r="GSD85" s="798"/>
      <c r="GSE85" s="798"/>
      <c r="GSF85" s="798"/>
      <c r="GSG85" s="798"/>
      <c r="GSH85" s="798"/>
      <c r="GSI85" s="798"/>
      <c r="GSJ85" s="798"/>
      <c r="GSK85" s="798"/>
      <c r="GSL85" s="798"/>
      <c r="GSM85" s="798"/>
      <c r="GSN85" s="798"/>
      <c r="GSO85" s="798"/>
      <c r="GSP85" s="798"/>
      <c r="GSQ85" s="798"/>
      <c r="GSR85" s="798"/>
      <c r="GSS85" s="798"/>
      <c r="GST85" s="798"/>
      <c r="GSU85" s="798"/>
      <c r="GSV85" s="798"/>
      <c r="GSW85" s="798"/>
      <c r="GSX85" s="798"/>
      <c r="GSY85" s="798"/>
      <c r="GSZ85" s="798"/>
      <c r="GTA85" s="798"/>
      <c r="GTB85" s="798"/>
      <c r="GTC85" s="798"/>
      <c r="GTD85" s="798"/>
      <c r="GTE85" s="798"/>
      <c r="GTF85" s="798"/>
      <c r="GTG85" s="798"/>
      <c r="GTH85" s="798"/>
      <c r="GTI85" s="798"/>
      <c r="GTJ85" s="798"/>
      <c r="GTK85" s="798"/>
      <c r="GTL85" s="798"/>
      <c r="GTM85" s="798"/>
      <c r="GTN85" s="798"/>
      <c r="GTO85" s="798"/>
      <c r="GTP85" s="798"/>
      <c r="GTQ85" s="798"/>
      <c r="GTR85" s="798"/>
      <c r="GTS85" s="798"/>
      <c r="GTT85" s="798"/>
      <c r="GTU85" s="798"/>
      <c r="GTV85" s="798"/>
      <c r="GTW85" s="798"/>
      <c r="GTX85" s="798"/>
      <c r="GTY85" s="798"/>
      <c r="GTZ85" s="798"/>
      <c r="GUA85" s="798"/>
      <c r="GUB85" s="798"/>
      <c r="GUC85" s="798"/>
      <c r="GUD85" s="798"/>
      <c r="GUE85" s="798"/>
      <c r="GUF85" s="798"/>
      <c r="GUG85" s="798"/>
      <c r="GUH85" s="798"/>
      <c r="GUI85" s="798"/>
      <c r="GUJ85" s="798"/>
      <c r="GUK85" s="798"/>
      <c r="GUL85" s="798"/>
      <c r="GUM85" s="798"/>
      <c r="GUN85" s="798"/>
      <c r="GUO85" s="798"/>
      <c r="GUP85" s="798"/>
      <c r="GUQ85" s="798"/>
      <c r="GUR85" s="798"/>
      <c r="GUS85" s="798"/>
      <c r="GUT85" s="798"/>
      <c r="GUU85" s="798"/>
      <c r="GUV85" s="798"/>
      <c r="GUW85" s="798"/>
      <c r="GUX85" s="798"/>
      <c r="GUY85" s="798"/>
      <c r="GUZ85" s="798"/>
      <c r="GVA85" s="798"/>
      <c r="GVB85" s="798"/>
      <c r="GVC85" s="798"/>
      <c r="GVD85" s="798"/>
      <c r="GVE85" s="798"/>
      <c r="GVF85" s="798"/>
      <c r="GVG85" s="798"/>
      <c r="GVH85" s="798"/>
      <c r="GVI85" s="798"/>
      <c r="GVJ85" s="798"/>
      <c r="GVK85" s="798"/>
      <c r="GVL85" s="798"/>
      <c r="GVM85" s="798"/>
      <c r="GVN85" s="798"/>
      <c r="GVO85" s="798"/>
      <c r="GVP85" s="798"/>
      <c r="GVQ85" s="798"/>
      <c r="GVR85" s="798"/>
      <c r="GVS85" s="798"/>
      <c r="GVT85" s="798"/>
      <c r="GVU85" s="798"/>
      <c r="GVV85" s="798"/>
      <c r="GVW85" s="798"/>
      <c r="GVX85" s="798"/>
      <c r="GVY85" s="798"/>
      <c r="GVZ85" s="798"/>
      <c r="GWA85" s="798"/>
      <c r="GWB85" s="798"/>
      <c r="GWC85" s="798"/>
      <c r="GWD85" s="798"/>
      <c r="GWE85" s="798"/>
      <c r="GWF85" s="798"/>
      <c r="GWG85" s="798"/>
      <c r="GWH85" s="798"/>
      <c r="GWI85" s="798"/>
      <c r="GWJ85" s="798"/>
      <c r="GWK85" s="798"/>
      <c r="GWL85" s="798"/>
      <c r="GWM85" s="798"/>
      <c r="GWN85" s="798"/>
      <c r="GWO85" s="798"/>
      <c r="GWP85" s="798"/>
      <c r="GWQ85" s="798"/>
      <c r="GWR85" s="798"/>
      <c r="GWS85" s="798"/>
      <c r="GWT85" s="798"/>
      <c r="GWU85" s="798"/>
      <c r="GWV85" s="798"/>
      <c r="GWW85" s="798"/>
      <c r="GWX85" s="798"/>
      <c r="GWY85" s="798"/>
      <c r="GWZ85" s="798"/>
      <c r="GXA85" s="798"/>
      <c r="GXB85" s="798"/>
      <c r="GXC85" s="798"/>
      <c r="GXD85" s="798"/>
      <c r="GXE85" s="798"/>
      <c r="GXF85" s="798"/>
      <c r="GXG85" s="798"/>
      <c r="GXH85" s="798"/>
      <c r="GXI85" s="798"/>
      <c r="GXJ85" s="798"/>
      <c r="GXK85" s="798"/>
      <c r="GXL85" s="798"/>
      <c r="GXM85" s="798"/>
      <c r="GXN85" s="798"/>
      <c r="GXO85" s="798"/>
      <c r="GXP85" s="798"/>
      <c r="GXQ85" s="798"/>
      <c r="GXR85" s="798"/>
      <c r="GXS85" s="798"/>
      <c r="GXT85" s="798"/>
      <c r="GXU85" s="798"/>
      <c r="GXV85" s="798"/>
      <c r="GXW85" s="798"/>
      <c r="GXX85" s="798"/>
      <c r="GXY85" s="798"/>
      <c r="GXZ85" s="798"/>
      <c r="GYA85" s="798"/>
      <c r="GYB85" s="798"/>
      <c r="GYC85" s="798"/>
      <c r="GYD85" s="798"/>
      <c r="GYE85" s="798"/>
      <c r="GYF85" s="798"/>
      <c r="GYG85" s="798"/>
      <c r="GYH85" s="798"/>
      <c r="GYI85" s="798"/>
      <c r="GYJ85" s="798"/>
      <c r="GYK85" s="798"/>
      <c r="GYL85" s="798"/>
      <c r="GYM85" s="798"/>
      <c r="GYN85" s="798"/>
      <c r="GYO85" s="798"/>
      <c r="GYP85" s="798"/>
      <c r="GYQ85" s="798"/>
      <c r="GYR85" s="798"/>
      <c r="GYS85" s="798"/>
      <c r="GYT85" s="798"/>
      <c r="GYU85" s="798"/>
      <c r="GYV85" s="798"/>
      <c r="GYW85" s="798"/>
      <c r="GYX85" s="798"/>
      <c r="GYY85" s="798"/>
      <c r="GYZ85" s="798"/>
      <c r="GZA85" s="798"/>
      <c r="GZB85" s="798"/>
      <c r="GZC85" s="798"/>
      <c r="GZD85" s="798"/>
      <c r="GZE85" s="798"/>
      <c r="GZF85" s="798"/>
      <c r="GZG85" s="798"/>
      <c r="GZH85" s="798"/>
      <c r="GZI85" s="798"/>
      <c r="GZJ85" s="798"/>
      <c r="GZK85" s="798"/>
      <c r="GZL85" s="798"/>
      <c r="GZM85" s="798"/>
      <c r="GZN85" s="798"/>
      <c r="GZO85" s="798"/>
      <c r="GZP85" s="798"/>
      <c r="GZQ85" s="798"/>
      <c r="GZR85" s="798"/>
      <c r="GZS85" s="798"/>
      <c r="GZT85" s="798"/>
      <c r="GZU85" s="798"/>
      <c r="GZV85" s="798"/>
      <c r="GZW85" s="798"/>
      <c r="GZX85" s="798"/>
      <c r="GZY85" s="798"/>
      <c r="GZZ85" s="798"/>
      <c r="HAA85" s="798"/>
      <c r="HAB85" s="798"/>
      <c r="HAC85" s="798"/>
      <c r="HAD85" s="798"/>
      <c r="HAE85" s="798"/>
      <c r="HAF85" s="798"/>
      <c r="HAG85" s="798"/>
      <c r="HAH85" s="798"/>
      <c r="HAI85" s="798"/>
      <c r="HAJ85" s="798"/>
      <c r="HAK85" s="798"/>
      <c r="HAL85" s="798"/>
      <c r="HAM85" s="798"/>
      <c r="HAN85" s="798"/>
      <c r="HAO85" s="798"/>
      <c r="HAP85" s="798"/>
      <c r="HAQ85" s="798"/>
      <c r="HAR85" s="798"/>
      <c r="HAS85" s="798"/>
      <c r="HAT85" s="798"/>
      <c r="HAU85" s="798"/>
      <c r="HAV85" s="798"/>
      <c r="HAW85" s="798"/>
      <c r="HAX85" s="798"/>
      <c r="HAY85" s="798"/>
      <c r="HAZ85" s="798"/>
      <c r="HBA85" s="798"/>
      <c r="HBB85" s="798"/>
      <c r="HBC85" s="798"/>
      <c r="HBD85" s="798"/>
      <c r="HBE85" s="798"/>
      <c r="HBF85" s="798"/>
      <c r="HBG85" s="798"/>
      <c r="HBH85" s="798"/>
      <c r="HBI85" s="798"/>
      <c r="HBJ85" s="798"/>
      <c r="HBK85" s="798"/>
      <c r="HBL85" s="798"/>
      <c r="HBM85" s="798"/>
      <c r="HBN85" s="798"/>
      <c r="HBO85" s="798"/>
      <c r="HBP85" s="798"/>
      <c r="HBQ85" s="798"/>
      <c r="HBR85" s="798"/>
      <c r="HBS85" s="798"/>
      <c r="HBT85" s="798"/>
      <c r="HBU85" s="798"/>
      <c r="HBV85" s="798"/>
      <c r="HBW85" s="798"/>
      <c r="HBX85" s="798"/>
      <c r="HBY85" s="798"/>
      <c r="HBZ85" s="798"/>
      <c r="HCA85" s="798"/>
      <c r="HCB85" s="798"/>
      <c r="HCC85" s="798"/>
      <c r="HCD85" s="798"/>
      <c r="HCE85" s="798"/>
      <c r="HCF85" s="798"/>
      <c r="HCG85" s="798"/>
      <c r="HCH85" s="798"/>
      <c r="HCI85" s="798"/>
      <c r="HCJ85" s="798"/>
      <c r="HCK85" s="798"/>
      <c r="HCL85" s="798"/>
      <c r="HCM85" s="798"/>
      <c r="HCN85" s="798"/>
      <c r="HCO85" s="798"/>
      <c r="HCP85" s="798"/>
      <c r="HCQ85" s="798"/>
      <c r="HCR85" s="798"/>
      <c r="HCS85" s="798"/>
      <c r="HCT85" s="798"/>
      <c r="HCU85" s="798"/>
      <c r="HCV85" s="798"/>
      <c r="HCW85" s="798"/>
      <c r="HCX85" s="798"/>
      <c r="HCY85" s="798"/>
      <c r="HCZ85" s="798"/>
      <c r="HDA85" s="798"/>
      <c r="HDB85" s="798"/>
      <c r="HDC85" s="798"/>
      <c r="HDD85" s="798"/>
      <c r="HDE85" s="798"/>
      <c r="HDF85" s="798"/>
      <c r="HDG85" s="798"/>
      <c r="HDH85" s="798"/>
      <c r="HDI85" s="798"/>
      <c r="HDJ85" s="798"/>
      <c r="HDK85" s="798"/>
      <c r="HDL85" s="798"/>
      <c r="HDM85" s="798"/>
      <c r="HDN85" s="798"/>
      <c r="HDO85" s="798"/>
      <c r="HDP85" s="798"/>
      <c r="HDQ85" s="798"/>
      <c r="HDR85" s="798"/>
      <c r="HDS85" s="798"/>
      <c r="HDT85" s="798"/>
      <c r="HDU85" s="798"/>
      <c r="HDV85" s="798"/>
      <c r="HDW85" s="798"/>
      <c r="HDX85" s="798"/>
      <c r="HDY85" s="798"/>
      <c r="HDZ85" s="798"/>
      <c r="HEA85" s="798"/>
      <c r="HEB85" s="798"/>
      <c r="HEC85" s="798"/>
      <c r="HED85" s="798"/>
      <c r="HEE85" s="798"/>
      <c r="HEF85" s="798"/>
      <c r="HEG85" s="798"/>
      <c r="HEH85" s="798"/>
      <c r="HEI85" s="798"/>
      <c r="HEJ85" s="798"/>
      <c r="HEK85" s="798"/>
      <c r="HEL85" s="798"/>
      <c r="HEM85" s="798"/>
      <c r="HEN85" s="798"/>
      <c r="HEO85" s="798"/>
      <c r="HEP85" s="798"/>
      <c r="HEQ85" s="798"/>
      <c r="HER85" s="798"/>
      <c r="HES85" s="798"/>
      <c r="HET85" s="798"/>
      <c r="HEU85" s="798"/>
      <c r="HEV85" s="798"/>
      <c r="HEW85" s="798"/>
      <c r="HEX85" s="798"/>
      <c r="HEY85" s="798"/>
      <c r="HEZ85" s="798"/>
      <c r="HFA85" s="798"/>
      <c r="HFB85" s="798"/>
      <c r="HFC85" s="798"/>
      <c r="HFD85" s="798"/>
      <c r="HFE85" s="798"/>
      <c r="HFF85" s="798"/>
      <c r="HFG85" s="798"/>
      <c r="HFH85" s="798"/>
      <c r="HFI85" s="798"/>
      <c r="HFJ85" s="798"/>
      <c r="HFK85" s="798"/>
      <c r="HFL85" s="798"/>
      <c r="HFM85" s="798"/>
      <c r="HFN85" s="798"/>
      <c r="HFO85" s="798"/>
      <c r="HFP85" s="798"/>
      <c r="HFQ85" s="798"/>
      <c r="HFR85" s="798"/>
      <c r="HFS85" s="798"/>
      <c r="HFT85" s="798"/>
      <c r="HFU85" s="798"/>
      <c r="HFV85" s="798"/>
      <c r="HFW85" s="798"/>
      <c r="HFX85" s="798"/>
      <c r="HFY85" s="798"/>
      <c r="HFZ85" s="798"/>
      <c r="HGA85" s="798"/>
      <c r="HGB85" s="798"/>
      <c r="HGC85" s="798"/>
      <c r="HGD85" s="798"/>
      <c r="HGE85" s="798"/>
      <c r="HGF85" s="798"/>
      <c r="HGG85" s="798"/>
      <c r="HGH85" s="798"/>
      <c r="HGI85" s="798"/>
      <c r="HGJ85" s="798"/>
      <c r="HGK85" s="798"/>
      <c r="HGL85" s="798"/>
      <c r="HGM85" s="798"/>
      <c r="HGN85" s="798"/>
      <c r="HGO85" s="798"/>
      <c r="HGP85" s="798"/>
      <c r="HGQ85" s="798"/>
      <c r="HGR85" s="798"/>
      <c r="HGS85" s="798"/>
      <c r="HGT85" s="798"/>
      <c r="HGU85" s="798"/>
      <c r="HGV85" s="798"/>
      <c r="HGW85" s="798"/>
      <c r="HGX85" s="798"/>
      <c r="HGY85" s="798"/>
      <c r="HGZ85" s="798"/>
      <c r="HHA85" s="798"/>
      <c r="HHB85" s="798"/>
      <c r="HHC85" s="798"/>
      <c r="HHD85" s="798"/>
      <c r="HHE85" s="798"/>
      <c r="HHF85" s="798"/>
      <c r="HHG85" s="798"/>
      <c r="HHH85" s="798"/>
      <c r="HHI85" s="798"/>
      <c r="HHJ85" s="798"/>
      <c r="HHK85" s="798"/>
      <c r="HHL85" s="798"/>
      <c r="HHM85" s="798"/>
      <c r="HHN85" s="798"/>
      <c r="HHO85" s="798"/>
      <c r="HHP85" s="798"/>
      <c r="HHQ85" s="798"/>
      <c r="HHR85" s="798"/>
      <c r="HHS85" s="798"/>
      <c r="HHT85" s="798"/>
      <c r="HHU85" s="798"/>
      <c r="HHV85" s="798"/>
      <c r="HHW85" s="798"/>
      <c r="HHX85" s="798"/>
      <c r="HHY85" s="798"/>
      <c r="HHZ85" s="798"/>
      <c r="HIA85" s="798"/>
      <c r="HIB85" s="798"/>
      <c r="HIC85" s="798"/>
      <c r="HID85" s="798"/>
      <c r="HIE85" s="798"/>
      <c r="HIF85" s="798"/>
      <c r="HIG85" s="798"/>
      <c r="HIH85" s="798"/>
      <c r="HII85" s="798"/>
      <c r="HIJ85" s="798"/>
      <c r="HIK85" s="798"/>
      <c r="HIL85" s="798"/>
      <c r="HIM85" s="798"/>
      <c r="HIN85" s="798"/>
      <c r="HIO85" s="798"/>
      <c r="HIP85" s="798"/>
      <c r="HIQ85" s="798"/>
      <c r="HIR85" s="798"/>
      <c r="HIS85" s="798"/>
      <c r="HIT85" s="798"/>
      <c r="HIU85" s="798"/>
      <c r="HIV85" s="798"/>
      <c r="HIW85" s="798"/>
      <c r="HIX85" s="798"/>
      <c r="HIY85" s="798"/>
      <c r="HIZ85" s="798"/>
      <c r="HJA85" s="798"/>
      <c r="HJB85" s="798"/>
      <c r="HJC85" s="798"/>
      <c r="HJD85" s="798"/>
      <c r="HJE85" s="798"/>
      <c r="HJF85" s="798"/>
      <c r="HJG85" s="798"/>
      <c r="HJH85" s="798"/>
      <c r="HJI85" s="798"/>
      <c r="HJJ85" s="798"/>
      <c r="HJK85" s="798"/>
      <c r="HJL85" s="798"/>
      <c r="HJM85" s="798"/>
      <c r="HJN85" s="798"/>
      <c r="HJO85" s="798"/>
      <c r="HJP85" s="798"/>
      <c r="HJQ85" s="798"/>
      <c r="HJR85" s="798"/>
      <c r="HJS85" s="798"/>
      <c r="HJT85" s="798"/>
      <c r="HJU85" s="798"/>
      <c r="HJV85" s="798"/>
      <c r="HJW85" s="798"/>
      <c r="HJX85" s="798"/>
      <c r="HJY85" s="798"/>
      <c r="HJZ85" s="798"/>
      <c r="HKA85" s="798"/>
      <c r="HKB85" s="798"/>
      <c r="HKC85" s="798"/>
      <c r="HKD85" s="798"/>
      <c r="HKE85" s="798"/>
      <c r="HKF85" s="798"/>
      <c r="HKG85" s="798"/>
      <c r="HKH85" s="798"/>
      <c r="HKI85" s="798"/>
      <c r="HKJ85" s="798"/>
      <c r="HKK85" s="798"/>
      <c r="HKL85" s="798"/>
      <c r="HKM85" s="798"/>
      <c r="HKN85" s="798"/>
      <c r="HKO85" s="798"/>
      <c r="HKP85" s="798"/>
      <c r="HKQ85" s="798"/>
      <c r="HKR85" s="798"/>
      <c r="HKS85" s="798"/>
      <c r="HKT85" s="798"/>
      <c r="HKU85" s="798"/>
      <c r="HKV85" s="798"/>
      <c r="HKW85" s="798"/>
      <c r="HKX85" s="798"/>
      <c r="HKY85" s="798"/>
      <c r="HKZ85" s="798"/>
      <c r="HLA85" s="798"/>
      <c r="HLB85" s="798"/>
      <c r="HLC85" s="798"/>
      <c r="HLD85" s="798"/>
      <c r="HLE85" s="798"/>
      <c r="HLF85" s="798"/>
      <c r="HLG85" s="798"/>
      <c r="HLH85" s="798"/>
      <c r="HLI85" s="798"/>
      <c r="HLJ85" s="798"/>
      <c r="HLK85" s="798"/>
      <c r="HLL85" s="798"/>
      <c r="HLM85" s="798"/>
      <c r="HLN85" s="798"/>
      <c r="HLO85" s="798"/>
      <c r="HLP85" s="798"/>
      <c r="HLQ85" s="798"/>
      <c r="HLR85" s="798"/>
      <c r="HLS85" s="798"/>
      <c r="HLT85" s="798"/>
      <c r="HLU85" s="798"/>
      <c r="HLV85" s="798"/>
      <c r="HLW85" s="798"/>
      <c r="HLX85" s="798"/>
      <c r="HLY85" s="798"/>
      <c r="HLZ85" s="798"/>
      <c r="HMA85" s="798"/>
      <c r="HMB85" s="798"/>
      <c r="HMC85" s="798"/>
      <c r="HMD85" s="798"/>
      <c r="HME85" s="798"/>
      <c r="HMF85" s="798"/>
      <c r="HMG85" s="798"/>
      <c r="HMH85" s="798"/>
      <c r="HMI85" s="798"/>
      <c r="HMJ85" s="798"/>
      <c r="HMK85" s="798"/>
      <c r="HML85" s="798"/>
      <c r="HMM85" s="798"/>
      <c r="HMN85" s="798"/>
      <c r="HMO85" s="798"/>
      <c r="HMP85" s="798"/>
      <c r="HMQ85" s="798"/>
      <c r="HMR85" s="798"/>
      <c r="HMS85" s="798"/>
      <c r="HMT85" s="798"/>
      <c r="HMU85" s="798"/>
      <c r="HMV85" s="798"/>
      <c r="HMW85" s="798"/>
      <c r="HMX85" s="798"/>
      <c r="HMY85" s="798"/>
      <c r="HMZ85" s="798"/>
      <c r="HNA85" s="798"/>
      <c r="HNB85" s="798"/>
      <c r="HNC85" s="798"/>
      <c r="HND85" s="798"/>
      <c r="HNE85" s="798"/>
      <c r="HNF85" s="798"/>
      <c r="HNG85" s="798"/>
      <c r="HNH85" s="798"/>
      <c r="HNI85" s="798"/>
      <c r="HNJ85" s="798"/>
      <c r="HNK85" s="798"/>
      <c r="HNL85" s="798"/>
      <c r="HNM85" s="798"/>
      <c r="HNN85" s="798"/>
      <c r="HNO85" s="798"/>
      <c r="HNP85" s="798"/>
      <c r="HNQ85" s="798"/>
      <c r="HNR85" s="798"/>
      <c r="HNS85" s="798"/>
      <c r="HNT85" s="798"/>
      <c r="HNU85" s="798"/>
      <c r="HNV85" s="798"/>
      <c r="HNW85" s="798"/>
      <c r="HNX85" s="798"/>
      <c r="HNY85" s="798"/>
      <c r="HNZ85" s="798"/>
      <c r="HOA85" s="798"/>
      <c r="HOB85" s="798"/>
      <c r="HOC85" s="798"/>
      <c r="HOD85" s="798"/>
      <c r="HOE85" s="798"/>
      <c r="HOF85" s="798"/>
      <c r="HOG85" s="798"/>
      <c r="HOH85" s="798"/>
      <c r="HOI85" s="798"/>
      <c r="HOJ85" s="798"/>
      <c r="HOK85" s="798"/>
      <c r="HOL85" s="798"/>
      <c r="HOM85" s="798"/>
      <c r="HON85" s="798"/>
      <c r="HOO85" s="798"/>
      <c r="HOP85" s="798"/>
      <c r="HOQ85" s="798"/>
      <c r="HOR85" s="798"/>
      <c r="HOS85" s="798"/>
      <c r="HOT85" s="798"/>
      <c r="HOU85" s="798"/>
      <c r="HOV85" s="798"/>
      <c r="HOW85" s="798"/>
      <c r="HOX85" s="798"/>
      <c r="HOY85" s="798"/>
      <c r="HOZ85" s="798"/>
      <c r="HPA85" s="798"/>
      <c r="HPB85" s="798"/>
      <c r="HPC85" s="798"/>
      <c r="HPD85" s="798"/>
      <c r="HPE85" s="798"/>
      <c r="HPF85" s="798"/>
      <c r="HPG85" s="798"/>
      <c r="HPH85" s="798"/>
      <c r="HPI85" s="798"/>
      <c r="HPJ85" s="798"/>
      <c r="HPK85" s="798"/>
      <c r="HPL85" s="798"/>
      <c r="HPM85" s="798"/>
      <c r="HPN85" s="798"/>
      <c r="HPO85" s="798"/>
      <c r="HPP85" s="798"/>
      <c r="HPQ85" s="798"/>
      <c r="HPR85" s="798"/>
      <c r="HPS85" s="798"/>
      <c r="HPT85" s="798"/>
      <c r="HPU85" s="798"/>
      <c r="HPV85" s="798"/>
      <c r="HPW85" s="798"/>
      <c r="HPX85" s="798"/>
      <c r="HPY85" s="798"/>
      <c r="HPZ85" s="798"/>
      <c r="HQA85" s="798"/>
      <c r="HQB85" s="798"/>
      <c r="HQC85" s="798"/>
      <c r="HQD85" s="798"/>
      <c r="HQE85" s="798"/>
      <c r="HQF85" s="798"/>
      <c r="HQG85" s="798"/>
      <c r="HQH85" s="798"/>
      <c r="HQI85" s="798"/>
      <c r="HQJ85" s="798"/>
      <c r="HQK85" s="798"/>
      <c r="HQL85" s="798"/>
      <c r="HQM85" s="798"/>
      <c r="HQN85" s="798"/>
      <c r="HQO85" s="798"/>
      <c r="HQP85" s="798"/>
      <c r="HQQ85" s="798"/>
      <c r="HQR85" s="798"/>
      <c r="HQS85" s="798"/>
      <c r="HQT85" s="798"/>
      <c r="HQU85" s="798"/>
      <c r="HQV85" s="798"/>
      <c r="HQW85" s="798"/>
      <c r="HQX85" s="798"/>
      <c r="HQY85" s="798"/>
      <c r="HQZ85" s="798"/>
      <c r="HRA85" s="798"/>
      <c r="HRB85" s="798"/>
      <c r="HRC85" s="798"/>
      <c r="HRD85" s="798"/>
      <c r="HRE85" s="798"/>
      <c r="HRF85" s="798"/>
      <c r="HRG85" s="798"/>
      <c r="HRH85" s="798"/>
      <c r="HRI85" s="798"/>
      <c r="HRJ85" s="798"/>
      <c r="HRK85" s="798"/>
      <c r="HRL85" s="798"/>
      <c r="HRM85" s="798"/>
      <c r="HRN85" s="798"/>
      <c r="HRO85" s="798"/>
      <c r="HRP85" s="798"/>
      <c r="HRQ85" s="798"/>
      <c r="HRR85" s="798"/>
      <c r="HRS85" s="798"/>
      <c r="HRT85" s="798"/>
      <c r="HRU85" s="798"/>
      <c r="HRV85" s="798"/>
      <c r="HRW85" s="798"/>
      <c r="HRX85" s="798"/>
      <c r="HRY85" s="798"/>
      <c r="HRZ85" s="798"/>
      <c r="HSA85" s="798"/>
      <c r="HSB85" s="798"/>
      <c r="HSC85" s="798"/>
      <c r="HSD85" s="798"/>
      <c r="HSE85" s="798"/>
      <c r="HSF85" s="798"/>
      <c r="HSG85" s="798"/>
      <c r="HSH85" s="798"/>
      <c r="HSI85" s="798"/>
      <c r="HSJ85" s="798"/>
      <c r="HSK85" s="798"/>
      <c r="HSL85" s="798"/>
      <c r="HSM85" s="798"/>
      <c r="HSN85" s="798"/>
      <c r="HSO85" s="798"/>
      <c r="HSP85" s="798"/>
      <c r="HSQ85" s="798"/>
      <c r="HSR85" s="798"/>
      <c r="HSS85" s="798"/>
      <c r="HST85" s="798"/>
      <c r="HSU85" s="798"/>
      <c r="HSV85" s="798"/>
      <c r="HSW85" s="798"/>
      <c r="HSX85" s="798"/>
      <c r="HSY85" s="798"/>
      <c r="HSZ85" s="798"/>
      <c r="HTA85" s="798"/>
      <c r="HTB85" s="798"/>
      <c r="HTC85" s="798"/>
      <c r="HTD85" s="798"/>
      <c r="HTE85" s="798"/>
      <c r="HTF85" s="798"/>
      <c r="HTG85" s="798"/>
      <c r="HTH85" s="798"/>
      <c r="HTI85" s="798"/>
      <c r="HTJ85" s="798"/>
      <c r="HTK85" s="798"/>
      <c r="HTL85" s="798"/>
      <c r="HTM85" s="798"/>
      <c r="HTN85" s="798"/>
      <c r="HTO85" s="798"/>
      <c r="HTP85" s="798"/>
      <c r="HTQ85" s="798"/>
      <c r="HTR85" s="798"/>
      <c r="HTS85" s="798"/>
      <c r="HTT85" s="798"/>
      <c r="HTU85" s="798"/>
      <c r="HTV85" s="798"/>
      <c r="HTW85" s="798"/>
      <c r="HTX85" s="798"/>
      <c r="HTY85" s="798"/>
      <c r="HTZ85" s="798"/>
      <c r="HUA85" s="798"/>
      <c r="HUB85" s="798"/>
      <c r="HUC85" s="798"/>
      <c r="HUD85" s="798"/>
      <c r="HUE85" s="798"/>
      <c r="HUF85" s="798"/>
      <c r="HUG85" s="798"/>
      <c r="HUH85" s="798"/>
      <c r="HUI85" s="798"/>
      <c r="HUJ85" s="798"/>
      <c r="HUK85" s="798"/>
      <c r="HUL85" s="798"/>
      <c r="HUM85" s="798"/>
      <c r="HUN85" s="798"/>
      <c r="HUO85" s="798"/>
      <c r="HUP85" s="798"/>
      <c r="HUQ85" s="798"/>
      <c r="HUR85" s="798"/>
      <c r="HUS85" s="798"/>
      <c r="HUT85" s="798"/>
      <c r="HUU85" s="798"/>
      <c r="HUV85" s="798"/>
      <c r="HUW85" s="798"/>
      <c r="HUX85" s="798"/>
      <c r="HUY85" s="798"/>
      <c r="HUZ85" s="798"/>
      <c r="HVA85" s="798"/>
      <c r="HVB85" s="798"/>
      <c r="HVC85" s="798"/>
      <c r="HVD85" s="798"/>
      <c r="HVE85" s="798"/>
      <c r="HVF85" s="798"/>
      <c r="HVG85" s="798"/>
      <c r="HVH85" s="798"/>
      <c r="HVI85" s="798"/>
      <c r="HVJ85" s="798"/>
      <c r="HVK85" s="798"/>
      <c r="HVL85" s="798"/>
      <c r="HVM85" s="798"/>
      <c r="HVN85" s="798"/>
      <c r="HVO85" s="798"/>
      <c r="HVP85" s="798"/>
      <c r="HVQ85" s="798"/>
      <c r="HVR85" s="798"/>
      <c r="HVS85" s="798"/>
      <c r="HVT85" s="798"/>
      <c r="HVU85" s="798"/>
      <c r="HVV85" s="798"/>
      <c r="HVW85" s="798"/>
      <c r="HVX85" s="798"/>
      <c r="HVY85" s="798"/>
      <c r="HVZ85" s="798"/>
      <c r="HWA85" s="798"/>
      <c r="HWB85" s="798"/>
      <c r="HWC85" s="798"/>
      <c r="HWD85" s="798"/>
      <c r="HWE85" s="798"/>
      <c r="HWF85" s="798"/>
      <c r="HWG85" s="798"/>
      <c r="HWH85" s="798"/>
      <c r="HWI85" s="798"/>
      <c r="HWJ85" s="798"/>
      <c r="HWK85" s="798"/>
      <c r="HWL85" s="798"/>
      <c r="HWM85" s="798"/>
      <c r="HWN85" s="798"/>
      <c r="HWO85" s="798"/>
      <c r="HWP85" s="798"/>
      <c r="HWQ85" s="798"/>
      <c r="HWR85" s="798"/>
      <c r="HWS85" s="798"/>
      <c r="HWT85" s="798"/>
      <c r="HWU85" s="798"/>
      <c r="HWV85" s="798"/>
      <c r="HWW85" s="798"/>
      <c r="HWX85" s="798"/>
      <c r="HWY85" s="798"/>
      <c r="HWZ85" s="798"/>
      <c r="HXA85" s="798"/>
      <c r="HXB85" s="798"/>
      <c r="HXC85" s="798"/>
      <c r="HXD85" s="798"/>
      <c r="HXE85" s="798"/>
      <c r="HXF85" s="798"/>
      <c r="HXG85" s="798"/>
      <c r="HXH85" s="798"/>
      <c r="HXI85" s="798"/>
      <c r="HXJ85" s="798"/>
      <c r="HXK85" s="798"/>
      <c r="HXL85" s="798"/>
      <c r="HXM85" s="798"/>
      <c r="HXN85" s="798"/>
      <c r="HXO85" s="798"/>
      <c r="HXP85" s="798"/>
      <c r="HXQ85" s="798"/>
      <c r="HXR85" s="798"/>
      <c r="HXS85" s="798"/>
      <c r="HXT85" s="798"/>
      <c r="HXU85" s="798"/>
      <c r="HXV85" s="798"/>
      <c r="HXW85" s="798"/>
      <c r="HXX85" s="798"/>
      <c r="HXY85" s="798"/>
      <c r="HXZ85" s="798"/>
      <c r="HYA85" s="798"/>
      <c r="HYB85" s="798"/>
      <c r="HYC85" s="798"/>
      <c r="HYD85" s="798"/>
      <c r="HYE85" s="798"/>
      <c r="HYF85" s="798"/>
      <c r="HYG85" s="798"/>
      <c r="HYH85" s="798"/>
      <c r="HYI85" s="798"/>
      <c r="HYJ85" s="798"/>
      <c r="HYK85" s="798"/>
      <c r="HYL85" s="798"/>
      <c r="HYM85" s="798"/>
      <c r="HYN85" s="798"/>
      <c r="HYO85" s="798"/>
      <c r="HYP85" s="798"/>
      <c r="HYQ85" s="798"/>
      <c r="HYR85" s="798"/>
      <c r="HYS85" s="798"/>
      <c r="HYT85" s="798"/>
      <c r="HYU85" s="798"/>
      <c r="HYV85" s="798"/>
      <c r="HYW85" s="798"/>
      <c r="HYX85" s="798"/>
      <c r="HYY85" s="798"/>
      <c r="HYZ85" s="798"/>
      <c r="HZA85" s="798"/>
      <c r="HZB85" s="798"/>
      <c r="HZC85" s="798"/>
      <c r="HZD85" s="798"/>
      <c r="HZE85" s="798"/>
      <c r="HZF85" s="798"/>
      <c r="HZG85" s="798"/>
      <c r="HZH85" s="798"/>
      <c r="HZI85" s="798"/>
      <c r="HZJ85" s="798"/>
      <c r="HZK85" s="798"/>
      <c r="HZL85" s="798"/>
      <c r="HZM85" s="798"/>
      <c r="HZN85" s="798"/>
      <c r="HZO85" s="798"/>
      <c r="HZP85" s="798"/>
      <c r="HZQ85" s="798"/>
      <c r="HZR85" s="798"/>
      <c r="HZS85" s="798"/>
      <c r="HZT85" s="798"/>
      <c r="HZU85" s="798"/>
      <c r="HZV85" s="798"/>
      <c r="HZW85" s="798"/>
      <c r="HZX85" s="798"/>
      <c r="HZY85" s="798"/>
      <c r="HZZ85" s="798"/>
      <c r="IAA85" s="798"/>
      <c r="IAB85" s="798"/>
      <c r="IAC85" s="798"/>
      <c r="IAD85" s="798"/>
      <c r="IAE85" s="798"/>
      <c r="IAF85" s="798"/>
      <c r="IAG85" s="798"/>
      <c r="IAH85" s="798"/>
      <c r="IAI85" s="798"/>
      <c r="IAJ85" s="798"/>
      <c r="IAK85" s="798"/>
      <c r="IAL85" s="798"/>
      <c r="IAM85" s="798"/>
      <c r="IAN85" s="798"/>
      <c r="IAO85" s="798"/>
      <c r="IAP85" s="798"/>
      <c r="IAQ85" s="798"/>
      <c r="IAR85" s="798"/>
      <c r="IAS85" s="798"/>
      <c r="IAT85" s="798"/>
      <c r="IAU85" s="798"/>
      <c r="IAV85" s="798"/>
      <c r="IAW85" s="798"/>
      <c r="IAX85" s="798"/>
      <c r="IAY85" s="798"/>
      <c r="IAZ85" s="798"/>
      <c r="IBA85" s="798"/>
      <c r="IBB85" s="798"/>
      <c r="IBC85" s="798"/>
      <c r="IBD85" s="798"/>
      <c r="IBE85" s="798"/>
      <c r="IBF85" s="798"/>
      <c r="IBG85" s="798"/>
      <c r="IBH85" s="798"/>
      <c r="IBI85" s="798"/>
      <c r="IBJ85" s="798"/>
      <c r="IBK85" s="798"/>
      <c r="IBL85" s="798"/>
      <c r="IBM85" s="798"/>
      <c r="IBN85" s="798"/>
      <c r="IBO85" s="798"/>
      <c r="IBP85" s="798"/>
      <c r="IBQ85" s="798"/>
      <c r="IBR85" s="798"/>
      <c r="IBS85" s="798"/>
      <c r="IBT85" s="798"/>
      <c r="IBU85" s="798"/>
      <c r="IBV85" s="798"/>
      <c r="IBW85" s="798"/>
      <c r="IBX85" s="798"/>
      <c r="IBY85" s="798"/>
      <c r="IBZ85" s="798"/>
      <c r="ICA85" s="798"/>
      <c r="ICB85" s="798"/>
      <c r="ICC85" s="798"/>
      <c r="ICD85" s="798"/>
      <c r="ICE85" s="798"/>
      <c r="ICF85" s="798"/>
      <c r="ICG85" s="798"/>
      <c r="ICH85" s="798"/>
      <c r="ICI85" s="798"/>
      <c r="ICJ85" s="798"/>
      <c r="ICK85" s="798"/>
      <c r="ICL85" s="798"/>
      <c r="ICM85" s="798"/>
      <c r="ICN85" s="798"/>
      <c r="ICO85" s="798"/>
      <c r="ICP85" s="798"/>
      <c r="ICQ85" s="798"/>
      <c r="ICR85" s="798"/>
      <c r="ICS85" s="798"/>
      <c r="ICT85" s="798"/>
      <c r="ICU85" s="798"/>
      <c r="ICV85" s="798"/>
      <c r="ICW85" s="798"/>
      <c r="ICX85" s="798"/>
      <c r="ICY85" s="798"/>
      <c r="ICZ85" s="798"/>
      <c r="IDA85" s="798"/>
      <c r="IDB85" s="798"/>
      <c r="IDC85" s="798"/>
      <c r="IDD85" s="798"/>
      <c r="IDE85" s="798"/>
      <c r="IDF85" s="798"/>
      <c r="IDG85" s="798"/>
      <c r="IDH85" s="798"/>
      <c r="IDI85" s="798"/>
      <c r="IDJ85" s="798"/>
      <c r="IDK85" s="798"/>
      <c r="IDL85" s="798"/>
      <c r="IDM85" s="798"/>
      <c r="IDN85" s="798"/>
      <c r="IDO85" s="798"/>
      <c r="IDP85" s="798"/>
      <c r="IDQ85" s="798"/>
      <c r="IDR85" s="798"/>
      <c r="IDS85" s="798"/>
      <c r="IDT85" s="798"/>
      <c r="IDU85" s="798"/>
      <c r="IDV85" s="798"/>
      <c r="IDW85" s="798"/>
      <c r="IDX85" s="798"/>
      <c r="IDY85" s="798"/>
      <c r="IDZ85" s="798"/>
      <c r="IEA85" s="798"/>
      <c r="IEB85" s="798"/>
      <c r="IEC85" s="798"/>
      <c r="IED85" s="798"/>
      <c r="IEE85" s="798"/>
      <c r="IEF85" s="798"/>
      <c r="IEG85" s="798"/>
      <c r="IEH85" s="798"/>
      <c r="IEI85" s="798"/>
      <c r="IEJ85" s="798"/>
      <c r="IEK85" s="798"/>
      <c r="IEL85" s="798"/>
      <c r="IEM85" s="798"/>
      <c r="IEN85" s="798"/>
      <c r="IEO85" s="798"/>
      <c r="IEP85" s="798"/>
      <c r="IEQ85" s="798"/>
      <c r="IER85" s="798"/>
      <c r="IES85" s="798"/>
      <c r="IET85" s="798"/>
      <c r="IEU85" s="798"/>
      <c r="IEV85" s="798"/>
      <c r="IEW85" s="798"/>
      <c r="IEX85" s="798"/>
      <c r="IEY85" s="798"/>
      <c r="IEZ85" s="798"/>
      <c r="IFA85" s="798"/>
      <c r="IFB85" s="798"/>
      <c r="IFC85" s="798"/>
      <c r="IFD85" s="798"/>
      <c r="IFE85" s="798"/>
      <c r="IFF85" s="798"/>
      <c r="IFG85" s="798"/>
      <c r="IFH85" s="798"/>
      <c r="IFI85" s="798"/>
      <c r="IFJ85" s="798"/>
      <c r="IFK85" s="798"/>
      <c r="IFL85" s="798"/>
      <c r="IFM85" s="798"/>
      <c r="IFN85" s="798"/>
      <c r="IFO85" s="798"/>
      <c r="IFP85" s="798"/>
      <c r="IFQ85" s="798"/>
      <c r="IFR85" s="798"/>
      <c r="IFS85" s="798"/>
      <c r="IFT85" s="798"/>
      <c r="IFU85" s="798"/>
      <c r="IFV85" s="798"/>
      <c r="IFW85" s="798"/>
      <c r="IFX85" s="798"/>
      <c r="IFY85" s="798"/>
      <c r="IFZ85" s="798"/>
      <c r="IGA85" s="798"/>
      <c r="IGB85" s="798"/>
      <c r="IGC85" s="798"/>
      <c r="IGD85" s="798"/>
      <c r="IGE85" s="798"/>
      <c r="IGF85" s="798"/>
      <c r="IGG85" s="798"/>
      <c r="IGH85" s="798"/>
      <c r="IGI85" s="798"/>
      <c r="IGJ85" s="798"/>
      <c r="IGK85" s="798"/>
      <c r="IGL85" s="798"/>
      <c r="IGM85" s="798"/>
      <c r="IGN85" s="798"/>
      <c r="IGO85" s="798"/>
      <c r="IGP85" s="798"/>
      <c r="IGQ85" s="798"/>
      <c r="IGR85" s="798"/>
      <c r="IGS85" s="798"/>
      <c r="IGT85" s="798"/>
      <c r="IGU85" s="798"/>
      <c r="IGV85" s="798"/>
      <c r="IGW85" s="798"/>
      <c r="IGX85" s="798"/>
      <c r="IGY85" s="798"/>
      <c r="IGZ85" s="798"/>
      <c r="IHA85" s="798"/>
      <c r="IHB85" s="798"/>
      <c r="IHC85" s="798"/>
      <c r="IHD85" s="798"/>
      <c r="IHE85" s="798"/>
      <c r="IHF85" s="798"/>
      <c r="IHG85" s="798"/>
      <c r="IHH85" s="798"/>
      <c r="IHI85" s="798"/>
      <c r="IHJ85" s="798"/>
      <c r="IHK85" s="798"/>
      <c r="IHL85" s="798"/>
      <c r="IHM85" s="798"/>
      <c r="IHN85" s="798"/>
      <c r="IHO85" s="798"/>
      <c r="IHP85" s="798"/>
      <c r="IHQ85" s="798"/>
      <c r="IHR85" s="798"/>
      <c r="IHS85" s="798"/>
      <c r="IHT85" s="798"/>
      <c r="IHU85" s="798"/>
      <c r="IHV85" s="798"/>
      <c r="IHW85" s="798"/>
      <c r="IHX85" s="798"/>
      <c r="IHY85" s="798"/>
      <c r="IHZ85" s="798"/>
      <c r="IIA85" s="798"/>
      <c r="IIB85" s="798"/>
      <c r="IIC85" s="798"/>
      <c r="IID85" s="798"/>
      <c r="IIE85" s="798"/>
      <c r="IIF85" s="798"/>
      <c r="IIG85" s="798"/>
      <c r="IIH85" s="798"/>
      <c r="III85" s="798"/>
      <c r="IIJ85" s="798"/>
      <c r="IIK85" s="798"/>
      <c r="IIL85" s="798"/>
      <c r="IIM85" s="798"/>
      <c r="IIN85" s="798"/>
      <c r="IIO85" s="798"/>
      <c r="IIP85" s="798"/>
      <c r="IIQ85" s="798"/>
      <c r="IIR85" s="798"/>
      <c r="IIS85" s="798"/>
      <c r="IIT85" s="798"/>
      <c r="IIU85" s="798"/>
      <c r="IIV85" s="798"/>
      <c r="IIW85" s="798"/>
      <c r="IIX85" s="798"/>
      <c r="IIY85" s="798"/>
      <c r="IIZ85" s="798"/>
      <c r="IJA85" s="798"/>
      <c r="IJB85" s="798"/>
      <c r="IJC85" s="798"/>
      <c r="IJD85" s="798"/>
      <c r="IJE85" s="798"/>
      <c r="IJF85" s="798"/>
      <c r="IJG85" s="798"/>
      <c r="IJH85" s="798"/>
      <c r="IJI85" s="798"/>
      <c r="IJJ85" s="798"/>
      <c r="IJK85" s="798"/>
      <c r="IJL85" s="798"/>
      <c r="IJM85" s="798"/>
      <c r="IJN85" s="798"/>
      <c r="IJO85" s="798"/>
      <c r="IJP85" s="798"/>
      <c r="IJQ85" s="798"/>
      <c r="IJR85" s="798"/>
      <c r="IJS85" s="798"/>
      <c r="IJT85" s="798"/>
      <c r="IJU85" s="798"/>
      <c r="IJV85" s="798"/>
      <c r="IJW85" s="798"/>
      <c r="IJX85" s="798"/>
      <c r="IJY85" s="798"/>
      <c r="IJZ85" s="798"/>
      <c r="IKA85" s="798"/>
      <c r="IKB85" s="798"/>
      <c r="IKC85" s="798"/>
      <c r="IKD85" s="798"/>
      <c r="IKE85" s="798"/>
      <c r="IKF85" s="798"/>
      <c r="IKG85" s="798"/>
      <c r="IKH85" s="798"/>
      <c r="IKI85" s="798"/>
      <c r="IKJ85" s="798"/>
      <c r="IKK85" s="798"/>
      <c r="IKL85" s="798"/>
      <c r="IKM85" s="798"/>
      <c r="IKN85" s="798"/>
      <c r="IKO85" s="798"/>
      <c r="IKP85" s="798"/>
      <c r="IKQ85" s="798"/>
      <c r="IKR85" s="798"/>
      <c r="IKS85" s="798"/>
      <c r="IKT85" s="798"/>
      <c r="IKU85" s="798"/>
      <c r="IKV85" s="798"/>
      <c r="IKW85" s="798"/>
      <c r="IKX85" s="798"/>
      <c r="IKY85" s="798"/>
      <c r="IKZ85" s="798"/>
      <c r="ILA85" s="798"/>
      <c r="ILB85" s="798"/>
      <c r="ILC85" s="798"/>
      <c r="ILD85" s="798"/>
      <c r="ILE85" s="798"/>
      <c r="ILF85" s="798"/>
      <c r="ILG85" s="798"/>
      <c r="ILH85" s="798"/>
      <c r="ILI85" s="798"/>
      <c r="ILJ85" s="798"/>
      <c r="ILK85" s="798"/>
      <c r="ILL85" s="798"/>
      <c r="ILM85" s="798"/>
      <c r="ILN85" s="798"/>
      <c r="ILO85" s="798"/>
      <c r="ILP85" s="798"/>
      <c r="ILQ85" s="798"/>
      <c r="ILR85" s="798"/>
      <c r="ILS85" s="798"/>
      <c r="ILT85" s="798"/>
      <c r="ILU85" s="798"/>
      <c r="ILV85" s="798"/>
      <c r="ILW85" s="798"/>
      <c r="ILX85" s="798"/>
      <c r="ILY85" s="798"/>
      <c r="ILZ85" s="798"/>
      <c r="IMA85" s="798"/>
      <c r="IMB85" s="798"/>
      <c r="IMC85" s="798"/>
      <c r="IMD85" s="798"/>
      <c r="IME85" s="798"/>
      <c r="IMF85" s="798"/>
      <c r="IMG85" s="798"/>
      <c r="IMH85" s="798"/>
      <c r="IMI85" s="798"/>
      <c r="IMJ85" s="798"/>
      <c r="IMK85" s="798"/>
      <c r="IML85" s="798"/>
      <c r="IMM85" s="798"/>
      <c r="IMN85" s="798"/>
      <c r="IMO85" s="798"/>
      <c r="IMP85" s="798"/>
      <c r="IMQ85" s="798"/>
      <c r="IMR85" s="798"/>
      <c r="IMS85" s="798"/>
      <c r="IMT85" s="798"/>
      <c r="IMU85" s="798"/>
      <c r="IMV85" s="798"/>
      <c r="IMW85" s="798"/>
      <c r="IMX85" s="798"/>
      <c r="IMY85" s="798"/>
      <c r="IMZ85" s="798"/>
      <c r="INA85" s="798"/>
      <c r="INB85" s="798"/>
      <c r="INC85" s="798"/>
      <c r="IND85" s="798"/>
      <c r="INE85" s="798"/>
      <c r="INF85" s="798"/>
      <c r="ING85" s="798"/>
      <c r="INH85" s="798"/>
      <c r="INI85" s="798"/>
      <c r="INJ85" s="798"/>
      <c r="INK85" s="798"/>
      <c r="INL85" s="798"/>
      <c r="INM85" s="798"/>
      <c r="INN85" s="798"/>
      <c r="INO85" s="798"/>
      <c r="INP85" s="798"/>
      <c r="INQ85" s="798"/>
      <c r="INR85" s="798"/>
      <c r="INS85" s="798"/>
      <c r="INT85" s="798"/>
      <c r="INU85" s="798"/>
      <c r="INV85" s="798"/>
      <c r="INW85" s="798"/>
      <c r="INX85" s="798"/>
      <c r="INY85" s="798"/>
      <c r="INZ85" s="798"/>
      <c r="IOA85" s="798"/>
      <c r="IOB85" s="798"/>
      <c r="IOC85" s="798"/>
      <c r="IOD85" s="798"/>
      <c r="IOE85" s="798"/>
      <c r="IOF85" s="798"/>
      <c r="IOG85" s="798"/>
      <c r="IOH85" s="798"/>
      <c r="IOI85" s="798"/>
      <c r="IOJ85" s="798"/>
      <c r="IOK85" s="798"/>
      <c r="IOL85" s="798"/>
      <c r="IOM85" s="798"/>
      <c r="ION85" s="798"/>
      <c r="IOO85" s="798"/>
      <c r="IOP85" s="798"/>
      <c r="IOQ85" s="798"/>
      <c r="IOR85" s="798"/>
      <c r="IOS85" s="798"/>
      <c r="IOT85" s="798"/>
      <c r="IOU85" s="798"/>
      <c r="IOV85" s="798"/>
      <c r="IOW85" s="798"/>
      <c r="IOX85" s="798"/>
      <c r="IOY85" s="798"/>
      <c r="IOZ85" s="798"/>
      <c r="IPA85" s="798"/>
      <c r="IPB85" s="798"/>
      <c r="IPC85" s="798"/>
      <c r="IPD85" s="798"/>
      <c r="IPE85" s="798"/>
      <c r="IPF85" s="798"/>
      <c r="IPG85" s="798"/>
      <c r="IPH85" s="798"/>
      <c r="IPI85" s="798"/>
      <c r="IPJ85" s="798"/>
      <c r="IPK85" s="798"/>
      <c r="IPL85" s="798"/>
      <c r="IPM85" s="798"/>
      <c r="IPN85" s="798"/>
      <c r="IPO85" s="798"/>
      <c r="IPP85" s="798"/>
      <c r="IPQ85" s="798"/>
      <c r="IPR85" s="798"/>
      <c r="IPS85" s="798"/>
      <c r="IPT85" s="798"/>
      <c r="IPU85" s="798"/>
      <c r="IPV85" s="798"/>
      <c r="IPW85" s="798"/>
      <c r="IPX85" s="798"/>
      <c r="IPY85" s="798"/>
      <c r="IPZ85" s="798"/>
      <c r="IQA85" s="798"/>
      <c r="IQB85" s="798"/>
      <c r="IQC85" s="798"/>
      <c r="IQD85" s="798"/>
      <c r="IQE85" s="798"/>
      <c r="IQF85" s="798"/>
      <c r="IQG85" s="798"/>
      <c r="IQH85" s="798"/>
      <c r="IQI85" s="798"/>
      <c r="IQJ85" s="798"/>
      <c r="IQK85" s="798"/>
      <c r="IQL85" s="798"/>
      <c r="IQM85" s="798"/>
      <c r="IQN85" s="798"/>
      <c r="IQO85" s="798"/>
      <c r="IQP85" s="798"/>
      <c r="IQQ85" s="798"/>
      <c r="IQR85" s="798"/>
      <c r="IQS85" s="798"/>
      <c r="IQT85" s="798"/>
      <c r="IQU85" s="798"/>
      <c r="IQV85" s="798"/>
      <c r="IQW85" s="798"/>
      <c r="IQX85" s="798"/>
      <c r="IQY85" s="798"/>
      <c r="IQZ85" s="798"/>
      <c r="IRA85" s="798"/>
      <c r="IRB85" s="798"/>
      <c r="IRC85" s="798"/>
      <c r="IRD85" s="798"/>
      <c r="IRE85" s="798"/>
      <c r="IRF85" s="798"/>
      <c r="IRG85" s="798"/>
      <c r="IRH85" s="798"/>
      <c r="IRI85" s="798"/>
      <c r="IRJ85" s="798"/>
      <c r="IRK85" s="798"/>
      <c r="IRL85" s="798"/>
      <c r="IRM85" s="798"/>
      <c r="IRN85" s="798"/>
      <c r="IRO85" s="798"/>
      <c r="IRP85" s="798"/>
      <c r="IRQ85" s="798"/>
      <c r="IRR85" s="798"/>
      <c r="IRS85" s="798"/>
      <c r="IRT85" s="798"/>
      <c r="IRU85" s="798"/>
      <c r="IRV85" s="798"/>
      <c r="IRW85" s="798"/>
      <c r="IRX85" s="798"/>
      <c r="IRY85" s="798"/>
      <c r="IRZ85" s="798"/>
      <c r="ISA85" s="798"/>
      <c r="ISB85" s="798"/>
      <c r="ISC85" s="798"/>
      <c r="ISD85" s="798"/>
      <c r="ISE85" s="798"/>
      <c r="ISF85" s="798"/>
      <c r="ISG85" s="798"/>
      <c r="ISH85" s="798"/>
      <c r="ISI85" s="798"/>
      <c r="ISJ85" s="798"/>
      <c r="ISK85" s="798"/>
      <c r="ISL85" s="798"/>
      <c r="ISM85" s="798"/>
      <c r="ISN85" s="798"/>
      <c r="ISO85" s="798"/>
      <c r="ISP85" s="798"/>
      <c r="ISQ85" s="798"/>
      <c r="ISR85" s="798"/>
      <c r="ISS85" s="798"/>
      <c r="IST85" s="798"/>
      <c r="ISU85" s="798"/>
      <c r="ISV85" s="798"/>
      <c r="ISW85" s="798"/>
      <c r="ISX85" s="798"/>
      <c r="ISY85" s="798"/>
      <c r="ISZ85" s="798"/>
      <c r="ITA85" s="798"/>
      <c r="ITB85" s="798"/>
      <c r="ITC85" s="798"/>
      <c r="ITD85" s="798"/>
      <c r="ITE85" s="798"/>
      <c r="ITF85" s="798"/>
      <c r="ITG85" s="798"/>
      <c r="ITH85" s="798"/>
      <c r="ITI85" s="798"/>
      <c r="ITJ85" s="798"/>
      <c r="ITK85" s="798"/>
      <c r="ITL85" s="798"/>
      <c r="ITM85" s="798"/>
      <c r="ITN85" s="798"/>
      <c r="ITO85" s="798"/>
      <c r="ITP85" s="798"/>
      <c r="ITQ85" s="798"/>
      <c r="ITR85" s="798"/>
      <c r="ITS85" s="798"/>
      <c r="ITT85" s="798"/>
      <c r="ITU85" s="798"/>
      <c r="ITV85" s="798"/>
      <c r="ITW85" s="798"/>
      <c r="ITX85" s="798"/>
      <c r="ITY85" s="798"/>
      <c r="ITZ85" s="798"/>
      <c r="IUA85" s="798"/>
      <c r="IUB85" s="798"/>
      <c r="IUC85" s="798"/>
      <c r="IUD85" s="798"/>
      <c r="IUE85" s="798"/>
      <c r="IUF85" s="798"/>
      <c r="IUG85" s="798"/>
      <c r="IUH85" s="798"/>
      <c r="IUI85" s="798"/>
      <c r="IUJ85" s="798"/>
      <c r="IUK85" s="798"/>
      <c r="IUL85" s="798"/>
      <c r="IUM85" s="798"/>
      <c r="IUN85" s="798"/>
      <c r="IUO85" s="798"/>
      <c r="IUP85" s="798"/>
      <c r="IUQ85" s="798"/>
      <c r="IUR85" s="798"/>
      <c r="IUS85" s="798"/>
      <c r="IUT85" s="798"/>
      <c r="IUU85" s="798"/>
      <c r="IUV85" s="798"/>
      <c r="IUW85" s="798"/>
      <c r="IUX85" s="798"/>
      <c r="IUY85" s="798"/>
      <c r="IUZ85" s="798"/>
      <c r="IVA85" s="798"/>
      <c r="IVB85" s="798"/>
      <c r="IVC85" s="798"/>
      <c r="IVD85" s="798"/>
      <c r="IVE85" s="798"/>
      <c r="IVF85" s="798"/>
      <c r="IVG85" s="798"/>
      <c r="IVH85" s="798"/>
      <c r="IVI85" s="798"/>
      <c r="IVJ85" s="798"/>
      <c r="IVK85" s="798"/>
      <c r="IVL85" s="798"/>
      <c r="IVM85" s="798"/>
      <c r="IVN85" s="798"/>
      <c r="IVO85" s="798"/>
      <c r="IVP85" s="798"/>
      <c r="IVQ85" s="798"/>
      <c r="IVR85" s="798"/>
      <c r="IVS85" s="798"/>
      <c r="IVT85" s="798"/>
      <c r="IVU85" s="798"/>
      <c r="IVV85" s="798"/>
      <c r="IVW85" s="798"/>
      <c r="IVX85" s="798"/>
      <c r="IVY85" s="798"/>
      <c r="IVZ85" s="798"/>
      <c r="IWA85" s="798"/>
      <c r="IWB85" s="798"/>
      <c r="IWC85" s="798"/>
      <c r="IWD85" s="798"/>
      <c r="IWE85" s="798"/>
      <c r="IWF85" s="798"/>
      <c r="IWG85" s="798"/>
      <c r="IWH85" s="798"/>
      <c r="IWI85" s="798"/>
      <c r="IWJ85" s="798"/>
      <c r="IWK85" s="798"/>
      <c r="IWL85" s="798"/>
      <c r="IWM85" s="798"/>
      <c r="IWN85" s="798"/>
      <c r="IWO85" s="798"/>
      <c r="IWP85" s="798"/>
      <c r="IWQ85" s="798"/>
      <c r="IWR85" s="798"/>
      <c r="IWS85" s="798"/>
      <c r="IWT85" s="798"/>
      <c r="IWU85" s="798"/>
      <c r="IWV85" s="798"/>
      <c r="IWW85" s="798"/>
      <c r="IWX85" s="798"/>
      <c r="IWY85" s="798"/>
      <c r="IWZ85" s="798"/>
      <c r="IXA85" s="798"/>
      <c r="IXB85" s="798"/>
      <c r="IXC85" s="798"/>
      <c r="IXD85" s="798"/>
      <c r="IXE85" s="798"/>
      <c r="IXF85" s="798"/>
      <c r="IXG85" s="798"/>
      <c r="IXH85" s="798"/>
      <c r="IXI85" s="798"/>
      <c r="IXJ85" s="798"/>
      <c r="IXK85" s="798"/>
      <c r="IXL85" s="798"/>
      <c r="IXM85" s="798"/>
      <c r="IXN85" s="798"/>
      <c r="IXO85" s="798"/>
      <c r="IXP85" s="798"/>
      <c r="IXQ85" s="798"/>
      <c r="IXR85" s="798"/>
      <c r="IXS85" s="798"/>
      <c r="IXT85" s="798"/>
      <c r="IXU85" s="798"/>
      <c r="IXV85" s="798"/>
      <c r="IXW85" s="798"/>
      <c r="IXX85" s="798"/>
      <c r="IXY85" s="798"/>
      <c r="IXZ85" s="798"/>
      <c r="IYA85" s="798"/>
      <c r="IYB85" s="798"/>
      <c r="IYC85" s="798"/>
      <c r="IYD85" s="798"/>
      <c r="IYE85" s="798"/>
      <c r="IYF85" s="798"/>
      <c r="IYG85" s="798"/>
      <c r="IYH85" s="798"/>
      <c r="IYI85" s="798"/>
      <c r="IYJ85" s="798"/>
      <c r="IYK85" s="798"/>
      <c r="IYL85" s="798"/>
      <c r="IYM85" s="798"/>
      <c r="IYN85" s="798"/>
      <c r="IYO85" s="798"/>
      <c r="IYP85" s="798"/>
      <c r="IYQ85" s="798"/>
      <c r="IYR85" s="798"/>
      <c r="IYS85" s="798"/>
      <c r="IYT85" s="798"/>
      <c r="IYU85" s="798"/>
      <c r="IYV85" s="798"/>
      <c r="IYW85" s="798"/>
      <c r="IYX85" s="798"/>
      <c r="IYY85" s="798"/>
      <c r="IYZ85" s="798"/>
      <c r="IZA85" s="798"/>
      <c r="IZB85" s="798"/>
      <c r="IZC85" s="798"/>
      <c r="IZD85" s="798"/>
      <c r="IZE85" s="798"/>
      <c r="IZF85" s="798"/>
      <c r="IZG85" s="798"/>
      <c r="IZH85" s="798"/>
      <c r="IZI85" s="798"/>
      <c r="IZJ85" s="798"/>
      <c r="IZK85" s="798"/>
      <c r="IZL85" s="798"/>
      <c r="IZM85" s="798"/>
      <c r="IZN85" s="798"/>
      <c r="IZO85" s="798"/>
      <c r="IZP85" s="798"/>
      <c r="IZQ85" s="798"/>
      <c r="IZR85" s="798"/>
      <c r="IZS85" s="798"/>
      <c r="IZT85" s="798"/>
      <c r="IZU85" s="798"/>
      <c r="IZV85" s="798"/>
      <c r="IZW85" s="798"/>
      <c r="IZX85" s="798"/>
      <c r="IZY85" s="798"/>
      <c r="IZZ85" s="798"/>
      <c r="JAA85" s="798"/>
      <c r="JAB85" s="798"/>
      <c r="JAC85" s="798"/>
      <c r="JAD85" s="798"/>
      <c r="JAE85" s="798"/>
      <c r="JAF85" s="798"/>
      <c r="JAG85" s="798"/>
      <c r="JAH85" s="798"/>
      <c r="JAI85" s="798"/>
      <c r="JAJ85" s="798"/>
      <c r="JAK85" s="798"/>
      <c r="JAL85" s="798"/>
      <c r="JAM85" s="798"/>
      <c r="JAN85" s="798"/>
      <c r="JAO85" s="798"/>
      <c r="JAP85" s="798"/>
      <c r="JAQ85" s="798"/>
      <c r="JAR85" s="798"/>
      <c r="JAS85" s="798"/>
      <c r="JAT85" s="798"/>
      <c r="JAU85" s="798"/>
      <c r="JAV85" s="798"/>
      <c r="JAW85" s="798"/>
      <c r="JAX85" s="798"/>
      <c r="JAY85" s="798"/>
      <c r="JAZ85" s="798"/>
      <c r="JBA85" s="798"/>
      <c r="JBB85" s="798"/>
      <c r="JBC85" s="798"/>
      <c r="JBD85" s="798"/>
      <c r="JBE85" s="798"/>
      <c r="JBF85" s="798"/>
      <c r="JBG85" s="798"/>
      <c r="JBH85" s="798"/>
      <c r="JBI85" s="798"/>
      <c r="JBJ85" s="798"/>
      <c r="JBK85" s="798"/>
      <c r="JBL85" s="798"/>
      <c r="JBM85" s="798"/>
      <c r="JBN85" s="798"/>
      <c r="JBO85" s="798"/>
      <c r="JBP85" s="798"/>
      <c r="JBQ85" s="798"/>
      <c r="JBR85" s="798"/>
      <c r="JBS85" s="798"/>
      <c r="JBT85" s="798"/>
      <c r="JBU85" s="798"/>
      <c r="JBV85" s="798"/>
      <c r="JBW85" s="798"/>
      <c r="JBX85" s="798"/>
      <c r="JBY85" s="798"/>
      <c r="JBZ85" s="798"/>
      <c r="JCA85" s="798"/>
      <c r="JCB85" s="798"/>
      <c r="JCC85" s="798"/>
      <c r="JCD85" s="798"/>
      <c r="JCE85" s="798"/>
      <c r="JCF85" s="798"/>
      <c r="JCG85" s="798"/>
      <c r="JCH85" s="798"/>
      <c r="JCI85" s="798"/>
      <c r="JCJ85" s="798"/>
      <c r="JCK85" s="798"/>
      <c r="JCL85" s="798"/>
      <c r="JCM85" s="798"/>
      <c r="JCN85" s="798"/>
      <c r="JCO85" s="798"/>
      <c r="JCP85" s="798"/>
      <c r="JCQ85" s="798"/>
      <c r="JCR85" s="798"/>
      <c r="JCS85" s="798"/>
      <c r="JCT85" s="798"/>
      <c r="JCU85" s="798"/>
      <c r="JCV85" s="798"/>
      <c r="JCW85" s="798"/>
      <c r="JCX85" s="798"/>
      <c r="JCY85" s="798"/>
      <c r="JCZ85" s="798"/>
      <c r="JDA85" s="798"/>
      <c r="JDB85" s="798"/>
      <c r="JDC85" s="798"/>
      <c r="JDD85" s="798"/>
      <c r="JDE85" s="798"/>
      <c r="JDF85" s="798"/>
      <c r="JDG85" s="798"/>
      <c r="JDH85" s="798"/>
      <c r="JDI85" s="798"/>
      <c r="JDJ85" s="798"/>
      <c r="JDK85" s="798"/>
      <c r="JDL85" s="798"/>
      <c r="JDM85" s="798"/>
      <c r="JDN85" s="798"/>
      <c r="JDO85" s="798"/>
      <c r="JDP85" s="798"/>
      <c r="JDQ85" s="798"/>
      <c r="JDR85" s="798"/>
      <c r="JDS85" s="798"/>
      <c r="JDT85" s="798"/>
      <c r="JDU85" s="798"/>
      <c r="JDV85" s="798"/>
      <c r="JDW85" s="798"/>
      <c r="JDX85" s="798"/>
      <c r="JDY85" s="798"/>
      <c r="JDZ85" s="798"/>
      <c r="JEA85" s="798"/>
      <c r="JEB85" s="798"/>
      <c r="JEC85" s="798"/>
      <c r="JED85" s="798"/>
      <c r="JEE85" s="798"/>
      <c r="JEF85" s="798"/>
      <c r="JEG85" s="798"/>
      <c r="JEH85" s="798"/>
      <c r="JEI85" s="798"/>
      <c r="JEJ85" s="798"/>
      <c r="JEK85" s="798"/>
      <c r="JEL85" s="798"/>
      <c r="JEM85" s="798"/>
      <c r="JEN85" s="798"/>
      <c r="JEO85" s="798"/>
      <c r="JEP85" s="798"/>
      <c r="JEQ85" s="798"/>
      <c r="JER85" s="798"/>
      <c r="JES85" s="798"/>
      <c r="JET85" s="798"/>
      <c r="JEU85" s="798"/>
      <c r="JEV85" s="798"/>
      <c r="JEW85" s="798"/>
      <c r="JEX85" s="798"/>
      <c r="JEY85" s="798"/>
      <c r="JEZ85" s="798"/>
      <c r="JFA85" s="798"/>
      <c r="JFB85" s="798"/>
      <c r="JFC85" s="798"/>
      <c r="JFD85" s="798"/>
      <c r="JFE85" s="798"/>
      <c r="JFF85" s="798"/>
      <c r="JFG85" s="798"/>
      <c r="JFH85" s="798"/>
      <c r="JFI85" s="798"/>
      <c r="JFJ85" s="798"/>
      <c r="JFK85" s="798"/>
      <c r="JFL85" s="798"/>
      <c r="JFM85" s="798"/>
      <c r="JFN85" s="798"/>
      <c r="JFO85" s="798"/>
      <c r="JFP85" s="798"/>
      <c r="JFQ85" s="798"/>
      <c r="JFR85" s="798"/>
      <c r="JFS85" s="798"/>
      <c r="JFT85" s="798"/>
      <c r="JFU85" s="798"/>
      <c r="JFV85" s="798"/>
      <c r="JFW85" s="798"/>
      <c r="JFX85" s="798"/>
      <c r="JFY85" s="798"/>
      <c r="JFZ85" s="798"/>
      <c r="JGA85" s="798"/>
      <c r="JGB85" s="798"/>
      <c r="JGC85" s="798"/>
      <c r="JGD85" s="798"/>
      <c r="JGE85" s="798"/>
      <c r="JGF85" s="798"/>
      <c r="JGG85" s="798"/>
      <c r="JGH85" s="798"/>
      <c r="JGI85" s="798"/>
      <c r="JGJ85" s="798"/>
      <c r="JGK85" s="798"/>
      <c r="JGL85" s="798"/>
      <c r="JGM85" s="798"/>
      <c r="JGN85" s="798"/>
      <c r="JGO85" s="798"/>
      <c r="JGP85" s="798"/>
      <c r="JGQ85" s="798"/>
      <c r="JGR85" s="798"/>
      <c r="JGS85" s="798"/>
      <c r="JGT85" s="798"/>
      <c r="JGU85" s="798"/>
      <c r="JGV85" s="798"/>
      <c r="JGW85" s="798"/>
      <c r="JGX85" s="798"/>
      <c r="JGY85" s="798"/>
      <c r="JGZ85" s="798"/>
      <c r="JHA85" s="798"/>
      <c r="JHB85" s="798"/>
      <c r="JHC85" s="798"/>
      <c r="JHD85" s="798"/>
      <c r="JHE85" s="798"/>
      <c r="JHF85" s="798"/>
      <c r="JHG85" s="798"/>
      <c r="JHH85" s="798"/>
      <c r="JHI85" s="798"/>
      <c r="JHJ85" s="798"/>
      <c r="JHK85" s="798"/>
      <c r="JHL85" s="798"/>
      <c r="JHM85" s="798"/>
      <c r="JHN85" s="798"/>
      <c r="JHO85" s="798"/>
      <c r="JHP85" s="798"/>
      <c r="JHQ85" s="798"/>
      <c r="JHR85" s="798"/>
      <c r="JHS85" s="798"/>
      <c r="JHT85" s="798"/>
      <c r="JHU85" s="798"/>
      <c r="JHV85" s="798"/>
      <c r="JHW85" s="798"/>
      <c r="JHX85" s="798"/>
      <c r="JHY85" s="798"/>
      <c r="JHZ85" s="798"/>
      <c r="JIA85" s="798"/>
      <c r="JIB85" s="798"/>
      <c r="JIC85" s="798"/>
      <c r="JID85" s="798"/>
      <c r="JIE85" s="798"/>
      <c r="JIF85" s="798"/>
      <c r="JIG85" s="798"/>
      <c r="JIH85" s="798"/>
      <c r="JII85" s="798"/>
      <c r="JIJ85" s="798"/>
      <c r="JIK85" s="798"/>
      <c r="JIL85" s="798"/>
      <c r="JIM85" s="798"/>
      <c r="JIN85" s="798"/>
      <c r="JIO85" s="798"/>
      <c r="JIP85" s="798"/>
      <c r="JIQ85" s="798"/>
      <c r="JIR85" s="798"/>
      <c r="JIS85" s="798"/>
      <c r="JIT85" s="798"/>
      <c r="JIU85" s="798"/>
      <c r="JIV85" s="798"/>
      <c r="JIW85" s="798"/>
      <c r="JIX85" s="798"/>
      <c r="JIY85" s="798"/>
      <c r="JIZ85" s="798"/>
      <c r="JJA85" s="798"/>
      <c r="JJB85" s="798"/>
      <c r="JJC85" s="798"/>
      <c r="JJD85" s="798"/>
      <c r="JJE85" s="798"/>
      <c r="JJF85" s="798"/>
      <c r="JJG85" s="798"/>
      <c r="JJH85" s="798"/>
      <c r="JJI85" s="798"/>
      <c r="JJJ85" s="798"/>
      <c r="JJK85" s="798"/>
      <c r="JJL85" s="798"/>
      <c r="JJM85" s="798"/>
      <c r="JJN85" s="798"/>
      <c r="JJO85" s="798"/>
      <c r="JJP85" s="798"/>
      <c r="JJQ85" s="798"/>
      <c r="JJR85" s="798"/>
      <c r="JJS85" s="798"/>
      <c r="JJT85" s="798"/>
      <c r="JJU85" s="798"/>
      <c r="JJV85" s="798"/>
      <c r="JJW85" s="798"/>
      <c r="JJX85" s="798"/>
      <c r="JJY85" s="798"/>
      <c r="JJZ85" s="798"/>
      <c r="JKA85" s="798"/>
      <c r="JKB85" s="798"/>
      <c r="JKC85" s="798"/>
      <c r="JKD85" s="798"/>
      <c r="JKE85" s="798"/>
      <c r="JKF85" s="798"/>
      <c r="JKG85" s="798"/>
      <c r="JKH85" s="798"/>
      <c r="JKI85" s="798"/>
      <c r="JKJ85" s="798"/>
      <c r="JKK85" s="798"/>
      <c r="JKL85" s="798"/>
      <c r="JKM85" s="798"/>
      <c r="JKN85" s="798"/>
      <c r="JKO85" s="798"/>
      <c r="JKP85" s="798"/>
      <c r="JKQ85" s="798"/>
      <c r="JKR85" s="798"/>
      <c r="JKS85" s="798"/>
      <c r="JKT85" s="798"/>
      <c r="JKU85" s="798"/>
      <c r="JKV85" s="798"/>
      <c r="JKW85" s="798"/>
      <c r="JKX85" s="798"/>
      <c r="JKY85" s="798"/>
      <c r="JKZ85" s="798"/>
      <c r="JLA85" s="798"/>
      <c r="JLB85" s="798"/>
      <c r="JLC85" s="798"/>
      <c r="JLD85" s="798"/>
      <c r="JLE85" s="798"/>
      <c r="JLF85" s="798"/>
      <c r="JLG85" s="798"/>
      <c r="JLH85" s="798"/>
      <c r="JLI85" s="798"/>
      <c r="JLJ85" s="798"/>
      <c r="JLK85" s="798"/>
      <c r="JLL85" s="798"/>
      <c r="JLM85" s="798"/>
      <c r="JLN85" s="798"/>
      <c r="JLO85" s="798"/>
      <c r="JLP85" s="798"/>
      <c r="JLQ85" s="798"/>
      <c r="JLR85" s="798"/>
      <c r="JLS85" s="798"/>
      <c r="JLT85" s="798"/>
      <c r="JLU85" s="798"/>
      <c r="JLV85" s="798"/>
      <c r="JLW85" s="798"/>
      <c r="JLX85" s="798"/>
      <c r="JLY85" s="798"/>
      <c r="JLZ85" s="798"/>
      <c r="JMA85" s="798"/>
      <c r="JMB85" s="798"/>
      <c r="JMC85" s="798"/>
      <c r="JMD85" s="798"/>
      <c r="JME85" s="798"/>
      <c r="JMF85" s="798"/>
      <c r="JMG85" s="798"/>
      <c r="JMH85" s="798"/>
      <c r="JMI85" s="798"/>
      <c r="JMJ85" s="798"/>
      <c r="JMK85" s="798"/>
      <c r="JML85" s="798"/>
      <c r="JMM85" s="798"/>
      <c r="JMN85" s="798"/>
      <c r="JMO85" s="798"/>
      <c r="JMP85" s="798"/>
      <c r="JMQ85" s="798"/>
      <c r="JMR85" s="798"/>
      <c r="JMS85" s="798"/>
      <c r="JMT85" s="798"/>
      <c r="JMU85" s="798"/>
      <c r="JMV85" s="798"/>
      <c r="JMW85" s="798"/>
      <c r="JMX85" s="798"/>
      <c r="JMY85" s="798"/>
      <c r="JMZ85" s="798"/>
      <c r="JNA85" s="798"/>
      <c r="JNB85" s="798"/>
      <c r="JNC85" s="798"/>
      <c r="JND85" s="798"/>
      <c r="JNE85" s="798"/>
      <c r="JNF85" s="798"/>
      <c r="JNG85" s="798"/>
      <c r="JNH85" s="798"/>
      <c r="JNI85" s="798"/>
      <c r="JNJ85" s="798"/>
      <c r="JNK85" s="798"/>
      <c r="JNL85" s="798"/>
      <c r="JNM85" s="798"/>
      <c r="JNN85" s="798"/>
      <c r="JNO85" s="798"/>
      <c r="JNP85" s="798"/>
      <c r="JNQ85" s="798"/>
      <c r="JNR85" s="798"/>
      <c r="JNS85" s="798"/>
      <c r="JNT85" s="798"/>
      <c r="JNU85" s="798"/>
      <c r="JNV85" s="798"/>
      <c r="JNW85" s="798"/>
      <c r="JNX85" s="798"/>
      <c r="JNY85" s="798"/>
      <c r="JNZ85" s="798"/>
      <c r="JOA85" s="798"/>
      <c r="JOB85" s="798"/>
      <c r="JOC85" s="798"/>
      <c r="JOD85" s="798"/>
      <c r="JOE85" s="798"/>
      <c r="JOF85" s="798"/>
      <c r="JOG85" s="798"/>
      <c r="JOH85" s="798"/>
      <c r="JOI85" s="798"/>
      <c r="JOJ85" s="798"/>
      <c r="JOK85" s="798"/>
      <c r="JOL85" s="798"/>
      <c r="JOM85" s="798"/>
      <c r="JON85" s="798"/>
      <c r="JOO85" s="798"/>
      <c r="JOP85" s="798"/>
      <c r="JOQ85" s="798"/>
      <c r="JOR85" s="798"/>
      <c r="JOS85" s="798"/>
      <c r="JOT85" s="798"/>
      <c r="JOU85" s="798"/>
      <c r="JOV85" s="798"/>
      <c r="JOW85" s="798"/>
      <c r="JOX85" s="798"/>
      <c r="JOY85" s="798"/>
      <c r="JOZ85" s="798"/>
      <c r="JPA85" s="798"/>
      <c r="JPB85" s="798"/>
      <c r="JPC85" s="798"/>
      <c r="JPD85" s="798"/>
      <c r="JPE85" s="798"/>
      <c r="JPF85" s="798"/>
      <c r="JPG85" s="798"/>
      <c r="JPH85" s="798"/>
      <c r="JPI85" s="798"/>
      <c r="JPJ85" s="798"/>
      <c r="JPK85" s="798"/>
      <c r="JPL85" s="798"/>
      <c r="JPM85" s="798"/>
      <c r="JPN85" s="798"/>
      <c r="JPO85" s="798"/>
      <c r="JPP85" s="798"/>
      <c r="JPQ85" s="798"/>
      <c r="JPR85" s="798"/>
      <c r="JPS85" s="798"/>
      <c r="JPT85" s="798"/>
      <c r="JPU85" s="798"/>
      <c r="JPV85" s="798"/>
      <c r="JPW85" s="798"/>
      <c r="JPX85" s="798"/>
      <c r="JPY85" s="798"/>
      <c r="JPZ85" s="798"/>
      <c r="JQA85" s="798"/>
      <c r="JQB85" s="798"/>
      <c r="JQC85" s="798"/>
      <c r="JQD85" s="798"/>
      <c r="JQE85" s="798"/>
      <c r="JQF85" s="798"/>
      <c r="JQG85" s="798"/>
      <c r="JQH85" s="798"/>
      <c r="JQI85" s="798"/>
      <c r="JQJ85" s="798"/>
      <c r="JQK85" s="798"/>
      <c r="JQL85" s="798"/>
      <c r="JQM85" s="798"/>
      <c r="JQN85" s="798"/>
      <c r="JQO85" s="798"/>
      <c r="JQP85" s="798"/>
      <c r="JQQ85" s="798"/>
      <c r="JQR85" s="798"/>
      <c r="JQS85" s="798"/>
      <c r="JQT85" s="798"/>
      <c r="JQU85" s="798"/>
      <c r="JQV85" s="798"/>
      <c r="JQW85" s="798"/>
      <c r="JQX85" s="798"/>
      <c r="JQY85" s="798"/>
      <c r="JQZ85" s="798"/>
      <c r="JRA85" s="798"/>
      <c r="JRB85" s="798"/>
      <c r="JRC85" s="798"/>
      <c r="JRD85" s="798"/>
      <c r="JRE85" s="798"/>
      <c r="JRF85" s="798"/>
      <c r="JRG85" s="798"/>
      <c r="JRH85" s="798"/>
      <c r="JRI85" s="798"/>
      <c r="JRJ85" s="798"/>
      <c r="JRK85" s="798"/>
      <c r="JRL85" s="798"/>
      <c r="JRM85" s="798"/>
      <c r="JRN85" s="798"/>
      <c r="JRO85" s="798"/>
      <c r="JRP85" s="798"/>
      <c r="JRQ85" s="798"/>
      <c r="JRR85" s="798"/>
      <c r="JRS85" s="798"/>
      <c r="JRT85" s="798"/>
      <c r="JRU85" s="798"/>
      <c r="JRV85" s="798"/>
      <c r="JRW85" s="798"/>
      <c r="JRX85" s="798"/>
      <c r="JRY85" s="798"/>
      <c r="JRZ85" s="798"/>
      <c r="JSA85" s="798"/>
      <c r="JSB85" s="798"/>
      <c r="JSC85" s="798"/>
      <c r="JSD85" s="798"/>
      <c r="JSE85" s="798"/>
      <c r="JSF85" s="798"/>
      <c r="JSG85" s="798"/>
      <c r="JSH85" s="798"/>
      <c r="JSI85" s="798"/>
      <c r="JSJ85" s="798"/>
      <c r="JSK85" s="798"/>
      <c r="JSL85" s="798"/>
      <c r="JSM85" s="798"/>
      <c r="JSN85" s="798"/>
      <c r="JSO85" s="798"/>
      <c r="JSP85" s="798"/>
      <c r="JSQ85" s="798"/>
      <c r="JSR85" s="798"/>
      <c r="JSS85" s="798"/>
      <c r="JST85" s="798"/>
      <c r="JSU85" s="798"/>
      <c r="JSV85" s="798"/>
      <c r="JSW85" s="798"/>
      <c r="JSX85" s="798"/>
      <c r="JSY85" s="798"/>
      <c r="JSZ85" s="798"/>
      <c r="JTA85" s="798"/>
      <c r="JTB85" s="798"/>
      <c r="JTC85" s="798"/>
      <c r="JTD85" s="798"/>
      <c r="JTE85" s="798"/>
      <c r="JTF85" s="798"/>
      <c r="JTG85" s="798"/>
      <c r="JTH85" s="798"/>
      <c r="JTI85" s="798"/>
      <c r="JTJ85" s="798"/>
      <c r="JTK85" s="798"/>
      <c r="JTL85" s="798"/>
      <c r="JTM85" s="798"/>
      <c r="JTN85" s="798"/>
      <c r="JTO85" s="798"/>
      <c r="JTP85" s="798"/>
      <c r="JTQ85" s="798"/>
      <c r="JTR85" s="798"/>
      <c r="JTS85" s="798"/>
      <c r="JTT85" s="798"/>
      <c r="JTU85" s="798"/>
      <c r="JTV85" s="798"/>
      <c r="JTW85" s="798"/>
      <c r="JTX85" s="798"/>
      <c r="JTY85" s="798"/>
      <c r="JTZ85" s="798"/>
      <c r="JUA85" s="798"/>
      <c r="JUB85" s="798"/>
      <c r="JUC85" s="798"/>
      <c r="JUD85" s="798"/>
      <c r="JUE85" s="798"/>
      <c r="JUF85" s="798"/>
      <c r="JUG85" s="798"/>
      <c r="JUH85" s="798"/>
      <c r="JUI85" s="798"/>
      <c r="JUJ85" s="798"/>
      <c r="JUK85" s="798"/>
      <c r="JUL85" s="798"/>
      <c r="JUM85" s="798"/>
      <c r="JUN85" s="798"/>
      <c r="JUO85" s="798"/>
      <c r="JUP85" s="798"/>
      <c r="JUQ85" s="798"/>
      <c r="JUR85" s="798"/>
      <c r="JUS85" s="798"/>
      <c r="JUT85" s="798"/>
      <c r="JUU85" s="798"/>
      <c r="JUV85" s="798"/>
      <c r="JUW85" s="798"/>
      <c r="JUX85" s="798"/>
      <c r="JUY85" s="798"/>
      <c r="JUZ85" s="798"/>
      <c r="JVA85" s="798"/>
      <c r="JVB85" s="798"/>
      <c r="JVC85" s="798"/>
      <c r="JVD85" s="798"/>
      <c r="JVE85" s="798"/>
      <c r="JVF85" s="798"/>
      <c r="JVG85" s="798"/>
      <c r="JVH85" s="798"/>
      <c r="JVI85" s="798"/>
      <c r="JVJ85" s="798"/>
      <c r="JVK85" s="798"/>
      <c r="JVL85" s="798"/>
      <c r="JVM85" s="798"/>
      <c r="JVN85" s="798"/>
      <c r="JVO85" s="798"/>
      <c r="JVP85" s="798"/>
      <c r="JVQ85" s="798"/>
      <c r="JVR85" s="798"/>
      <c r="JVS85" s="798"/>
      <c r="JVT85" s="798"/>
      <c r="JVU85" s="798"/>
      <c r="JVV85" s="798"/>
      <c r="JVW85" s="798"/>
      <c r="JVX85" s="798"/>
      <c r="JVY85" s="798"/>
      <c r="JVZ85" s="798"/>
      <c r="JWA85" s="798"/>
      <c r="JWB85" s="798"/>
      <c r="JWC85" s="798"/>
      <c r="JWD85" s="798"/>
      <c r="JWE85" s="798"/>
      <c r="JWF85" s="798"/>
      <c r="JWG85" s="798"/>
      <c r="JWH85" s="798"/>
      <c r="JWI85" s="798"/>
      <c r="JWJ85" s="798"/>
      <c r="JWK85" s="798"/>
      <c r="JWL85" s="798"/>
      <c r="JWM85" s="798"/>
      <c r="JWN85" s="798"/>
      <c r="JWO85" s="798"/>
      <c r="JWP85" s="798"/>
      <c r="JWQ85" s="798"/>
      <c r="JWR85" s="798"/>
      <c r="JWS85" s="798"/>
      <c r="JWT85" s="798"/>
      <c r="JWU85" s="798"/>
      <c r="JWV85" s="798"/>
      <c r="JWW85" s="798"/>
      <c r="JWX85" s="798"/>
      <c r="JWY85" s="798"/>
      <c r="JWZ85" s="798"/>
      <c r="JXA85" s="798"/>
      <c r="JXB85" s="798"/>
      <c r="JXC85" s="798"/>
      <c r="JXD85" s="798"/>
      <c r="JXE85" s="798"/>
      <c r="JXF85" s="798"/>
      <c r="JXG85" s="798"/>
      <c r="JXH85" s="798"/>
      <c r="JXI85" s="798"/>
      <c r="JXJ85" s="798"/>
      <c r="JXK85" s="798"/>
      <c r="JXL85" s="798"/>
      <c r="JXM85" s="798"/>
      <c r="JXN85" s="798"/>
      <c r="JXO85" s="798"/>
      <c r="JXP85" s="798"/>
      <c r="JXQ85" s="798"/>
      <c r="JXR85" s="798"/>
      <c r="JXS85" s="798"/>
      <c r="JXT85" s="798"/>
      <c r="JXU85" s="798"/>
      <c r="JXV85" s="798"/>
      <c r="JXW85" s="798"/>
      <c r="JXX85" s="798"/>
      <c r="JXY85" s="798"/>
      <c r="JXZ85" s="798"/>
      <c r="JYA85" s="798"/>
      <c r="JYB85" s="798"/>
      <c r="JYC85" s="798"/>
      <c r="JYD85" s="798"/>
      <c r="JYE85" s="798"/>
      <c r="JYF85" s="798"/>
      <c r="JYG85" s="798"/>
      <c r="JYH85" s="798"/>
      <c r="JYI85" s="798"/>
      <c r="JYJ85" s="798"/>
      <c r="JYK85" s="798"/>
      <c r="JYL85" s="798"/>
      <c r="JYM85" s="798"/>
      <c r="JYN85" s="798"/>
      <c r="JYO85" s="798"/>
      <c r="JYP85" s="798"/>
      <c r="JYQ85" s="798"/>
      <c r="JYR85" s="798"/>
      <c r="JYS85" s="798"/>
      <c r="JYT85" s="798"/>
      <c r="JYU85" s="798"/>
      <c r="JYV85" s="798"/>
      <c r="JYW85" s="798"/>
      <c r="JYX85" s="798"/>
      <c r="JYY85" s="798"/>
      <c r="JYZ85" s="798"/>
      <c r="JZA85" s="798"/>
      <c r="JZB85" s="798"/>
      <c r="JZC85" s="798"/>
      <c r="JZD85" s="798"/>
      <c r="JZE85" s="798"/>
      <c r="JZF85" s="798"/>
      <c r="JZG85" s="798"/>
      <c r="JZH85" s="798"/>
      <c r="JZI85" s="798"/>
      <c r="JZJ85" s="798"/>
      <c r="JZK85" s="798"/>
      <c r="JZL85" s="798"/>
      <c r="JZM85" s="798"/>
      <c r="JZN85" s="798"/>
      <c r="JZO85" s="798"/>
      <c r="JZP85" s="798"/>
      <c r="JZQ85" s="798"/>
      <c r="JZR85" s="798"/>
      <c r="JZS85" s="798"/>
      <c r="JZT85" s="798"/>
      <c r="JZU85" s="798"/>
      <c r="JZV85" s="798"/>
      <c r="JZW85" s="798"/>
      <c r="JZX85" s="798"/>
      <c r="JZY85" s="798"/>
      <c r="JZZ85" s="798"/>
      <c r="KAA85" s="798"/>
      <c r="KAB85" s="798"/>
      <c r="KAC85" s="798"/>
      <c r="KAD85" s="798"/>
      <c r="KAE85" s="798"/>
      <c r="KAF85" s="798"/>
      <c r="KAG85" s="798"/>
      <c r="KAH85" s="798"/>
      <c r="KAI85" s="798"/>
      <c r="KAJ85" s="798"/>
      <c r="KAK85" s="798"/>
      <c r="KAL85" s="798"/>
      <c r="KAM85" s="798"/>
      <c r="KAN85" s="798"/>
      <c r="KAO85" s="798"/>
      <c r="KAP85" s="798"/>
      <c r="KAQ85" s="798"/>
      <c r="KAR85" s="798"/>
      <c r="KAS85" s="798"/>
      <c r="KAT85" s="798"/>
      <c r="KAU85" s="798"/>
      <c r="KAV85" s="798"/>
      <c r="KAW85" s="798"/>
      <c r="KAX85" s="798"/>
      <c r="KAY85" s="798"/>
      <c r="KAZ85" s="798"/>
      <c r="KBA85" s="798"/>
      <c r="KBB85" s="798"/>
      <c r="KBC85" s="798"/>
      <c r="KBD85" s="798"/>
      <c r="KBE85" s="798"/>
      <c r="KBF85" s="798"/>
      <c r="KBG85" s="798"/>
      <c r="KBH85" s="798"/>
      <c r="KBI85" s="798"/>
      <c r="KBJ85" s="798"/>
      <c r="KBK85" s="798"/>
      <c r="KBL85" s="798"/>
      <c r="KBM85" s="798"/>
      <c r="KBN85" s="798"/>
      <c r="KBO85" s="798"/>
      <c r="KBP85" s="798"/>
      <c r="KBQ85" s="798"/>
      <c r="KBR85" s="798"/>
      <c r="KBS85" s="798"/>
      <c r="KBT85" s="798"/>
      <c r="KBU85" s="798"/>
      <c r="KBV85" s="798"/>
      <c r="KBW85" s="798"/>
      <c r="KBX85" s="798"/>
      <c r="KBY85" s="798"/>
      <c r="KBZ85" s="798"/>
      <c r="KCA85" s="798"/>
      <c r="KCB85" s="798"/>
      <c r="KCC85" s="798"/>
      <c r="KCD85" s="798"/>
      <c r="KCE85" s="798"/>
      <c r="KCF85" s="798"/>
      <c r="KCG85" s="798"/>
      <c r="KCH85" s="798"/>
      <c r="KCI85" s="798"/>
      <c r="KCJ85" s="798"/>
      <c r="KCK85" s="798"/>
      <c r="KCL85" s="798"/>
      <c r="KCM85" s="798"/>
      <c r="KCN85" s="798"/>
      <c r="KCO85" s="798"/>
      <c r="KCP85" s="798"/>
      <c r="KCQ85" s="798"/>
      <c r="KCR85" s="798"/>
      <c r="KCS85" s="798"/>
      <c r="KCT85" s="798"/>
      <c r="KCU85" s="798"/>
      <c r="KCV85" s="798"/>
      <c r="KCW85" s="798"/>
      <c r="KCX85" s="798"/>
      <c r="KCY85" s="798"/>
      <c r="KCZ85" s="798"/>
      <c r="KDA85" s="798"/>
      <c r="KDB85" s="798"/>
      <c r="KDC85" s="798"/>
      <c r="KDD85" s="798"/>
      <c r="KDE85" s="798"/>
      <c r="KDF85" s="798"/>
      <c r="KDG85" s="798"/>
      <c r="KDH85" s="798"/>
      <c r="KDI85" s="798"/>
      <c r="KDJ85" s="798"/>
      <c r="KDK85" s="798"/>
      <c r="KDL85" s="798"/>
      <c r="KDM85" s="798"/>
      <c r="KDN85" s="798"/>
      <c r="KDO85" s="798"/>
      <c r="KDP85" s="798"/>
      <c r="KDQ85" s="798"/>
      <c r="KDR85" s="798"/>
      <c r="KDS85" s="798"/>
      <c r="KDT85" s="798"/>
      <c r="KDU85" s="798"/>
      <c r="KDV85" s="798"/>
      <c r="KDW85" s="798"/>
      <c r="KDX85" s="798"/>
      <c r="KDY85" s="798"/>
      <c r="KDZ85" s="798"/>
      <c r="KEA85" s="798"/>
      <c r="KEB85" s="798"/>
      <c r="KEC85" s="798"/>
      <c r="KED85" s="798"/>
      <c r="KEE85" s="798"/>
      <c r="KEF85" s="798"/>
      <c r="KEG85" s="798"/>
      <c r="KEH85" s="798"/>
      <c r="KEI85" s="798"/>
      <c r="KEJ85" s="798"/>
      <c r="KEK85" s="798"/>
      <c r="KEL85" s="798"/>
      <c r="KEM85" s="798"/>
      <c r="KEN85" s="798"/>
      <c r="KEO85" s="798"/>
      <c r="KEP85" s="798"/>
      <c r="KEQ85" s="798"/>
      <c r="KER85" s="798"/>
      <c r="KES85" s="798"/>
      <c r="KET85" s="798"/>
      <c r="KEU85" s="798"/>
      <c r="KEV85" s="798"/>
      <c r="KEW85" s="798"/>
      <c r="KEX85" s="798"/>
      <c r="KEY85" s="798"/>
      <c r="KEZ85" s="798"/>
      <c r="KFA85" s="798"/>
      <c r="KFB85" s="798"/>
      <c r="KFC85" s="798"/>
      <c r="KFD85" s="798"/>
      <c r="KFE85" s="798"/>
      <c r="KFF85" s="798"/>
      <c r="KFG85" s="798"/>
      <c r="KFH85" s="798"/>
      <c r="KFI85" s="798"/>
      <c r="KFJ85" s="798"/>
      <c r="KFK85" s="798"/>
      <c r="KFL85" s="798"/>
      <c r="KFM85" s="798"/>
      <c r="KFN85" s="798"/>
      <c r="KFO85" s="798"/>
      <c r="KFP85" s="798"/>
      <c r="KFQ85" s="798"/>
      <c r="KFR85" s="798"/>
      <c r="KFS85" s="798"/>
      <c r="KFT85" s="798"/>
      <c r="KFU85" s="798"/>
      <c r="KFV85" s="798"/>
      <c r="KFW85" s="798"/>
      <c r="KFX85" s="798"/>
      <c r="KFY85" s="798"/>
      <c r="KFZ85" s="798"/>
      <c r="KGA85" s="798"/>
      <c r="KGB85" s="798"/>
      <c r="KGC85" s="798"/>
      <c r="KGD85" s="798"/>
      <c r="KGE85" s="798"/>
      <c r="KGF85" s="798"/>
      <c r="KGG85" s="798"/>
      <c r="KGH85" s="798"/>
      <c r="KGI85" s="798"/>
      <c r="KGJ85" s="798"/>
      <c r="KGK85" s="798"/>
      <c r="KGL85" s="798"/>
      <c r="KGM85" s="798"/>
      <c r="KGN85" s="798"/>
      <c r="KGO85" s="798"/>
      <c r="KGP85" s="798"/>
      <c r="KGQ85" s="798"/>
      <c r="KGR85" s="798"/>
      <c r="KGS85" s="798"/>
      <c r="KGT85" s="798"/>
      <c r="KGU85" s="798"/>
      <c r="KGV85" s="798"/>
      <c r="KGW85" s="798"/>
      <c r="KGX85" s="798"/>
      <c r="KGY85" s="798"/>
      <c r="KGZ85" s="798"/>
      <c r="KHA85" s="798"/>
      <c r="KHB85" s="798"/>
      <c r="KHC85" s="798"/>
      <c r="KHD85" s="798"/>
      <c r="KHE85" s="798"/>
      <c r="KHF85" s="798"/>
      <c r="KHG85" s="798"/>
      <c r="KHH85" s="798"/>
      <c r="KHI85" s="798"/>
      <c r="KHJ85" s="798"/>
      <c r="KHK85" s="798"/>
      <c r="KHL85" s="798"/>
      <c r="KHM85" s="798"/>
      <c r="KHN85" s="798"/>
      <c r="KHO85" s="798"/>
      <c r="KHP85" s="798"/>
      <c r="KHQ85" s="798"/>
      <c r="KHR85" s="798"/>
      <c r="KHS85" s="798"/>
      <c r="KHT85" s="798"/>
      <c r="KHU85" s="798"/>
      <c r="KHV85" s="798"/>
      <c r="KHW85" s="798"/>
      <c r="KHX85" s="798"/>
      <c r="KHY85" s="798"/>
      <c r="KHZ85" s="798"/>
      <c r="KIA85" s="798"/>
      <c r="KIB85" s="798"/>
      <c r="KIC85" s="798"/>
      <c r="KID85" s="798"/>
      <c r="KIE85" s="798"/>
      <c r="KIF85" s="798"/>
      <c r="KIG85" s="798"/>
      <c r="KIH85" s="798"/>
      <c r="KII85" s="798"/>
      <c r="KIJ85" s="798"/>
      <c r="KIK85" s="798"/>
      <c r="KIL85" s="798"/>
      <c r="KIM85" s="798"/>
      <c r="KIN85" s="798"/>
      <c r="KIO85" s="798"/>
      <c r="KIP85" s="798"/>
      <c r="KIQ85" s="798"/>
      <c r="KIR85" s="798"/>
      <c r="KIS85" s="798"/>
      <c r="KIT85" s="798"/>
      <c r="KIU85" s="798"/>
      <c r="KIV85" s="798"/>
      <c r="KIW85" s="798"/>
      <c r="KIX85" s="798"/>
      <c r="KIY85" s="798"/>
      <c r="KIZ85" s="798"/>
      <c r="KJA85" s="798"/>
      <c r="KJB85" s="798"/>
      <c r="KJC85" s="798"/>
      <c r="KJD85" s="798"/>
      <c r="KJE85" s="798"/>
      <c r="KJF85" s="798"/>
      <c r="KJG85" s="798"/>
      <c r="KJH85" s="798"/>
      <c r="KJI85" s="798"/>
      <c r="KJJ85" s="798"/>
      <c r="KJK85" s="798"/>
      <c r="KJL85" s="798"/>
      <c r="KJM85" s="798"/>
      <c r="KJN85" s="798"/>
      <c r="KJO85" s="798"/>
      <c r="KJP85" s="798"/>
      <c r="KJQ85" s="798"/>
      <c r="KJR85" s="798"/>
      <c r="KJS85" s="798"/>
      <c r="KJT85" s="798"/>
      <c r="KJU85" s="798"/>
      <c r="KJV85" s="798"/>
      <c r="KJW85" s="798"/>
      <c r="KJX85" s="798"/>
      <c r="KJY85" s="798"/>
      <c r="KJZ85" s="798"/>
      <c r="KKA85" s="798"/>
      <c r="KKB85" s="798"/>
      <c r="KKC85" s="798"/>
      <c r="KKD85" s="798"/>
      <c r="KKE85" s="798"/>
      <c r="KKF85" s="798"/>
      <c r="KKG85" s="798"/>
      <c r="KKH85" s="798"/>
      <c r="KKI85" s="798"/>
      <c r="KKJ85" s="798"/>
      <c r="KKK85" s="798"/>
      <c r="KKL85" s="798"/>
      <c r="KKM85" s="798"/>
      <c r="KKN85" s="798"/>
      <c r="KKO85" s="798"/>
      <c r="KKP85" s="798"/>
      <c r="KKQ85" s="798"/>
      <c r="KKR85" s="798"/>
      <c r="KKS85" s="798"/>
      <c r="KKT85" s="798"/>
      <c r="KKU85" s="798"/>
      <c r="KKV85" s="798"/>
      <c r="KKW85" s="798"/>
      <c r="KKX85" s="798"/>
      <c r="KKY85" s="798"/>
      <c r="KKZ85" s="798"/>
      <c r="KLA85" s="798"/>
      <c r="KLB85" s="798"/>
      <c r="KLC85" s="798"/>
      <c r="KLD85" s="798"/>
      <c r="KLE85" s="798"/>
      <c r="KLF85" s="798"/>
      <c r="KLG85" s="798"/>
      <c r="KLH85" s="798"/>
      <c r="KLI85" s="798"/>
      <c r="KLJ85" s="798"/>
      <c r="KLK85" s="798"/>
      <c r="KLL85" s="798"/>
      <c r="KLM85" s="798"/>
      <c r="KLN85" s="798"/>
      <c r="KLO85" s="798"/>
      <c r="KLP85" s="798"/>
      <c r="KLQ85" s="798"/>
      <c r="KLR85" s="798"/>
      <c r="KLS85" s="798"/>
      <c r="KLT85" s="798"/>
      <c r="KLU85" s="798"/>
      <c r="KLV85" s="798"/>
      <c r="KLW85" s="798"/>
      <c r="KLX85" s="798"/>
      <c r="KLY85" s="798"/>
      <c r="KLZ85" s="798"/>
      <c r="KMA85" s="798"/>
      <c r="KMB85" s="798"/>
      <c r="KMC85" s="798"/>
      <c r="KMD85" s="798"/>
      <c r="KME85" s="798"/>
      <c r="KMF85" s="798"/>
      <c r="KMG85" s="798"/>
      <c r="KMH85" s="798"/>
      <c r="KMI85" s="798"/>
      <c r="KMJ85" s="798"/>
      <c r="KMK85" s="798"/>
      <c r="KML85" s="798"/>
      <c r="KMM85" s="798"/>
      <c r="KMN85" s="798"/>
      <c r="KMO85" s="798"/>
      <c r="KMP85" s="798"/>
      <c r="KMQ85" s="798"/>
      <c r="KMR85" s="798"/>
      <c r="KMS85" s="798"/>
      <c r="KMT85" s="798"/>
      <c r="KMU85" s="798"/>
      <c r="KMV85" s="798"/>
      <c r="KMW85" s="798"/>
      <c r="KMX85" s="798"/>
      <c r="KMY85" s="798"/>
      <c r="KMZ85" s="798"/>
      <c r="KNA85" s="798"/>
      <c r="KNB85" s="798"/>
      <c r="KNC85" s="798"/>
      <c r="KND85" s="798"/>
      <c r="KNE85" s="798"/>
      <c r="KNF85" s="798"/>
      <c r="KNG85" s="798"/>
      <c r="KNH85" s="798"/>
      <c r="KNI85" s="798"/>
      <c r="KNJ85" s="798"/>
      <c r="KNK85" s="798"/>
      <c r="KNL85" s="798"/>
      <c r="KNM85" s="798"/>
      <c r="KNN85" s="798"/>
      <c r="KNO85" s="798"/>
      <c r="KNP85" s="798"/>
      <c r="KNQ85" s="798"/>
      <c r="KNR85" s="798"/>
      <c r="KNS85" s="798"/>
      <c r="KNT85" s="798"/>
      <c r="KNU85" s="798"/>
      <c r="KNV85" s="798"/>
      <c r="KNW85" s="798"/>
      <c r="KNX85" s="798"/>
      <c r="KNY85" s="798"/>
      <c r="KNZ85" s="798"/>
      <c r="KOA85" s="798"/>
      <c r="KOB85" s="798"/>
      <c r="KOC85" s="798"/>
      <c r="KOD85" s="798"/>
      <c r="KOE85" s="798"/>
      <c r="KOF85" s="798"/>
      <c r="KOG85" s="798"/>
      <c r="KOH85" s="798"/>
      <c r="KOI85" s="798"/>
      <c r="KOJ85" s="798"/>
      <c r="KOK85" s="798"/>
      <c r="KOL85" s="798"/>
      <c r="KOM85" s="798"/>
      <c r="KON85" s="798"/>
      <c r="KOO85" s="798"/>
      <c r="KOP85" s="798"/>
      <c r="KOQ85" s="798"/>
      <c r="KOR85" s="798"/>
      <c r="KOS85" s="798"/>
      <c r="KOT85" s="798"/>
      <c r="KOU85" s="798"/>
      <c r="KOV85" s="798"/>
      <c r="KOW85" s="798"/>
      <c r="KOX85" s="798"/>
      <c r="KOY85" s="798"/>
      <c r="KOZ85" s="798"/>
      <c r="KPA85" s="798"/>
      <c r="KPB85" s="798"/>
      <c r="KPC85" s="798"/>
      <c r="KPD85" s="798"/>
      <c r="KPE85" s="798"/>
      <c r="KPF85" s="798"/>
      <c r="KPG85" s="798"/>
      <c r="KPH85" s="798"/>
      <c r="KPI85" s="798"/>
      <c r="KPJ85" s="798"/>
      <c r="KPK85" s="798"/>
      <c r="KPL85" s="798"/>
      <c r="KPM85" s="798"/>
      <c r="KPN85" s="798"/>
      <c r="KPO85" s="798"/>
      <c r="KPP85" s="798"/>
      <c r="KPQ85" s="798"/>
      <c r="KPR85" s="798"/>
      <c r="KPS85" s="798"/>
      <c r="KPT85" s="798"/>
      <c r="KPU85" s="798"/>
      <c r="KPV85" s="798"/>
      <c r="KPW85" s="798"/>
      <c r="KPX85" s="798"/>
      <c r="KPY85" s="798"/>
      <c r="KPZ85" s="798"/>
      <c r="KQA85" s="798"/>
      <c r="KQB85" s="798"/>
      <c r="KQC85" s="798"/>
      <c r="KQD85" s="798"/>
      <c r="KQE85" s="798"/>
      <c r="KQF85" s="798"/>
      <c r="KQG85" s="798"/>
      <c r="KQH85" s="798"/>
      <c r="KQI85" s="798"/>
      <c r="KQJ85" s="798"/>
      <c r="KQK85" s="798"/>
      <c r="KQL85" s="798"/>
      <c r="KQM85" s="798"/>
      <c r="KQN85" s="798"/>
      <c r="KQO85" s="798"/>
      <c r="KQP85" s="798"/>
      <c r="KQQ85" s="798"/>
      <c r="KQR85" s="798"/>
      <c r="KQS85" s="798"/>
      <c r="KQT85" s="798"/>
      <c r="KQU85" s="798"/>
      <c r="KQV85" s="798"/>
      <c r="KQW85" s="798"/>
      <c r="KQX85" s="798"/>
      <c r="KQY85" s="798"/>
      <c r="KQZ85" s="798"/>
      <c r="KRA85" s="798"/>
      <c r="KRB85" s="798"/>
      <c r="KRC85" s="798"/>
      <c r="KRD85" s="798"/>
      <c r="KRE85" s="798"/>
      <c r="KRF85" s="798"/>
      <c r="KRG85" s="798"/>
      <c r="KRH85" s="798"/>
      <c r="KRI85" s="798"/>
      <c r="KRJ85" s="798"/>
      <c r="KRK85" s="798"/>
      <c r="KRL85" s="798"/>
      <c r="KRM85" s="798"/>
      <c r="KRN85" s="798"/>
      <c r="KRO85" s="798"/>
      <c r="KRP85" s="798"/>
      <c r="KRQ85" s="798"/>
      <c r="KRR85" s="798"/>
      <c r="KRS85" s="798"/>
      <c r="KRT85" s="798"/>
      <c r="KRU85" s="798"/>
      <c r="KRV85" s="798"/>
      <c r="KRW85" s="798"/>
      <c r="KRX85" s="798"/>
      <c r="KRY85" s="798"/>
      <c r="KRZ85" s="798"/>
      <c r="KSA85" s="798"/>
      <c r="KSB85" s="798"/>
      <c r="KSC85" s="798"/>
      <c r="KSD85" s="798"/>
      <c r="KSE85" s="798"/>
      <c r="KSF85" s="798"/>
      <c r="KSG85" s="798"/>
      <c r="KSH85" s="798"/>
      <c r="KSI85" s="798"/>
      <c r="KSJ85" s="798"/>
      <c r="KSK85" s="798"/>
      <c r="KSL85" s="798"/>
      <c r="KSM85" s="798"/>
      <c r="KSN85" s="798"/>
      <c r="KSO85" s="798"/>
      <c r="KSP85" s="798"/>
      <c r="KSQ85" s="798"/>
      <c r="KSR85" s="798"/>
      <c r="KSS85" s="798"/>
      <c r="KST85" s="798"/>
      <c r="KSU85" s="798"/>
      <c r="KSV85" s="798"/>
      <c r="KSW85" s="798"/>
      <c r="KSX85" s="798"/>
      <c r="KSY85" s="798"/>
      <c r="KSZ85" s="798"/>
      <c r="KTA85" s="798"/>
      <c r="KTB85" s="798"/>
      <c r="KTC85" s="798"/>
      <c r="KTD85" s="798"/>
      <c r="KTE85" s="798"/>
      <c r="KTF85" s="798"/>
      <c r="KTG85" s="798"/>
      <c r="KTH85" s="798"/>
      <c r="KTI85" s="798"/>
      <c r="KTJ85" s="798"/>
      <c r="KTK85" s="798"/>
      <c r="KTL85" s="798"/>
      <c r="KTM85" s="798"/>
      <c r="KTN85" s="798"/>
      <c r="KTO85" s="798"/>
      <c r="KTP85" s="798"/>
      <c r="KTQ85" s="798"/>
      <c r="KTR85" s="798"/>
      <c r="KTS85" s="798"/>
      <c r="KTT85" s="798"/>
      <c r="KTU85" s="798"/>
      <c r="KTV85" s="798"/>
      <c r="KTW85" s="798"/>
      <c r="KTX85" s="798"/>
      <c r="KTY85" s="798"/>
      <c r="KTZ85" s="798"/>
      <c r="KUA85" s="798"/>
      <c r="KUB85" s="798"/>
      <c r="KUC85" s="798"/>
      <c r="KUD85" s="798"/>
      <c r="KUE85" s="798"/>
      <c r="KUF85" s="798"/>
      <c r="KUG85" s="798"/>
      <c r="KUH85" s="798"/>
      <c r="KUI85" s="798"/>
      <c r="KUJ85" s="798"/>
      <c r="KUK85" s="798"/>
      <c r="KUL85" s="798"/>
      <c r="KUM85" s="798"/>
      <c r="KUN85" s="798"/>
      <c r="KUO85" s="798"/>
      <c r="KUP85" s="798"/>
      <c r="KUQ85" s="798"/>
      <c r="KUR85" s="798"/>
      <c r="KUS85" s="798"/>
      <c r="KUT85" s="798"/>
      <c r="KUU85" s="798"/>
      <c r="KUV85" s="798"/>
      <c r="KUW85" s="798"/>
      <c r="KUX85" s="798"/>
      <c r="KUY85" s="798"/>
      <c r="KUZ85" s="798"/>
      <c r="KVA85" s="798"/>
      <c r="KVB85" s="798"/>
      <c r="KVC85" s="798"/>
      <c r="KVD85" s="798"/>
      <c r="KVE85" s="798"/>
      <c r="KVF85" s="798"/>
      <c r="KVG85" s="798"/>
      <c r="KVH85" s="798"/>
      <c r="KVI85" s="798"/>
      <c r="KVJ85" s="798"/>
      <c r="KVK85" s="798"/>
      <c r="KVL85" s="798"/>
      <c r="KVM85" s="798"/>
      <c r="KVN85" s="798"/>
      <c r="KVO85" s="798"/>
      <c r="KVP85" s="798"/>
      <c r="KVQ85" s="798"/>
      <c r="KVR85" s="798"/>
      <c r="KVS85" s="798"/>
      <c r="KVT85" s="798"/>
      <c r="KVU85" s="798"/>
      <c r="KVV85" s="798"/>
      <c r="KVW85" s="798"/>
      <c r="KVX85" s="798"/>
      <c r="KVY85" s="798"/>
      <c r="KVZ85" s="798"/>
      <c r="KWA85" s="798"/>
      <c r="KWB85" s="798"/>
      <c r="KWC85" s="798"/>
      <c r="KWD85" s="798"/>
      <c r="KWE85" s="798"/>
      <c r="KWF85" s="798"/>
      <c r="KWG85" s="798"/>
      <c r="KWH85" s="798"/>
      <c r="KWI85" s="798"/>
      <c r="KWJ85" s="798"/>
      <c r="KWK85" s="798"/>
      <c r="KWL85" s="798"/>
      <c r="KWM85" s="798"/>
      <c r="KWN85" s="798"/>
      <c r="KWO85" s="798"/>
      <c r="KWP85" s="798"/>
      <c r="KWQ85" s="798"/>
      <c r="KWR85" s="798"/>
      <c r="KWS85" s="798"/>
      <c r="KWT85" s="798"/>
      <c r="KWU85" s="798"/>
      <c r="KWV85" s="798"/>
      <c r="KWW85" s="798"/>
      <c r="KWX85" s="798"/>
      <c r="KWY85" s="798"/>
      <c r="KWZ85" s="798"/>
      <c r="KXA85" s="798"/>
      <c r="KXB85" s="798"/>
      <c r="KXC85" s="798"/>
      <c r="KXD85" s="798"/>
      <c r="KXE85" s="798"/>
      <c r="KXF85" s="798"/>
      <c r="KXG85" s="798"/>
      <c r="KXH85" s="798"/>
      <c r="KXI85" s="798"/>
      <c r="KXJ85" s="798"/>
      <c r="KXK85" s="798"/>
      <c r="KXL85" s="798"/>
      <c r="KXM85" s="798"/>
      <c r="KXN85" s="798"/>
      <c r="KXO85" s="798"/>
      <c r="KXP85" s="798"/>
      <c r="KXQ85" s="798"/>
      <c r="KXR85" s="798"/>
      <c r="KXS85" s="798"/>
      <c r="KXT85" s="798"/>
      <c r="KXU85" s="798"/>
      <c r="KXV85" s="798"/>
      <c r="KXW85" s="798"/>
      <c r="KXX85" s="798"/>
      <c r="KXY85" s="798"/>
      <c r="KXZ85" s="798"/>
      <c r="KYA85" s="798"/>
      <c r="KYB85" s="798"/>
      <c r="KYC85" s="798"/>
      <c r="KYD85" s="798"/>
      <c r="KYE85" s="798"/>
      <c r="KYF85" s="798"/>
      <c r="KYG85" s="798"/>
      <c r="KYH85" s="798"/>
      <c r="KYI85" s="798"/>
      <c r="KYJ85" s="798"/>
      <c r="KYK85" s="798"/>
      <c r="KYL85" s="798"/>
      <c r="KYM85" s="798"/>
      <c r="KYN85" s="798"/>
      <c r="KYO85" s="798"/>
      <c r="KYP85" s="798"/>
      <c r="KYQ85" s="798"/>
      <c r="KYR85" s="798"/>
      <c r="KYS85" s="798"/>
      <c r="KYT85" s="798"/>
      <c r="KYU85" s="798"/>
      <c r="KYV85" s="798"/>
      <c r="KYW85" s="798"/>
      <c r="KYX85" s="798"/>
      <c r="KYY85" s="798"/>
      <c r="KYZ85" s="798"/>
      <c r="KZA85" s="798"/>
      <c r="KZB85" s="798"/>
      <c r="KZC85" s="798"/>
      <c r="KZD85" s="798"/>
      <c r="KZE85" s="798"/>
      <c r="KZF85" s="798"/>
      <c r="KZG85" s="798"/>
      <c r="KZH85" s="798"/>
      <c r="KZI85" s="798"/>
      <c r="KZJ85" s="798"/>
      <c r="KZK85" s="798"/>
      <c r="KZL85" s="798"/>
      <c r="KZM85" s="798"/>
      <c r="KZN85" s="798"/>
      <c r="KZO85" s="798"/>
      <c r="KZP85" s="798"/>
      <c r="KZQ85" s="798"/>
      <c r="KZR85" s="798"/>
      <c r="KZS85" s="798"/>
      <c r="KZT85" s="798"/>
      <c r="KZU85" s="798"/>
      <c r="KZV85" s="798"/>
      <c r="KZW85" s="798"/>
      <c r="KZX85" s="798"/>
      <c r="KZY85" s="798"/>
      <c r="KZZ85" s="798"/>
      <c r="LAA85" s="798"/>
      <c r="LAB85" s="798"/>
      <c r="LAC85" s="798"/>
      <c r="LAD85" s="798"/>
      <c r="LAE85" s="798"/>
      <c r="LAF85" s="798"/>
      <c r="LAG85" s="798"/>
      <c r="LAH85" s="798"/>
      <c r="LAI85" s="798"/>
      <c r="LAJ85" s="798"/>
      <c r="LAK85" s="798"/>
      <c r="LAL85" s="798"/>
      <c r="LAM85" s="798"/>
      <c r="LAN85" s="798"/>
      <c r="LAO85" s="798"/>
      <c r="LAP85" s="798"/>
      <c r="LAQ85" s="798"/>
      <c r="LAR85" s="798"/>
      <c r="LAS85" s="798"/>
      <c r="LAT85" s="798"/>
      <c r="LAU85" s="798"/>
      <c r="LAV85" s="798"/>
      <c r="LAW85" s="798"/>
      <c r="LAX85" s="798"/>
      <c r="LAY85" s="798"/>
      <c r="LAZ85" s="798"/>
      <c r="LBA85" s="798"/>
      <c r="LBB85" s="798"/>
      <c r="LBC85" s="798"/>
      <c r="LBD85" s="798"/>
      <c r="LBE85" s="798"/>
      <c r="LBF85" s="798"/>
      <c r="LBG85" s="798"/>
      <c r="LBH85" s="798"/>
      <c r="LBI85" s="798"/>
      <c r="LBJ85" s="798"/>
      <c r="LBK85" s="798"/>
      <c r="LBL85" s="798"/>
      <c r="LBM85" s="798"/>
      <c r="LBN85" s="798"/>
      <c r="LBO85" s="798"/>
      <c r="LBP85" s="798"/>
      <c r="LBQ85" s="798"/>
      <c r="LBR85" s="798"/>
      <c r="LBS85" s="798"/>
      <c r="LBT85" s="798"/>
      <c r="LBU85" s="798"/>
      <c r="LBV85" s="798"/>
      <c r="LBW85" s="798"/>
      <c r="LBX85" s="798"/>
      <c r="LBY85" s="798"/>
      <c r="LBZ85" s="798"/>
      <c r="LCA85" s="798"/>
      <c r="LCB85" s="798"/>
      <c r="LCC85" s="798"/>
      <c r="LCD85" s="798"/>
      <c r="LCE85" s="798"/>
      <c r="LCF85" s="798"/>
      <c r="LCG85" s="798"/>
      <c r="LCH85" s="798"/>
      <c r="LCI85" s="798"/>
      <c r="LCJ85" s="798"/>
      <c r="LCK85" s="798"/>
      <c r="LCL85" s="798"/>
      <c r="LCM85" s="798"/>
      <c r="LCN85" s="798"/>
      <c r="LCO85" s="798"/>
      <c r="LCP85" s="798"/>
      <c r="LCQ85" s="798"/>
      <c r="LCR85" s="798"/>
      <c r="LCS85" s="798"/>
      <c r="LCT85" s="798"/>
      <c r="LCU85" s="798"/>
      <c r="LCV85" s="798"/>
      <c r="LCW85" s="798"/>
      <c r="LCX85" s="798"/>
      <c r="LCY85" s="798"/>
      <c r="LCZ85" s="798"/>
      <c r="LDA85" s="798"/>
      <c r="LDB85" s="798"/>
      <c r="LDC85" s="798"/>
      <c r="LDD85" s="798"/>
      <c r="LDE85" s="798"/>
      <c r="LDF85" s="798"/>
      <c r="LDG85" s="798"/>
      <c r="LDH85" s="798"/>
      <c r="LDI85" s="798"/>
      <c r="LDJ85" s="798"/>
      <c r="LDK85" s="798"/>
      <c r="LDL85" s="798"/>
      <c r="LDM85" s="798"/>
      <c r="LDN85" s="798"/>
      <c r="LDO85" s="798"/>
      <c r="LDP85" s="798"/>
      <c r="LDQ85" s="798"/>
      <c r="LDR85" s="798"/>
      <c r="LDS85" s="798"/>
      <c r="LDT85" s="798"/>
      <c r="LDU85" s="798"/>
      <c r="LDV85" s="798"/>
      <c r="LDW85" s="798"/>
      <c r="LDX85" s="798"/>
      <c r="LDY85" s="798"/>
      <c r="LDZ85" s="798"/>
      <c r="LEA85" s="798"/>
      <c r="LEB85" s="798"/>
      <c r="LEC85" s="798"/>
      <c r="LED85" s="798"/>
      <c r="LEE85" s="798"/>
      <c r="LEF85" s="798"/>
      <c r="LEG85" s="798"/>
      <c r="LEH85" s="798"/>
      <c r="LEI85" s="798"/>
      <c r="LEJ85" s="798"/>
      <c r="LEK85" s="798"/>
      <c r="LEL85" s="798"/>
      <c r="LEM85" s="798"/>
      <c r="LEN85" s="798"/>
      <c r="LEO85" s="798"/>
      <c r="LEP85" s="798"/>
      <c r="LEQ85" s="798"/>
      <c r="LER85" s="798"/>
      <c r="LES85" s="798"/>
      <c r="LET85" s="798"/>
      <c r="LEU85" s="798"/>
      <c r="LEV85" s="798"/>
      <c r="LEW85" s="798"/>
      <c r="LEX85" s="798"/>
      <c r="LEY85" s="798"/>
      <c r="LEZ85" s="798"/>
      <c r="LFA85" s="798"/>
      <c r="LFB85" s="798"/>
      <c r="LFC85" s="798"/>
      <c r="LFD85" s="798"/>
      <c r="LFE85" s="798"/>
      <c r="LFF85" s="798"/>
      <c r="LFG85" s="798"/>
      <c r="LFH85" s="798"/>
      <c r="LFI85" s="798"/>
      <c r="LFJ85" s="798"/>
      <c r="LFK85" s="798"/>
      <c r="LFL85" s="798"/>
      <c r="LFM85" s="798"/>
      <c r="LFN85" s="798"/>
      <c r="LFO85" s="798"/>
      <c r="LFP85" s="798"/>
      <c r="LFQ85" s="798"/>
      <c r="LFR85" s="798"/>
      <c r="LFS85" s="798"/>
      <c r="LFT85" s="798"/>
      <c r="LFU85" s="798"/>
      <c r="LFV85" s="798"/>
      <c r="LFW85" s="798"/>
      <c r="LFX85" s="798"/>
      <c r="LFY85" s="798"/>
      <c r="LFZ85" s="798"/>
      <c r="LGA85" s="798"/>
      <c r="LGB85" s="798"/>
      <c r="LGC85" s="798"/>
      <c r="LGD85" s="798"/>
      <c r="LGE85" s="798"/>
      <c r="LGF85" s="798"/>
      <c r="LGG85" s="798"/>
      <c r="LGH85" s="798"/>
      <c r="LGI85" s="798"/>
      <c r="LGJ85" s="798"/>
      <c r="LGK85" s="798"/>
      <c r="LGL85" s="798"/>
      <c r="LGM85" s="798"/>
      <c r="LGN85" s="798"/>
      <c r="LGO85" s="798"/>
      <c r="LGP85" s="798"/>
      <c r="LGQ85" s="798"/>
      <c r="LGR85" s="798"/>
      <c r="LGS85" s="798"/>
      <c r="LGT85" s="798"/>
      <c r="LGU85" s="798"/>
      <c r="LGV85" s="798"/>
      <c r="LGW85" s="798"/>
      <c r="LGX85" s="798"/>
      <c r="LGY85" s="798"/>
      <c r="LGZ85" s="798"/>
      <c r="LHA85" s="798"/>
      <c r="LHB85" s="798"/>
      <c r="LHC85" s="798"/>
      <c r="LHD85" s="798"/>
      <c r="LHE85" s="798"/>
      <c r="LHF85" s="798"/>
      <c r="LHG85" s="798"/>
      <c r="LHH85" s="798"/>
      <c r="LHI85" s="798"/>
      <c r="LHJ85" s="798"/>
      <c r="LHK85" s="798"/>
      <c r="LHL85" s="798"/>
      <c r="LHM85" s="798"/>
      <c r="LHN85" s="798"/>
      <c r="LHO85" s="798"/>
      <c r="LHP85" s="798"/>
      <c r="LHQ85" s="798"/>
      <c r="LHR85" s="798"/>
      <c r="LHS85" s="798"/>
      <c r="LHT85" s="798"/>
      <c r="LHU85" s="798"/>
      <c r="LHV85" s="798"/>
      <c r="LHW85" s="798"/>
      <c r="LHX85" s="798"/>
      <c r="LHY85" s="798"/>
      <c r="LHZ85" s="798"/>
      <c r="LIA85" s="798"/>
      <c r="LIB85" s="798"/>
      <c r="LIC85" s="798"/>
      <c r="LID85" s="798"/>
      <c r="LIE85" s="798"/>
      <c r="LIF85" s="798"/>
      <c r="LIG85" s="798"/>
      <c r="LIH85" s="798"/>
      <c r="LII85" s="798"/>
      <c r="LIJ85" s="798"/>
      <c r="LIK85" s="798"/>
      <c r="LIL85" s="798"/>
      <c r="LIM85" s="798"/>
      <c r="LIN85" s="798"/>
      <c r="LIO85" s="798"/>
      <c r="LIP85" s="798"/>
      <c r="LIQ85" s="798"/>
      <c r="LIR85" s="798"/>
      <c r="LIS85" s="798"/>
      <c r="LIT85" s="798"/>
      <c r="LIU85" s="798"/>
      <c r="LIV85" s="798"/>
      <c r="LIW85" s="798"/>
      <c r="LIX85" s="798"/>
      <c r="LIY85" s="798"/>
      <c r="LIZ85" s="798"/>
      <c r="LJA85" s="798"/>
      <c r="LJB85" s="798"/>
      <c r="LJC85" s="798"/>
      <c r="LJD85" s="798"/>
      <c r="LJE85" s="798"/>
      <c r="LJF85" s="798"/>
      <c r="LJG85" s="798"/>
      <c r="LJH85" s="798"/>
      <c r="LJI85" s="798"/>
      <c r="LJJ85" s="798"/>
      <c r="LJK85" s="798"/>
      <c r="LJL85" s="798"/>
      <c r="LJM85" s="798"/>
      <c r="LJN85" s="798"/>
      <c r="LJO85" s="798"/>
      <c r="LJP85" s="798"/>
      <c r="LJQ85" s="798"/>
      <c r="LJR85" s="798"/>
      <c r="LJS85" s="798"/>
      <c r="LJT85" s="798"/>
      <c r="LJU85" s="798"/>
      <c r="LJV85" s="798"/>
      <c r="LJW85" s="798"/>
      <c r="LJX85" s="798"/>
      <c r="LJY85" s="798"/>
      <c r="LJZ85" s="798"/>
      <c r="LKA85" s="798"/>
      <c r="LKB85" s="798"/>
      <c r="LKC85" s="798"/>
      <c r="LKD85" s="798"/>
      <c r="LKE85" s="798"/>
      <c r="LKF85" s="798"/>
      <c r="LKG85" s="798"/>
      <c r="LKH85" s="798"/>
      <c r="LKI85" s="798"/>
      <c r="LKJ85" s="798"/>
      <c r="LKK85" s="798"/>
      <c r="LKL85" s="798"/>
      <c r="LKM85" s="798"/>
      <c r="LKN85" s="798"/>
      <c r="LKO85" s="798"/>
      <c r="LKP85" s="798"/>
      <c r="LKQ85" s="798"/>
      <c r="LKR85" s="798"/>
      <c r="LKS85" s="798"/>
      <c r="LKT85" s="798"/>
      <c r="LKU85" s="798"/>
      <c r="LKV85" s="798"/>
      <c r="LKW85" s="798"/>
      <c r="LKX85" s="798"/>
      <c r="LKY85" s="798"/>
      <c r="LKZ85" s="798"/>
      <c r="LLA85" s="798"/>
      <c r="LLB85" s="798"/>
      <c r="LLC85" s="798"/>
      <c r="LLD85" s="798"/>
      <c r="LLE85" s="798"/>
      <c r="LLF85" s="798"/>
      <c r="LLG85" s="798"/>
      <c r="LLH85" s="798"/>
      <c r="LLI85" s="798"/>
      <c r="LLJ85" s="798"/>
      <c r="LLK85" s="798"/>
      <c r="LLL85" s="798"/>
      <c r="LLM85" s="798"/>
      <c r="LLN85" s="798"/>
      <c r="LLO85" s="798"/>
      <c r="LLP85" s="798"/>
      <c r="LLQ85" s="798"/>
      <c r="LLR85" s="798"/>
      <c r="LLS85" s="798"/>
      <c r="LLT85" s="798"/>
      <c r="LLU85" s="798"/>
      <c r="LLV85" s="798"/>
      <c r="LLW85" s="798"/>
      <c r="LLX85" s="798"/>
      <c r="LLY85" s="798"/>
      <c r="LLZ85" s="798"/>
      <c r="LMA85" s="798"/>
      <c r="LMB85" s="798"/>
      <c r="LMC85" s="798"/>
      <c r="LMD85" s="798"/>
      <c r="LME85" s="798"/>
      <c r="LMF85" s="798"/>
      <c r="LMG85" s="798"/>
      <c r="LMH85" s="798"/>
      <c r="LMI85" s="798"/>
      <c r="LMJ85" s="798"/>
      <c r="LMK85" s="798"/>
      <c r="LML85" s="798"/>
      <c r="LMM85" s="798"/>
      <c r="LMN85" s="798"/>
      <c r="LMO85" s="798"/>
      <c r="LMP85" s="798"/>
      <c r="LMQ85" s="798"/>
      <c r="LMR85" s="798"/>
      <c r="LMS85" s="798"/>
      <c r="LMT85" s="798"/>
      <c r="LMU85" s="798"/>
      <c r="LMV85" s="798"/>
      <c r="LMW85" s="798"/>
      <c r="LMX85" s="798"/>
      <c r="LMY85" s="798"/>
      <c r="LMZ85" s="798"/>
      <c r="LNA85" s="798"/>
      <c r="LNB85" s="798"/>
      <c r="LNC85" s="798"/>
      <c r="LND85" s="798"/>
      <c r="LNE85" s="798"/>
      <c r="LNF85" s="798"/>
      <c r="LNG85" s="798"/>
      <c r="LNH85" s="798"/>
      <c r="LNI85" s="798"/>
      <c r="LNJ85" s="798"/>
      <c r="LNK85" s="798"/>
      <c r="LNL85" s="798"/>
      <c r="LNM85" s="798"/>
      <c r="LNN85" s="798"/>
      <c r="LNO85" s="798"/>
      <c r="LNP85" s="798"/>
      <c r="LNQ85" s="798"/>
      <c r="LNR85" s="798"/>
      <c r="LNS85" s="798"/>
      <c r="LNT85" s="798"/>
      <c r="LNU85" s="798"/>
      <c r="LNV85" s="798"/>
      <c r="LNW85" s="798"/>
      <c r="LNX85" s="798"/>
      <c r="LNY85" s="798"/>
      <c r="LNZ85" s="798"/>
      <c r="LOA85" s="798"/>
      <c r="LOB85" s="798"/>
      <c r="LOC85" s="798"/>
      <c r="LOD85" s="798"/>
      <c r="LOE85" s="798"/>
      <c r="LOF85" s="798"/>
      <c r="LOG85" s="798"/>
      <c r="LOH85" s="798"/>
      <c r="LOI85" s="798"/>
      <c r="LOJ85" s="798"/>
      <c r="LOK85" s="798"/>
      <c r="LOL85" s="798"/>
      <c r="LOM85" s="798"/>
      <c r="LON85" s="798"/>
      <c r="LOO85" s="798"/>
      <c r="LOP85" s="798"/>
      <c r="LOQ85" s="798"/>
      <c r="LOR85" s="798"/>
      <c r="LOS85" s="798"/>
      <c r="LOT85" s="798"/>
      <c r="LOU85" s="798"/>
      <c r="LOV85" s="798"/>
      <c r="LOW85" s="798"/>
      <c r="LOX85" s="798"/>
      <c r="LOY85" s="798"/>
      <c r="LOZ85" s="798"/>
      <c r="LPA85" s="798"/>
      <c r="LPB85" s="798"/>
      <c r="LPC85" s="798"/>
      <c r="LPD85" s="798"/>
      <c r="LPE85" s="798"/>
      <c r="LPF85" s="798"/>
      <c r="LPG85" s="798"/>
      <c r="LPH85" s="798"/>
      <c r="LPI85" s="798"/>
      <c r="LPJ85" s="798"/>
      <c r="LPK85" s="798"/>
      <c r="LPL85" s="798"/>
      <c r="LPM85" s="798"/>
      <c r="LPN85" s="798"/>
      <c r="LPO85" s="798"/>
      <c r="LPP85" s="798"/>
      <c r="LPQ85" s="798"/>
      <c r="LPR85" s="798"/>
      <c r="LPS85" s="798"/>
      <c r="LPT85" s="798"/>
      <c r="LPU85" s="798"/>
      <c r="LPV85" s="798"/>
      <c r="LPW85" s="798"/>
      <c r="LPX85" s="798"/>
      <c r="LPY85" s="798"/>
      <c r="LPZ85" s="798"/>
      <c r="LQA85" s="798"/>
      <c r="LQB85" s="798"/>
      <c r="LQC85" s="798"/>
      <c r="LQD85" s="798"/>
      <c r="LQE85" s="798"/>
      <c r="LQF85" s="798"/>
      <c r="LQG85" s="798"/>
      <c r="LQH85" s="798"/>
      <c r="LQI85" s="798"/>
      <c r="LQJ85" s="798"/>
      <c r="LQK85" s="798"/>
      <c r="LQL85" s="798"/>
      <c r="LQM85" s="798"/>
      <c r="LQN85" s="798"/>
      <c r="LQO85" s="798"/>
      <c r="LQP85" s="798"/>
      <c r="LQQ85" s="798"/>
      <c r="LQR85" s="798"/>
      <c r="LQS85" s="798"/>
      <c r="LQT85" s="798"/>
      <c r="LQU85" s="798"/>
      <c r="LQV85" s="798"/>
      <c r="LQW85" s="798"/>
      <c r="LQX85" s="798"/>
      <c r="LQY85" s="798"/>
      <c r="LQZ85" s="798"/>
      <c r="LRA85" s="798"/>
      <c r="LRB85" s="798"/>
      <c r="LRC85" s="798"/>
      <c r="LRD85" s="798"/>
      <c r="LRE85" s="798"/>
      <c r="LRF85" s="798"/>
      <c r="LRG85" s="798"/>
      <c r="LRH85" s="798"/>
      <c r="LRI85" s="798"/>
      <c r="LRJ85" s="798"/>
      <c r="LRK85" s="798"/>
      <c r="LRL85" s="798"/>
      <c r="LRM85" s="798"/>
      <c r="LRN85" s="798"/>
      <c r="LRO85" s="798"/>
      <c r="LRP85" s="798"/>
      <c r="LRQ85" s="798"/>
      <c r="LRR85" s="798"/>
      <c r="LRS85" s="798"/>
      <c r="LRT85" s="798"/>
      <c r="LRU85" s="798"/>
      <c r="LRV85" s="798"/>
      <c r="LRW85" s="798"/>
      <c r="LRX85" s="798"/>
      <c r="LRY85" s="798"/>
      <c r="LRZ85" s="798"/>
      <c r="LSA85" s="798"/>
      <c r="LSB85" s="798"/>
      <c r="LSC85" s="798"/>
      <c r="LSD85" s="798"/>
      <c r="LSE85" s="798"/>
      <c r="LSF85" s="798"/>
      <c r="LSG85" s="798"/>
      <c r="LSH85" s="798"/>
      <c r="LSI85" s="798"/>
      <c r="LSJ85" s="798"/>
      <c r="LSK85" s="798"/>
      <c r="LSL85" s="798"/>
      <c r="LSM85" s="798"/>
      <c r="LSN85" s="798"/>
      <c r="LSO85" s="798"/>
      <c r="LSP85" s="798"/>
      <c r="LSQ85" s="798"/>
      <c r="LSR85" s="798"/>
      <c r="LSS85" s="798"/>
      <c r="LST85" s="798"/>
      <c r="LSU85" s="798"/>
      <c r="LSV85" s="798"/>
      <c r="LSW85" s="798"/>
      <c r="LSX85" s="798"/>
      <c r="LSY85" s="798"/>
      <c r="LSZ85" s="798"/>
      <c r="LTA85" s="798"/>
      <c r="LTB85" s="798"/>
      <c r="LTC85" s="798"/>
      <c r="LTD85" s="798"/>
      <c r="LTE85" s="798"/>
      <c r="LTF85" s="798"/>
      <c r="LTG85" s="798"/>
      <c r="LTH85" s="798"/>
      <c r="LTI85" s="798"/>
      <c r="LTJ85" s="798"/>
      <c r="LTK85" s="798"/>
      <c r="LTL85" s="798"/>
      <c r="LTM85" s="798"/>
      <c r="LTN85" s="798"/>
      <c r="LTO85" s="798"/>
      <c r="LTP85" s="798"/>
      <c r="LTQ85" s="798"/>
      <c r="LTR85" s="798"/>
      <c r="LTS85" s="798"/>
      <c r="LTT85" s="798"/>
      <c r="LTU85" s="798"/>
      <c r="LTV85" s="798"/>
      <c r="LTW85" s="798"/>
      <c r="LTX85" s="798"/>
      <c r="LTY85" s="798"/>
      <c r="LTZ85" s="798"/>
      <c r="LUA85" s="798"/>
      <c r="LUB85" s="798"/>
      <c r="LUC85" s="798"/>
      <c r="LUD85" s="798"/>
      <c r="LUE85" s="798"/>
      <c r="LUF85" s="798"/>
      <c r="LUG85" s="798"/>
      <c r="LUH85" s="798"/>
      <c r="LUI85" s="798"/>
      <c r="LUJ85" s="798"/>
      <c r="LUK85" s="798"/>
      <c r="LUL85" s="798"/>
      <c r="LUM85" s="798"/>
      <c r="LUN85" s="798"/>
      <c r="LUO85" s="798"/>
      <c r="LUP85" s="798"/>
      <c r="LUQ85" s="798"/>
      <c r="LUR85" s="798"/>
      <c r="LUS85" s="798"/>
      <c r="LUT85" s="798"/>
      <c r="LUU85" s="798"/>
      <c r="LUV85" s="798"/>
      <c r="LUW85" s="798"/>
      <c r="LUX85" s="798"/>
      <c r="LUY85" s="798"/>
      <c r="LUZ85" s="798"/>
      <c r="LVA85" s="798"/>
      <c r="LVB85" s="798"/>
      <c r="LVC85" s="798"/>
      <c r="LVD85" s="798"/>
      <c r="LVE85" s="798"/>
      <c r="LVF85" s="798"/>
      <c r="LVG85" s="798"/>
      <c r="LVH85" s="798"/>
      <c r="LVI85" s="798"/>
      <c r="LVJ85" s="798"/>
      <c r="LVK85" s="798"/>
      <c r="LVL85" s="798"/>
      <c r="LVM85" s="798"/>
      <c r="LVN85" s="798"/>
      <c r="LVO85" s="798"/>
      <c r="LVP85" s="798"/>
      <c r="LVQ85" s="798"/>
      <c r="LVR85" s="798"/>
      <c r="LVS85" s="798"/>
      <c r="LVT85" s="798"/>
      <c r="LVU85" s="798"/>
      <c r="LVV85" s="798"/>
      <c r="LVW85" s="798"/>
      <c r="LVX85" s="798"/>
      <c r="LVY85" s="798"/>
      <c r="LVZ85" s="798"/>
      <c r="LWA85" s="798"/>
      <c r="LWB85" s="798"/>
      <c r="LWC85" s="798"/>
      <c r="LWD85" s="798"/>
      <c r="LWE85" s="798"/>
      <c r="LWF85" s="798"/>
      <c r="LWG85" s="798"/>
      <c r="LWH85" s="798"/>
      <c r="LWI85" s="798"/>
      <c r="LWJ85" s="798"/>
      <c r="LWK85" s="798"/>
      <c r="LWL85" s="798"/>
      <c r="LWM85" s="798"/>
      <c r="LWN85" s="798"/>
      <c r="LWO85" s="798"/>
      <c r="LWP85" s="798"/>
      <c r="LWQ85" s="798"/>
      <c r="LWR85" s="798"/>
      <c r="LWS85" s="798"/>
      <c r="LWT85" s="798"/>
      <c r="LWU85" s="798"/>
      <c r="LWV85" s="798"/>
      <c r="LWW85" s="798"/>
      <c r="LWX85" s="798"/>
      <c r="LWY85" s="798"/>
      <c r="LWZ85" s="798"/>
      <c r="LXA85" s="798"/>
      <c r="LXB85" s="798"/>
      <c r="LXC85" s="798"/>
      <c r="LXD85" s="798"/>
      <c r="LXE85" s="798"/>
      <c r="LXF85" s="798"/>
      <c r="LXG85" s="798"/>
      <c r="LXH85" s="798"/>
      <c r="LXI85" s="798"/>
      <c r="LXJ85" s="798"/>
      <c r="LXK85" s="798"/>
      <c r="LXL85" s="798"/>
      <c r="LXM85" s="798"/>
      <c r="LXN85" s="798"/>
      <c r="LXO85" s="798"/>
      <c r="LXP85" s="798"/>
      <c r="LXQ85" s="798"/>
      <c r="LXR85" s="798"/>
      <c r="LXS85" s="798"/>
      <c r="LXT85" s="798"/>
      <c r="LXU85" s="798"/>
      <c r="LXV85" s="798"/>
      <c r="LXW85" s="798"/>
      <c r="LXX85" s="798"/>
      <c r="LXY85" s="798"/>
      <c r="LXZ85" s="798"/>
      <c r="LYA85" s="798"/>
      <c r="LYB85" s="798"/>
      <c r="LYC85" s="798"/>
      <c r="LYD85" s="798"/>
      <c r="LYE85" s="798"/>
      <c r="LYF85" s="798"/>
      <c r="LYG85" s="798"/>
      <c r="LYH85" s="798"/>
      <c r="LYI85" s="798"/>
      <c r="LYJ85" s="798"/>
      <c r="LYK85" s="798"/>
      <c r="LYL85" s="798"/>
      <c r="LYM85" s="798"/>
      <c r="LYN85" s="798"/>
      <c r="LYO85" s="798"/>
      <c r="LYP85" s="798"/>
      <c r="LYQ85" s="798"/>
      <c r="LYR85" s="798"/>
      <c r="LYS85" s="798"/>
      <c r="LYT85" s="798"/>
      <c r="LYU85" s="798"/>
      <c r="LYV85" s="798"/>
      <c r="LYW85" s="798"/>
      <c r="LYX85" s="798"/>
      <c r="LYY85" s="798"/>
      <c r="LYZ85" s="798"/>
      <c r="LZA85" s="798"/>
      <c r="LZB85" s="798"/>
      <c r="LZC85" s="798"/>
      <c r="LZD85" s="798"/>
      <c r="LZE85" s="798"/>
      <c r="LZF85" s="798"/>
      <c r="LZG85" s="798"/>
      <c r="LZH85" s="798"/>
      <c r="LZI85" s="798"/>
      <c r="LZJ85" s="798"/>
      <c r="LZK85" s="798"/>
      <c r="LZL85" s="798"/>
      <c r="LZM85" s="798"/>
      <c r="LZN85" s="798"/>
      <c r="LZO85" s="798"/>
      <c r="LZP85" s="798"/>
      <c r="LZQ85" s="798"/>
      <c r="LZR85" s="798"/>
      <c r="LZS85" s="798"/>
      <c r="LZT85" s="798"/>
      <c r="LZU85" s="798"/>
      <c r="LZV85" s="798"/>
      <c r="LZW85" s="798"/>
      <c r="LZX85" s="798"/>
      <c r="LZY85" s="798"/>
      <c r="LZZ85" s="798"/>
      <c r="MAA85" s="798"/>
      <c r="MAB85" s="798"/>
      <c r="MAC85" s="798"/>
      <c r="MAD85" s="798"/>
      <c r="MAE85" s="798"/>
      <c r="MAF85" s="798"/>
      <c r="MAG85" s="798"/>
      <c r="MAH85" s="798"/>
      <c r="MAI85" s="798"/>
      <c r="MAJ85" s="798"/>
      <c r="MAK85" s="798"/>
      <c r="MAL85" s="798"/>
      <c r="MAM85" s="798"/>
      <c r="MAN85" s="798"/>
      <c r="MAO85" s="798"/>
      <c r="MAP85" s="798"/>
      <c r="MAQ85" s="798"/>
      <c r="MAR85" s="798"/>
      <c r="MAS85" s="798"/>
      <c r="MAT85" s="798"/>
      <c r="MAU85" s="798"/>
      <c r="MAV85" s="798"/>
      <c r="MAW85" s="798"/>
      <c r="MAX85" s="798"/>
      <c r="MAY85" s="798"/>
      <c r="MAZ85" s="798"/>
      <c r="MBA85" s="798"/>
      <c r="MBB85" s="798"/>
      <c r="MBC85" s="798"/>
      <c r="MBD85" s="798"/>
      <c r="MBE85" s="798"/>
      <c r="MBF85" s="798"/>
      <c r="MBG85" s="798"/>
      <c r="MBH85" s="798"/>
      <c r="MBI85" s="798"/>
      <c r="MBJ85" s="798"/>
      <c r="MBK85" s="798"/>
      <c r="MBL85" s="798"/>
      <c r="MBM85" s="798"/>
      <c r="MBN85" s="798"/>
      <c r="MBO85" s="798"/>
      <c r="MBP85" s="798"/>
      <c r="MBQ85" s="798"/>
      <c r="MBR85" s="798"/>
      <c r="MBS85" s="798"/>
      <c r="MBT85" s="798"/>
      <c r="MBU85" s="798"/>
      <c r="MBV85" s="798"/>
      <c r="MBW85" s="798"/>
      <c r="MBX85" s="798"/>
      <c r="MBY85" s="798"/>
      <c r="MBZ85" s="798"/>
      <c r="MCA85" s="798"/>
      <c r="MCB85" s="798"/>
      <c r="MCC85" s="798"/>
      <c r="MCD85" s="798"/>
      <c r="MCE85" s="798"/>
      <c r="MCF85" s="798"/>
      <c r="MCG85" s="798"/>
      <c r="MCH85" s="798"/>
      <c r="MCI85" s="798"/>
      <c r="MCJ85" s="798"/>
      <c r="MCK85" s="798"/>
      <c r="MCL85" s="798"/>
      <c r="MCM85" s="798"/>
      <c r="MCN85" s="798"/>
      <c r="MCO85" s="798"/>
      <c r="MCP85" s="798"/>
      <c r="MCQ85" s="798"/>
      <c r="MCR85" s="798"/>
      <c r="MCS85" s="798"/>
      <c r="MCT85" s="798"/>
      <c r="MCU85" s="798"/>
      <c r="MCV85" s="798"/>
      <c r="MCW85" s="798"/>
      <c r="MCX85" s="798"/>
      <c r="MCY85" s="798"/>
      <c r="MCZ85" s="798"/>
      <c r="MDA85" s="798"/>
      <c r="MDB85" s="798"/>
      <c r="MDC85" s="798"/>
      <c r="MDD85" s="798"/>
      <c r="MDE85" s="798"/>
      <c r="MDF85" s="798"/>
      <c r="MDG85" s="798"/>
      <c r="MDH85" s="798"/>
      <c r="MDI85" s="798"/>
      <c r="MDJ85" s="798"/>
      <c r="MDK85" s="798"/>
      <c r="MDL85" s="798"/>
      <c r="MDM85" s="798"/>
      <c r="MDN85" s="798"/>
      <c r="MDO85" s="798"/>
      <c r="MDP85" s="798"/>
      <c r="MDQ85" s="798"/>
      <c r="MDR85" s="798"/>
      <c r="MDS85" s="798"/>
      <c r="MDT85" s="798"/>
      <c r="MDU85" s="798"/>
      <c r="MDV85" s="798"/>
      <c r="MDW85" s="798"/>
      <c r="MDX85" s="798"/>
      <c r="MDY85" s="798"/>
      <c r="MDZ85" s="798"/>
      <c r="MEA85" s="798"/>
      <c r="MEB85" s="798"/>
      <c r="MEC85" s="798"/>
      <c r="MED85" s="798"/>
      <c r="MEE85" s="798"/>
      <c r="MEF85" s="798"/>
      <c r="MEG85" s="798"/>
      <c r="MEH85" s="798"/>
      <c r="MEI85" s="798"/>
      <c r="MEJ85" s="798"/>
      <c r="MEK85" s="798"/>
      <c r="MEL85" s="798"/>
      <c r="MEM85" s="798"/>
      <c r="MEN85" s="798"/>
      <c r="MEO85" s="798"/>
      <c r="MEP85" s="798"/>
      <c r="MEQ85" s="798"/>
      <c r="MER85" s="798"/>
      <c r="MES85" s="798"/>
      <c r="MET85" s="798"/>
      <c r="MEU85" s="798"/>
      <c r="MEV85" s="798"/>
      <c r="MEW85" s="798"/>
      <c r="MEX85" s="798"/>
      <c r="MEY85" s="798"/>
      <c r="MEZ85" s="798"/>
      <c r="MFA85" s="798"/>
      <c r="MFB85" s="798"/>
      <c r="MFC85" s="798"/>
      <c r="MFD85" s="798"/>
      <c r="MFE85" s="798"/>
      <c r="MFF85" s="798"/>
      <c r="MFG85" s="798"/>
      <c r="MFH85" s="798"/>
      <c r="MFI85" s="798"/>
      <c r="MFJ85" s="798"/>
      <c r="MFK85" s="798"/>
      <c r="MFL85" s="798"/>
      <c r="MFM85" s="798"/>
      <c r="MFN85" s="798"/>
      <c r="MFO85" s="798"/>
      <c r="MFP85" s="798"/>
      <c r="MFQ85" s="798"/>
      <c r="MFR85" s="798"/>
      <c r="MFS85" s="798"/>
      <c r="MFT85" s="798"/>
      <c r="MFU85" s="798"/>
      <c r="MFV85" s="798"/>
      <c r="MFW85" s="798"/>
      <c r="MFX85" s="798"/>
      <c r="MFY85" s="798"/>
      <c r="MFZ85" s="798"/>
      <c r="MGA85" s="798"/>
      <c r="MGB85" s="798"/>
      <c r="MGC85" s="798"/>
      <c r="MGD85" s="798"/>
      <c r="MGE85" s="798"/>
      <c r="MGF85" s="798"/>
      <c r="MGG85" s="798"/>
      <c r="MGH85" s="798"/>
      <c r="MGI85" s="798"/>
      <c r="MGJ85" s="798"/>
      <c r="MGK85" s="798"/>
      <c r="MGL85" s="798"/>
      <c r="MGM85" s="798"/>
      <c r="MGN85" s="798"/>
      <c r="MGO85" s="798"/>
      <c r="MGP85" s="798"/>
      <c r="MGQ85" s="798"/>
      <c r="MGR85" s="798"/>
      <c r="MGS85" s="798"/>
      <c r="MGT85" s="798"/>
      <c r="MGU85" s="798"/>
      <c r="MGV85" s="798"/>
      <c r="MGW85" s="798"/>
      <c r="MGX85" s="798"/>
      <c r="MGY85" s="798"/>
      <c r="MGZ85" s="798"/>
      <c r="MHA85" s="798"/>
      <c r="MHB85" s="798"/>
      <c r="MHC85" s="798"/>
      <c r="MHD85" s="798"/>
      <c r="MHE85" s="798"/>
      <c r="MHF85" s="798"/>
      <c r="MHG85" s="798"/>
      <c r="MHH85" s="798"/>
      <c r="MHI85" s="798"/>
      <c r="MHJ85" s="798"/>
      <c r="MHK85" s="798"/>
      <c r="MHL85" s="798"/>
      <c r="MHM85" s="798"/>
      <c r="MHN85" s="798"/>
      <c r="MHO85" s="798"/>
      <c r="MHP85" s="798"/>
      <c r="MHQ85" s="798"/>
      <c r="MHR85" s="798"/>
      <c r="MHS85" s="798"/>
      <c r="MHT85" s="798"/>
      <c r="MHU85" s="798"/>
      <c r="MHV85" s="798"/>
      <c r="MHW85" s="798"/>
      <c r="MHX85" s="798"/>
      <c r="MHY85" s="798"/>
      <c r="MHZ85" s="798"/>
      <c r="MIA85" s="798"/>
      <c r="MIB85" s="798"/>
      <c r="MIC85" s="798"/>
      <c r="MID85" s="798"/>
      <c r="MIE85" s="798"/>
      <c r="MIF85" s="798"/>
      <c r="MIG85" s="798"/>
      <c r="MIH85" s="798"/>
      <c r="MII85" s="798"/>
      <c r="MIJ85" s="798"/>
      <c r="MIK85" s="798"/>
      <c r="MIL85" s="798"/>
      <c r="MIM85" s="798"/>
      <c r="MIN85" s="798"/>
      <c r="MIO85" s="798"/>
      <c r="MIP85" s="798"/>
      <c r="MIQ85" s="798"/>
      <c r="MIR85" s="798"/>
      <c r="MIS85" s="798"/>
      <c r="MIT85" s="798"/>
      <c r="MIU85" s="798"/>
      <c r="MIV85" s="798"/>
      <c r="MIW85" s="798"/>
      <c r="MIX85" s="798"/>
      <c r="MIY85" s="798"/>
      <c r="MIZ85" s="798"/>
      <c r="MJA85" s="798"/>
      <c r="MJB85" s="798"/>
      <c r="MJC85" s="798"/>
      <c r="MJD85" s="798"/>
      <c r="MJE85" s="798"/>
      <c r="MJF85" s="798"/>
      <c r="MJG85" s="798"/>
      <c r="MJH85" s="798"/>
      <c r="MJI85" s="798"/>
      <c r="MJJ85" s="798"/>
      <c r="MJK85" s="798"/>
      <c r="MJL85" s="798"/>
      <c r="MJM85" s="798"/>
      <c r="MJN85" s="798"/>
      <c r="MJO85" s="798"/>
      <c r="MJP85" s="798"/>
      <c r="MJQ85" s="798"/>
      <c r="MJR85" s="798"/>
      <c r="MJS85" s="798"/>
      <c r="MJT85" s="798"/>
      <c r="MJU85" s="798"/>
      <c r="MJV85" s="798"/>
      <c r="MJW85" s="798"/>
      <c r="MJX85" s="798"/>
      <c r="MJY85" s="798"/>
      <c r="MJZ85" s="798"/>
      <c r="MKA85" s="798"/>
      <c r="MKB85" s="798"/>
      <c r="MKC85" s="798"/>
      <c r="MKD85" s="798"/>
      <c r="MKE85" s="798"/>
      <c r="MKF85" s="798"/>
      <c r="MKG85" s="798"/>
      <c r="MKH85" s="798"/>
      <c r="MKI85" s="798"/>
      <c r="MKJ85" s="798"/>
      <c r="MKK85" s="798"/>
      <c r="MKL85" s="798"/>
      <c r="MKM85" s="798"/>
      <c r="MKN85" s="798"/>
      <c r="MKO85" s="798"/>
      <c r="MKP85" s="798"/>
      <c r="MKQ85" s="798"/>
      <c r="MKR85" s="798"/>
      <c r="MKS85" s="798"/>
      <c r="MKT85" s="798"/>
      <c r="MKU85" s="798"/>
      <c r="MKV85" s="798"/>
      <c r="MKW85" s="798"/>
      <c r="MKX85" s="798"/>
      <c r="MKY85" s="798"/>
      <c r="MKZ85" s="798"/>
      <c r="MLA85" s="798"/>
      <c r="MLB85" s="798"/>
      <c r="MLC85" s="798"/>
      <c r="MLD85" s="798"/>
      <c r="MLE85" s="798"/>
      <c r="MLF85" s="798"/>
      <c r="MLG85" s="798"/>
      <c r="MLH85" s="798"/>
      <c r="MLI85" s="798"/>
      <c r="MLJ85" s="798"/>
      <c r="MLK85" s="798"/>
      <c r="MLL85" s="798"/>
      <c r="MLM85" s="798"/>
      <c r="MLN85" s="798"/>
      <c r="MLO85" s="798"/>
      <c r="MLP85" s="798"/>
      <c r="MLQ85" s="798"/>
      <c r="MLR85" s="798"/>
      <c r="MLS85" s="798"/>
      <c r="MLT85" s="798"/>
      <c r="MLU85" s="798"/>
      <c r="MLV85" s="798"/>
      <c r="MLW85" s="798"/>
      <c r="MLX85" s="798"/>
      <c r="MLY85" s="798"/>
      <c r="MLZ85" s="798"/>
      <c r="MMA85" s="798"/>
      <c r="MMB85" s="798"/>
      <c r="MMC85" s="798"/>
      <c r="MMD85" s="798"/>
      <c r="MME85" s="798"/>
      <c r="MMF85" s="798"/>
      <c r="MMG85" s="798"/>
      <c r="MMH85" s="798"/>
      <c r="MMI85" s="798"/>
      <c r="MMJ85" s="798"/>
      <c r="MMK85" s="798"/>
      <c r="MML85" s="798"/>
      <c r="MMM85" s="798"/>
      <c r="MMN85" s="798"/>
      <c r="MMO85" s="798"/>
      <c r="MMP85" s="798"/>
      <c r="MMQ85" s="798"/>
      <c r="MMR85" s="798"/>
      <c r="MMS85" s="798"/>
      <c r="MMT85" s="798"/>
      <c r="MMU85" s="798"/>
      <c r="MMV85" s="798"/>
      <c r="MMW85" s="798"/>
      <c r="MMX85" s="798"/>
      <c r="MMY85" s="798"/>
      <c r="MMZ85" s="798"/>
      <c r="MNA85" s="798"/>
      <c r="MNB85" s="798"/>
      <c r="MNC85" s="798"/>
      <c r="MND85" s="798"/>
      <c r="MNE85" s="798"/>
      <c r="MNF85" s="798"/>
      <c r="MNG85" s="798"/>
      <c r="MNH85" s="798"/>
      <c r="MNI85" s="798"/>
      <c r="MNJ85" s="798"/>
      <c r="MNK85" s="798"/>
      <c r="MNL85" s="798"/>
      <c r="MNM85" s="798"/>
      <c r="MNN85" s="798"/>
      <c r="MNO85" s="798"/>
      <c r="MNP85" s="798"/>
      <c r="MNQ85" s="798"/>
      <c r="MNR85" s="798"/>
      <c r="MNS85" s="798"/>
      <c r="MNT85" s="798"/>
      <c r="MNU85" s="798"/>
      <c r="MNV85" s="798"/>
      <c r="MNW85" s="798"/>
      <c r="MNX85" s="798"/>
      <c r="MNY85" s="798"/>
      <c r="MNZ85" s="798"/>
      <c r="MOA85" s="798"/>
      <c r="MOB85" s="798"/>
      <c r="MOC85" s="798"/>
      <c r="MOD85" s="798"/>
      <c r="MOE85" s="798"/>
      <c r="MOF85" s="798"/>
      <c r="MOG85" s="798"/>
      <c r="MOH85" s="798"/>
      <c r="MOI85" s="798"/>
      <c r="MOJ85" s="798"/>
      <c r="MOK85" s="798"/>
      <c r="MOL85" s="798"/>
      <c r="MOM85" s="798"/>
      <c r="MON85" s="798"/>
      <c r="MOO85" s="798"/>
      <c r="MOP85" s="798"/>
      <c r="MOQ85" s="798"/>
      <c r="MOR85" s="798"/>
      <c r="MOS85" s="798"/>
      <c r="MOT85" s="798"/>
      <c r="MOU85" s="798"/>
      <c r="MOV85" s="798"/>
      <c r="MOW85" s="798"/>
      <c r="MOX85" s="798"/>
      <c r="MOY85" s="798"/>
      <c r="MOZ85" s="798"/>
      <c r="MPA85" s="798"/>
      <c r="MPB85" s="798"/>
      <c r="MPC85" s="798"/>
      <c r="MPD85" s="798"/>
      <c r="MPE85" s="798"/>
      <c r="MPF85" s="798"/>
      <c r="MPG85" s="798"/>
      <c r="MPH85" s="798"/>
      <c r="MPI85" s="798"/>
      <c r="MPJ85" s="798"/>
      <c r="MPK85" s="798"/>
      <c r="MPL85" s="798"/>
      <c r="MPM85" s="798"/>
      <c r="MPN85" s="798"/>
      <c r="MPO85" s="798"/>
      <c r="MPP85" s="798"/>
      <c r="MPQ85" s="798"/>
      <c r="MPR85" s="798"/>
      <c r="MPS85" s="798"/>
      <c r="MPT85" s="798"/>
      <c r="MPU85" s="798"/>
      <c r="MPV85" s="798"/>
      <c r="MPW85" s="798"/>
      <c r="MPX85" s="798"/>
      <c r="MPY85" s="798"/>
      <c r="MPZ85" s="798"/>
      <c r="MQA85" s="798"/>
      <c r="MQB85" s="798"/>
      <c r="MQC85" s="798"/>
      <c r="MQD85" s="798"/>
      <c r="MQE85" s="798"/>
      <c r="MQF85" s="798"/>
      <c r="MQG85" s="798"/>
      <c r="MQH85" s="798"/>
      <c r="MQI85" s="798"/>
      <c r="MQJ85" s="798"/>
      <c r="MQK85" s="798"/>
      <c r="MQL85" s="798"/>
      <c r="MQM85" s="798"/>
      <c r="MQN85" s="798"/>
      <c r="MQO85" s="798"/>
      <c r="MQP85" s="798"/>
      <c r="MQQ85" s="798"/>
      <c r="MQR85" s="798"/>
      <c r="MQS85" s="798"/>
      <c r="MQT85" s="798"/>
      <c r="MQU85" s="798"/>
      <c r="MQV85" s="798"/>
      <c r="MQW85" s="798"/>
      <c r="MQX85" s="798"/>
      <c r="MQY85" s="798"/>
      <c r="MQZ85" s="798"/>
      <c r="MRA85" s="798"/>
      <c r="MRB85" s="798"/>
      <c r="MRC85" s="798"/>
      <c r="MRD85" s="798"/>
      <c r="MRE85" s="798"/>
      <c r="MRF85" s="798"/>
      <c r="MRG85" s="798"/>
      <c r="MRH85" s="798"/>
      <c r="MRI85" s="798"/>
      <c r="MRJ85" s="798"/>
      <c r="MRK85" s="798"/>
      <c r="MRL85" s="798"/>
      <c r="MRM85" s="798"/>
      <c r="MRN85" s="798"/>
      <c r="MRO85" s="798"/>
      <c r="MRP85" s="798"/>
      <c r="MRQ85" s="798"/>
      <c r="MRR85" s="798"/>
      <c r="MRS85" s="798"/>
      <c r="MRT85" s="798"/>
      <c r="MRU85" s="798"/>
      <c r="MRV85" s="798"/>
      <c r="MRW85" s="798"/>
      <c r="MRX85" s="798"/>
      <c r="MRY85" s="798"/>
      <c r="MRZ85" s="798"/>
      <c r="MSA85" s="798"/>
      <c r="MSB85" s="798"/>
      <c r="MSC85" s="798"/>
      <c r="MSD85" s="798"/>
      <c r="MSE85" s="798"/>
      <c r="MSF85" s="798"/>
      <c r="MSG85" s="798"/>
      <c r="MSH85" s="798"/>
      <c r="MSI85" s="798"/>
      <c r="MSJ85" s="798"/>
      <c r="MSK85" s="798"/>
      <c r="MSL85" s="798"/>
      <c r="MSM85" s="798"/>
      <c r="MSN85" s="798"/>
      <c r="MSO85" s="798"/>
      <c r="MSP85" s="798"/>
      <c r="MSQ85" s="798"/>
      <c r="MSR85" s="798"/>
      <c r="MSS85" s="798"/>
      <c r="MST85" s="798"/>
      <c r="MSU85" s="798"/>
      <c r="MSV85" s="798"/>
      <c r="MSW85" s="798"/>
      <c r="MSX85" s="798"/>
      <c r="MSY85" s="798"/>
      <c r="MSZ85" s="798"/>
      <c r="MTA85" s="798"/>
      <c r="MTB85" s="798"/>
      <c r="MTC85" s="798"/>
      <c r="MTD85" s="798"/>
      <c r="MTE85" s="798"/>
      <c r="MTF85" s="798"/>
      <c r="MTG85" s="798"/>
      <c r="MTH85" s="798"/>
      <c r="MTI85" s="798"/>
      <c r="MTJ85" s="798"/>
      <c r="MTK85" s="798"/>
      <c r="MTL85" s="798"/>
      <c r="MTM85" s="798"/>
      <c r="MTN85" s="798"/>
      <c r="MTO85" s="798"/>
      <c r="MTP85" s="798"/>
      <c r="MTQ85" s="798"/>
      <c r="MTR85" s="798"/>
      <c r="MTS85" s="798"/>
      <c r="MTT85" s="798"/>
      <c r="MTU85" s="798"/>
      <c r="MTV85" s="798"/>
      <c r="MTW85" s="798"/>
      <c r="MTX85" s="798"/>
      <c r="MTY85" s="798"/>
      <c r="MTZ85" s="798"/>
      <c r="MUA85" s="798"/>
      <c r="MUB85" s="798"/>
      <c r="MUC85" s="798"/>
      <c r="MUD85" s="798"/>
      <c r="MUE85" s="798"/>
      <c r="MUF85" s="798"/>
      <c r="MUG85" s="798"/>
      <c r="MUH85" s="798"/>
      <c r="MUI85" s="798"/>
      <c r="MUJ85" s="798"/>
      <c r="MUK85" s="798"/>
      <c r="MUL85" s="798"/>
      <c r="MUM85" s="798"/>
      <c r="MUN85" s="798"/>
      <c r="MUO85" s="798"/>
      <c r="MUP85" s="798"/>
      <c r="MUQ85" s="798"/>
      <c r="MUR85" s="798"/>
      <c r="MUS85" s="798"/>
      <c r="MUT85" s="798"/>
      <c r="MUU85" s="798"/>
      <c r="MUV85" s="798"/>
      <c r="MUW85" s="798"/>
      <c r="MUX85" s="798"/>
      <c r="MUY85" s="798"/>
      <c r="MUZ85" s="798"/>
      <c r="MVA85" s="798"/>
      <c r="MVB85" s="798"/>
      <c r="MVC85" s="798"/>
      <c r="MVD85" s="798"/>
      <c r="MVE85" s="798"/>
      <c r="MVF85" s="798"/>
      <c r="MVG85" s="798"/>
      <c r="MVH85" s="798"/>
      <c r="MVI85" s="798"/>
      <c r="MVJ85" s="798"/>
      <c r="MVK85" s="798"/>
      <c r="MVL85" s="798"/>
      <c r="MVM85" s="798"/>
      <c r="MVN85" s="798"/>
      <c r="MVO85" s="798"/>
      <c r="MVP85" s="798"/>
      <c r="MVQ85" s="798"/>
      <c r="MVR85" s="798"/>
      <c r="MVS85" s="798"/>
      <c r="MVT85" s="798"/>
      <c r="MVU85" s="798"/>
      <c r="MVV85" s="798"/>
      <c r="MVW85" s="798"/>
      <c r="MVX85" s="798"/>
      <c r="MVY85" s="798"/>
      <c r="MVZ85" s="798"/>
      <c r="MWA85" s="798"/>
      <c r="MWB85" s="798"/>
      <c r="MWC85" s="798"/>
      <c r="MWD85" s="798"/>
      <c r="MWE85" s="798"/>
      <c r="MWF85" s="798"/>
      <c r="MWG85" s="798"/>
      <c r="MWH85" s="798"/>
      <c r="MWI85" s="798"/>
      <c r="MWJ85" s="798"/>
      <c r="MWK85" s="798"/>
      <c r="MWL85" s="798"/>
      <c r="MWM85" s="798"/>
      <c r="MWN85" s="798"/>
      <c r="MWO85" s="798"/>
      <c r="MWP85" s="798"/>
      <c r="MWQ85" s="798"/>
      <c r="MWR85" s="798"/>
      <c r="MWS85" s="798"/>
      <c r="MWT85" s="798"/>
      <c r="MWU85" s="798"/>
      <c r="MWV85" s="798"/>
      <c r="MWW85" s="798"/>
      <c r="MWX85" s="798"/>
      <c r="MWY85" s="798"/>
      <c r="MWZ85" s="798"/>
      <c r="MXA85" s="798"/>
      <c r="MXB85" s="798"/>
      <c r="MXC85" s="798"/>
      <c r="MXD85" s="798"/>
      <c r="MXE85" s="798"/>
      <c r="MXF85" s="798"/>
      <c r="MXG85" s="798"/>
      <c r="MXH85" s="798"/>
      <c r="MXI85" s="798"/>
      <c r="MXJ85" s="798"/>
      <c r="MXK85" s="798"/>
      <c r="MXL85" s="798"/>
      <c r="MXM85" s="798"/>
      <c r="MXN85" s="798"/>
      <c r="MXO85" s="798"/>
      <c r="MXP85" s="798"/>
      <c r="MXQ85" s="798"/>
      <c r="MXR85" s="798"/>
      <c r="MXS85" s="798"/>
      <c r="MXT85" s="798"/>
      <c r="MXU85" s="798"/>
      <c r="MXV85" s="798"/>
      <c r="MXW85" s="798"/>
      <c r="MXX85" s="798"/>
      <c r="MXY85" s="798"/>
      <c r="MXZ85" s="798"/>
      <c r="MYA85" s="798"/>
      <c r="MYB85" s="798"/>
      <c r="MYC85" s="798"/>
      <c r="MYD85" s="798"/>
      <c r="MYE85" s="798"/>
      <c r="MYF85" s="798"/>
      <c r="MYG85" s="798"/>
      <c r="MYH85" s="798"/>
      <c r="MYI85" s="798"/>
      <c r="MYJ85" s="798"/>
      <c r="MYK85" s="798"/>
      <c r="MYL85" s="798"/>
      <c r="MYM85" s="798"/>
      <c r="MYN85" s="798"/>
      <c r="MYO85" s="798"/>
      <c r="MYP85" s="798"/>
      <c r="MYQ85" s="798"/>
      <c r="MYR85" s="798"/>
      <c r="MYS85" s="798"/>
      <c r="MYT85" s="798"/>
      <c r="MYU85" s="798"/>
      <c r="MYV85" s="798"/>
      <c r="MYW85" s="798"/>
      <c r="MYX85" s="798"/>
      <c r="MYY85" s="798"/>
      <c r="MYZ85" s="798"/>
      <c r="MZA85" s="798"/>
      <c r="MZB85" s="798"/>
      <c r="MZC85" s="798"/>
      <c r="MZD85" s="798"/>
      <c r="MZE85" s="798"/>
      <c r="MZF85" s="798"/>
      <c r="MZG85" s="798"/>
      <c r="MZH85" s="798"/>
      <c r="MZI85" s="798"/>
      <c r="MZJ85" s="798"/>
      <c r="MZK85" s="798"/>
      <c r="MZL85" s="798"/>
      <c r="MZM85" s="798"/>
      <c r="MZN85" s="798"/>
      <c r="MZO85" s="798"/>
      <c r="MZP85" s="798"/>
      <c r="MZQ85" s="798"/>
      <c r="MZR85" s="798"/>
      <c r="MZS85" s="798"/>
      <c r="MZT85" s="798"/>
      <c r="MZU85" s="798"/>
      <c r="MZV85" s="798"/>
      <c r="MZW85" s="798"/>
      <c r="MZX85" s="798"/>
      <c r="MZY85" s="798"/>
      <c r="MZZ85" s="798"/>
      <c r="NAA85" s="798"/>
      <c r="NAB85" s="798"/>
      <c r="NAC85" s="798"/>
      <c r="NAD85" s="798"/>
      <c r="NAE85" s="798"/>
      <c r="NAF85" s="798"/>
      <c r="NAG85" s="798"/>
      <c r="NAH85" s="798"/>
      <c r="NAI85" s="798"/>
      <c r="NAJ85" s="798"/>
      <c r="NAK85" s="798"/>
      <c r="NAL85" s="798"/>
      <c r="NAM85" s="798"/>
      <c r="NAN85" s="798"/>
      <c r="NAO85" s="798"/>
      <c r="NAP85" s="798"/>
      <c r="NAQ85" s="798"/>
      <c r="NAR85" s="798"/>
      <c r="NAS85" s="798"/>
      <c r="NAT85" s="798"/>
      <c r="NAU85" s="798"/>
      <c r="NAV85" s="798"/>
      <c r="NAW85" s="798"/>
      <c r="NAX85" s="798"/>
      <c r="NAY85" s="798"/>
      <c r="NAZ85" s="798"/>
      <c r="NBA85" s="798"/>
      <c r="NBB85" s="798"/>
      <c r="NBC85" s="798"/>
      <c r="NBD85" s="798"/>
      <c r="NBE85" s="798"/>
      <c r="NBF85" s="798"/>
      <c r="NBG85" s="798"/>
      <c r="NBH85" s="798"/>
      <c r="NBI85" s="798"/>
      <c r="NBJ85" s="798"/>
      <c r="NBK85" s="798"/>
      <c r="NBL85" s="798"/>
      <c r="NBM85" s="798"/>
      <c r="NBN85" s="798"/>
      <c r="NBO85" s="798"/>
      <c r="NBP85" s="798"/>
      <c r="NBQ85" s="798"/>
      <c r="NBR85" s="798"/>
      <c r="NBS85" s="798"/>
      <c r="NBT85" s="798"/>
      <c r="NBU85" s="798"/>
      <c r="NBV85" s="798"/>
      <c r="NBW85" s="798"/>
      <c r="NBX85" s="798"/>
      <c r="NBY85" s="798"/>
      <c r="NBZ85" s="798"/>
      <c r="NCA85" s="798"/>
      <c r="NCB85" s="798"/>
      <c r="NCC85" s="798"/>
      <c r="NCD85" s="798"/>
      <c r="NCE85" s="798"/>
      <c r="NCF85" s="798"/>
      <c r="NCG85" s="798"/>
      <c r="NCH85" s="798"/>
      <c r="NCI85" s="798"/>
      <c r="NCJ85" s="798"/>
      <c r="NCK85" s="798"/>
      <c r="NCL85" s="798"/>
      <c r="NCM85" s="798"/>
      <c r="NCN85" s="798"/>
      <c r="NCO85" s="798"/>
      <c r="NCP85" s="798"/>
      <c r="NCQ85" s="798"/>
      <c r="NCR85" s="798"/>
      <c r="NCS85" s="798"/>
      <c r="NCT85" s="798"/>
      <c r="NCU85" s="798"/>
      <c r="NCV85" s="798"/>
      <c r="NCW85" s="798"/>
      <c r="NCX85" s="798"/>
      <c r="NCY85" s="798"/>
      <c r="NCZ85" s="798"/>
      <c r="NDA85" s="798"/>
      <c r="NDB85" s="798"/>
      <c r="NDC85" s="798"/>
      <c r="NDD85" s="798"/>
      <c r="NDE85" s="798"/>
      <c r="NDF85" s="798"/>
      <c r="NDG85" s="798"/>
      <c r="NDH85" s="798"/>
      <c r="NDI85" s="798"/>
      <c r="NDJ85" s="798"/>
      <c r="NDK85" s="798"/>
      <c r="NDL85" s="798"/>
      <c r="NDM85" s="798"/>
      <c r="NDN85" s="798"/>
      <c r="NDO85" s="798"/>
      <c r="NDP85" s="798"/>
      <c r="NDQ85" s="798"/>
      <c r="NDR85" s="798"/>
      <c r="NDS85" s="798"/>
      <c r="NDT85" s="798"/>
      <c r="NDU85" s="798"/>
      <c r="NDV85" s="798"/>
      <c r="NDW85" s="798"/>
      <c r="NDX85" s="798"/>
      <c r="NDY85" s="798"/>
      <c r="NDZ85" s="798"/>
      <c r="NEA85" s="798"/>
      <c r="NEB85" s="798"/>
      <c r="NEC85" s="798"/>
      <c r="NED85" s="798"/>
      <c r="NEE85" s="798"/>
      <c r="NEF85" s="798"/>
      <c r="NEG85" s="798"/>
      <c r="NEH85" s="798"/>
      <c r="NEI85" s="798"/>
      <c r="NEJ85" s="798"/>
      <c r="NEK85" s="798"/>
      <c r="NEL85" s="798"/>
      <c r="NEM85" s="798"/>
      <c r="NEN85" s="798"/>
      <c r="NEO85" s="798"/>
      <c r="NEP85" s="798"/>
      <c r="NEQ85" s="798"/>
      <c r="NER85" s="798"/>
      <c r="NES85" s="798"/>
      <c r="NET85" s="798"/>
      <c r="NEU85" s="798"/>
      <c r="NEV85" s="798"/>
      <c r="NEW85" s="798"/>
      <c r="NEX85" s="798"/>
      <c r="NEY85" s="798"/>
      <c r="NEZ85" s="798"/>
      <c r="NFA85" s="798"/>
      <c r="NFB85" s="798"/>
      <c r="NFC85" s="798"/>
      <c r="NFD85" s="798"/>
      <c r="NFE85" s="798"/>
      <c r="NFF85" s="798"/>
      <c r="NFG85" s="798"/>
      <c r="NFH85" s="798"/>
      <c r="NFI85" s="798"/>
      <c r="NFJ85" s="798"/>
      <c r="NFK85" s="798"/>
      <c r="NFL85" s="798"/>
      <c r="NFM85" s="798"/>
      <c r="NFN85" s="798"/>
      <c r="NFO85" s="798"/>
      <c r="NFP85" s="798"/>
      <c r="NFQ85" s="798"/>
      <c r="NFR85" s="798"/>
      <c r="NFS85" s="798"/>
      <c r="NFT85" s="798"/>
      <c r="NFU85" s="798"/>
      <c r="NFV85" s="798"/>
      <c r="NFW85" s="798"/>
      <c r="NFX85" s="798"/>
      <c r="NFY85" s="798"/>
      <c r="NFZ85" s="798"/>
      <c r="NGA85" s="798"/>
      <c r="NGB85" s="798"/>
      <c r="NGC85" s="798"/>
      <c r="NGD85" s="798"/>
      <c r="NGE85" s="798"/>
      <c r="NGF85" s="798"/>
      <c r="NGG85" s="798"/>
      <c r="NGH85" s="798"/>
      <c r="NGI85" s="798"/>
      <c r="NGJ85" s="798"/>
      <c r="NGK85" s="798"/>
      <c r="NGL85" s="798"/>
      <c r="NGM85" s="798"/>
      <c r="NGN85" s="798"/>
      <c r="NGO85" s="798"/>
      <c r="NGP85" s="798"/>
      <c r="NGQ85" s="798"/>
      <c r="NGR85" s="798"/>
      <c r="NGS85" s="798"/>
      <c r="NGT85" s="798"/>
      <c r="NGU85" s="798"/>
      <c r="NGV85" s="798"/>
      <c r="NGW85" s="798"/>
      <c r="NGX85" s="798"/>
      <c r="NGY85" s="798"/>
      <c r="NGZ85" s="798"/>
      <c r="NHA85" s="798"/>
      <c r="NHB85" s="798"/>
      <c r="NHC85" s="798"/>
      <c r="NHD85" s="798"/>
      <c r="NHE85" s="798"/>
      <c r="NHF85" s="798"/>
      <c r="NHG85" s="798"/>
      <c r="NHH85" s="798"/>
      <c r="NHI85" s="798"/>
      <c r="NHJ85" s="798"/>
      <c r="NHK85" s="798"/>
      <c r="NHL85" s="798"/>
      <c r="NHM85" s="798"/>
      <c r="NHN85" s="798"/>
      <c r="NHO85" s="798"/>
      <c r="NHP85" s="798"/>
      <c r="NHQ85" s="798"/>
      <c r="NHR85" s="798"/>
      <c r="NHS85" s="798"/>
      <c r="NHT85" s="798"/>
      <c r="NHU85" s="798"/>
      <c r="NHV85" s="798"/>
      <c r="NHW85" s="798"/>
      <c r="NHX85" s="798"/>
      <c r="NHY85" s="798"/>
      <c r="NHZ85" s="798"/>
      <c r="NIA85" s="798"/>
      <c r="NIB85" s="798"/>
      <c r="NIC85" s="798"/>
      <c r="NID85" s="798"/>
      <c r="NIE85" s="798"/>
      <c r="NIF85" s="798"/>
      <c r="NIG85" s="798"/>
      <c r="NIH85" s="798"/>
      <c r="NII85" s="798"/>
      <c r="NIJ85" s="798"/>
      <c r="NIK85" s="798"/>
      <c r="NIL85" s="798"/>
      <c r="NIM85" s="798"/>
      <c r="NIN85" s="798"/>
      <c r="NIO85" s="798"/>
      <c r="NIP85" s="798"/>
      <c r="NIQ85" s="798"/>
      <c r="NIR85" s="798"/>
      <c r="NIS85" s="798"/>
      <c r="NIT85" s="798"/>
      <c r="NIU85" s="798"/>
      <c r="NIV85" s="798"/>
      <c r="NIW85" s="798"/>
      <c r="NIX85" s="798"/>
      <c r="NIY85" s="798"/>
      <c r="NIZ85" s="798"/>
      <c r="NJA85" s="798"/>
      <c r="NJB85" s="798"/>
      <c r="NJC85" s="798"/>
      <c r="NJD85" s="798"/>
      <c r="NJE85" s="798"/>
      <c r="NJF85" s="798"/>
      <c r="NJG85" s="798"/>
      <c r="NJH85" s="798"/>
      <c r="NJI85" s="798"/>
      <c r="NJJ85" s="798"/>
      <c r="NJK85" s="798"/>
      <c r="NJL85" s="798"/>
      <c r="NJM85" s="798"/>
      <c r="NJN85" s="798"/>
      <c r="NJO85" s="798"/>
      <c r="NJP85" s="798"/>
      <c r="NJQ85" s="798"/>
      <c r="NJR85" s="798"/>
      <c r="NJS85" s="798"/>
      <c r="NJT85" s="798"/>
      <c r="NJU85" s="798"/>
      <c r="NJV85" s="798"/>
      <c r="NJW85" s="798"/>
      <c r="NJX85" s="798"/>
      <c r="NJY85" s="798"/>
      <c r="NJZ85" s="798"/>
      <c r="NKA85" s="798"/>
      <c r="NKB85" s="798"/>
      <c r="NKC85" s="798"/>
      <c r="NKD85" s="798"/>
      <c r="NKE85" s="798"/>
      <c r="NKF85" s="798"/>
      <c r="NKG85" s="798"/>
      <c r="NKH85" s="798"/>
      <c r="NKI85" s="798"/>
      <c r="NKJ85" s="798"/>
      <c r="NKK85" s="798"/>
      <c r="NKL85" s="798"/>
      <c r="NKM85" s="798"/>
      <c r="NKN85" s="798"/>
      <c r="NKO85" s="798"/>
      <c r="NKP85" s="798"/>
      <c r="NKQ85" s="798"/>
      <c r="NKR85" s="798"/>
      <c r="NKS85" s="798"/>
      <c r="NKT85" s="798"/>
      <c r="NKU85" s="798"/>
      <c r="NKV85" s="798"/>
      <c r="NKW85" s="798"/>
      <c r="NKX85" s="798"/>
      <c r="NKY85" s="798"/>
      <c r="NKZ85" s="798"/>
      <c r="NLA85" s="798"/>
      <c r="NLB85" s="798"/>
      <c r="NLC85" s="798"/>
      <c r="NLD85" s="798"/>
      <c r="NLE85" s="798"/>
      <c r="NLF85" s="798"/>
      <c r="NLG85" s="798"/>
      <c r="NLH85" s="798"/>
      <c r="NLI85" s="798"/>
      <c r="NLJ85" s="798"/>
      <c r="NLK85" s="798"/>
      <c r="NLL85" s="798"/>
      <c r="NLM85" s="798"/>
      <c r="NLN85" s="798"/>
      <c r="NLO85" s="798"/>
      <c r="NLP85" s="798"/>
      <c r="NLQ85" s="798"/>
      <c r="NLR85" s="798"/>
      <c r="NLS85" s="798"/>
      <c r="NLT85" s="798"/>
      <c r="NLU85" s="798"/>
      <c r="NLV85" s="798"/>
      <c r="NLW85" s="798"/>
      <c r="NLX85" s="798"/>
      <c r="NLY85" s="798"/>
      <c r="NLZ85" s="798"/>
      <c r="NMA85" s="798"/>
      <c r="NMB85" s="798"/>
      <c r="NMC85" s="798"/>
      <c r="NMD85" s="798"/>
      <c r="NME85" s="798"/>
      <c r="NMF85" s="798"/>
      <c r="NMG85" s="798"/>
      <c r="NMH85" s="798"/>
      <c r="NMI85" s="798"/>
      <c r="NMJ85" s="798"/>
      <c r="NMK85" s="798"/>
      <c r="NML85" s="798"/>
      <c r="NMM85" s="798"/>
      <c r="NMN85" s="798"/>
      <c r="NMO85" s="798"/>
      <c r="NMP85" s="798"/>
      <c r="NMQ85" s="798"/>
      <c r="NMR85" s="798"/>
      <c r="NMS85" s="798"/>
      <c r="NMT85" s="798"/>
      <c r="NMU85" s="798"/>
      <c r="NMV85" s="798"/>
      <c r="NMW85" s="798"/>
      <c r="NMX85" s="798"/>
      <c r="NMY85" s="798"/>
      <c r="NMZ85" s="798"/>
      <c r="NNA85" s="798"/>
      <c r="NNB85" s="798"/>
      <c r="NNC85" s="798"/>
      <c r="NND85" s="798"/>
      <c r="NNE85" s="798"/>
      <c r="NNF85" s="798"/>
      <c r="NNG85" s="798"/>
      <c r="NNH85" s="798"/>
      <c r="NNI85" s="798"/>
      <c r="NNJ85" s="798"/>
      <c r="NNK85" s="798"/>
      <c r="NNL85" s="798"/>
      <c r="NNM85" s="798"/>
      <c r="NNN85" s="798"/>
      <c r="NNO85" s="798"/>
      <c r="NNP85" s="798"/>
      <c r="NNQ85" s="798"/>
      <c r="NNR85" s="798"/>
      <c r="NNS85" s="798"/>
      <c r="NNT85" s="798"/>
      <c r="NNU85" s="798"/>
      <c r="NNV85" s="798"/>
      <c r="NNW85" s="798"/>
      <c r="NNX85" s="798"/>
      <c r="NNY85" s="798"/>
      <c r="NNZ85" s="798"/>
      <c r="NOA85" s="798"/>
      <c r="NOB85" s="798"/>
      <c r="NOC85" s="798"/>
      <c r="NOD85" s="798"/>
      <c r="NOE85" s="798"/>
      <c r="NOF85" s="798"/>
      <c r="NOG85" s="798"/>
      <c r="NOH85" s="798"/>
      <c r="NOI85" s="798"/>
      <c r="NOJ85" s="798"/>
      <c r="NOK85" s="798"/>
      <c r="NOL85" s="798"/>
      <c r="NOM85" s="798"/>
      <c r="NON85" s="798"/>
      <c r="NOO85" s="798"/>
      <c r="NOP85" s="798"/>
      <c r="NOQ85" s="798"/>
      <c r="NOR85" s="798"/>
      <c r="NOS85" s="798"/>
      <c r="NOT85" s="798"/>
      <c r="NOU85" s="798"/>
      <c r="NOV85" s="798"/>
      <c r="NOW85" s="798"/>
      <c r="NOX85" s="798"/>
      <c r="NOY85" s="798"/>
      <c r="NOZ85" s="798"/>
      <c r="NPA85" s="798"/>
      <c r="NPB85" s="798"/>
      <c r="NPC85" s="798"/>
      <c r="NPD85" s="798"/>
      <c r="NPE85" s="798"/>
      <c r="NPF85" s="798"/>
      <c r="NPG85" s="798"/>
      <c r="NPH85" s="798"/>
      <c r="NPI85" s="798"/>
      <c r="NPJ85" s="798"/>
      <c r="NPK85" s="798"/>
      <c r="NPL85" s="798"/>
      <c r="NPM85" s="798"/>
      <c r="NPN85" s="798"/>
      <c r="NPO85" s="798"/>
      <c r="NPP85" s="798"/>
      <c r="NPQ85" s="798"/>
      <c r="NPR85" s="798"/>
      <c r="NPS85" s="798"/>
      <c r="NPT85" s="798"/>
      <c r="NPU85" s="798"/>
      <c r="NPV85" s="798"/>
      <c r="NPW85" s="798"/>
      <c r="NPX85" s="798"/>
      <c r="NPY85" s="798"/>
      <c r="NPZ85" s="798"/>
      <c r="NQA85" s="798"/>
      <c r="NQB85" s="798"/>
      <c r="NQC85" s="798"/>
      <c r="NQD85" s="798"/>
      <c r="NQE85" s="798"/>
      <c r="NQF85" s="798"/>
      <c r="NQG85" s="798"/>
      <c r="NQH85" s="798"/>
      <c r="NQI85" s="798"/>
      <c r="NQJ85" s="798"/>
      <c r="NQK85" s="798"/>
      <c r="NQL85" s="798"/>
      <c r="NQM85" s="798"/>
      <c r="NQN85" s="798"/>
      <c r="NQO85" s="798"/>
      <c r="NQP85" s="798"/>
      <c r="NQQ85" s="798"/>
      <c r="NQR85" s="798"/>
      <c r="NQS85" s="798"/>
      <c r="NQT85" s="798"/>
      <c r="NQU85" s="798"/>
      <c r="NQV85" s="798"/>
      <c r="NQW85" s="798"/>
      <c r="NQX85" s="798"/>
      <c r="NQY85" s="798"/>
      <c r="NQZ85" s="798"/>
      <c r="NRA85" s="798"/>
      <c r="NRB85" s="798"/>
      <c r="NRC85" s="798"/>
      <c r="NRD85" s="798"/>
      <c r="NRE85" s="798"/>
      <c r="NRF85" s="798"/>
      <c r="NRG85" s="798"/>
      <c r="NRH85" s="798"/>
      <c r="NRI85" s="798"/>
      <c r="NRJ85" s="798"/>
      <c r="NRK85" s="798"/>
      <c r="NRL85" s="798"/>
      <c r="NRM85" s="798"/>
      <c r="NRN85" s="798"/>
      <c r="NRO85" s="798"/>
      <c r="NRP85" s="798"/>
      <c r="NRQ85" s="798"/>
      <c r="NRR85" s="798"/>
      <c r="NRS85" s="798"/>
      <c r="NRT85" s="798"/>
      <c r="NRU85" s="798"/>
      <c r="NRV85" s="798"/>
      <c r="NRW85" s="798"/>
      <c r="NRX85" s="798"/>
      <c r="NRY85" s="798"/>
      <c r="NRZ85" s="798"/>
      <c r="NSA85" s="798"/>
      <c r="NSB85" s="798"/>
      <c r="NSC85" s="798"/>
      <c r="NSD85" s="798"/>
      <c r="NSE85" s="798"/>
      <c r="NSF85" s="798"/>
      <c r="NSG85" s="798"/>
      <c r="NSH85" s="798"/>
      <c r="NSI85" s="798"/>
      <c r="NSJ85" s="798"/>
      <c r="NSK85" s="798"/>
      <c r="NSL85" s="798"/>
      <c r="NSM85" s="798"/>
      <c r="NSN85" s="798"/>
      <c r="NSO85" s="798"/>
      <c r="NSP85" s="798"/>
      <c r="NSQ85" s="798"/>
      <c r="NSR85" s="798"/>
      <c r="NSS85" s="798"/>
      <c r="NST85" s="798"/>
      <c r="NSU85" s="798"/>
      <c r="NSV85" s="798"/>
      <c r="NSW85" s="798"/>
      <c r="NSX85" s="798"/>
      <c r="NSY85" s="798"/>
      <c r="NSZ85" s="798"/>
      <c r="NTA85" s="798"/>
      <c r="NTB85" s="798"/>
      <c r="NTC85" s="798"/>
      <c r="NTD85" s="798"/>
      <c r="NTE85" s="798"/>
      <c r="NTF85" s="798"/>
      <c r="NTG85" s="798"/>
      <c r="NTH85" s="798"/>
      <c r="NTI85" s="798"/>
      <c r="NTJ85" s="798"/>
      <c r="NTK85" s="798"/>
      <c r="NTL85" s="798"/>
      <c r="NTM85" s="798"/>
      <c r="NTN85" s="798"/>
      <c r="NTO85" s="798"/>
      <c r="NTP85" s="798"/>
      <c r="NTQ85" s="798"/>
      <c r="NTR85" s="798"/>
      <c r="NTS85" s="798"/>
      <c r="NTT85" s="798"/>
      <c r="NTU85" s="798"/>
      <c r="NTV85" s="798"/>
      <c r="NTW85" s="798"/>
      <c r="NTX85" s="798"/>
      <c r="NTY85" s="798"/>
      <c r="NTZ85" s="798"/>
      <c r="NUA85" s="798"/>
      <c r="NUB85" s="798"/>
      <c r="NUC85" s="798"/>
      <c r="NUD85" s="798"/>
      <c r="NUE85" s="798"/>
      <c r="NUF85" s="798"/>
      <c r="NUG85" s="798"/>
      <c r="NUH85" s="798"/>
      <c r="NUI85" s="798"/>
      <c r="NUJ85" s="798"/>
      <c r="NUK85" s="798"/>
      <c r="NUL85" s="798"/>
      <c r="NUM85" s="798"/>
      <c r="NUN85" s="798"/>
      <c r="NUO85" s="798"/>
      <c r="NUP85" s="798"/>
      <c r="NUQ85" s="798"/>
      <c r="NUR85" s="798"/>
      <c r="NUS85" s="798"/>
      <c r="NUT85" s="798"/>
      <c r="NUU85" s="798"/>
      <c r="NUV85" s="798"/>
      <c r="NUW85" s="798"/>
      <c r="NUX85" s="798"/>
      <c r="NUY85" s="798"/>
      <c r="NUZ85" s="798"/>
      <c r="NVA85" s="798"/>
      <c r="NVB85" s="798"/>
      <c r="NVC85" s="798"/>
      <c r="NVD85" s="798"/>
      <c r="NVE85" s="798"/>
      <c r="NVF85" s="798"/>
      <c r="NVG85" s="798"/>
      <c r="NVH85" s="798"/>
      <c r="NVI85" s="798"/>
      <c r="NVJ85" s="798"/>
      <c r="NVK85" s="798"/>
      <c r="NVL85" s="798"/>
      <c r="NVM85" s="798"/>
      <c r="NVN85" s="798"/>
      <c r="NVO85" s="798"/>
      <c r="NVP85" s="798"/>
      <c r="NVQ85" s="798"/>
      <c r="NVR85" s="798"/>
      <c r="NVS85" s="798"/>
      <c r="NVT85" s="798"/>
      <c r="NVU85" s="798"/>
      <c r="NVV85" s="798"/>
      <c r="NVW85" s="798"/>
      <c r="NVX85" s="798"/>
      <c r="NVY85" s="798"/>
      <c r="NVZ85" s="798"/>
      <c r="NWA85" s="798"/>
      <c r="NWB85" s="798"/>
      <c r="NWC85" s="798"/>
      <c r="NWD85" s="798"/>
      <c r="NWE85" s="798"/>
      <c r="NWF85" s="798"/>
      <c r="NWG85" s="798"/>
      <c r="NWH85" s="798"/>
      <c r="NWI85" s="798"/>
      <c r="NWJ85" s="798"/>
      <c r="NWK85" s="798"/>
      <c r="NWL85" s="798"/>
      <c r="NWM85" s="798"/>
      <c r="NWN85" s="798"/>
      <c r="NWO85" s="798"/>
      <c r="NWP85" s="798"/>
      <c r="NWQ85" s="798"/>
      <c r="NWR85" s="798"/>
      <c r="NWS85" s="798"/>
      <c r="NWT85" s="798"/>
      <c r="NWU85" s="798"/>
      <c r="NWV85" s="798"/>
      <c r="NWW85" s="798"/>
      <c r="NWX85" s="798"/>
      <c r="NWY85" s="798"/>
      <c r="NWZ85" s="798"/>
      <c r="NXA85" s="798"/>
      <c r="NXB85" s="798"/>
      <c r="NXC85" s="798"/>
      <c r="NXD85" s="798"/>
      <c r="NXE85" s="798"/>
      <c r="NXF85" s="798"/>
      <c r="NXG85" s="798"/>
      <c r="NXH85" s="798"/>
      <c r="NXI85" s="798"/>
      <c r="NXJ85" s="798"/>
      <c r="NXK85" s="798"/>
      <c r="NXL85" s="798"/>
      <c r="NXM85" s="798"/>
      <c r="NXN85" s="798"/>
      <c r="NXO85" s="798"/>
      <c r="NXP85" s="798"/>
      <c r="NXQ85" s="798"/>
      <c r="NXR85" s="798"/>
      <c r="NXS85" s="798"/>
      <c r="NXT85" s="798"/>
      <c r="NXU85" s="798"/>
      <c r="NXV85" s="798"/>
      <c r="NXW85" s="798"/>
      <c r="NXX85" s="798"/>
      <c r="NXY85" s="798"/>
      <c r="NXZ85" s="798"/>
      <c r="NYA85" s="798"/>
      <c r="NYB85" s="798"/>
      <c r="NYC85" s="798"/>
      <c r="NYD85" s="798"/>
      <c r="NYE85" s="798"/>
      <c r="NYF85" s="798"/>
      <c r="NYG85" s="798"/>
      <c r="NYH85" s="798"/>
      <c r="NYI85" s="798"/>
      <c r="NYJ85" s="798"/>
      <c r="NYK85" s="798"/>
      <c r="NYL85" s="798"/>
      <c r="NYM85" s="798"/>
      <c r="NYN85" s="798"/>
      <c r="NYO85" s="798"/>
      <c r="NYP85" s="798"/>
      <c r="NYQ85" s="798"/>
      <c r="NYR85" s="798"/>
      <c r="NYS85" s="798"/>
      <c r="NYT85" s="798"/>
      <c r="NYU85" s="798"/>
      <c r="NYV85" s="798"/>
      <c r="NYW85" s="798"/>
      <c r="NYX85" s="798"/>
      <c r="NYY85" s="798"/>
      <c r="NYZ85" s="798"/>
      <c r="NZA85" s="798"/>
      <c r="NZB85" s="798"/>
      <c r="NZC85" s="798"/>
      <c r="NZD85" s="798"/>
      <c r="NZE85" s="798"/>
      <c r="NZF85" s="798"/>
      <c r="NZG85" s="798"/>
      <c r="NZH85" s="798"/>
      <c r="NZI85" s="798"/>
      <c r="NZJ85" s="798"/>
      <c r="NZK85" s="798"/>
      <c r="NZL85" s="798"/>
      <c r="NZM85" s="798"/>
      <c r="NZN85" s="798"/>
      <c r="NZO85" s="798"/>
      <c r="NZP85" s="798"/>
      <c r="NZQ85" s="798"/>
      <c r="NZR85" s="798"/>
      <c r="NZS85" s="798"/>
      <c r="NZT85" s="798"/>
      <c r="NZU85" s="798"/>
      <c r="NZV85" s="798"/>
      <c r="NZW85" s="798"/>
      <c r="NZX85" s="798"/>
      <c r="NZY85" s="798"/>
      <c r="NZZ85" s="798"/>
      <c r="OAA85" s="798"/>
      <c r="OAB85" s="798"/>
      <c r="OAC85" s="798"/>
      <c r="OAD85" s="798"/>
      <c r="OAE85" s="798"/>
      <c r="OAF85" s="798"/>
      <c r="OAG85" s="798"/>
      <c r="OAH85" s="798"/>
      <c r="OAI85" s="798"/>
      <c r="OAJ85" s="798"/>
      <c r="OAK85" s="798"/>
      <c r="OAL85" s="798"/>
      <c r="OAM85" s="798"/>
      <c r="OAN85" s="798"/>
      <c r="OAO85" s="798"/>
      <c r="OAP85" s="798"/>
      <c r="OAQ85" s="798"/>
      <c r="OAR85" s="798"/>
      <c r="OAS85" s="798"/>
      <c r="OAT85" s="798"/>
      <c r="OAU85" s="798"/>
      <c r="OAV85" s="798"/>
      <c r="OAW85" s="798"/>
      <c r="OAX85" s="798"/>
      <c r="OAY85" s="798"/>
      <c r="OAZ85" s="798"/>
      <c r="OBA85" s="798"/>
      <c r="OBB85" s="798"/>
      <c r="OBC85" s="798"/>
      <c r="OBD85" s="798"/>
      <c r="OBE85" s="798"/>
      <c r="OBF85" s="798"/>
      <c r="OBG85" s="798"/>
      <c r="OBH85" s="798"/>
      <c r="OBI85" s="798"/>
      <c r="OBJ85" s="798"/>
      <c r="OBK85" s="798"/>
      <c r="OBL85" s="798"/>
      <c r="OBM85" s="798"/>
      <c r="OBN85" s="798"/>
      <c r="OBO85" s="798"/>
      <c r="OBP85" s="798"/>
      <c r="OBQ85" s="798"/>
      <c r="OBR85" s="798"/>
      <c r="OBS85" s="798"/>
      <c r="OBT85" s="798"/>
      <c r="OBU85" s="798"/>
      <c r="OBV85" s="798"/>
      <c r="OBW85" s="798"/>
      <c r="OBX85" s="798"/>
      <c r="OBY85" s="798"/>
      <c r="OBZ85" s="798"/>
      <c r="OCA85" s="798"/>
      <c r="OCB85" s="798"/>
      <c r="OCC85" s="798"/>
      <c r="OCD85" s="798"/>
      <c r="OCE85" s="798"/>
      <c r="OCF85" s="798"/>
      <c r="OCG85" s="798"/>
      <c r="OCH85" s="798"/>
      <c r="OCI85" s="798"/>
      <c r="OCJ85" s="798"/>
      <c r="OCK85" s="798"/>
      <c r="OCL85" s="798"/>
      <c r="OCM85" s="798"/>
      <c r="OCN85" s="798"/>
      <c r="OCO85" s="798"/>
      <c r="OCP85" s="798"/>
      <c r="OCQ85" s="798"/>
      <c r="OCR85" s="798"/>
      <c r="OCS85" s="798"/>
      <c r="OCT85" s="798"/>
      <c r="OCU85" s="798"/>
      <c r="OCV85" s="798"/>
      <c r="OCW85" s="798"/>
      <c r="OCX85" s="798"/>
      <c r="OCY85" s="798"/>
      <c r="OCZ85" s="798"/>
      <c r="ODA85" s="798"/>
      <c r="ODB85" s="798"/>
      <c r="ODC85" s="798"/>
      <c r="ODD85" s="798"/>
      <c r="ODE85" s="798"/>
      <c r="ODF85" s="798"/>
      <c r="ODG85" s="798"/>
      <c r="ODH85" s="798"/>
      <c r="ODI85" s="798"/>
      <c r="ODJ85" s="798"/>
      <c r="ODK85" s="798"/>
      <c r="ODL85" s="798"/>
      <c r="ODM85" s="798"/>
      <c r="ODN85" s="798"/>
      <c r="ODO85" s="798"/>
      <c r="ODP85" s="798"/>
      <c r="ODQ85" s="798"/>
      <c r="ODR85" s="798"/>
      <c r="ODS85" s="798"/>
      <c r="ODT85" s="798"/>
      <c r="ODU85" s="798"/>
      <c r="ODV85" s="798"/>
      <c r="ODW85" s="798"/>
      <c r="ODX85" s="798"/>
      <c r="ODY85" s="798"/>
      <c r="ODZ85" s="798"/>
      <c r="OEA85" s="798"/>
      <c r="OEB85" s="798"/>
      <c r="OEC85" s="798"/>
      <c r="OED85" s="798"/>
      <c r="OEE85" s="798"/>
      <c r="OEF85" s="798"/>
      <c r="OEG85" s="798"/>
      <c r="OEH85" s="798"/>
      <c r="OEI85" s="798"/>
      <c r="OEJ85" s="798"/>
      <c r="OEK85" s="798"/>
      <c r="OEL85" s="798"/>
      <c r="OEM85" s="798"/>
      <c r="OEN85" s="798"/>
      <c r="OEO85" s="798"/>
      <c r="OEP85" s="798"/>
      <c r="OEQ85" s="798"/>
      <c r="OER85" s="798"/>
      <c r="OES85" s="798"/>
      <c r="OET85" s="798"/>
      <c r="OEU85" s="798"/>
      <c r="OEV85" s="798"/>
      <c r="OEW85" s="798"/>
      <c r="OEX85" s="798"/>
      <c r="OEY85" s="798"/>
      <c r="OEZ85" s="798"/>
      <c r="OFA85" s="798"/>
      <c r="OFB85" s="798"/>
      <c r="OFC85" s="798"/>
      <c r="OFD85" s="798"/>
      <c r="OFE85" s="798"/>
      <c r="OFF85" s="798"/>
      <c r="OFG85" s="798"/>
      <c r="OFH85" s="798"/>
      <c r="OFI85" s="798"/>
      <c r="OFJ85" s="798"/>
      <c r="OFK85" s="798"/>
      <c r="OFL85" s="798"/>
      <c r="OFM85" s="798"/>
      <c r="OFN85" s="798"/>
      <c r="OFO85" s="798"/>
      <c r="OFP85" s="798"/>
      <c r="OFQ85" s="798"/>
      <c r="OFR85" s="798"/>
      <c r="OFS85" s="798"/>
      <c r="OFT85" s="798"/>
      <c r="OFU85" s="798"/>
      <c r="OFV85" s="798"/>
      <c r="OFW85" s="798"/>
      <c r="OFX85" s="798"/>
      <c r="OFY85" s="798"/>
      <c r="OFZ85" s="798"/>
      <c r="OGA85" s="798"/>
      <c r="OGB85" s="798"/>
      <c r="OGC85" s="798"/>
      <c r="OGD85" s="798"/>
      <c r="OGE85" s="798"/>
      <c r="OGF85" s="798"/>
      <c r="OGG85" s="798"/>
      <c r="OGH85" s="798"/>
      <c r="OGI85" s="798"/>
      <c r="OGJ85" s="798"/>
      <c r="OGK85" s="798"/>
      <c r="OGL85" s="798"/>
      <c r="OGM85" s="798"/>
      <c r="OGN85" s="798"/>
      <c r="OGO85" s="798"/>
      <c r="OGP85" s="798"/>
      <c r="OGQ85" s="798"/>
      <c r="OGR85" s="798"/>
      <c r="OGS85" s="798"/>
      <c r="OGT85" s="798"/>
      <c r="OGU85" s="798"/>
      <c r="OGV85" s="798"/>
      <c r="OGW85" s="798"/>
      <c r="OGX85" s="798"/>
      <c r="OGY85" s="798"/>
      <c r="OGZ85" s="798"/>
      <c r="OHA85" s="798"/>
      <c r="OHB85" s="798"/>
      <c r="OHC85" s="798"/>
      <c r="OHD85" s="798"/>
      <c r="OHE85" s="798"/>
      <c r="OHF85" s="798"/>
      <c r="OHG85" s="798"/>
      <c r="OHH85" s="798"/>
      <c r="OHI85" s="798"/>
      <c r="OHJ85" s="798"/>
      <c r="OHK85" s="798"/>
      <c r="OHL85" s="798"/>
      <c r="OHM85" s="798"/>
      <c r="OHN85" s="798"/>
      <c r="OHO85" s="798"/>
      <c r="OHP85" s="798"/>
      <c r="OHQ85" s="798"/>
      <c r="OHR85" s="798"/>
      <c r="OHS85" s="798"/>
      <c r="OHT85" s="798"/>
      <c r="OHU85" s="798"/>
      <c r="OHV85" s="798"/>
      <c r="OHW85" s="798"/>
      <c r="OHX85" s="798"/>
      <c r="OHY85" s="798"/>
      <c r="OHZ85" s="798"/>
      <c r="OIA85" s="798"/>
      <c r="OIB85" s="798"/>
      <c r="OIC85" s="798"/>
      <c r="OID85" s="798"/>
      <c r="OIE85" s="798"/>
      <c r="OIF85" s="798"/>
      <c r="OIG85" s="798"/>
      <c r="OIH85" s="798"/>
      <c r="OII85" s="798"/>
      <c r="OIJ85" s="798"/>
      <c r="OIK85" s="798"/>
      <c r="OIL85" s="798"/>
      <c r="OIM85" s="798"/>
      <c r="OIN85" s="798"/>
      <c r="OIO85" s="798"/>
      <c r="OIP85" s="798"/>
      <c r="OIQ85" s="798"/>
      <c r="OIR85" s="798"/>
      <c r="OIS85" s="798"/>
      <c r="OIT85" s="798"/>
      <c r="OIU85" s="798"/>
      <c r="OIV85" s="798"/>
      <c r="OIW85" s="798"/>
      <c r="OIX85" s="798"/>
      <c r="OIY85" s="798"/>
      <c r="OIZ85" s="798"/>
      <c r="OJA85" s="798"/>
      <c r="OJB85" s="798"/>
      <c r="OJC85" s="798"/>
      <c r="OJD85" s="798"/>
      <c r="OJE85" s="798"/>
      <c r="OJF85" s="798"/>
      <c r="OJG85" s="798"/>
      <c r="OJH85" s="798"/>
      <c r="OJI85" s="798"/>
      <c r="OJJ85" s="798"/>
      <c r="OJK85" s="798"/>
      <c r="OJL85" s="798"/>
      <c r="OJM85" s="798"/>
      <c r="OJN85" s="798"/>
      <c r="OJO85" s="798"/>
      <c r="OJP85" s="798"/>
      <c r="OJQ85" s="798"/>
      <c r="OJR85" s="798"/>
      <c r="OJS85" s="798"/>
      <c r="OJT85" s="798"/>
      <c r="OJU85" s="798"/>
      <c r="OJV85" s="798"/>
      <c r="OJW85" s="798"/>
      <c r="OJX85" s="798"/>
      <c r="OJY85" s="798"/>
      <c r="OJZ85" s="798"/>
      <c r="OKA85" s="798"/>
      <c r="OKB85" s="798"/>
      <c r="OKC85" s="798"/>
      <c r="OKD85" s="798"/>
      <c r="OKE85" s="798"/>
      <c r="OKF85" s="798"/>
      <c r="OKG85" s="798"/>
      <c r="OKH85" s="798"/>
      <c r="OKI85" s="798"/>
      <c r="OKJ85" s="798"/>
      <c r="OKK85" s="798"/>
      <c r="OKL85" s="798"/>
      <c r="OKM85" s="798"/>
      <c r="OKN85" s="798"/>
      <c r="OKO85" s="798"/>
      <c r="OKP85" s="798"/>
      <c r="OKQ85" s="798"/>
      <c r="OKR85" s="798"/>
      <c r="OKS85" s="798"/>
      <c r="OKT85" s="798"/>
      <c r="OKU85" s="798"/>
      <c r="OKV85" s="798"/>
      <c r="OKW85" s="798"/>
      <c r="OKX85" s="798"/>
      <c r="OKY85" s="798"/>
      <c r="OKZ85" s="798"/>
      <c r="OLA85" s="798"/>
      <c r="OLB85" s="798"/>
      <c r="OLC85" s="798"/>
      <c r="OLD85" s="798"/>
      <c r="OLE85" s="798"/>
      <c r="OLF85" s="798"/>
      <c r="OLG85" s="798"/>
      <c r="OLH85" s="798"/>
      <c r="OLI85" s="798"/>
      <c r="OLJ85" s="798"/>
      <c r="OLK85" s="798"/>
      <c r="OLL85" s="798"/>
      <c r="OLM85" s="798"/>
      <c r="OLN85" s="798"/>
      <c r="OLO85" s="798"/>
      <c r="OLP85" s="798"/>
      <c r="OLQ85" s="798"/>
      <c r="OLR85" s="798"/>
      <c r="OLS85" s="798"/>
      <c r="OLT85" s="798"/>
      <c r="OLU85" s="798"/>
      <c r="OLV85" s="798"/>
      <c r="OLW85" s="798"/>
      <c r="OLX85" s="798"/>
      <c r="OLY85" s="798"/>
      <c r="OLZ85" s="798"/>
      <c r="OMA85" s="798"/>
      <c r="OMB85" s="798"/>
      <c r="OMC85" s="798"/>
      <c r="OMD85" s="798"/>
      <c r="OME85" s="798"/>
      <c r="OMF85" s="798"/>
      <c r="OMG85" s="798"/>
      <c r="OMH85" s="798"/>
      <c r="OMI85" s="798"/>
      <c r="OMJ85" s="798"/>
      <c r="OMK85" s="798"/>
      <c r="OML85" s="798"/>
      <c r="OMM85" s="798"/>
      <c r="OMN85" s="798"/>
      <c r="OMO85" s="798"/>
      <c r="OMP85" s="798"/>
      <c r="OMQ85" s="798"/>
      <c r="OMR85" s="798"/>
      <c r="OMS85" s="798"/>
      <c r="OMT85" s="798"/>
      <c r="OMU85" s="798"/>
      <c r="OMV85" s="798"/>
      <c r="OMW85" s="798"/>
      <c r="OMX85" s="798"/>
      <c r="OMY85" s="798"/>
      <c r="OMZ85" s="798"/>
      <c r="ONA85" s="798"/>
      <c r="ONB85" s="798"/>
      <c r="ONC85" s="798"/>
      <c r="OND85" s="798"/>
      <c r="ONE85" s="798"/>
      <c r="ONF85" s="798"/>
      <c r="ONG85" s="798"/>
      <c r="ONH85" s="798"/>
      <c r="ONI85" s="798"/>
      <c r="ONJ85" s="798"/>
      <c r="ONK85" s="798"/>
      <c r="ONL85" s="798"/>
      <c r="ONM85" s="798"/>
      <c r="ONN85" s="798"/>
      <c r="ONO85" s="798"/>
      <c r="ONP85" s="798"/>
      <c r="ONQ85" s="798"/>
      <c r="ONR85" s="798"/>
      <c r="ONS85" s="798"/>
      <c r="ONT85" s="798"/>
      <c r="ONU85" s="798"/>
      <c r="ONV85" s="798"/>
      <c r="ONW85" s="798"/>
      <c r="ONX85" s="798"/>
      <c r="ONY85" s="798"/>
      <c r="ONZ85" s="798"/>
      <c r="OOA85" s="798"/>
      <c r="OOB85" s="798"/>
      <c r="OOC85" s="798"/>
      <c r="OOD85" s="798"/>
      <c r="OOE85" s="798"/>
      <c r="OOF85" s="798"/>
      <c r="OOG85" s="798"/>
      <c r="OOH85" s="798"/>
      <c r="OOI85" s="798"/>
      <c r="OOJ85" s="798"/>
      <c r="OOK85" s="798"/>
      <c r="OOL85" s="798"/>
      <c r="OOM85" s="798"/>
      <c r="OON85" s="798"/>
      <c r="OOO85" s="798"/>
      <c r="OOP85" s="798"/>
      <c r="OOQ85" s="798"/>
      <c r="OOR85" s="798"/>
      <c r="OOS85" s="798"/>
      <c r="OOT85" s="798"/>
      <c r="OOU85" s="798"/>
      <c r="OOV85" s="798"/>
      <c r="OOW85" s="798"/>
      <c r="OOX85" s="798"/>
      <c r="OOY85" s="798"/>
      <c r="OOZ85" s="798"/>
      <c r="OPA85" s="798"/>
      <c r="OPB85" s="798"/>
      <c r="OPC85" s="798"/>
      <c r="OPD85" s="798"/>
      <c r="OPE85" s="798"/>
      <c r="OPF85" s="798"/>
      <c r="OPG85" s="798"/>
      <c r="OPH85" s="798"/>
      <c r="OPI85" s="798"/>
      <c r="OPJ85" s="798"/>
      <c r="OPK85" s="798"/>
      <c r="OPL85" s="798"/>
      <c r="OPM85" s="798"/>
      <c r="OPN85" s="798"/>
      <c r="OPO85" s="798"/>
      <c r="OPP85" s="798"/>
      <c r="OPQ85" s="798"/>
      <c r="OPR85" s="798"/>
      <c r="OPS85" s="798"/>
      <c r="OPT85" s="798"/>
      <c r="OPU85" s="798"/>
      <c r="OPV85" s="798"/>
      <c r="OPW85" s="798"/>
      <c r="OPX85" s="798"/>
      <c r="OPY85" s="798"/>
      <c r="OPZ85" s="798"/>
      <c r="OQA85" s="798"/>
      <c r="OQB85" s="798"/>
      <c r="OQC85" s="798"/>
      <c r="OQD85" s="798"/>
      <c r="OQE85" s="798"/>
      <c r="OQF85" s="798"/>
      <c r="OQG85" s="798"/>
      <c r="OQH85" s="798"/>
      <c r="OQI85" s="798"/>
      <c r="OQJ85" s="798"/>
      <c r="OQK85" s="798"/>
      <c r="OQL85" s="798"/>
      <c r="OQM85" s="798"/>
      <c r="OQN85" s="798"/>
      <c r="OQO85" s="798"/>
      <c r="OQP85" s="798"/>
      <c r="OQQ85" s="798"/>
      <c r="OQR85" s="798"/>
      <c r="OQS85" s="798"/>
      <c r="OQT85" s="798"/>
      <c r="OQU85" s="798"/>
      <c r="OQV85" s="798"/>
      <c r="OQW85" s="798"/>
      <c r="OQX85" s="798"/>
      <c r="OQY85" s="798"/>
      <c r="OQZ85" s="798"/>
      <c r="ORA85" s="798"/>
      <c r="ORB85" s="798"/>
      <c r="ORC85" s="798"/>
      <c r="ORD85" s="798"/>
      <c r="ORE85" s="798"/>
      <c r="ORF85" s="798"/>
      <c r="ORG85" s="798"/>
      <c r="ORH85" s="798"/>
      <c r="ORI85" s="798"/>
      <c r="ORJ85" s="798"/>
      <c r="ORK85" s="798"/>
      <c r="ORL85" s="798"/>
      <c r="ORM85" s="798"/>
      <c r="ORN85" s="798"/>
      <c r="ORO85" s="798"/>
      <c r="ORP85" s="798"/>
      <c r="ORQ85" s="798"/>
      <c r="ORR85" s="798"/>
      <c r="ORS85" s="798"/>
      <c r="ORT85" s="798"/>
      <c r="ORU85" s="798"/>
      <c r="ORV85" s="798"/>
      <c r="ORW85" s="798"/>
      <c r="ORX85" s="798"/>
      <c r="ORY85" s="798"/>
      <c r="ORZ85" s="798"/>
      <c r="OSA85" s="798"/>
      <c r="OSB85" s="798"/>
      <c r="OSC85" s="798"/>
      <c r="OSD85" s="798"/>
      <c r="OSE85" s="798"/>
      <c r="OSF85" s="798"/>
      <c r="OSG85" s="798"/>
      <c r="OSH85" s="798"/>
      <c r="OSI85" s="798"/>
      <c r="OSJ85" s="798"/>
      <c r="OSK85" s="798"/>
      <c r="OSL85" s="798"/>
      <c r="OSM85" s="798"/>
      <c r="OSN85" s="798"/>
      <c r="OSO85" s="798"/>
      <c r="OSP85" s="798"/>
      <c r="OSQ85" s="798"/>
      <c r="OSR85" s="798"/>
      <c r="OSS85" s="798"/>
      <c r="OST85" s="798"/>
      <c r="OSU85" s="798"/>
      <c r="OSV85" s="798"/>
      <c r="OSW85" s="798"/>
      <c r="OSX85" s="798"/>
      <c r="OSY85" s="798"/>
      <c r="OSZ85" s="798"/>
      <c r="OTA85" s="798"/>
      <c r="OTB85" s="798"/>
      <c r="OTC85" s="798"/>
      <c r="OTD85" s="798"/>
      <c r="OTE85" s="798"/>
      <c r="OTF85" s="798"/>
      <c r="OTG85" s="798"/>
      <c r="OTH85" s="798"/>
      <c r="OTI85" s="798"/>
      <c r="OTJ85" s="798"/>
      <c r="OTK85" s="798"/>
      <c r="OTL85" s="798"/>
      <c r="OTM85" s="798"/>
      <c r="OTN85" s="798"/>
      <c r="OTO85" s="798"/>
      <c r="OTP85" s="798"/>
      <c r="OTQ85" s="798"/>
      <c r="OTR85" s="798"/>
      <c r="OTS85" s="798"/>
      <c r="OTT85" s="798"/>
      <c r="OTU85" s="798"/>
      <c r="OTV85" s="798"/>
      <c r="OTW85" s="798"/>
      <c r="OTX85" s="798"/>
      <c r="OTY85" s="798"/>
      <c r="OTZ85" s="798"/>
      <c r="OUA85" s="798"/>
      <c r="OUB85" s="798"/>
      <c r="OUC85" s="798"/>
      <c r="OUD85" s="798"/>
      <c r="OUE85" s="798"/>
      <c r="OUF85" s="798"/>
      <c r="OUG85" s="798"/>
      <c r="OUH85" s="798"/>
      <c r="OUI85" s="798"/>
      <c r="OUJ85" s="798"/>
      <c r="OUK85" s="798"/>
      <c r="OUL85" s="798"/>
      <c r="OUM85" s="798"/>
      <c r="OUN85" s="798"/>
      <c r="OUO85" s="798"/>
      <c r="OUP85" s="798"/>
      <c r="OUQ85" s="798"/>
      <c r="OUR85" s="798"/>
      <c r="OUS85" s="798"/>
      <c r="OUT85" s="798"/>
      <c r="OUU85" s="798"/>
      <c r="OUV85" s="798"/>
      <c r="OUW85" s="798"/>
      <c r="OUX85" s="798"/>
      <c r="OUY85" s="798"/>
      <c r="OUZ85" s="798"/>
      <c r="OVA85" s="798"/>
      <c r="OVB85" s="798"/>
      <c r="OVC85" s="798"/>
      <c r="OVD85" s="798"/>
      <c r="OVE85" s="798"/>
      <c r="OVF85" s="798"/>
      <c r="OVG85" s="798"/>
      <c r="OVH85" s="798"/>
      <c r="OVI85" s="798"/>
      <c r="OVJ85" s="798"/>
      <c r="OVK85" s="798"/>
      <c r="OVL85" s="798"/>
      <c r="OVM85" s="798"/>
      <c r="OVN85" s="798"/>
      <c r="OVO85" s="798"/>
      <c r="OVP85" s="798"/>
      <c r="OVQ85" s="798"/>
      <c r="OVR85" s="798"/>
      <c r="OVS85" s="798"/>
      <c r="OVT85" s="798"/>
      <c r="OVU85" s="798"/>
      <c r="OVV85" s="798"/>
      <c r="OVW85" s="798"/>
      <c r="OVX85" s="798"/>
      <c r="OVY85" s="798"/>
      <c r="OVZ85" s="798"/>
      <c r="OWA85" s="798"/>
      <c r="OWB85" s="798"/>
      <c r="OWC85" s="798"/>
      <c r="OWD85" s="798"/>
      <c r="OWE85" s="798"/>
      <c r="OWF85" s="798"/>
      <c r="OWG85" s="798"/>
      <c r="OWH85" s="798"/>
      <c r="OWI85" s="798"/>
      <c r="OWJ85" s="798"/>
      <c r="OWK85" s="798"/>
      <c r="OWL85" s="798"/>
      <c r="OWM85" s="798"/>
      <c r="OWN85" s="798"/>
      <c r="OWO85" s="798"/>
      <c r="OWP85" s="798"/>
      <c r="OWQ85" s="798"/>
      <c r="OWR85" s="798"/>
      <c r="OWS85" s="798"/>
      <c r="OWT85" s="798"/>
      <c r="OWU85" s="798"/>
      <c r="OWV85" s="798"/>
      <c r="OWW85" s="798"/>
      <c r="OWX85" s="798"/>
      <c r="OWY85" s="798"/>
      <c r="OWZ85" s="798"/>
      <c r="OXA85" s="798"/>
      <c r="OXB85" s="798"/>
      <c r="OXC85" s="798"/>
      <c r="OXD85" s="798"/>
      <c r="OXE85" s="798"/>
      <c r="OXF85" s="798"/>
      <c r="OXG85" s="798"/>
      <c r="OXH85" s="798"/>
      <c r="OXI85" s="798"/>
      <c r="OXJ85" s="798"/>
      <c r="OXK85" s="798"/>
      <c r="OXL85" s="798"/>
      <c r="OXM85" s="798"/>
      <c r="OXN85" s="798"/>
      <c r="OXO85" s="798"/>
      <c r="OXP85" s="798"/>
      <c r="OXQ85" s="798"/>
      <c r="OXR85" s="798"/>
      <c r="OXS85" s="798"/>
      <c r="OXT85" s="798"/>
      <c r="OXU85" s="798"/>
      <c r="OXV85" s="798"/>
      <c r="OXW85" s="798"/>
      <c r="OXX85" s="798"/>
      <c r="OXY85" s="798"/>
      <c r="OXZ85" s="798"/>
      <c r="OYA85" s="798"/>
      <c r="OYB85" s="798"/>
      <c r="OYC85" s="798"/>
      <c r="OYD85" s="798"/>
      <c r="OYE85" s="798"/>
      <c r="OYF85" s="798"/>
      <c r="OYG85" s="798"/>
      <c r="OYH85" s="798"/>
      <c r="OYI85" s="798"/>
      <c r="OYJ85" s="798"/>
      <c r="OYK85" s="798"/>
      <c r="OYL85" s="798"/>
      <c r="OYM85" s="798"/>
      <c r="OYN85" s="798"/>
      <c r="OYO85" s="798"/>
      <c r="OYP85" s="798"/>
      <c r="OYQ85" s="798"/>
      <c r="OYR85" s="798"/>
      <c r="OYS85" s="798"/>
      <c r="OYT85" s="798"/>
      <c r="OYU85" s="798"/>
      <c r="OYV85" s="798"/>
      <c r="OYW85" s="798"/>
      <c r="OYX85" s="798"/>
      <c r="OYY85" s="798"/>
      <c r="OYZ85" s="798"/>
      <c r="OZA85" s="798"/>
      <c r="OZB85" s="798"/>
      <c r="OZC85" s="798"/>
      <c r="OZD85" s="798"/>
      <c r="OZE85" s="798"/>
      <c r="OZF85" s="798"/>
      <c r="OZG85" s="798"/>
      <c r="OZH85" s="798"/>
      <c r="OZI85" s="798"/>
      <c r="OZJ85" s="798"/>
      <c r="OZK85" s="798"/>
      <c r="OZL85" s="798"/>
      <c r="OZM85" s="798"/>
      <c r="OZN85" s="798"/>
      <c r="OZO85" s="798"/>
      <c r="OZP85" s="798"/>
      <c r="OZQ85" s="798"/>
      <c r="OZR85" s="798"/>
      <c r="OZS85" s="798"/>
      <c r="OZT85" s="798"/>
      <c r="OZU85" s="798"/>
      <c r="OZV85" s="798"/>
      <c r="OZW85" s="798"/>
      <c r="OZX85" s="798"/>
      <c r="OZY85" s="798"/>
      <c r="OZZ85" s="798"/>
      <c r="PAA85" s="798"/>
      <c r="PAB85" s="798"/>
      <c r="PAC85" s="798"/>
      <c r="PAD85" s="798"/>
      <c r="PAE85" s="798"/>
      <c r="PAF85" s="798"/>
      <c r="PAG85" s="798"/>
      <c r="PAH85" s="798"/>
      <c r="PAI85" s="798"/>
      <c r="PAJ85" s="798"/>
      <c r="PAK85" s="798"/>
      <c r="PAL85" s="798"/>
      <c r="PAM85" s="798"/>
      <c r="PAN85" s="798"/>
      <c r="PAO85" s="798"/>
      <c r="PAP85" s="798"/>
      <c r="PAQ85" s="798"/>
      <c r="PAR85" s="798"/>
      <c r="PAS85" s="798"/>
      <c r="PAT85" s="798"/>
      <c r="PAU85" s="798"/>
      <c r="PAV85" s="798"/>
      <c r="PAW85" s="798"/>
      <c r="PAX85" s="798"/>
      <c r="PAY85" s="798"/>
      <c r="PAZ85" s="798"/>
      <c r="PBA85" s="798"/>
      <c r="PBB85" s="798"/>
      <c r="PBC85" s="798"/>
      <c r="PBD85" s="798"/>
      <c r="PBE85" s="798"/>
      <c r="PBF85" s="798"/>
      <c r="PBG85" s="798"/>
      <c r="PBH85" s="798"/>
      <c r="PBI85" s="798"/>
      <c r="PBJ85" s="798"/>
      <c r="PBK85" s="798"/>
      <c r="PBL85" s="798"/>
      <c r="PBM85" s="798"/>
      <c r="PBN85" s="798"/>
      <c r="PBO85" s="798"/>
      <c r="PBP85" s="798"/>
      <c r="PBQ85" s="798"/>
      <c r="PBR85" s="798"/>
      <c r="PBS85" s="798"/>
      <c r="PBT85" s="798"/>
      <c r="PBU85" s="798"/>
      <c r="PBV85" s="798"/>
      <c r="PBW85" s="798"/>
      <c r="PBX85" s="798"/>
      <c r="PBY85" s="798"/>
      <c r="PBZ85" s="798"/>
      <c r="PCA85" s="798"/>
      <c r="PCB85" s="798"/>
      <c r="PCC85" s="798"/>
      <c r="PCD85" s="798"/>
      <c r="PCE85" s="798"/>
      <c r="PCF85" s="798"/>
      <c r="PCG85" s="798"/>
      <c r="PCH85" s="798"/>
      <c r="PCI85" s="798"/>
      <c r="PCJ85" s="798"/>
      <c r="PCK85" s="798"/>
      <c r="PCL85" s="798"/>
      <c r="PCM85" s="798"/>
      <c r="PCN85" s="798"/>
      <c r="PCO85" s="798"/>
      <c r="PCP85" s="798"/>
      <c r="PCQ85" s="798"/>
      <c r="PCR85" s="798"/>
      <c r="PCS85" s="798"/>
      <c r="PCT85" s="798"/>
      <c r="PCU85" s="798"/>
      <c r="PCV85" s="798"/>
      <c r="PCW85" s="798"/>
      <c r="PCX85" s="798"/>
      <c r="PCY85" s="798"/>
      <c r="PCZ85" s="798"/>
      <c r="PDA85" s="798"/>
      <c r="PDB85" s="798"/>
      <c r="PDC85" s="798"/>
      <c r="PDD85" s="798"/>
      <c r="PDE85" s="798"/>
      <c r="PDF85" s="798"/>
      <c r="PDG85" s="798"/>
      <c r="PDH85" s="798"/>
      <c r="PDI85" s="798"/>
      <c r="PDJ85" s="798"/>
      <c r="PDK85" s="798"/>
      <c r="PDL85" s="798"/>
      <c r="PDM85" s="798"/>
      <c r="PDN85" s="798"/>
      <c r="PDO85" s="798"/>
      <c r="PDP85" s="798"/>
      <c r="PDQ85" s="798"/>
      <c r="PDR85" s="798"/>
      <c r="PDS85" s="798"/>
      <c r="PDT85" s="798"/>
      <c r="PDU85" s="798"/>
      <c r="PDV85" s="798"/>
      <c r="PDW85" s="798"/>
      <c r="PDX85" s="798"/>
      <c r="PDY85" s="798"/>
      <c r="PDZ85" s="798"/>
      <c r="PEA85" s="798"/>
      <c r="PEB85" s="798"/>
      <c r="PEC85" s="798"/>
      <c r="PED85" s="798"/>
      <c r="PEE85" s="798"/>
      <c r="PEF85" s="798"/>
      <c r="PEG85" s="798"/>
      <c r="PEH85" s="798"/>
      <c r="PEI85" s="798"/>
      <c r="PEJ85" s="798"/>
      <c r="PEK85" s="798"/>
      <c r="PEL85" s="798"/>
      <c r="PEM85" s="798"/>
      <c r="PEN85" s="798"/>
      <c r="PEO85" s="798"/>
      <c r="PEP85" s="798"/>
      <c r="PEQ85" s="798"/>
      <c r="PER85" s="798"/>
      <c r="PES85" s="798"/>
      <c r="PET85" s="798"/>
      <c r="PEU85" s="798"/>
      <c r="PEV85" s="798"/>
      <c r="PEW85" s="798"/>
      <c r="PEX85" s="798"/>
      <c r="PEY85" s="798"/>
      <c r="PEZ85" s="798"/>
      <c r="PFA85" s="798"/>
      <c r="PFB85" s="798"/>
      <c r="PFC85" s="798"/>
      <c r="PFD85" s="798"/>
      <c r="PFE85" s="798"/>
      <c r="PFF85" s="798"/>
      <c r="PFG85" s="798"/>
      <c r="PFH85" s="798"/>
      <c r="PFI85" s="798"/>
      <c r="PFJ85" s="798"/>
      <c r="PFK85" s="798"/>
      <c r="PFL85" s="798"/>
      <c r="PFM85" s="798"/>
      <c r="PFN85" s="798"/>
      <c r="PFO85" s="798"/>
      <c r="PFP85" s="798"/>
      <c r="PFQ85" s="798"/>
      <c r="PFR85" s="798"/>
      <c r="PFS85" s="798"/>
      <c r="PFT85" s="798"/>
      <c r="PFU85" s="798"/>
      <c r="PFV85" s="798"/>
      <c r="PFW85" s="798"/>
      <c r="PFX85" s="798"/>
      <c r="PFY85" s="798"/>
      <c r="PFZ85" s="798"/>
      <c r="PGA85" s="798"/>
      <c r="PGB85" s="798"/>
      <c r="PGC85" s="798"/>
      <c r="PGD85" s="798"/>
      <c r="PGE85" s="798"/>
      <c r="PGF85" s="798"/>
      <c r="PGG85" s="798"/>
      <c r="PGH85" s="798"/>
      <c r="PGI85" s="798"/>
      <c r="PGJ85" s="798"/>
      <c r="PGK85" s="798"/>
      <c r="PGL85" s="798"/>
      <c r="PGM85" s="798"/>
      <c r="PGN85" s="798"/>
      <c r="PGO85" s="798"/>
      <c r="PGP85" s="798"/>
      <c r="PGQ85" s="798"/>
      <c r="PGR85" s="798"/>
      <c r="PGS85" s="798"/>
      <c r="PGT85" s="798"/>
      <c r="PGU85" s="798"/>
      <c r="PGV85" s="798"/>
      <c r="PGW85" s="798"/>
      <c r="PGX85" s="798"/>
      <c r="PGY85" s="798"/>
      <c r="PGZ85" s="798"/>
      <c r="PHA85" s="798"/>
      <c r="PHB85" s="798"/>
      <c r="PHC85" s="798"/>
      <c r="PHD85" s="798"/>
      <c r="PHE85" s="798"/>
      <c r="PHF85" s="798"/>
      <c r="PHG85" s="798"/>
      <c r="PHH85" s="798"/>
      <c r="PHI85" s="798"/>
      <c r="PHJ85" s="798"/>
      <c r="PHK85" s="798"/>
      <c r="PHL85" s="798"/>
      <c r="PHM85" s="798"/>
      <c r="PHN85" s="798"/>
      <c r="PHO85" s="798"/>
      <c r="PHP85" s="798"/>
      <c r="PHQ85" s="798"/>
      <c r="PHR85" s="798"/>
      <c r="PHS85" s="798"/>
      <c r="PHT85" s="798"/>
      <c r="PHU85" s="798"/>
      <c r="PHV85" s="798"/>
      <c r="PHW85" s="798"/>
      <c r="PHX85" s="798"/>
      <c r="PHY85" s="798"/>
      <c r="PHZ85" s="798"/>
      <c r="PIA85" s="798"/>
      <c r="PIB85" s="798"/>
      <c r="PIC85" s="798"/>
      <c r="PID85" s="798"/>
      <c r="PIE85" s="798"/>
      <c r="PIF85" s="798"/>
      <c r="PIG85" s="798"/>
      <c r="PIH85" s="798"/>
      <c r="PII85" s="798"/>
      <c r="PIJ85" s="798"/>
      <c r="PIK85" s="798"/>
      <c r="PIL85" s="798"/>
      <c r="PIM85" s="798"/>
      <c r="PIN85" s="798"/>
      <c r="PIO85" s="798"/>
      <c r="PIP85" s="798"/>
      <c r="PIQ85" s="798"/>
      <c r="PIR85" s="798"/>
      <c r="PIS85" s="798"/>
      <c r="PIT85" s="798"/>
      <c r="PIU85" s="798"/>
      <c r="PIV85" s="798"/>
      <c r="PIW85" s="798"/>
      <c r="PIX85" s="798"/>
      <c r="PIY85" s="798"/>
      <c r="PIZ85" s="798"/>
      <c r="PJA85" s="798"/>
      <c r="PJB85" s="798"/>
      <c r="PJC85" s="798"/>
      <c r="PJD85" s="798"/>
      <c r="PJE85" s="798"/>
      <c r="PJF85" s="798"/>
      <c r="PJG85" s="798"/>
      <c r="PJH85" s="798"/>
      <c r="PJI85" s="798"/>
      <c r="PJJ85" s="798"/>
      <c r="PJK85" s="798"/>
      <c r="PJL85" s="798"/>
      <c r="PJM85" s="798"/>
      <c r="PJN85" s="798"/>
      <c r="PJO85" s="798"/>
      <c r="PJP85" s="798"/>
      <c r="PJQ85" s="798"/>
      <c r="PJR85" s="798"/>
      <c r="PJS85" s="798"/>
      <c r="PJT85" s="798"/>
      <c r="PJU85" s="798"/>
      <c r="PJV85" s="798"/>
      <c r="PJW85" s="798"/>
      <c r="PJX85" s="798"/>
      <c r="PJY85" s="798"/>
      <c r="PJZ85" s="798"/>
      <c r="PKA85" s="798"/>
      <c r="PKB85" s="798"/>
      <c r="PKC85" s="798"/>
      <c r="PKD85" s="798"/>
      <c r="PKE85" s="798"/>
      <c r="PKF85" s="798"/>
      <c r="PKG85" s="798"/>
      <c r="PKH85" s="798"/>
      <c r="PKI85" s="798"/>
      <c r="PKJ85" s="798"/>
      <c r="PKK85" s="798"/>
      <c r="PKL85" s="798"/>
      <c r="PKM85" s="798"/>
      <c r="PKN85" s="798"/>
      <c r="PKO85" s="798"/>
      <c r="PKP85" s="798"/>
      <c r="PKQ85" s="798"/>
      <c r="PKR85" s="798"/>
      <c r="PKS85" s="798"/>
      <c r="PKT85" s="798"/>
      <c r="PKU85" s="798"/>
      <c r="PKV85" s="798"/>
      <c r="PKW85" s="798"/>
      <c r="PKX85" s="798"/>
      <c r="PKY85" s="798"/>
      <c r="PKZ85" s="798"/>
      <c r="PLA85" s="798"/>
      <c r="PLB85" s="798"/>
      <c r="PLC85" s="798"/>
      <c r="PLD85" s="798"/>
      <c r="PLE85" s="798"/>
      <c r="PLF85" s="798"/>
      <c r="PLG85" s="798"/>
      <c r="PLH85" s="798"/>
      <c r="PLI85" s="798"/>
      <c r="PLJ85" s="798"/>
      <c r="PLK85" s="798"/>
      <c r="PLL85" s="798"/>
      <c r="PLM85" s="798"/>
      <c r="PLN85" s="798"/>
      <c r="PLO85" s="798"/>
      <c r="PLP85" s="798"/>
      <c r="PLQ85" s="798"/>
      <c r="PLR85" s="798"/>
      <c r="PLS85" s="798"/>
      <c r="PLT85" s="798"/>
      <c r="PLU85" s="798"/>
      <c r="PLV85" s="798"/>
      <c r="PLW85" s="798"/>
      <c r="PLX85" s="798"/>
      <c r="PLY85" s="798"/>
      <c r="PLZ85" s="798"/>
      <c r="PMA85" s="798"/>
      <c r="PMB85" s="798"/>
      <c r="PMC85" s="798"/>
      <c r="PMD85" s="798"/>
      <c r="PME85" s="798"/>
      <c r="PMF85" s="798"/>
      <c r="PMG85" s="798"/>
      <c r="PMH85" s="798"/>
      <c r="PMI85" s="798"/>
      <c r="PMJ85" s="798"/>
      <c r="PMK85" s="798"/>
      <c r="PML85" s="798"/>
      <c r="PMM85" s="798"/>
      <c r="PMN85" s="798"/>
      <c r="PMO85" s="798"/>
      <c r="PMP85" s="798"/>
      <c r="PMQ85" s="798"/>
      <c r="PMR85" s="798"/>
      <c r="PMS85" s="798"/>
      <c r="PMT85" s="798"/>
      <c r="PMU85" s="798"/>
      <c r="PMV85" s="798"/>
      <c r="PMW85" s="798"/>
      <c r="PMX85" s="798"/>
      <c r="PMY85" s="798"/>
      <c r="PMZ85" s="798"/>
      <c r="PNA85" s="798"/>
      <c r="PNB85" s="798"/>
      <c r="PNC85" s="798"/>
      <c r="PND85" s="798"/>
      <c r="PNE85" s="798"/>
      <c r="PNF85" s="798"/>
      <c r="PNG85" s="798"/>
      <c r="PNH85" s="798"/>
      <c r="PNI85" s="798"/>
      <c r="PNJ85" s="798"/>
      <c r="PNK85" s="798"/>
      <c r="PNL85" s="798"/>
      <c r="PNM85" s="798"/>
      <c r="PNN85" s="798"/>
      <c r="PNO85" s="798"/>
      <c r="PNP85" s="798"/>
      <c r="PNQ85" s="798"/>
      <c r="PNR85" s="798"/>
      <c r="PNS85" s="798"/>
      <c r="PNT85" s="798"/>
      <c r="PNU85" s="798"/>
      <c r="PNV85" s="798"/>
      <c r="PNW85" s="798"/>
      <c r="PNX85" s="798"/>
      <c r="PNY85" s="798"/>
      <c r="PNZ85" s="798"/>
      <c r="POA85" s="798"/>
      <c r="POB85" s="798"/>
      <c r="POC85" s="798"/>
      <c r="POD85" s="798"/>
      <c r="POE85" s="798"/>
      <c r="POF85" s="798"/>
      <c r="POG85" s="798"/>
      <c r="POH85" s="798"/>
      <c r="POI85" s="798"/>
      <c r="POJ85" s="798"/>
      <c r="POK85" s="798"/>
      <c r="POL85" s="798"/>
      <c r="POM85" s="798"/>
      <c r="PON85" s="798"/>
      <c r="POO85" s="798"/>
      <c r="POP85" s="798"/>
      <c r="POQ85" s="798"/>
      <c r="POR85" s="798"/>
      <c r="POS85" s="798"/>
      <c r="POT85" s="798"/>
      <c r="POU85" s="798"/>
      <c r="POV85" s="798"/>
      <c r="POW85" s="798"/>
      <c r="POX85" s="798"/>
      <c r="POY85" s="798"/>
      <c r="POZ85" s="798"/>
      <c r="PPA85" s="798"/>
      <c r="PPB85" s="798"/>
      <c r="PPC85" s="798"/>
      <c r="PPD85" s="798"/>
      <c r="PPE85" s="798"/>
      <c r="PPF85" s="798"/>
      <c r="PPG85" s="798"/>
      <c r="PPH85" s="798"/>
      <c r="PPI85" s="798"/>
      <c r="PPJ85" s="798"/>
      <c r="PPK85" s="798"/>
      <c r="PPL85" s="798"/>
      <c r="PPM85" s="798"/>
      <c r="PPN85" s="798"/>
      <c r="PPO85" s="798"/>
      <c r="PPP85" s="798"/>
      <c r="PPQ85" s="798"/>
      <c r="PPR85" s="798"/>
      <c r="PPS85" s="798"/>
      <c r="PPT85" s="798"/>
      <c r="PPU85" s="798"/>
      <c r="PPV85" s="798"/>
      <c r="PPW85" s="798"/>
      <c r="PPX85" s="798"/>
      <c r="PPY85" s="798"/>
      <c r="PPZ85" s="798"/>
      <c r="PQA85" s="798"/>
      <c r="PQB85" s="798"/>
      <c r="PQC85" s="798"/>
      <c r="PQD85" s="798"/>
      <c r="PQE85" s="798"/>
      <c r="PQF85" s="798"/>
      <c r="PQG85" s="798"/>
      <c r="PQH85" s="798"/>
      <c r="PQI85" s="798"/>
      <c r="PQJ85" s="798"/>
      <c r="PQK85" s="798"/>
      <c r="PQL85" s="798"/>
      <c r="PQM85" s="798"/>
      <c r="PQN85" s="798"/>
      <c r="PQO85" s="798"/>
      <c r="PQP85" s="798"/>
      <c r="PQQ85" s="798"/>
      <c r="PQR85" s="798"/>
      <c r="PQS85" s="798"/>
      <c r="PQT85" s="798"/>
      <c r="PQU85" s="798"/>
      <c r="PQV85" s="798"/>
      <c r="PQW85" s="798"/>
      <c r="PQX85" s="798"/>
      <c r="PQY85" s="798"/>
      <c r="PQZ85" s="798"/>
      <c r="PRA85" s="798"/>
      <c r="PRB85" s="798"/>
      <c r="PRC85" s="798"/>
      <c r="PRD85" s="798"/>
      <c r="PRE85" s="798"/>
      <c r="PRF85" s="798"/>
      <c r="PRG85" s="798"/>
      <c r="PRH85" s="798"/>
      <c r="PRI85" s="798"/>
      <c r="PRJ85" s="798"/>
      <c r="PRK85" s="798"/>
      <c r="PRL85" s="798"/>
      <c r="PRM85" s="798"/>
      <c r="PRN85" s="798"/>
      <c r="PRO85" s="798"/>
      <c r="PRP85" s="798"/>
      <c r="PRQ85" s="798"/>
      <c r="PRR85" s="798"/>
      <c r="PRS85" s="798"/>
      <c r="PRT85" s="798"/>
      <c r="PRU85" s="798"/>
      <c r="PRV85" s="798"/>
      <c r="PRW85" s="798"/>
      <c r="PRX85" s="798"/>
      <c r="PRY85" s="798"/>
      <c r="PRZ85" s="798"/>
      <c r="PSA85" s="798"/>
      <c r="PSB85" s="798"/>
      <c r="PSC85" s="798"/>
      <c r="PSD85" s="798"/>
      <c r="PSE85" s="798"/>
      <c r="PSF85" s="798"/>
      <c r="PSG85" s="798"/>
      <c r="PSH85" s="798"/>
      <c r="PSI85" s="798"/>
      <c r="PSJ85" s="798"/>
      <c r="PSK85" s="798"/>
      <c r="PSL85" s="798"/>
      <c r="PSM85" s="798"/>
      <c r="PSN85" s="798"/>
      <c r="PSO85" s="798"/>
      <c r="PSP85" s="798"/>
      <c r="PSQ85" s="798"/>
      <c r="PSR85" s="798"/>
      <c r="PSS85" s="798"/>
      <c r="PST85" s="798"/>
      <c r="PSU85" s="798"/>
      <c r="PSV85" s="798"/>
      <c r="PSW85" s="798"/>
      <c r="PSX85" s="798"/>
      <c r="PSY85" s="798"/>
      <c r="PSZ85" s="798"/>
      <c r="PTA85" s="798"/>
      <c r="PTB85" s="798"/>
      <c r="PTC85" s="798"/>
      <c r="PTD85" s="798"/>
      <c r="PTE85" s="798"/>
      <c r="PTF85" s="798"/>
      <c r="PTG85" s="798"/>
      <c r="PTH85" s="798"/>
      <c r="PTI85" s="798"/>
      <c r="PTJ85" s="798"/>
      <c r="PTK85" s="798"/>
      <c r="PTL85" s="798"/>
      <c r="PTM85" s="798"/>
      <c r="PTN85" s="798"/>
      <c r="PTO85" s="798"/>
      <c r="PTP85" s="798"/>
      <c r="PTQ85" s="798"/>
      <c r="PTR85" s="798"/>
      <c r="PTS85" s="798"/>
      <c r="PTT85" s="798"/>
      <c r="PTU85" s="798"/>
      <c r="PTV85" s="798"/>
      <c r="PTW85" s="798"/>
      <c r="PTX85" s="798"/>
      <c r="PTY85" s="798"/>
      <c r="PTZ85" s="798"/>
      <c r="PUA85" s="798"/>
      <c r="PUB85" s="798"/>
      <c r="PUC85" s="798"/>
      <c r="PUD85" s="798"/>
      <c r="PUE85" s="798"/>
      <c r="PUF85" s="798"/>
      <c r="PUG85" s="798"/>
      <c r="PUH85" s="798"/>
      <c r="PUI85" s="798"/>
      <c r="PUJ85" s="798"/>
      <c r="PUK85" s="798"/>
      <c r="PUL85" s="798"/>
      <c r="PUM85" s="798"/>
      <c r="PUN85" s="798"/>
      <c r="PUO85" s="798"/>
      <c r="PUP85" s="798"/>
      <c r="PUQ85" s="798"/>
      <c r="PUR85" s="798"/>
      <c r="PUS85" s="798"/>
      <c r="PUT85" s="798"/>
      <c r="PUU85" s="798"/>
      <c r="PUV85" s="798"/>
      <c r="PUW85" s="798"/>
      <c r="PUX85" s="798"/>
      <c r="PUY85" s="798"/>
      <c r="PUZ85" s="798"/>
      <c r="PVA85" s="798"/>
      <c r="PVB85" s="798"/>
      <c r="PVC85" s="798"/>
      <c r="PVD85" s="798"/>
      <c r="PVE85" s="798"/>
      <c r="PVF85" s="798"/>
      <c r="PVG85" s="798"/>
      <c r="PVH85" s="798"/>
      <c r="PVI85" s="798"/>
      <c r="PVJ85" s="798"/>
      <c r="PVK85" s="798"/>
      <c r="PVL85" s="798"/>
      <c r="PVM85" s="798"/>
      <c r="PVN85" s="798"/>
      <c r="PVO85" s="798"/>
      <c r="PVP85" s="798"/>
      <c r="PVQ85" s="798"/>
      <c r="PVR85" s="798"/>
      <c r="PVS85" s="798"/>
      <c r="PVT85" s="798"/>
      <c r="PVU85" s="798"/>
      <c r="PVV85" s="798"/>
      <c r="PVW85" s="798"/>
      <c r="PVX85" s="798"/>
      <c r="PVY85" s="798"/>
      <c r="PVZ85" s="798"/>
      <c r="PWA85" s="798"/>
      <c r="PWB85" s="798"/>
      <c r="PWC85" s="798"/>
      <c r="PWD85" s="798"/>
      <c r="PWE85" s="798"/>
      <c r="PWF85" s="798"/>
      <c r="PWG85" s="798"/>
      <c r="PWH85" s="798"/>
      <c r="PWI85" s="798"/>
      <c r="PWJ85" s="798"/>
      <c r="PWK85" s="798"/>
      <c r="PWL85" s="798"/>
      <c r="PWM85" s="798"/>
      <c r="PWN85" s="798"/>
      <c r="PWO85" s="798"/>
      <c r="PWP85" s="798"/>
      <c r="PWQ85" s="798"/>
      <c r="PWR85" s="798"/>
      <c r="PWS85" s="798"/>
      <c r="PWT85" s="798"/>
      <c r="PWU85" s="798"/>
      <c r="PWV85" s="798"/>
      <c r="PWW85" s="798"/>
      <c r="PWX85" s="798"/>
      <c r="PWY85" s="798"/>
      <c r="PWZ85" s="798"/>
      <c r="PXA85" s="798"/>
      <c r="PXB85" s="798"/>
      <c r="PXC85" s="798"/>
      <c r="PXD85" s="798"/>
      <c r="PXE85" s="798"/>
      <c r="PXF85" s="798"/>
      <c r="PXG85" s="798"/>
      <c r="PXH85" s="798"/>
      <c r="PXI85" s="798"/>
      <c r="PXJ85" s="798"/>
      <c r="PXK85" s="798"/>
      <c r="PXL85" s="798"/>
      <c r="PXM85" s="798"/>
      <c r="PXN85" s="798"/>
      <c r="PXO85" s="798"/>
      <c r="PXP85" s="798"/>
      <c r="PXQ85" s="798"/>
      <c r="PXR85" s="798"/>
      <c r="PXS85" s="798"/>
      <c r="PXT85" s="798"/>
      <c r="PXU85" s="798"/>
      <c r="PXV85" s="798"/>
      <c r="PXW85" s="798"/>
      <c r="PXX85" s="798"/>
      <c r="PXY85" s="798"/>
      <c r="PXZ85" s="798"/>
      <c r="PYA85" s="798"/>
      <c r="PYB85" s="798"/>
      <c r="PYC85" s="798"/>
      <c r="PYD85" s="798"/>
      <c r="PYE85" s="798"/>
      <c r="PYF85" s="798"/>
      <c r="PYG85" s="798"/>
      <c r="PYH85" s="798"/>
      <c r="PYI85" s="798"/>
      <c r="PYJ85" s="798"/>
      <c r="PYK85" s="798"/>
      <c r="PYL85" s="798"/>
      <c r="PYM85" s="798"/>
      <c r="PYN85" s="798"/>
      <c r="PYO85" s="798"/>
      <c r="PYP85" s="798"/>
      <c r="PYQ85" s="798"/>
      <c r="PYR85" s="798"/>
      <c r="PYS85" s="798"/>
      <c r="PYT85" s="798"/>
      <c r="PYU85" s="798"/>
      <c r="PYV85" s="798"/>
      <c r="PYW85" s="798"/>
      <c r="PYX85" s="798"/>
      <c r="PYY85" s="798"/>
      <c r="PYZ85" s="798"/>
      <c r="PZA85" s="798"/>
      <c r="PZB85" s="798"/>
      <c r="PZC85" s="798"/>
      <c r="PZD85" s="798"/>
      <c r="PZE85" s="798"/>
      <c r="PZF85" s="798"/>
      <c r="PZG85" s="798"/>
      <c r="PZH85" s="798"/>
      <c r="PZI85" s="798"/>
      <c r="PZJ85" s="798"/>
      <c r="PZK85" s="798"/>
      <c r="PZL85" s="798"/>
      <c r="PZM85" s="798"/>
      <c r="PZN85" s="798"/>
      <c r="PZO85" s="798"/>
      <c r="PZP85" s="798"/>
      <c r="PZQ85" s="798"/>
      <c r="PZR85" s="798"/>
      <c r="PZS85" s="798"/>
      <c r="PZT85" s="798"/>
      <c r="PZU85" s="798"/>
      <c r="PZV85" s="798"/>
      <c r="PZW85" s="798"/>
      <c r="PZX85" s="798"/>
      <c r="PZY85" s="798"/>
      <c r="PZZ85" s="798"/>
      <c r="QAA85" s="798"/>
      <c r="QAB85" s="798"/>
      <c r="QAC85" s="798"/>
      <c r="QAD85" s="798"/>
      <c r="QAE85" s="798"/>
      <c r="QAF85" s="798"/>
      <c r="QAG85" s="798"/>
      <c r="QAH85" s="798"/>
      <c r="QAI85" s="798"/>
      <c r="QAJ85" s="798"/>
      <c r="QAK85" s="798"/>
      <c r="QAL85" s="798"/>
      <c r="QAM85" s="798"/>
      <c r="QAN85" s="798"/>
      <c r="QAO85" s="798"/>
      <c r="QAP85" s="798"/>
      <c r="QAQ85" s="798"/>
      <c r="QAR85" s="798"/>
      <c r="QAS85" s="798"/>
      <c r="QAT85" s="798"/>
      <c r="QAU85" s="798"/>
      <c r="QAV85" s="798"/>
      <c r="QAW85" s="798"/>
      <c r="QAX85" s="798"/>
      <c r="QAY85" s="798"/>
      <c r="QAZ85" s="798"/>
      <c r="QBA85" s="798"/>
      <c r="QBB85" s="798"/>
      <c r="QBC85" s="798"/>
      <c r="QBD85" s="798"/>
      <c r="QBE85" s="798"/>
      <c r="QBF85" s="798"/>
      <c r="QBG85" s="798"/>
      <c r="QBH85" s="798"/>
      <c r="QBI85" s="798"/>
      <c r="QBJ85" s="798"/>
      <c r="QBK85" s="798"/>
      <c r="QBL85" s="798"/>
      <c r="QBM85" s="798"/>
      <c r="QBN85" s="798"/>
      <c r="QBO85" s="798"/>
      <c r="QBP85" s="798"/>
      <c r="QBQ85" s="798"/>
      <c r="QBR85" s="798"/>
      <c r="QBS85" s="798"/>
      <c r="QBT85" s="798"/>
      <c r="QBU85" s="798"/>
      <c r="QBV85" s="798"/>
      <c r="QBW85" s="798"/>
      <c r="QBX85" s="798"/>
      <c r="QBY85" s="798"/>
      <c r="QBZ85" s="798"/>
      <c r="QCA85" s="798"/>
      <c r="QCB85" s="798"/>
      <c r="QCC85" s="798"/>
      <c r="QCD85" s="798"/>
      <c r="QCE85" s="798"/>
      <c r="QCF85" s="798"/>
      <c r="QCG85" s="798"/>
      <c r="QCH85" s="798"/>
      <c r="QCI85" s="798"/>
      <c r="QCJ85" s="798"/>
      <c r="QCK85" s="798"/>
      <c r="QCL85" s="798"/>
      <c r="QCM85" s="798"/>
      <c r="QCN85" s="798"/>
      <c r="QCO85" s="798"/>
      <c r="QCP85" s="798"/>
      <c r="QCQ85" s="798"/>
      <c r="QCR85" s="798"/>
      <c r="QCS85" s="798"/>
      <c r="QCT85" s="798"/>
      <c r="QCU85" s="798"/>
      <c r="QCV85" s="798"/>
      <c r="QCW85" s="798"/>
      <c r="QCX85" s="798"/>
      <c r="QCY85" s="798"/>
      <c r="QCZ85" s="798"/>
      <c r="QDA85" s="798"/>
      <c r="QDB85" s="798"/>
      <c r="QDC85" s="798"/>
      <c r="QDD85" s="798"/>
      <c r="QDE85" s="798"/>
      <c r="QDF85" s="798"/>
      <c r="QDG85" s="798"/>
      <c r="QDH85" s="798"/>
      <c r="QDI85" s="798"/>
      <c r="QDJ85" s="798"/>
      <c r="QDK85" s="798"/>
      <c r="QDL85" s="798"/>
      <c r="QDM85" s="798"/>
      <c r="QDN85" s="798"/>
      <c r="QDO85" s="798"/>
      <c r="QDP85" s="798"/>
      <c r="QDQ85" s="798"/>
      <c r="QDR85" s="798"/>
      <c r="QDS85" s="798"/>
      <c r="QDT85" s="798"/>
      <c r="QDU85" s="798"/>
      <c r="QDV85" s="798"/>
      <c r="QDW85" s="798"/>
      <c r="QDX85" s="798"/>
      <c r="QDY85" s="798"/>
      <c r="QDZ85" s="798"/>
      <c r="QEA85" s="798"/>
      <c r="QEB85" s="798"/>
      <c r="QEC85" s="798"/>
      <c r="QED85" s="798"/>
      <c r="QEE85" s="798"/>
      <c r="QEF85" s="798"/>
      <c r="QEG85" s="798"/>
      <c r="QEH85" s="798"/>
      <c r="QEI85" s="798"/>
      <c r="QEJ85" s="798"/>
      <c r="QEK85" s="798"/>
      <c r="QEL85" s="798"/>
      <c r="QEM85" s="798"/>
      <c r="QEN85" s="798"/>
      <c r="QEO85" s="798"/>
      <c r="QEP85" s="798"/>
      <c r="QEQ85" s="798"/>
      <c r="QER85" s="798"/>
      <c r="QES85" s="798"/>
      <c r="QET85" s="798"/>
      <c r="QEU85" s="798"/>
      <c r="QEV85" s="798"/>
      <c r="QEW85" s="798"/>
      <c r="QEX85" s="798"/>
      <c r="QEY85" s="798"/>
      <c r="QEZ85" s="798"/>
      <c r="QFA85" s="798"/>
      <c r="QFB85" s="798"/>
      <c r="QFC85" s="798"/>
      <c r="QFD85" s="798"/>
      <c r="QFE85" s="798"/>
      <c r="QFF85" s="798"/>
      <c r="QFG85" s="798"/>
      <c r="QFH85" s="798"/>
      <c r="QFI85" s="798"/>
      <c r="QFJ85" s="798"/>
      <c r="QFK85" s="798"/>
      <c r="QFL85" s="798"/>
      <c r="QFM85" s="798"/>
      <c r="QFN85" s="798"/>
      <c r="QFO85" s="798"/>
      <c r="QFP85" s="798"/>
      <c r="QFQ85" s="798"/>
      <c r="QFR85" s="798"/>
      <c r="QFS85" s="798"/>
      <c r="QFT85" s="798"/>
      <c r="QFU85" s="798"/>
      <c r="QFV85" s="798"/>
      <c r="QFW85" s="798"/>
      <c r="QFX85" s="798"/>
      <c r="QFY85" s="798"/>
      <c r="QFZ85" s="798"/>
      <c r="QGA85" s="798"/>
      <c r="QGB85" s="798"/>
      <c r="QGC85" s="798"/>
      <c r="QGD85" s="798"/>
      <c r="QGE85" s="798"/>
      <c r="QGF85" s="798"/>
      <c r="QGG85" s="798"/>
      <c r="QGH85" s="798"/>
      <c r="QGI85" s="798"/>
      <c r="QGJ85" s="798"/>
      <c r="QGK85" s="798"/>
      <c r="QGL85" s="798"/>
      <c r="QGM85" s="798"/>
      <c r="QGN85" s="798"/>
      <c r="QGO85" s="798"/>
      <c r="QGP85" s="798"/>
      <c r="QGQ85" s="798"/>
      <c r="QGR85" s="798"/>
      <c r="QGS85" s="798"/>
      <c r="QGT85" s="798"/>
      <c r="QGU85" s="798"/>
      <c r="QGV85" s="798"/>
      <c r="QGW85" s="798"/>
      <c r="QGX85" s="798"/>
      <c r="QGY85" s="798"/>
      <c r="QGZ85" s="798"/>
      <c r="QHA85" s="798"/>
      <c r="QHB85" s="798"/>
      <c r="QHC85" s="798"/>
      <c r="QHD85" s="798"/>
      <c r="QHE85" s="798"/>
      <c r="QHF85" s="798"/>
      <c r="QHG85" s="798"/>
      <c r="QHH85" s="798"/>
      <c r="QHI85" s="798"/>
      <c r="QHJ85" s="798"/>
      <c r="QHK85" s="798"/>
      <c r="QHL85" s="798"/>
      <c r="QHM85" s="798"/>
      <c r="QHN85" s="798"/>
      <c r="QHO85" s="798"/>
      <c r="QHP85" s="798"/>
      <c r="QHQ85" s="798"/>
      <c r="QHR85" s="798"/>
      <c r="QHS85" s="798"/>
      <c r="QHT85" s="798"/>
      <c r="QHU85" s="798"/>
      <c r="QHV85" s="798"/>
      <c r="QHW85" s="798"/>
      <c r="QHX85" s="798"/>
      <c r="QHY85" s="798"/>
      <c r="QHZ85" s="798"/>
      <c r="QIA85" s="798"/>
      <c r="QIB85" s="798"/>
      <c r="QIC85" s="798"/>
      <c r="QID85" s="798"/>
      <c r="QIE85" s="798"/>
      <c r="QIF85" s="798"/>
      <c r="QIG85" s="798"/>
      <c r="QIH85" s="798"/>
      <c r="QII85" s="798"/>
      <c r="QIJ85" s="798"/>
      <c r="QIK85" s="798"/>
      <c r="QIL85" s="798"/>
      <c r="QIM85" s="798"/>
      <c r="QIN85" s="798"/>
      <c r="QIO85" s="798"/>
      <c r="QIP85" s="798"/>
      <c r="QIQ85" s="798"/>
      <c r="QIR85" s="798"/>
      <c r="QIS85" s="798"/>
      <c r="QIT85" s="798"/>
      <c r="QIU85" s="798"/>
      <c r="QIV85" s="798"/>
      <c r="QIW85" s="798"/>
      <c r="QIX85" s="798"/>
      <c r="QIY85" s="798"/>
      <c r="QIZ85" s="798"/>
      <c r="QJA85" s="798"/>
      <c r="QJB85" s="798"/>
      <c r="QJC85" s="798"/>
      <c r="QJD85" s="798"/>
      <c r="QJE85" s="798"/>
      <c r="QJF85" s="798"/>
      <c r="QJG85" s="798"/>
      <c r="QJH85" s="798"/>
      <c r="QJI85" s="798"/>
      <c r="QJJ85" s="798"/>
      <c r="QJK85" s="798"/>
      <c r="QJL85" s="798"/>
      <c r="QJM85" s="798"/>
      <c r="QJN85" s="798"/>
      <c r="QJO85" s="798"/>
      <c r="QJP85" s="798"/>
      <c r="QJQ85" s="798"/>
      <c r="QJR85" s="798"/>
      <c r="QJS85" s="798"/>
      <c r="QJT85" s="798"/>
      <c r="QJU85" s="798"/>
      <c r="QJV85" s="798"/>
      <c r="QJW85" s="798"/>
      <c r="QJX85" s="798"/>
      <c r="QJY85" s="798"/>
      <c r="QJZ85" s="798"/>
      <c r="QKA85" s="798"/>
      <c r="QKB85" s="798"/>
      <c r="QKC85" s="798"/>
      <c r="QKD85" s="798"/>
      <c r="QKE85" s="798"/>
      <c r="QKF85" s="798"/>
      <c r="QKG85" s="798"/>
      <c r="QKH85" s="798"/>
      <c r="QKI85" s="798"/>
      <c r="QKJ85" s="798"/>
      <c r="QKK85" s="798"/>
      <c r="QKL85" s="798"/>
      <c r="QKM85" s="798"/>
      <c r="QKN85" s="798"/>
      <c r="QKO85" s="798"/>
      <c r="QKP85" s="798"/>
      <c r="QKQ85" s="798"/>
      <c r="QKR85" s="798"/>
      <c r="QKS85" s="798"/>
      <c r="QKT85" s="798"/>
      <c r="QKU85" s="798"/>
      <c r="QKV85" s="798"/>
      <c r="QKW85" s="798"/>
      <c r="QKX85" s="798"/>
      <c r="QKY85" s="798"/>
      <c r="QKZ85" s="798"/>
      <c r="QLA85" s="798"/>
      <c r="QLB85" s="798"/>
      <c r="QLC85" s="798"/>
      <c r="QLD85" s="798"/>
      <c r="QLE85" s="798"/>
      <c r="QLF85" s="798"/>
      <c r="QLG85" s="798"/>
      <c r="QLH85" s="798"/>
      <c r="QLI85" s="798"/>
      <c r="QLJ85" s="798"/>
      <c r="QLK85" s="798"/>
      <c r="QLL85" s="798"/>
      <c r="QLM85" s="798"/>
      <c r="QLN85" s="798"/>
      <c r="QLO85" s="798"/>
      <c r="QLP85" s="798"/>
      <c r="QLQ85" s="798"/>
      <c r="QLR85" s="798"/>
      <c r="QLS85" s="798"/>
      <c r="QLT85" s="798"/>
      <c r="QLU85" s="798"/>
      <c r="QLV85" s="798"/>
      <c r="QLW85" s="798"/>
      <c r="QLX85" s="798"/>
      <c r="QLY85" s="798"/>
      <c r="QLZ85" s="798"/>
      <c r="QMA85" s="798"/>
      <c r="QMB85" s="798"/>
      <c r="QMC85" s="798"/>
      <c r="QMD85" s="798"/>
      <c r="QME85" s="798"/>
      <c r="QMF85" s="798"/>
      <c r="QMG85" s="798"/>
      <c r="QMH85" s="798"/>
      <c r="QMI85" s="798"/>
      <c r="QMJ85" s="798"/>
      <c r="QMK85" s="798"/>
      <c r="QML85" s="798"/>
      <c r="QMM85" s="798"/>
      <c r="QMN85" s="798"/>
      <c r="QMO85" s="798"/>
      <c r="QMP85" s="798"/>
      <c r="QMQ85" s="798"/>
      <c r="QMR85" s="798"/>
      <c r="QMS85" s="798"/>
      <c r="QMT85" s="798"/>
      <c r="QMU85" s="798"/>
      <c r="QMV85" s="798"/>
      <c r="QMW85" s="798"/>
      <c r="QMX85" s="798"/>
      <c r="QMY85" s="798"/>
      <c r="QMZ85" s="798"/>
      <c r="QNA85" s="798"/>
      <c r="QNB85" s="798"/>
      <c r="QNC85" s="798"/>
      <c r="QND85" s="798"/>
      <c r="QNE85" s="798"/>
      <c r="QNF85" s="798"/>
      <c r="QNG85" s="798"/>
      <c r="QNH85" s="798"/>
      <c r="QNI85" s="798"/>
      <c r="QNJ85" s="798"/>
      <c r="QNK85" s="798"/>
      <c r="QNL85" s="798"/>
      <c r="QNM85" s="798"/>
      <c r="QNN85" s="798"/>
      <c r="QNO85" s="798"/>
      <c r="QNP85" s="798"/>
      <c r="QNQ85" s="798"/>
      <c r="QNR85" s="798"/>
      <c r="QNS85" s="798"/>
      <c r="QNT85" s="798"/>
      <c r="QNU85" s="798"/>
      <c r="QNV85" s="798"/>
      <c r="QNW85" s="798"/>
      <c r="QNX85" s="798"/>
      <c r="QNY85" s="798"/>
      <c r="QNZ85" s="798"/>
      <c r="QOA85" s="798"/>
      <c r="QOB85" s="798"/>
      <c r="QOC85" s="798"/>
      <c r="QOD85" s="798"/>
      <c r="QOE85" s="798"/>
      <c r="QOF85" s="798"/>
      <c r="QOG85" s="798"/>
      <c r="QOH85" s="798"/>
      <c r="QOI85" s="798"/>
      <c r="QOJ85" s="798"/>
      <c r="QOK85" s="798"/>
      <c r="QOL85" s="798"/>
      <c r="QOM85" s="798"/>
      <c r="QON85" s="798"/>
      <c r="QOO85" s="798"/>
      <c r="QOP85" s="798"/>
      <c r="QOQ85" s="798"/>
      <c r="QOR85" s="798"/>
      <c r="QOS85" s="798"/>
      <c r="QOT85" s="798"/>
      <c r="QOU85" s="798"/>
      <c r="QOV85" s="798"/>
      <c r="QOW85" s="798"/>
      <c r="QOX85" s="798"/>
      <c r="QOY85" s="798"/>
      <c r="QOZ85" s="798"/>
      <c r="QPA85" s="798"/>
      <c r="QPB85" s="798"/>
      <c r="QPC85" s="798"/>
      <c r="QPD85" s="798"/>
      <c r="QPE85" s="798"/>
      <c r="QPF85" s="798"/>
      <c r="QPG85" s="798"/>
      <c r="QPH85" s="798"/>
      <c r="QPI85" s="798"/>
      <c r="QPJ85" s="798"/>
      <c r="QPK85" s="798"/>
      <c r="QPL85" s="798"/>
      <c r="QPM85" s="798"/>
      <c r="QPN85" s="798"/>
      <c r="QPO85" s="798"/>
      <c r="QPP85" s="798"/>
      <c r="QPQ85" s="798"/>
      <c r="QPR85" s="798"/>
      <c r="QPS85" s="798"/>
      <c r="QPT85" s="798"/>
      <c r="QPU85" s="798"/>
      <c r="QPV85" s="798"/>
      <c r="QPW85" s="798"/>
      <c r="QPX85" s="798"/>
      <c r="QPY85" s="798"/>
      <c r="QPZ85" s="798"/>
      <c r="QQA85" s="798"/>
      <c r="QQB85" s="798"/>
      <c r="QQC85" s="798"/>
      <c r="QQD85" s="798"/>
      <c r="QQE85" s="798"/>
      <c r="QQF85" s="798"/>
      <c r="QQG85" s="798"/>
      <c r="QQH85" s="798"/>
      <c r="QQI85" s="798"/>
      <c r="QQJ85" s="798"/>
      <c r="QQK85" s="798"/>
      <c r="QQL85" s="798"/>
      <c r="QQM85" s="798"/>
      <c r="QQN85" s="798"/>
      <c r="QQO85" s="798"/>
      <c r="QQP85" s="798"/>
      <c r="QQQ85" s="798"/>
      <c r="QQR85" s="798"/>
      <c r="QQS85" s="798"/>
      <c r="QQT85" s="798"/>
      <c r="QQU85" s="798"/>
      <c r="QQV85" s="798"/>
      <c r="QQW85" s="798"/>
      <c r="QQX85" s="798"/>
      <c r="QQY85" s="798"/>
      <c r="QQZ85" s="798"/>
      <c r="QRA85" s="798"/>
      <c r="QRB85" s="798"/>
      <c r="QRC85" s="798"/>
      <c r="QRD85" s="798"/>
      <c r="QRE85" s="798"/>
      <c r="QRF85" s="798"/>
      <c r="QRG85" s="798"/>
      <c r="QRH85" s="798"/>
      <c r="QRI85" s="798"/>
      <c r="QRJ85" s="798"/>
      <c r="QRK85" s="798"/>
      <c r="QRL85" s="798"/>
      <c r="QRM85" s="798"/>
      <c r="QRN85" s="798"/>
      <c r="QRO85" s="798"/>
      <c r="QRP85" s="798"/>
      <c r="QRQ85" s="798"/>
      <c r="QRR85" s="798"/>
      <c r="QRS85" s="798"/>
      <c r="QRT85" s="798"/>
      <c r="QRU85" s="798"/>
      <c r="QRV85" s="798"/>
      <c r="QRW85" s="798"/>
      <c r="QRX85" s="798"/>
      <c r="QRY85" s="798"/>
      <c r="QRZ85" s="798"/>
      <c r="QSA85" s="798"/>
      <c r="QSB85" s="798"/>
      <c r="QSC85" s="798"/>
      <c r="QSD85" s="798"/>
      <c r="QSE85" s="798"/>
      <c r="QSF85" s="798"/>
      <c r="QSG85" s="798"/>
      <c r="QSH85" s="798"/>
      <c r="QSI85" s="798"/>
      <c r="QSJ85" s="798"/>
      <c r="QSK85" s="798"/>
      <c r="QSL85" s="798"/>
      <c r="QSM85" s="798"/>
      <c r="QSN85" s="798"/>
      <c r="QSO85" s="798"/>
      <c r="QSP85" s="798"/>
      <c r="QSQ85" s="798"/>
      <c r="QSR85" s="798"/>
      <c r="QSS85" s="798"/>
      <c r="QST85" s="798"/>
      <c r="QSU85" s="798"/>
      <c r="QSV85" s="798"/>
      <c r="QSW85" s="798"/>
      <c r="QSX85" s="798"/>
      <c r="QSY85" s="798"/>
      <c r="QSZ85" s="798"/>
      <c r="QTA85" s="798"/>
      <c r="QTB85" s="798"/>
      <c r="QTC85" s="798"/>
      <c r="QTD85" s="798"/>
      <c r="QTE85" s="798"/>
      <c r="QTF85" s="798"/>
      <c r="QTG85" s="798"/>
      <c r="QTH85" s="798"/>
      <c r="QTI85" s="798"/>
      <c r="QTJ85" s="798"/>
      <c r="QTK85" s="798"/>
      <c r="QTL85" s="798"/>
      <c r="QTM85" s="798"/>
      <c r="QTN85" s="798"/>
      <c r="QTO85" s="798"/>
      <c r="QTP85" s="798"/>
      <c r="QTQ85" s="798"/>
      <c r="QTR85" s="798"/>
      <c r="QTS85" s="798"/>
      <c r="QTT85" s="798"/>
      <c r="QTU85" s="798"/>
      <c r="QTV85" s="798"/>
      <c r="QTW85" s="798"/>
      <c r="QTX85" s="798"/>
      <c r="QTY85" s="798"/>
      <c r="QTZ85" s="798"/>
      <c r="QUA85" s="798"/>
      <c r="QUB85" s="798"/>
      <c r="QUC85" s="798"/>
      <c r="QUD85" s="798"/>
      <c r="QUE85" s="798"/>
      <c r="QUF85" s="798"/>
      <c r="QUG85" s="798"/>
      <c r="QUH85" s="798"/>
      <c r="QUI85" s="798"/>
      <c r="QUJ85" s="798"/>
      <c r="QUK85" s="798"/>
      <c r="QUL85" s="798"/>
      <c r="QUM85" s="798"/>
      <c r="QUN85" s="798"/>
      <c r="QUO85" s="798"/>
      <c r="QUP85" s="798"/>
      <c r="QUQ85" s="798"/>
      <c r="QUR85" s="798"/>
      <c r="QUS85" s="798"/>
      <c r="QUT85" s="798"/>
      <c r="QUU85" s="798"/>
      <c r="QUV85" s="798"/>
      <c r="QUW85" s="798"/>
      <c r="QUX85" s="798"/>
      <c r="QUY85" s="798"/>
      <c r="QUZ85" s="798"/>
      <c r="QVA85" s="798"/>
      <c r="QVB85" s="798"/>
      <c r="QVC85" s="798"/>
      <c r="QVD85" s="798"/>
      <c r="QVE85" s="798"/>
      <c r="QVF85" s="798"/>
      <c r="QVG85" s="798"/>
      <c r="QVH85" s="798"/>
      <c r="QVI85" s="798"/>
      <c r="QVJ85" s="798"/>
      <c r="QVK85" s="798"/>
      <c r="QVL85" s="798"/>
      <c r="QVM85" s="798"/>
      <c r="QVN85" s="798"/>
      <c r="QVO85" s="798"/>
      <c r="QVP85" s="798"/>
      <c r="QVQ85" s="798"/>
      <c r="QVR85" s="798"/>
      <c r="QVS85" s="798"/>
      <c r="QVT85" s="798"/>
      <c r="QVU85" s="798"/>
      <c r="QVV85" s="798"/>
      <c r="QVW85" s="798"/>
      <c r="QVX85" s="798"/>
      <c r="QVY85" s="798"/>
      <c r="QVZ85" s="798"/>
      <c r="QWA85" s="798"/>
      <c r="QWB85" s="798"/>
      <c r="QWC85" s="798"/>
      <c r="QWD85" s="798"/>
      <c r="QWE85" s="798"/>
      <c r="QWF85" s="798"/>
      <c r="QWG85" s="798"/>
      <c r="QWH85" s="798"/>
      <c r="QWI85" s="798"/>
      <c r="QWJ85" s="798"/>
      <c r="QWK85" s="798"/>
      <c r="QWL85" s="798"/>
      <c r="QWM85" s="798"/>
      <c r="QWN85" s="798"/>
      <c r="QWO85" s="798"/>
      <c r="QWP85" s="798"/>
      <c r="QWQ85" s="798"/>
      <c r="QWR85" s="798"/>
      <c r="QWS85" s="798"/>
      <c r="QWT85" s="798"/>
      <c r="QWU85" s="798"/>
      <c r="QWV85" s="798"/>
      <c r="QWW85" s="798"/>
      <c r="QWX85" s="798"/>
      <c r="QWY85" s="798"/>
      <c r="QWZ85" s="798"/>
      <c r="QXA85" s="798"/>
      <c r="QXB85" s="798"/>
      <c r="QXC85" s="798"/>
      <c r="QXD85" s="798"/>
      <c r="QXE85" s="798"/>
      <c r="QXF85" s="798"/>
      <c r="QXG85" s="798"/>
      <c r="QXH85" s="798"/>
      <c r="QXI85" s="798"/>
      <c r="QXJ85" s="798"/>
      <c r="QXK85" s="798"/>
      <c r="QXL85" s="798"/>
      <c r="QXM85" s="798"/>
      <c r="QXN85" s="798"/>
      <c r="QXO85" s="798"/>
      <c r="QXP85" s="798"/>
      <c r="QXQ85" s="798"/>
      <c r="QXR85" s="798"/>
      <c r="QXS85" s="798"/>
      <c r="QXT85" s="798"/>
      <c r="QXU85" s="798"/>
      <c r="QXV85" s="798"/>
      <c r="QXW85" s="798"/>
      <c r="QXX85" s="798"/>
      <c r="QXY85" s="798"/>
      <c r="QXZ85" s="798"/>
      <c r="QYA85" s="798"/>
      <c r="QYB85" s="798"/>
      <c r="QYC85" s="798"/>
      <c r="QYD85" s="798"/>
      <c r="QYE85" s="798"/>
      <c r="QYF85" s="798"/>
      <c r="QYG85" s="798"/>
      <c r="QYH85" s="798"/>
      <c r="QYI85" s="798"/>
      <c r="QYJ85" s="798"/>
      <c r="QYK85" s="798"/>
      <c r="QYL85" s="798"/>
      <c r="QYM85" s="798"/>
      <c r="QYN85" s="798"/>
      <c r="QYO85" s="798"/>
      <c r="QYP85" s="798"/>
      <c r="QYQ85" s="798"/>
      <c r="QYR85" s="798"/>
      <c r="QYS85" s="798"/>
      <c r="QYT85" s="798"/>
      <c r="QYU85" s="798"/>
      <c r="QYV85" s="798"/>
      <c r="QYW85" s="798"/>
      <c r="QYX85" s="798"/>
      <c r="QYY85" s="798"/>
      <c r="QYZ85" s="798"/>
      <c r="QZA85" s="798"/>
      <c r="QZB85" s="798"/>
      <c r="QZC85" s="798"/>
      <c r="QZD85" s="798"/>
      <c r="QZE85" s="798"/>
      <c r="QZF85" s="798"/>
      <c r="QZG85" s="798"/>
      <c r="QZH85" s="798"/>
      <c r="QZI85" s="798"/>
      <c r="QZJ85" s="798"/>
      <c r="QZK85" s="798"/>
      <c r="QZL85" s="798"/>
      <c r="QZM85" s="798"/>
      <c r="QZN85" s="798"/>
      <c r="QZO85" s="798"/>
      <c r="QZP85" s="798"/>
      <c r="QZQ85" s="798"/>
      <c r="QZR85" s="798"/>
      <c r="QZS85" s="798"/>
      <c r="QZT85" s="798"/>
      <c r="QZU85" s="798"/>
      <c r="QZV85" s="798"/>
      <c r="QZW85" s="798"/>
      <c r="QZX85" s="798"/>
      <c r="QZY85" s="798"/>
      <c r="QZZ85" s="798"/>
      <c r="RAA85" s="798"/>
      <c r="RAB85" s="798"/>
      <c r="RAC85" s="798"/>
      <c r="RAD85" s="798"/>
      <c r="RAE85" s="798"/>
      <c r="RAF85" s="798"/>
      <c r="RAG85" s="798"/>
      <c r="RAH85" s="798"/>
      <c r="RAI85" s="798"/>
      <c r="RAJ85" s="798"/>
      <c r="RAK85" s="798"/>
      <c r="RAL85" s="798"/>
      <c r="RAM85" s="798"/>
      <c r="RAN85" s="798"/>
      <c r="RAO85" s="798"/>
      <c r="RAP85" s="798"/>
      <c r="RAQ85" s="798"/>
      <c r="RAR85" s="798"/>
      <c r="RAS85" s="798"/>
      <c r="RAT85" s="798"/>
      <c r="RAU85" s="798"/>
      <c r="RAV85" s="798"/>
      <c r="RAW85" s="798"/>
      <c r="RAX85" s="798"/>
      <c r="RAY85" s="798"/>
      <c r="RAZ85" s="798"/>
      <c r="RBA85" s="798"/>
      <c r="RBB85" s="798"/>
      <c r="RBC85" s="798"/>
      <c r="RBD85" s="798"/>
      <c r="RBE85" s="798"/>
      <c r="RBF85" s="798"/>
      <c r="RBG85" s="798"/>
      <c r="RBH85" s="798"/>
      <c r="RBI85" s="798"/>
      <c r="RBJ85" s="798"/>
      <c r="RBK85" s="798"/>
      <c r="RBL85" s="798"/>
      <c r="RBM85" s="798"/>
      <c r="RBN85" s="798"/>
      <c r="RBO85" s="798"/>
      <c r="RBP85" s="798"/>
      <c r="RBQ85" s="798"/>
      <c r="RBR85" s="798"/>
      <c r="RBS85" s="798"/>
      <c r="RBT85" s="798"/>
      <c r="RBU85" s="798"/>
      <c r="RBV85" s="798"/>
      <c r="RBW85" s="798"/>
      <c r="RBX85" s="798"/>
      <c r="RBY85" s="798"/>
      <c r="RBZ85" s="798"/>
      <c r="RCA85" s="798"/>
      <c r="RCB85" s="798"/>
      <c r="RCC85" s="798"/>
      <c r="RCD85" s="798"/>
      <c r="RCE85" s="798"/>
      <c r="RCF85" s="798"/>
      <c r="RCG85" s="798"/>
      <c r="RCH85" s="798"/>
      <c r="RCI85" s="798"/>
      <c r="RCJ85" s="798"/>
      <c r="RCK85" s="798"/>
      <c r="RCL85" s="798"/>
      <c r="RCM85" s="798"/>
      <c r="RCN85" s="798"/>
      <c r="RCO85" s="798"/>
      <c r="RCP85" s="798"/>
      <c r="RCQ85" s="798"/>
      <c r="RCR85" s="798"/>
      <c r="RCS85" s="798"/>
      <c r="RCT85" s="798"/>
      <c r="RCU85" s="798"/>
      <c r="RCV85" s="798"/>
      <c r="RCW85" s="798"/>
      <c r="RCX85" s="798"/>
      <c r="RCY85" s="798"/>
      <c r="RCZ85" s="798"/>
      <c r="RDA85" s="798"/>
      <c r="RDB85" s="798"/>
      <c r="RDC85" s="798"/>
      <c r="RDD85" s="798"/>
      <c r="RDE85" s="798"/>
      <c r="RDF85" s="798"/>
      <c r="RDG85" s="798"/>
      <c r="RDH85" s="798"/>
      <c r="RDI85" s="798"/>
      <c r="RDJ85" s="798"/>
      <c r="RDK85" s="798"/>
      <c r="RDL85" s="798"/>
      <c r="RDM85" s="798"/>
      <c r="RDN85" s="798"/>
      <c r="RDO85" s="798"/>
      <c r="RDP85" s="798"/>
      <c r="RDQ85" s="798"/>
      <c r="RDR85" s="798"/>
      <c r="RDS85" s="798"/>
      <c r="RDT85" s="798"/>
      <c r="RDU85" s="798"/>
      <c r="RDV85" s="798"/>
      <c r="RDW85" s="798"/>
      <c r="RDX85" s="798"/>
      <c r="RDY85" s="798"/>
      <c r="RDZ85" s="798"/>
      <c r="REA85" s="798"/>
      <c r="REB85" s="798"/>
      <c r="REC85" s="798"/>
      <c r="RED85" s="798"/>
      <c r="REE85" s="798"/>
      <c r="REF85" s="798"/>
      <c r="REG85" s="798"/>
      <c r="REH85" s="798"/>
      <c r="REI85" s="798"/>
      <c r="REJ85" s="798"/>
      <c r="REK85" s="798"/>
      <c r="REL85" s="798"/>
      <c r="REM85" s="798"/>
      <c r="REN85" s="798"/>
      <c r="REO85" s="798"/>
      <c r="REP85" s="798"/>
      <c r="REQ85" s="798"/>
      <c r="RER85" s="798"/>
      <c r="RES85" s="798"/>
      <c r="RET85" s="798"/>
      <c r="REU85" s="798"/>
      <c r="REV85" s="798"/>
      <c r="REW85" s="798"/>
      <c r="REX85" s="798"/>
      <c r="REY85" s="798"/>
      <c r="REZ85" s="798"/>
      <c r="RFA85" s="798"/>
      <c r="RFB85" s="798"/>
      <c r="RFC85" s="798"/>
      <c r="RFD85" s="798"/>
      <c r="RFE85" s="798"/>
      <c r="RFF85" s="798"/>
      <c r="RFG85" s="798"/>
      <c r="RFH85" s="798"/>
      <c r="RFI85" s="798"/>
      <c r="RFJ85" s="798"/>
      <c r="RFK85" s="798"/>
      <c r="RFL85" s="798"/>
      <c r="RFM85" s="798"/>
      <c r="RFN85" s="798"/>
      <c r="RFO85" s="798"/>
      <c r="RFP85" s="798"/>
      <c r="RFQ85" s="798"/>
      <c r="RFR85" s="798"/>
      <c r="RFS85" s="798"/>
      <c r="RFT85" s="798"/>
      <c r="RFU85" s="798"/>
      <c r="RFV85" s="798"/>
      <c r="RFW85" s="798"/>
      <c r="RFX85" s="798"/>
      <c r="RFY85" s="798"/>
      <c r="RFZ85" s="798"/>
      <c r="RGA85" s="798"/>
      <c r="RGB85" s="798"/>
      <c r="RGC85" s="798"/>
      <c r="RGD85" s="798"/>
      <c r="RGE85" s="798"/>
      <c r="RGF85" s="798"/>
      <c r="RGG85" s="798"/>
      <c r="RGH85" s="798"/>
      <c r="RGI85" s="798"/>
      <c r="RGJ85" s="798"/>
      <c r="RGK85" s="798"/>
      <c r="RGL85" s="798"/>
      <c r="RGM85" s="798"/>
      <c r="RGN85" s="798"/>
      <c r="RGO85" s="798"/>
      <c r="RGP85" s="798"/>
      <c r="RGQ85" s="798"/>
      <c r="RGR85" s="798"/>
      <c r="RGS85" s="798"/>
      <c r="RGT85" s="798"/>
      <c r="RGU85" s="798"/>
      <c r="RGV85" s="798"/>
      <c r="RGW85" s="798"/>
      <c r="RGX85" s="798"/>
      <c r="RGY85" s="798"/>
      <c r="RGZ85" s="798"/>
      <c r="RHA85" s="798"/>
      <c r="RHB85" s="798"/>
      <c r="RHC85" s="798"/>
      <c r="RHD85" s="798"/>
      <c r="RHE85" s="798"/>
      <c r="RHF85" s="798"/>
      <c r="RHG85" s="798"/>
      <c r="RHH85" s="798"/>
      <c r="RHI85" s="798"/>
      <c r="RHJ85" s="798"/>
      <c r="RHK85" s="798"/>
      <c r="RHL85" s="798"/>
      <c r="RHM85" s="798"/>
      <c r="RHN85" s="798"/>
      <c r="RHO85" s="798"/>
      <c r="RHP85" s="798"/>
      <c r="RHQ85" s="798"/>
      <c r="RHR85" s="798"/>
      <c r="RHS85" s="798"/>
      <c r="RHT85" s="798"/>
      <c r="RHU85" s="798"/>
      <c r="RHV85" s="798"/>
      <c r="RHW85" s="798"/>
      <c r="RHX85" s="798"/>
      <c r="RHY85" s="798"/>
      <c r="RHZ85" s="798"/>
      <c r="RIA85" s="798"/>
      <c r="RIB85" s="798"/>
      <c r="RIC85" s="798"/>
      <c r="RID85" s="798"/>
      <c r="RIE85" s="798"/>
      <c r="RIF85" s="798"/>
      <c r="RIG85" s="798"/>
      <c r="RIH85" s="798"/>
      <c r="RII85" s="798"/>
      <c r="RIJ85" s="798"/>
      <c r="RIK85" s="798"/>
      <c r="RIL85" s="798"/>
      <c r="RIM85" s="798"/>
      <c r="RIN85" s="798"/>
      <c r="RIO85" s="798"/>
      <c r="RIP85" s="798"/>
      <c r="RIQ85" s="798"/>
      <c r="RIR85" s="798"/>
      <c r="RIS85" s="798"/>
      <c r="RIT85" s="798"/>
      <c r="RIU85" s="798"/>
      <c r="RIV85" s="798"/>
      <c r="RIW85" s="798"/>
      <c r="RIX85" s="798"/>
      <c r="RIY85" s="798"/>
      <c r="RIZ85" s="798"/>
      <c r="RJA85" s="798"/>
      <c r="RJB85" s="798"/>
      <c r="RJC85" s="798"/>
      <c r="RJD85" s="798"/>
      <c r="RJE85" s="798"/>
      <c r="RJF85" s="798"/>
      <c r="RJG85" s="798"/>
      <c r="RJH85" s="798"/>
      <c r="RJI85" s="798"/>
      <c r="RJJ85" s="798"/>
      <c r="RJK85" s="798"/>
      <c r="RJL85" s="798"/>
      <c r="RJM85" s="798"/>
      <c r="RJN85" s="798"/>
      <c r="RJO85" s="798"/>
      <c r="RJP85" s="798"/>
      <c r="RJQ85" s="798"/>
      <c r="RJR85" s="798"/>
      <c r="RJS85" s="798"/>
      <c r="RJT85" s="798"/>
      <c r="RJU85" s="798"/>
      <c r="RJV85" s="798"/>
      <c r="RJW85" s="798"/>
      <c r="RJX85" s="798"/>
      <c r="RJY85" s="798"/>
      <c r="RJZ85" s="798"/>
      <c r="RKA85" s="798"/>
      <c r="RKB85" s="798"/>
      <c r="RKC85" s="798"/>
      <c r="RKD85" s="798"/>
      <c r="RKE85" s="798"/>
      <c r="RKF85" s="798"/>
      <c r="RKG85" s="798"/>
      <c r="RKH85" s="798"/>
      <c r="RKI85" s="798"/>
      <c r="RKJ85" s="798"/>
      <c r="RKK85" s="798"/>
      <c r="RKL85" s="798"/>
      <c r="RKM85" s="798"/>
      <c r="RKN85" s="798"/>
      <c r="RKO85" s="798"/>
      <c r="RKP85" s="798"/>
      <c r="RKQ85" s="798"/>
      <c r="RKR85" s="798"/>
      <c r="RKS85" s="798"/>
      <c r="RKT85" s="798"/>
      <c r="RKU85" s="798"/>
      <c r="RKV85" s="798"/>
      <c r="RKW85" s="798"/>
      <c r="RKX85" s="798"/>
      <c r="RKY85" s="798"/>
      <c r="RKZ85" s="798"/>
      <c r="RLA85" s="798"/>
      <c r="RLB85" s="798"/>
      <c r="RLC85" s="798"/>
      <c r="RLD85" s="798"/>
      <c r="RLE85" s="798"/>
      <c r="RLF85" s="798"/>
      <c r="RLG85" s="798"/>
      <c r="RLH85" s="798"/>
      <c r="RLI85" s="798"/>
      <c r="RLJ85" s="798"/>
      <c r="RLK85" s="798"/>
      <c r="RLL85" s="798"/>
      <c r="RLM85" s="798"/>
      <c r="RLN85" s="798"/>
      <c r="RLO85" s="798"/>
      <c r="RLP85" s="798"/>
      <c r="RLQ85" s="798"/>
      <c r="RLR85" s="798"/>
      <c r="RLS85" s="798"/>
      <c r="RLT85" s="798"/>
      <c r="RLU85" s="798"/>
      <c r="RLV85" s="798"/>
      <c r="RLW85" s="798"/>
      <c r="RLX85" s="798"/>
      <c r="RLY85" s="798"/>
      <c r="RLZ85" s="798"/>
      <c r="RMA85" s="798"/>
      <c r="RMB85" s="798"/>
      <c r="RMC85" s="798"/>
      <c r="RMD85" s="798"/>
      <c r="RME85" s="798"/>
      <c r="RMF85" s="798"/>
      <c r="RMG85" s="798"/>
      <c r="RMH85" s="798"/>
      <c r="RMI85" s="798"/>
      <c r="RMJ85" s="798"/>
      <c r="RMK85" s="798"/>
      <c r="RML85" s="798"/>
      <c r="RMM85" s="798"/>
      <c r="RMN85" s="798"/>
      <c r="RMO85" s="798"/>
      <c r="RMP85" s="798"/>
      <c r="RMQ85" s="798"/>
      <c r="RMR85" s="798"/>
      <c r="RMS85" s="798"/>
      <c r="RMT85" s="798"/>
      <c r="RMU85" s="798"/>
      <c r="RMV85" s="798"/>
      <c r="RMW85" s="798"/>
      <c r="RMX85" s="798"/>
      <c r="RMY85" s="798"/>
      <c r="RMZ85" s="798"/>
      <c r="RNA85" s="798"/>
      <c r="RNB85" s="798"/>
      <c r="RNC85" s="798"/>
      <c r="RND85" s="798"/>
      <c r="RNE85" s="798"/>
      <c r="RNF85" s="798"/>
      <c r="RNG85" s="798"/>
      <c r="RNH85" s="798"/>
      <c r="RNI85" s="798"/>
      <c r="RNJ85" s="798"/>
      <c r="RNK85" s="798"/>
      <c r="RNL85" s="798"/>
      <c r="RNM85" s="798"/>
      <c r="RNN85" s="798"/>
      <c r="RNO85" s="798"/>
      <c r="RNP85" s="798"/>
      <c r="RNQ85" s="798"/>
      <c r="RNR85" s="798"/>
      <c r="RNS85" s="798"/>
      <c r="RNT85" s="798"/>
      <c r="RNU85" s="798"/>
      <c r="RNV85" s="798"/>
      <c r="RNW85" s="798"/>
      <c r="RNX85" s="798"/>
      <c r="RNY85" s="798"/>
      <c r="RNZ85" s="798"/>
      <c r="ROA85" s="798"/>
      <c r="ROB85" s="798"/>
      <c r="ROC85" s="798"/>
      <c r="ROD85" s="798"/>
      <c r="ROE85" s="798"/>
      <c r="ROF85" s="798"/>
      <c r="ROG85" s="798"/>
      <c r="ROH85" s="798"/>
      <c r="ROI85" s="798"/>
      <c r="ROJ85" s="798"/>
      <c r="ROK85" s="798"/>
      <c r="ROL85" s="798"/>
      <c r="ROM85" s="798"/>
      <c r="RON85" s="798"/>
      <c r="ROO85" s="798"/>
      <c r="ROP85" s="798"/>
      <c r="ROQ85" s="798"/>
      <c r="ROR85" s="798"/>
      <c r="ROS85" s="798"/>
      <c r="ROT85" s="798"/>
      <c r="ROU85" s="798"/>
      <c r="ROV85" s="798"/>
      <c r="ROW85" s="798"/>
      <c r="ROX85" s="798"/>
      <c r="ROY85" s="798"/>
      <c r="ROZ85" s="798"/>
      <c r="RPA85" s="798"/>
      <c r="RPB85" s="798"/>
      <c r="RPC85" s="798"/>
      <c r="RPD85" s="798"/>
      <c r="RPE85" s="798"/>
      <c r="RPF85" s="798"/>
      <c r="RPG85" s="798"/>
      <c r="RPH85" s="798"/>
      <c r="RPI85" s="798"/>
      <c r="RPJ85" s="798"/>
      <c r="RPK85" s="798"/>
      <c r="RPL85" s="798"/>
      <c r="RPM85" s="798"/>
      <c r="RPN85" s="798"/>
      <c r="RPO85" s="798"/>
      <c r="RPP85" s="798"/>
      <c r="RPQ85" s="798"/>
      <c r="RPR85" s="798"/>
      <c r="RPS85" s="798"/>
      <c r="RPT85" s="798"/>
      <c r="RPU85" s="798"/>
      <c r="RPV85" s="798"/>
      <c r="RPW85" s="798"/>
      <c r="RPX85" s="798"/>
      <c r="RPY85" s="798"/>
      <c r="RPZ85" s="798"/>
      <c r="RQA85" s="798"/>
      <c r="RQB85" s="798"/>
      <c r="RQC85" s="798"/>
      <c r="RQD85" s="798"/>
      <c r="RQE85" s="798"/>
      <c r="RQF85" s="798"/>
      <c r="RQG85" s="798"/>
      <c r="RQH85" s="798"/>
      <c r="RQI85" s="798"/>
      <c r="RQJ85" s="798"/>
      <c r="RQK85" s="798"/>
      <c r="RQL85" s="798"/>
      <c r="RQM85" s="798"/>
      <c r="RQN85" s="798"/>
      <c r="RQO85" s="798"/>
      <c r="RQP85" s="798"/>
      <c r="RQQ85" s="798"/>
      <c r="RQR85" s="798"/>
      <c r="RQS85" s="798"/>
      <c r="RQT85" s="798"/>
      <c r="RQU85" s="798"/>
      <c r="RQV85" s="798"/>
      <c r="RQW85" s="798"/>
      <c r="RQX85" s="798"/>
      <c r="RQY85" s="798"/>
      <c r="RQZ85" s="798"/>
      <c r="RRA85" s="798"/>
      <c r="RRB85" s="798"/>
      <c r="RRC85" s="798"/>
      <c r="RRD85" s="798"/>
      <c r="RRE85" s="798"/>
      <c r="RRF85" s="798"/>
      <c r="RRG85" s="798"/>
      <c r="RRH85" s="798"/>
      <c r="RRI85" s="798"/>
      <c r="RRJ85" s="798"/>
      <c r="RRK85" s="798"/>
      <c r="RRL85" s="798"/>
      <c r="RRM85" s="798"/>
      <c r="RRN85" s="798"/>
      <c r="RRO85" s="798"/>
      <c r="RRP85" s="798"/>
      <c r="RRQ85" s="798"/>
      <c r="RRR85" s="798"/>
      <c r="RRS85" s="798"/>
      <c r="RRT85" s="798"/>
      <c r="RRU85" s="798"/>
      <c r="RRV85" s="798"/>
      <c r="RRW85" s="798"/>
      <c r="RRX85" s="798"/>
      <c r="RRY85" s="798"/>
      <c r="RRZ85" s="798"/>
      <c r="RSA85" s="798"/>
      <c r="RSB85" s="798"/>
      <c r="RSC85" s="798"/>
      <c r="RSD85" s="798"/>
      <c r="RSE85" s="798"/>
      <c r="RSF85" s="798"/>
      <c r="RSG85" s="798"/>
      <c r="RSH85" s="798"/>
      <c r="RSI85" s="798"/>
      <c r="RSJ85" s="798"/>
      <c r="RSK85" s="798"/>
      <c r="RSL85" s="798"/>
      <c r="RSM85" s="798"/>
      <c r="RSN85" s="798"/>
      <c r="RSO85" s="798"/>
      <c r="RSP85" s="798"/>
      <c r="RSQ85" s="798"/>
      <c r="RSR85" s="798"/>
      <c r="RSS85" s="798"/>
      <c r="RST85" s="798"/>
      <c r="RSU85" s="798"/>
      <c r="RSV85" s="798"/>
      <c r="RSW85" s="798"/>
      <c r="RSX85" s="798"/>
      <c r="RSY85" s="798"/>
      <c r="RSZ85" s="798"/>
      <c r="RTA85" s="798"/>
      <c r="RTB85" s="798"/>
      <c r="RTC85" s="798"/>
      <c r="RTD85" s="798"/>
      <c r="RTE85" s="798"/>
      <c r="RTF85" s="798"/>
      <c r="RTG85" s="798"/>
      <c r="RTH85" s="798"/>
      <c r="RTI85" s="798"/>
      <c r="RTJ85" s="798"/>
      <c r="RTK85" s="798"/>
      <c r="RTL85" s="798"/>
      <c r="RTM85" s="798"/>
      <c r="RTN85" s="798"/>
      <c r="RTO85" s="798"/>
      <c r="RTP85" s="798"/>
      <c r="RTQ85" s="798"/>
      <c r="RTR85" s="798"/>
      <c r="RTS85" s="798"/>
      <c r="RTT85" s="798"/>
      <c r="RTU85" s="798"/>
      <c r="RTV85" s="798"/>
      <c r="RTW85" s="798"/>
      <c r="RTX85" s="798"/>
      <c r="RTY85" s="798"/>
      <c r="RTZ85" s="798"/>
      <c r="RUA85" s="798"/>
      <c r="RUB85" s="798"/>
      <c r="RUC85" s="798"/>
      <c r="RUD85" s="798"/>
      <c r="RUE85" s="798"/>
      <c r="RUF85" s="798"/>
      <c r="RUG85" s="798"/>
      <c r="RUH85" s="798"/>
      <c r="RUI85" s="798"/>
      <c r="RUJ85" s="798"/>
      <c r="RUK85" s="798"/>
      <c r="RUL85" s="798"/>
      <c r="RUM85" s="798"/>
      <c r="RUN85" s="798"/>
      <c r="RUO85" s="798"/>
      <c r="RUP85" s="798"/>
      <c r="RUQ85" s="798"/>
      <c r="RUR85" s="798"/>
      <c r="RUS85" s="798"/>
      <c r="RUT85" s="798"/>
      <c r="RUU85" s="798"/>
      <c r="RUV85" s="798"/>
      <c r="RUW85" s="798"/>
      <c r="RUX85" s="798"/>
      <c r="RUY85" s="798"/>
      <c r="RUZ85" s="798"/>
      <c r="RVA85" s="798"/>
      <c r="RVB85" s="798"/>
      <c r="RVC85" s="798"/>
      <c r="RVD85" s="798"/>
      <c r="RVE85" s="798"/>
      <c r="RVF85" s="798"/>
      <c r="RVG85" s="798"/>
      <c r="RVH85" s="798"/>
      <c r="RVI85" s="798"/>
      <c r="RVJ85" s="798"/>
      <c r="RVK85" s="798"/>
      <c r="RVL85" s="798"/>
      <c r="RVM85" s="798"/>
      <c r="RVN85" s="798"/>
      <c r="RVO85" s="798"/>
      <c r="RVP85" s="798"/>
      <c r="RVQ85" s="798"/>
      <c r="RVR85" s="798"/>
      <c r="RVS85" s="798"/>
      <c r="RVT85" s="798"/>
      <c r="RVU85" s="798"/>
      <c r="RVV85" s="798"/>
      <c r="RVW85" s="798"/>
      <c r="RVX85" s="798"/>
      <c r="RVY85" s="798"/>
      <c r="RVZ85" s="798"/>
      <c r="RWA85" s="798"/>
      <c r="RWB85" s="798"/>
      <c r="RWC85" s="798"/>
      <c r="RWD85" s="798"/>
      <c r="RWE85" s="798"/>
      <c r="RWF85" s="798"/>
      <c r="RWG85" s="798"/>
      <c r="RWH85" s="798"/>
      <c r="RWI85" s="798"/>
      <c r="RWJ85" s="798"/>
      <c r="RWK85" s="798"/>
      <c r="RWL85" s="798"/>
      <c r="RWM85" s="798"/>
      <c r="RWN85" s="798"/>
      <c r="RWO85" s="798"/>
      <c r="RWP85" s="798"/>
      <c r="RWQ85" s="798"/>
      <c r="RWR85" s="798"/>
      <c r="RWS85" s="798"/>
      <c r="RWT85" s="798"/>
      <c r="RWU85" s="798"/>
      <c r="RWV85" s="798"/>
      <c r="RWW85" s="798"/>
      <c r="RWX85" s="798"/>
      <c r="RWY85" s="798"/>
      <c r="RWZ85" s="798"/>
      <c r="RXA85" s="798"/>
      <c r="RXB85" s="798"/>
      <c r="RXC85" s="798"/>
      <c r="RXD85" s="798"/>
      <c r="RXE85" s="798"/>
      <c r="RXF85" s="798"/>
      <c r="RXG85" s="798"/>
      <c r="RXH85" s="798"/>
      <c r="RXI85" s="798"/>
      <c r="RXJ85" s="798"/>
      <c r="RXK85" s="798"/>
      <c r="RXL85" s="798"/>
      <c r="RXM85" s="798"/>
      <c r="RXN85" s="798"/>
      <c r="RXO85" s="798"/>
      <c r="RXP85" s="798"/>
      <c r="RXQ85" s="798"/>
      <c r="RXR85" s="798"/>
      <c r="RXS85" s="798"/>
      <c r="RXT85" s="798"/>
      <c r="RXU85" s="798"/>
      <c r="RXV85" s="798"/>
      <c r="RXW85" s="798"/>
      <c r="RXX85" s="798"/>
      <c r="RXY85" s="798"/>
      <c r="RXZ85" s="798"/>
      <c r="RYA85" s="798"/>
      <c r="RYB85" s="798"/>
      <c r="RYC85" s="798"/>
      <c r="RYD85" s="798"/>
      <c r="RYE85" s="798"/>
      <c r="RYF85" s="798"/>
      <c r="RYG85" s="798"/>
      <c r="RYH85" s="798"/>
      <c r="RYI85" s="798"/>
      <c r="RYJ85" s="798"/>
      <c r="RYK85" s="798"/>
      <c r="RYL85" s="798"/>
      <c r="RYM85" s="798"/>
      <c r="RYN85" s="798"/>
      <c r="RYO85" s="798"/>
      <c r="RYP85" s="798"/>
      <c r="RYQ85" s="798"/>
      <c r="RYR85" s="798"/>
      <c r="RYS85" s="798"/>
      <c r="RYT85" s="798"/>
      <c r="RYU85" s="798"/>
      <c r="RYV85" s="798"/>
      <c r="RYW85" s="798"/>
      <c r="RYX85" s="798"/>
      <c r="RYY85" s="798"/>
      <c r="RYZ85" s="798"/>
      <c r="RZA85" s="798"/>
      <c r="RZB85" s="798"/>
      <c r="RZC85" s="798"/>
      <c r="RZD85" s="798"/>
      <c r="RZE85" s="798"/>
      <c r="RZF85" s="798"/>
      <c r="RZG85" s="798"/>
      <c r="RZH85" s="798"/>
      <c r="RZI85" s="798"/>
      <c r="RZJ85" s="798"/>
      <c r="RZK85" s="798"/>
      <c r="RZL85" s="798"/>
      <c r="RZM85" s="798"/>
      <c r="RZN85" s="798"/>
      <c r="RZO85" s="798"/>
      <c r="RZP85" s="798"/>
      <c r="RZQ85" s="798"/>
      <c r="RZR85" s="798"/>
      <c r="RZS85" s="798"/>
      <c r="RZT85" s="798"/>
      <c r="RZU85" s="798"/>
      <c r="RZV85" s="798"/>
      <c r="RZW85" s="798"/>
      <c r="RZX85" s="798"/>
      <c r="RZY85" s="798"/>
      <c r="RZZ85" s="798"/>
      <c r="SAA85" s="798"/>
      <c r="SAB85" s="798"/>
      <c r="SAC85" s="798"/>
      <c r="SAD85" s="798"/>
      <c r="SAE85" s="798"/>
      <c r="SAF85" s="798"/>
      <c r="SAG85" s="798"/>
      <c r="SAH85" s="798"/>
      <c r="SAI85" s="798"/>
      <c r="SAJ85" s="798"/>
      <c r="SAK85" s="798"/>
      <c r="SAL85" s="798"/>
      <c r="SAM85" s="798"/>
      <c r="SAN85" s="798"/>
      <c r="SAO85" s="798"/>
      <c r="SAP85" s="798"/>
      <c r="SAQ85" s="798"/>
      <c r="SAR85" s="798"/>
      <c r="SAS85" s="798"/>
      <c r="SAT85" s="798"/>
      <c r="SAU85" s="798"/>
      <c r="SAV85" s="798"/>
      <c r="SAW85" s="798"/>
      <c r="SAX85" s="798"/>
      <c r="SAY85" s="798"/>
      <c r="SAZ85" s="798"/>
      <c r="SBA85" s="798"/>
      <c r="SBB85" s="798"/>
      <c r="SBC85" s="798"/>
      <c r="SBD85" s="798"/>
      <c r="SBE85" s="798"/>
      <c r="SBF85" s="798"/>
      <c r="SBG85" s="798"/>
      <c r="SBH85" s="798"/>
      <c r="SBI85" s="798"/>
      <c r="SBJ85" s="798"/>
      <c r="SBK85" s="798"/>
      <c r="SBL85" s="798"/>
      <c r="SBM85" s="798"/>
      <c r="SBN85" s="798"/>
      <c r="SBO85" s="798"/>
      <c r="SBP85" s="798"/>
      <c r="SBQ85" s="798"/>
      <c r="SBR85" s="798"/>
      <c r="SBS85" s="798"/>
      <c r="SBT85" s="798"/>
      <c r="SBU85" s="798"/>
      <c r="SBV85" s="798"/>
      <c r="SBW85" s="798"/>
      <c r="SBX85" s="798"/>
      <c r="SBY85" s="798"/>
      <c r="SBZ85" s="798"/>
      <c r="SCA85" s="798"/>
      <c r="SCB85" s="798"/>
      <c r="SCC85" s="798"/>
      <c r="SCD85" s="798"/>
      <c r="SCE85" s="798"/>
      <c r="SCF85" s="798"/>
      <c r="SCG85" s="798"/>
      <c r="SCH85" s="798"/>
      <c r="SCI85" s="798"/>
      <c r="SCJ85" s="798"/>
      <c r="SCK85" s="798"/>
      <c r="SCL85" s="798"/>
      <c r="SCM85" s="798"/>
      <c r="SCN85" s="798"/>
      <c r="SCO85" s="798"/>
      <c r="SCP85" s="798"/>
      <c r="SCQ85" s="798"/>
      <c r="SCR85" s="798"/>
      <c r="SCS85" s="798"/>
      <c r="SCT85" s="798"/>
      <c r="SCU85" s="798"/>
      <c r="SCV85" s="798"/>
      <c r="SCW85" s="798"/>
      <c r="SCX85" s="798"/>
      <c r="SCY85" s="798"/>
      <c r="SCZ85" s="798"/>
      <c r="SDA85" s="798"/>
      <c r="SDB85" s="798"/>
      <c r="SDC85" s="798"/>
      <c r="SDD85" s="798"/>
      <c r="SDE85" s="798"/>
      <c r="SDF85" s="798"/>
      <c r="SDG85" s="798"/>
      <c r="SDH85" s="798"/>
      <c r="SDI85" s="798"/>
      <c r="SDJ85" s="798"/>
      <c r="SDK85" s="798"/>
      <c r="SDL85" s="798"/>
      <c r="SDM85" s="798"/>
      <c r="SDN85" s="798"/>
      <c r="SDO85" s="798"/>
      <c r="SDP85" s="798"/>
      <c r="SDQ85" s="798"/>
      <c r="SDR85" s="798"/>
      <c r="SDS85" s="798"/>
      <c r="SDT85" s="798"/>
      <c r="SDU85" s="798"/>
      <c r="SDV85" s="798"/>
      <c r="SDW85" s="798"/>
      <c r="SDX85" s="798"/>
      <c r="SDY85" s="798"/>
      <c r="SDZ85" s="798"/>
      <c r="SEA85" s="798"/>
      <c r="SEB85" s="798"/>
      <c r="SEC85" s="798"/>
      <c r="SED85" s="798"/>
      <c r="SEE85" s="798"/>
      <c r="SEF85" s="798"/>
      <c r="SEG85" s="798"/>
      <c r="SEH85" s="798"/>
      <c r="SEI85" s="798"/>
      <c r="SEJ85" s="798"/>
      <c r="SEK85" s="798"/>
      <c r="SEL85" s="798"/>
      <c r="SEM85" s="798"/>
      <c r="SEN85" s="798"/>
      <c r="SEO85" s="798"/>
      <c r="SEP85" s="798"/>
      <c r="SEQ85" s="798"/>
      <c r="SER85" s="798"/>
      <c r="SES85" s="798"/>
      <c r="SET85" s="798"/>
      <c r="SEU85" s="798"/>
      <c r="SEV85" s="798"/>
      <c r="SEW85" s="798"/>
      <c r="SEX85" s="798"/>
      <c r="SEY85" s="798"/>
      <c r="SEZ85" s="798"/>
      <c r="SFA85" s="798"/>
      <c r="SFB85" s="798"/>
      <c r="SFC85" s="798"/>
      <c r="SFD85" s="798"/>
      <c r="SFE85" s="798"/>
      <c r="SFF85" s="798"/>
      <c r="SFG85" s="798"/>
      <c r="SFH85" s="798"/>
      <c r="SFI85" s="798"/>
      <c r="SFJ85" s="798"/>
      <c r="SFK85" s="798"/>
      <c r="SFL85" s="798"/>
      <c r="SFM85" s="798"/>
      <c r="SFN85" s="798"/>
      <c r="SFO85" s="798"/>
      <c r="SFP85" s="798"/>
      <c r="SFQ85" s="798"/>
      <c r="SFR85" s="798"/>
      <c r="SFS85" s="798"/>
      <c r="SFT85" s="798"/>
      <c r="SFU85" s="798"/>
      <c r="SFV85" s="798"/>
      <c r="SFW85" s="798"/>
      <c r="SFX85" s="798"/>
      <c r="SFY85" s="798"/>
      <c r="SFZ85" s="798"/>
      <c r="SGA85" s="798"/>
      <c r="SGB85" s="798"/>
      <c r="SGC85" s="798"/>
      <c r="SGD85" s="798"/>
      <c r="SGE85" s="798"/>
      <c r="SGF85" s="798"/>
      <c r="SGG85" s="798"/>
      <c r="SGH85" s="798"/>
      <c r="SGI85" s="798"/>
      <c r="SGJ85" s="798"/>
      <c r="SGK85" s="798"/>
      <c r="SGL85" s="798"/>
      <c r="SGM85" s="798"/>
      <c r="SGN85" s="798"/>
      <c r="SGO85" s="798"/>
      <c r="SGP85" s="798"/>
      <c r="SGQ85" s="798"/>
      <c r="SGR85" s="798"/>
      <c r="SGS85" s="798"/>
      <c r="SGT85" s="798"/>
      <c r="SGU85" s="798"/>
      <c r="SGV85" s="798"/>
      <c r="SGW85" s="798"/>
      <c r="SGX85" s="798"/>
      <c r="SGY85" s="798"/>
      <c r="SGZ85" s="798"/>
      <c r="SHA85" s="798"/>
      <c r="SHB85" s="798"/>
      <c r="SHC85" s="798"/>
      <c r="SHD85" s="798"/>
      <c r="SHE85" s="798"/>
      <c r="SHF85" s="798"/>
      <c r="SHG85" s="798"/>
      <c r="SHH85" s="798"/>
      <c r="SHI85" s="798"/>
      <c r="SHJ85" s="798"/>
      <c r="SHK85" s="798"/>
      <c r="SHL85" s="798"/>
      <c r="SHM85" s="798"/>
      <c r="SHN85" s="798"/>
      <c r="SHO85" s="798"/>
      <c r="SHP85" s="798"/>
      <c r="SHQ85" s="798"/>
      <c r="SHR85" s="798"/>
      <c r="SHS85" s="798"/>
      <c r="SHT85" s="798"/>
      <c r="SHU85" s="798"/>
      <c r="SHV85" s="798"/>
      <c r="SHW85" s="798"/>
      <c r="SHX85" s="798"/>
      <c r="SHY85" s="798"/>
      <c r="SHZ85" s="798"/>
      <c r="SIA85" s="798"/>
      <c r="SIB85" s="798"/>
      <c r="SIC85" s="798"/>
      <c r="SID85" s="798"/>
      <c r="SIE85" s="798"/>
      <c r="SIF85" s="798"/>
      <c r="SIG85" s="798"/>
      <c r="SIH85" s="798"/>
      <c r="SII85" s="798"/>
      <c r="SIJ85" s="798"/>
      <c r="SIK85" s="798"/>
      <c r="SIL85" s="798"/>
      <c r="SIM85" s="798"/>
      <c r="SIN85" s="798"/>
      <c r="SIO85" s="798"/>
      <c r="SIP85" s="798"/>
      <c r="SIQ85" s="798"/>
      <c r="SIR85" s="798"/>
      <c r="SIS85" s="798"/>
      <c r="SIT85" s="798"/>
      <c r="SIU85" s="798"/>
      <c r="SIV85" s="798"/>
      <c r="SIW85" s="798"/>
      <c r="SIX85" s="798"/>
      <c r="SIY85" s="798"/>
      <c r="SIZ85" s="798"/>
      <c r="SJA85" s="798"/>
      <c r="SJB85" s="798"/>
      <c r="SJC85" s="798"/>
      <c r="SJD85" s="798"/>
      <c r="SJE85" s="798"/>
      <c r="SJF85" s="798"/>
      <c r="SJG85" s="798"/>
      <c r="SJH85" s="798"/>
      <c r="SJI85" s="798"/>
      <c r="SJJ85" s="798"/>
      <c r="SJK85" s="798"/>
      <c r="SJL85" s="798"/>
      <c r="SJM85" s="798"/>
      <c r="SJN85" s="798"/>
      <c r="SJO85" s="798"/>
      <c r="SJP85" s="798"/>
      <c r="SJQ85" s="798"/>
      <c r="SJR85" s="798"/>
      <c r="SJS85" s="798"/>
      <c r="SJT85" s="798"/>
      <c r="SJU85" s="798"/>
      <c r="SJV85" s="798"/>
      <c r="SJW85" s="798"/>
      <c r="SJX85" s="798"/>
      <c r="SJY85" s="798"/>
      <c r="SJZ85" s="798"/>
      <c r="SKA85" s="798"/>
      <c r="SKB85" s="798"/>
      <c r="SKC85" s="798"/>
      <c r="SKD85" s="798"/>
      <c r="SKE85" s="798"/>
      <c r="SKF85" s="798"/>
      <c r="SKG85" s="798"/>
      <c r="SKH85" s="798"/>
      <c r="SKI85" s="798"/>
      <c r="SKJ85" s="798"/>
      <c r="SKK85" s="798"/>
      <c r="SKL85" s="798"/>
      <c r="SKM85" s="798"/>
      <c r="SKN85" s="798"/>
      <c r="SKO85" s="798"/>
      <c r="SKP85" s="798"/>
      <c r="SKQ85" s="798"/>
      <c r="SKR85" s="798"/>
      <c r="SKS85" s="798"/>
      <c r="SKT85" s="798"/>
      <c r="SKU85" s="798"/>
      <c r="SKV85" s="798"/>
      <c r="SKW85" s="798"/>
      <c r="SKX85" s="798"/>
      <c r="SKY85" s="798"/>
      <c r="SKZ85" s="798"/>
      <c r="SLA85" s="798"/>
      <c r="SLB85" s="798"/>
      <c r="SLC85" s="798"/>
      <c r="SLD85" s="798"/>
      <c r="SLE85" s="798"/>
      <c r="SLF85" s="798"/>
      <c r="SLG85" s="798"/>
      <c r="SLH85" s="798"/>
      <c r="SLI85" s="798"/>
      <c r="SLJ85" s="798"/>
      <c r="SLK85" s="798"/>
      <c r="SLL85" s="798"/>
      <c r="SLM85" s="798"/>
      <c r="SLN85" s="798"/>
      <c r="SLO85" s="798"/>
      <c r="SLP85" s="798"/>
      <c r="SLQ85" s="798"/>
      <c r="SLR85" s="798"/>
      <c r="SLS85" s="798"/>
      <c r="SLT85" s="798"/>
      <c r="SLU85" s="798"/>
      <c r="SLV85" s="798"/>
      <c r="SLW85" s="798"/>
      <c r="SLX85" s="798"/>
      <c r="SLY85" s="798"/>
      <c r="SLZ85" s="798"/>
      <c r="SMA85" s="798"/>
      <c r="SMB85" s="798"/>
      <c r="SMC85" s="798"/>
      <c r="SMD85" s="798"/>
      <c r="SME85" s="798"/>
      <c r="SMF85" s="798"/>
      <c r="SMG85" s="798"/>
      <c r="SMH85" s="798"/>
      <c r="SMI85" s="798"/>
      <c r="SMJ85" s="798"/>
      <c r="SMK85" s="798"/>
      <c r="SML85" s="798"/>
      <c r="SMM85" s="798"/>
      <c r="SMN85" s="798"/>
      <c r="SMO85" s="798"/>
      <c r="SMP85" s="798"/>
      <c r="SMQ85" s="798"/>
      <c r="SMR85" s="798"/>
      <c r="SMS85" s="798"/>
      <c r="SMT85" s="798"/>
      <c r="SMU85" s="798"/>
      <c r="SMV85" s="798"/>
      <c r="SMW85" s="798"/>
      <c r="SMX85" s="798"/>
      <c r="SMY85" s="798"/>
      <c r="SMZ85" s="798"/>
      <c r="SNA85" s="798"/>
      <c r="SNB85" s="798"/>
      <c r="SNC85" s="798"/>
      <c r="SND85" s="798"/>
      <c r="SNE85" s="798"/>
      <c r="SNF85" s="798"/>
      <c r="SNG85" s="798"/>
      <c r="SNH85" s="798"/>
      <c r="SNI85" s="798"/>
      <c r="SNJ85" s="798"/>
      <c r="SNK85" s="798"/>
      <c r="SNL85" s="798"/>
      <c r="SNM85" s="798"/>
      <c r="SNN85" s="798"/>
      <c r="SNO85" s="798"/>
      <c r="SNP85" s="798"/>
      <c r="SNQ85" s="798"/>
      <c r="SNR85" s="798"/>
      <c r="SNS85" s="798"/>
      <c r="SNT85" s="798"/>
      <c r="SNU85" s="798"/>
      <c r="SNV85" s="798"/>
      <c r="SNW85" s="798"/>
      <c r="SNX85" s="798"/>
      <c r="SNY85" s="798"/>
      <c r="SNZ85" s="798"/>
      <c r="SOA85" s="798"/>
      <c r="SOB85" s="798"/>
      <c r="SOC85" s="798"/>
      <c r="SOD85" s="798"/>
      <c r="SOE85" s="798"/>
      <c r="SOF85" s="798"/>
      <c r="SOG85" s="798"/>
      <c r="SOH85" s="798"/>
      <c r="SOI85" s="798"/>
      <c r="SOJ85" s="798"/>
      <c r="SOK85" s="798"/>
      <c r="SOL85" s="798"/>
      <c r="SOM85" s="798"/>
      <c r="SON85" s="798"/>
      <c r="SOO85" s="798"/>
      <c r="SOP85" s="798"/>
      <c r="SOQ85" s="798"/>
      <c r="SOR85" s="798"/>
      <c r="SOS85" s="798"/>
      <c r="SOT85" s="798"/>
      <c r="SOU85" s="798"/>
      <c r="SOV85" s="798"/>
      <c r="SOW85" s="798"/>
      <c r="SOX85" s="798"/>
      <c r="SOY85" s="798"/>
      <c r="SOZ85" s="798"/>
      <c r="SPA85" s="798"/>
      <c r="SPB85" s="798"/>
      <c r="SPC85" s="798"/>
      <c r="SPD85" s="798"/>
      <c r="SPE85" s="798"/>
      <c r="SPF85" s="798"/>
      <c r="SPG85" s="798"/>
      <c r="SPH85" s="798"/>
      <c r="SPI85" s="798"/>
      <c r="SPJ85" s="798"/>
      <c r="SPK85" s="798"/>
      <c r="SPL85" s="798"/>
      <c r="SPM85" s="798"/>
      <c r="SPN85" s="798"/>
      <c r="SPO85" s="798"/>
      <c r="SPP85" s="798"/>
      <c r="SPQ85" s="798"/>
      <c r="SPR85" s="798"/>
      <c r="SPS85" s="798"/>
      <c r="SPT85" s="798"/>
      <c r="SPU85" s="798"/>
      <c r="SPV85" s="798"/>
      <c r="SPW85" s="798"/>
      <c r="SPX85" s="798"/>
      <c r="SPY85" s="798"/>
      <c r="SPZ85" s="798"/>
      <c r="SQA85" s="798"/>
      <c r="SQB85" s="798"/>
      <c r="SQC85" s="798"/>
      <c r="SQD85" s="798"/>
      <c r="SQE85" s="798"/>
      <c r="SQF85" s="798"/>
      <c r="SQG85" s="798"/>
      <c r="SQH85" s="798"/>
      <c r="SQI85" s="798"/>
      <c r="SQJ85" s="798"/>
      <c r="SQK85" s="798"/>
      <c r="SQL85" s="798"/>
      <c r="SQM85" s="798"/>
      <c r="SQN85" s="798"/>
      <c r="SQO85" s="798"/>
      <c r="SQP85" s="798"/>
      <c r="SQQ85" s="798"/>
      <c r="SQR85" s="798"/>
      <c r="SQS85" s="798"/>
      <c r="SQT85" s="798"/>
      <c r="SQU85" s="798"/>
      <c r="SQV85" s="798"/>
      <c r="SQW85" s="798"/>
      <c r="SQX85" s="798"/>
      <c r="SQY85" s="798"/>
      <c r="SQZ85" s="798"/>
      <c r="SRA85" s="798"/>
      <c r="SRB85" s="798"/>
      <c r="SRC85" s="798"/>
      <c r="SRD85" s="798"/>
      <c r="SRE85" s="798"/>
      <c r="SRF85" s="798"/>
      <c r="SRG85" s="798"/>
      <c r="SRH85" s="798"/>
      <c r="SRI85" s="798"/>
      <c r="SRJ85" s="798"/>
      <c r="SRK85" s="798"/>
      <c r="SRL85" s="798"/>
      <c r="SRM85" s="798"/>
      <c r="SRN85" s="798"/>
      <c r="SRO85" s="798"/>
      <c r="SRP85" s="798"/>
      <c r="SRQ85" s="798"/>
      <c r="SRR85" s="798"/>
      <c r="SRS85" s="798"/>
      <c r="SRT85" s="798"/>
      <c r="SRU85" s="798"/>
      <c r="SRV85" s="798"/>
      <c r="SRW85" s="798"/>
      <c r="SRX85" s="798"/>
      <c r="SRY85" s="798"/>
      <c r="SRZ85" s="798"/>
      <c r="SSA85" s="798"/>
      <c r="SSB85" s="798"/>
      <c r="SSC85" s="798"/>
      <c r="SSD85" s="798"/>
      <c r="SSE85" s="798"/>
      <c r="SSF85" s="798"/>
      <c r="SSG85" s="798"/>
      <c r="SSH85" s="798"/>
      <c r="SSI85" s="798"/>
      <c r="SSJ85" s="798"/>
      <c r="SSK85" s="798"/>
      <c r="SSL85" s="798"/>
      <c r="SSM85" s="798"/>
      <c r="SSN85" s="798"/>
      <c r="SSO85" s="798"/>
      <c r="SSP85" s="798"/>
      <c r="SSQ85" s="798"/>
      <c r="SSR85" s="798"/>
      <c r="SSS85" s="798"/>
      <c r="SST85" s="798"/>
      <c r="SSU85" s="798"/>
      <c r="SSV85" s="798"/>
      <c r="SSW85" s="798"/>
      <c r="SSX85" s="798"/>
      <c r="SSY85" s="798"/>
      <c r="SSZ85" s="798"/>
      <c r="STA85" s="798"/>
      <c r="STB85" s="798"/>
      <c r="STC85" s="798"/>
      <c r="STD85" s="798"/>
      <c r="STE85" s="798"/>
      <c r="STF85" s="798"/>
      <c r="STG85" s="798"/>
      <c r="STH85" s="798"/>
      <c r="STI85" s="798"/>
      <c r="STJ85" s="798"/>
      <c r="STK85" s="798"/>
      <c r="STL85" s="798"/>
      <c r="STM85" s="798"/>
      <c r="STN85" s="798"/>
      <c r="STO85" s="798"/>
      <c r="STP85" s="798"/>
      <c r="STQ85" s="798"/>
      <c r="STR85" s="798"/>
      <c r="STS85" s="798"/>
      <c r="STT85" s="798"/>
      <c r="STU85" s="798"/>
      <c r="STV85" s="798"/>
      <c r="STW85" s="798"/>
      <c r="STX85" s="798"/>
      <c r="STY85" s="798"/>
      <c r="STZ85" s="798"/>
      <c r="SUA85" s="798"/>
      <c r="SUB85" s="798"/>
      <c r="SUC85" s="798"/>
      <c r="SUD85" s="798"/>
      <c r="SUE85" s="798"/>
      <c r="SUF85" s="798"/>
      <c r="SUG85" s="798"/>
      <c r="SUH85" s="798"/>
      <c r="SUI85" s="798"/>
      <c r="SUJ85" s="798"/>
      <c r="SUK85" s="798"/>
      <c r="SUL85" s="798"/>
      <c r="SUM85" s="798"/>
      <c r="SUN85" s="798"/>
      <c r="SUO85" s="798"/>
      <c r="SUP85" s="798"/>
      <c r="SUQ85" s="798"/>
      <c r="SUR85" s="798"/>
      <c r="SUS85" s="798"/>
      <c r="SUT85" s="798"/>
      <c r="SUU85" s="798"/>
      <c r="SUV85" s="798"/>
      <c r="SUW85" s="798"/>
      <c r="SUX85" s="798"/>
      <c r="SUY85" s="798"/>
      <c r="SUZ85" s="798"/>
      <c r="SVA85" s="798"/>
      <c r="SVB85" s="798"/>
      <c r="SVC85" s="798"/>
      <c r="SVD85" s="798"/>
      <c r="SVE85" s="798"/>
      <c r="SVF85" s="798"/>
      <c r="SVG85" s="798"/>
      <c r="SVH85" s="798"/>
      <c r="SVI85" s="798"/>
      <c r="SVJ85" s="798"/>
      <c r="SVK85" s="798"/>
      <c r="SVL85" s="798"/>
      <c r="SVM85" s="798"/>
      <c r="SVN85" s="798"/>
      <c r="SVO85" s="798"/>
      <c r="SVP85" s="798"/>
      <c r="SVQ85" s="798"/>
      <c r="SVR85" s="798"/>
      <c r="SVS85" s="798"/>
      <c r="SVT85" s="798"/>
      <c r="SVU85" s="798"/>
      <c r="SVV85" s="798"/>
      <c r="SVW85" s="798"/>
      <c r="SVX85" s="798"/>
      <c r="SVY85" s="798"/>
      <c r="SVZ85" s="798"/>
      <c r="SWA85" s="798"/>
      <c r="SWB85" s="798"/>
      <c r="SWC85" s="798"/>
      <c r="SWD85" s="798"/>
      <c r="SWE85" s="798"/>
      <c r="SWF85" s="798"/>
      <c r="SWG85" s="798"/>
      <c r="SWH85" s="798"/>
      <c r="SWI85" s="798"/>
      <c r="SWJ85" s="798"/>
      <c r="SWK85" s="798"/>
      <c r="SWL85" s="798"/>
      <c r="SWM85" s="798"/>
      <c r="SWN85" s="798"/>
      <c r="SWO85" s="798"/>
      <c r="SWP85" s="798"/>
      <c r="SWQ85" s="798"/>
      <c r="SWR85" s="798"/>
      <c r="SWS85" s="798"/>
      <c r="SWT85" s="798"/>
      <c r="SWU85" s="798"/>
      <c r="SWV85" s="798"/>
      <c r="SWW85" s="798"/>
      <c r="SWX85" s="798"/>
      <c r="SWY85" s="798"/>
      <c r="SWZ85" s="798"/>
      <c r="SXA85" s="798"/>
      <c r="SXB85" s="798"/>
      <c r="SXC85" s="798"/>
      <c r="SXD85" s="798"/>
      <c r="SXE85" s="798"/>
      <c r="SXF85" s="798"/>
      <c r="SXG85" s="798"/>
      <c r="SXH85" s="798"/>
      <c r="SXI85" s="798"/>
      <c r="SXJ85" s="798"/>
      <c r="SXK85" s="798"/>
      <c r="SXL85" s="798"/>
      <c r="SXM85" s="798"/>
      <c r="SXN85" s="798"/>
      <c r="SXO85" s="798"/>
      <c r="SXP85" s="798"/>
      <c r="SXQ85" s="798"/>
      <c r="SXR85" s="798"/>
      <c r="SXS85" s="798"/>
      <c r="SXT85" s="798"/>
      <c r="SXU85" s="798"/>
      <c r="SXV85" s="798"/>
      <c r="SXW85" s="798"/>
      <c r="SXX85" s="798"/>
      <c r="SXY85" s="798"/>
      <c r="SXZ85" s="798"/>
      <c r="SYA85" s="798"/>
      <c r="SYB85" s="798"/>
      <c r="SYC85" s="798"/>
      <c r="SYD85" s="798"/>
      <c r="SYE85" s="798"/>
      <c r="SYF85" s="798"/>
      <c r="SYG85" s="798"/>
      <c r="SYH85" s="798"/>
      <c r="SYI85" s="798"/>
      <c r="SYJ85" s="798"/>
      <c r="SYK85" s="798"/>
      <c r="SYL85" s="798"/>
      <c r="SYM85" s="798"/>
      <c r="SYN85" s="798"/>
      <c r="SYO85" s="798"/>
      <c r="SYP85" s="798"/>
      <c r="SYQ85" s="798"/>
      <c r="SYR85" s="798"/>
      <c r="SYS85" s="798"/>
      <c r="SYT85" s="798"/>
      <c r="SYU85" s="798"/>
      <c r="SYV85" s="798"/>
      <c r="SYW85" s="798"/>
      <c r="SYX85" s="798"/>
      <c r="SYY85" s="798"/>
      <c r="SYZ85" s="798"/>
      <c r="SZA85" s="798"/>
      <c r="SZB85" s="798"/>
      <c r="SZC85" s="798"/>
      <c r="SZD85" s="798"/>
      <c r="SZE85" s="798"/>
      <c r="SZF85" s="798"/>
      <c r="SZG85" s="798"/>
      <c r="SZH85" s="798"/>
      <c r="SZI85" s="798"/>
      <c r="SZJ85" s="798"/>
      <c r="SZK85" s="798"/>
      <c r="SZL85" s="798"/>
      <c r="SZM85" s="798"/>
      <c r="SZN85" s="798"/>
      <c r="SZO85" s="798"/>
      <c r="SZP85" s="798"/>
      <c r="SZQ85" s="798"/>
      <c r="SZR85" s="798"/>
      <c r="SZS85" s="798"/>
      <c r="SZT85" s="798"/>
      <c r="SZU85" s="798"/>
      <c r="SZV85" s="798"/>
      <c r="SZW85" s="798"/>
      <c r="SZX85" s="798"/>
      <c r="SZY85" s="798"/>
      <c r="SZZ85" s="798"/>
      <c r="TAA85" s="798"/>
      <c r="TAB85" s="798"/>
      <c r="TAC85" s="798"/>
      <c r="TAD85" s="798"/>
      <c r="TAE85" s="798"/>
      <c r="TAF85" s="798"/>
      <c r="TAG85" s="798"/>
      <c r="TAH85" s="798"/>
      <c r="TAI85" s="798"/>
      <c r="TAJ85" s="798"/>
      <c r="TAK85" s="798"/>
      <c r="TAL85" s="798"/>
      <c r="TAM85" s="798"/>
      <c r="TAN85" s="798"/>
      <c r="TAO85" s="798"/>
      <c r="TAP85" s="798"/>
      <c r="TAQ85" s="798"/>
      <c r="TAR85" s="798"/>
      <c r="TAS85" s="798"/>
      <c r="TAT85" s="798"/>
      <c r="TAU85" s="798"/>
      <c r="TAV85" s="798"/>
      <c r="TAW85" s="798"/>
      <c r="TAX85" s="798"/>
      <c r="TAY85" s="798"/>
      <c r="TAZ85" s="798"/>
      <c r="TBA85" s="798"/>
      <c r="TBB85" s="798"/>
      <c r="TBC85" s="798"/>
      <c r="TBD85" s="798"/>
      <c r="TBE85" s="798"/>
      <c r="TBF85" s="798"/>
      <c r="TBG85" s="798"/>
      <c r="TBH85" s="798"/>
      <c r="TBI85" s="798"/>
      <c r="TBJ85" s="798"/>
      <c r="TBK85" s="798"/>
      <c r="TBL85" s="798"/>
      <c r="TBM85" s="798"/>
      <c r="TBN85" s="798"/>
      <c r="TBO85" s="798"/>
      <c r="TBP85" s="798"/>
      <c r="TBQ85" s="798"/>
      <c r="TBR85" s="798"/>
      <c r="TBS85" s="798"/>
      <c r="TBT85" s="798"/>
      <c r="TBU85" s="798"/>
      <c r="TBV85" s="798"/>
      <c r="TBW85" s="798"/>
      <c r="TBX85" s="798"/>
      <c r="TBY85" s="798"/>
      <c r="TBZ85" s="798"/>
      <c r="TCA85" s="798"/>
      <c r="TCB85" s="798"/>
      <c r="TCC85" s="798"/>
      <c r="TCD85" s="798"/>
      <c r="TCE85" s="798"/>
      <c r="TCF85" s="798"/>
      <c r="TCG85" s="798"/>
      <c r="TCH85" s="798"/>
      <c r="TCI85" s="798"/>
      <c r="TCJ85" s="798"/>
      <c r="TCK85" s="798"/>
      <c r="TCL85" s="798"/>
      <c r="TCM85" s="798"/>
      <c r="TCN85" s="798"/>
      <c r="TCO85" s="798"/>
      <c r="TCP85" s="798"/>
      <c r="TCQ85" s="798"/>
      <c r="TCR85" s="798"/>
      <c r="TCS85" s="798"/>
      <c r="TCT85" s="798"/>
      <c r="TCU85" s="798"/>
      <c r="TCV85" s="798"/>
      <c r="TCW85" s="798"/>
      <c r="TCX85" s="798"/>
      <c r="TCY85" s="798"/>
      <c r="TCZ85" s="798"/>
      <c r="TDA85" s="798"/>
      <c r="TDB85" s="798"/>
      <c r="TDC85" s="798"/>
      <c r="TDD85" s="798"/>
      <c r="TDE85" s="798"/>
      <c r="TDF85" s="798"/>
      <c r="TDG85" s="798"/>
      <c r="TDH85" s="798"/>
      <c r="TDI85" s="798"/>
      <c r="TDJ85" s="798"/>
      <c r="TDK85" s="798"/>
      <c r="TDL85" s="798"/>
      <c r="TDM85" s="798"/>
      <c r="TDN85" s="798"/>
      <c r="TDO85" s="798"/>
      <c r="TDP85" s="798"/>
      <c r="TDQ85" s="798"/>
      <c r="TDR85" s="798"/>
      <c r="TDS85" s="798"/>
      <c r="TDT85" s="798"/>
      <c r="TDU85" s="798"/>
      <c r="TDV85" s="798"/>
      <c r="TDW85" s="798"/>
      <c r="TDX85" s="798"/>
      <c r="TDY85" s="798"/>
      <c r="TDZ85" s="798"/>
      <c r="TEA85" s="798"/>
      <c r="TEB85" s="798"/>
      <c r="TEC85" s="798"/>
      <c r="TED85" s="798"/>
      <c r="TEE85" s="798"/>
      <c r="TEF85" s="798"/>
      <c r="TEG85" s="798"/>
      <c r="TEH85" s="798"/>
      <c r="TEI85" s="798"/>
      <c r="TEJ85" s="798"/>
      <c r="TEK85" s="798"/>
      <c r="TEL85" s="798"/>
      <c r="TEM85" s="798"/>
      <c r="TEN85" s="798"/>
      <c r="TEO85" s="798"/>
      <c r="TEP85" s="798"/>
      <c r="TEQ85" s="798"/>
      <c r="TER85" s="798"/>
      <c r="TES85" s="798"/>
      <c r="TET85" s="798"/>
      <c r="TEU85" s="798"/>
      <c r="TEV85" s="798"/>
      <c r="TEW85" s="798"/>
      <c r="TEX85" s="798"/>
      <c r="TEY85" s="798"/>
      <c r="TEZ85" s="798"/>
      <c r="TFA85" s="798"/>
      <c r="TFB85" s="798"/>
      <c r="TFC85" s="798"/>
      <c r="TFD85" s="798"/>
      <c r="TFE85" s="798"/>
      <c r="TFF85" s="798"/>
      <c r="TFG85" s="798"/>
      <c r="TFH85" s="798"/>
      <c r="TFI85" s="798"/>
      <c r="TFJ85" s="798"/>
      <c r="TFK85" s="798"/>
      <c r="TFL85" s="798"/>
      <c r="TFM85" s="798"/>
      <c r="TFN85" s="798"/>
      <c r="TFO85" s="798"/>
      <c r="TFP85" s="798"/>
      <c r="TFQ85" s="798"/>
      <c r="TFR85" s="798"/>
      <c r="TFS85" s="798"/>
      <c r="TFT85" s="798"/>
      <c r="TFU85" s="798"/>
      <c r="TFV85" s="798"/>
      <c r="TFW85" s="798"/>
      <c r="TFX85" s="798"/>
      <c r="TFY85" s="798"/>
      <c r="TFZ85" s="798"/>
      <c r="TGA85" s="798"/>
      <c r="TGB85" s="798"/>
      <c r="TGC85" s="798"/>
      <c r="TGD85" s="798"/>
      <c r="TGE85" s="798"/>
      <c r="TGF85" s="798"/>
      <c r="TGG85" s="798"/>
      <c r="TGH85" s="798"/>
      <c r="TGI85" s="798"/>
      <c r="TGJ85" s="798"/>
      <c r="TGK85" s="798"/>
      <c r="TGL85" s="798"/>
      <c r="TGM85" s="798"/>
      <c r="TGN85" s="798"/>
      <c r="TGO85" s="798"/>
      <c r="TGP85" s="798"/>
      <c r="TGQ85" s="798"/>
      <c r="TGR85" s="798"/>
      <c r="TGS85" s="798"/>
      <c r="TGT85" s="798"/>
      <c r="TGU85" s="798"/>
      <c r="TGV85" s="798"/>
      <c r="TGW85" s="798"/>
      <c r="TGX85" s="798"/>
      <c r="TGY85" s="798"/>
      <c r="TGZ85" s="798"/>
      <c r="THA85" s="798"/>
      <c r="THB85" s="798"/>
      <c r="THC85" s="798"/>
      <c r="THD85" s="798"/>
      <c r="THE85" s="798"/>
      <c r="THF85" s="798"/>
      <c r="THG85" s="798"/>
      <c r="THH85" s="798"/>
      <c r="THI85" s="798"/>
      <c r="THJ85" s="798"/>
      <c r="THK85" s="798"/>
      <c r="THL85" s="798"/>
      <c r="THM85" s="798"/>
      <c r="THN85" s="798"/>
      <c r="THO85" s="798"/>
      <c r="THP85" s="798"/>
      <c r="THQ85" s="798"/>
      <c r="THR85" s="798"/>
      <c r="THS85" s="798"/>
      <c r="THT85" s="798"/>
      <c r="THU85" s="798"/>
      <c r="THV85" s="798"/>
      <c r="THW85" s="798"/>
      <c r="THX85" s="798"/>
      <c r="THY85" s="798"/>
      <c r="THZ85" s="798"/>
      <c r="TIA85" s="798"/>
      <c r="TIB85" s="798"/>
      <c r="TIC85" s="798"/>
      <c r="TID85" s="798"/>
      <c r="TIE85" s="798"/>
      <c r="TIF85" s="798"/>
      <c r="TIG85" s="798"/>
      <c r="TIH85" s="798"/>
      <c r="TII85" s="798"/>
      <c r="TIJ85" s="798"/>
      <c r="TIK85" s="798"/>
      <c r="TIL85" s="798"/>
      <c r="TIM85" s="798"/>
      <c r="TIN85" s="798"/>
      <c r="TIO85" s="798"/>
      <c r="TIP85" s="798"/>
      <c r="TIQ85" s="798"/>
      <c r="TIR85" s="798"/>
      <c r="TIS85" s="798"/>
      <c r="TIT85" s="798"/>
      <c r="TIU85" s="798"/>
      <c r="TIV85" s="798"/>
      <c r="TIW85" s="798"/>
      <c r="TIX85" s="798"/>
      <c r="TIY85" s="798"/>
      <c r="TIZ85" s="798"/>
      <c r="TJA85" s="798"/>
      <c r="TJB85" s="798"/>
      <c r="TJC85" s="798"/>
      <c r="TJD85" s="798"/>
      <c r="TJE85" s="798"/>
      <c r="TJF85" s="798"/>
      <c r="TJG85" s="798"/>
      <c r="TJH85" s="798"/>
      <c r="TJI85" s="798"/>
      <c r="TJJ85" s="798"/>
      <c r="TJK85" s="798"/>
      <c r="TJL85" s="798"/>
      <c r="TJM85" s="798"/>
      <c r="TJN85" s="798"/>
      <c r="TJO85" s="798"/>
      <c r="TJP85" s="798"/>
      <c r="TJQ85" s="798"/>
      <c r="TJR85" s="798"/>
      <c r="TJS85" s="798"/>
      <c r="TJT85" s="798"/>
      <c r="TJU85" s="798"/>
      <c r="TJV85" s="798"/>
      <c r="TJW85" s="798"/>
      <c r="TJX85" s="798"/>
      <c r="TJY85" s="798"/>
      <c r="TJZ85" s="798"/>
      <c r="TKA85" s="798"/>
      <c r="TKB85" s="798"/>
      <c r="TKC85" s="798"/>
      <c r="TKD85" s="798"/>
      <c r="TKE85" s="798"/>
      <c r="TKF85" s="798"/>
      <c r="TKG85" s="798"/>
      <c r="TKH85" s="798"/>
      <c r="TKI85" s="798"/>
      <c r="TKJ85" s="798"/>
      <c r="TKK85" s="798"/>
      <c r="TKL85" s="798"/>
      <c r="TKM85" s="798"/>
      <c r="TKN85" s="798"/>
      <c r="TKO85" s="798"/>
      <c r="TKP85" s="798"/>
      <c r="TKQ85" s="798"/>
      <c r="TKR85" s="798"/>
      <c r="TKS85" s="798"/>
      <c r="TKT85" s="798"/>
      <c r="TKU85" s="798"/>
      <c r="TKV85" s="798"/>
      <c r="TKW85" s="798"/>
      <c r="TKX85" s="798"/>
      <c r="TKY85" s="798"/>
      <c r="TKZ85" s="798"/>
      <c r="TLA85" s="798"/>
      <c r="TLB85" s="798"/>
      <c r="TLC85" s="798"/>
      <c r="TLD85" s="798"/>
      <c r="TLE85" s="798"/>
      <c r="TLF85" s="798"/>
      <c r="TLG85" s="798"/>
      <c r="TLH85" s="798"/>
      <c r="TLI85" s="798"/>
      <c r="TLJ85" s="798"/>
      <c r="TLK85" s="798"/>
      <c r="TLL85" s="798"/>
      <c r="TLM85" s="798"/>
      <c r="TLN85" s="798"/>
      <c r="TLO85" s="798"/>
      <c r="TLP85" s="798"/>
      <c r="TLQ85" s="798"/>
      <c r="TLR85" s="798"/>
      <c r="TLS85" s="798"/>
      <c r="TLT85" s="798"/>
      <c r="TLU85" s="798"/>
      <c r="TLV85" s="798"/>
      <c r="TLW85" s="798"/>
      <c r="TLX85" s="798"/>
      <c r="TLY85" s="798"/>
      <c r="TLZ85" s="798"/>
      <c r="TMA85" s="798"/>
      <c r="TMB85" s="798"/>
      <c r="TMC85" s="798"/>
      <c r="TMD85" s="798"/>
      <c r="TME85" s="798"/>
      <c r="TMF85" s="798"/>
      <c r="TMG85" s="798"/>
      <c r="TMH85" s="798"/>
      <c r="TMI85" s="798"/>
      <c r="TMJ85" s="798"/>
      <c r="TMK85" s="798"/>
      <c r="TML85" s="798"/>
      <c r="TMM85" s="798"/>
      <c r="TMN85" s="798"/>
      <c r="TMO85" s="798"/>
      <c r="TMP85" s="798"/>
      <c r="TMQ85" s="798"/>
      <c r="TMR85" s="798"/>
      <c r="TMS85" s="798"/>
      <c r="TMT85" s="798"/>
      <c r="TMU85" s="798"/>
      <c r="TMV85" s="798"/>
      <c r="TMW85" s="798"/>
      <c r="TMX85" s="798"/>
      <c r="TMY85" s="798"/>
      <c r="TMZ85" s="798"/>
      <c r="TNA85" s="798"/>
      <c r="TNB85" s="798"/>
      <c r="TNC85" s="798"/>
      <c r="TND85" s="798"/>
      <c r="TNE85" s="798"/>
      <c r="TNF85" s="798"/>
      <c r="TNG85" s="798"/>
      <c r="TNH85" s="798"/>
      <c r="TNI85" s="798"/>
      <c r="TNJ85" s="798"/>
      <c r="TNK85" s="798"/>
      <c r="TNL85" s="798"/>
      <c r="TNM85" s="798"/>
      <c r="TNN85" s="798"/>
      <c r="TNO85" s="798"/>
      <c r="TNP85" s="798"/>
      <c r="TNQ85" s="798"/>
      <c r="TNR85" s="798"/>
      <c r="TNS85" s="798"/>
      <c r="TNT85" s="798"/>
      <c r="TNU85" s="798"/>
      <c r="TNV85" s="798"/>
      <c r="TNW85" s="798"/>
      <c r="TNX85" s="798"/>
      <c r="TNY85" s="798"/>
      <c r="TNZ85" s="798"/>
      <c r="TOA85" s="798"/>
      <c r="TOB85" s="798"/>
      <c r="TOC85" s="798"/>
      <c r="TOD85" s="798"/>
      <c r="TOE85" s="798"/>
      <c r="TOF85" s="798"/>
      <c r="TOG85" s="798"/>
      <c r="TOH85" s="798"/>
      <c r="TOI85" s="798"/>
      <c r="TOJ85" s="798"/>
      <c r="TOK85" s="798"/>
      <c r="TOL85" s="798"/>
      <c r="TOM85" s="798"/>
      <c r="TON85" s="798"/>
      <c r="TOO85" s="798"/>
      <c r="TOP85" s="798"/>
      <c r="TOQ85" s="798"/>
      <c r="TOR85" s="798"/>
      <c r="TOS85" s="798"/>
      <c r="TOT85" s="798"/>
      <c r="TOU85" s="798"/>
      <c r="TOV85" s="798"/>
      <c r="TOW85" s="798"/>
      <c r="TOX85" s="798"/>
      <c r="TOY85" s="798"/>
      <c r="TOZ85" s="798"/>
      <c r="TPA85" s="798"/>
      <c r="TPB85" s="798"/>
      <c r="TPC85" s="798"/>
      <c r="TPD85" s="798"/>
      <c r="TPE85" s="798"/>
      <c r="TPF85" s="798"/>
      <c r="TPG85" s="798"/>
      <c r="TPH85" s="798"/>
      <c r="TPI85" s="798"/>
      <c r="TPJ85" s="798"/>
      <c r="TPK85" s="798"/>
      <c r="TPL85" s="798"/>
      <c r="TPM85" s="798"/>
      <c r="TPN85" s="798"/>
      <c r="TPO85" s="798"/>
      <c r="TPP85" s="798"/>
      <c r="TPQ85" s="798"/>
      <c r="TPR85" s="798"/>
      <c r="TPS85" s="798"/>
      <c r="TPT85" s="798"/>
      <c r="TPU85" s="798"/>
      <c r="TPV85" s="798"/>
      <c r="TPW85" s="798"/>
      <c r="TPX85" s="798"/>
      <c r="TPY85" s="798"/>
      <c r="TPZ85" s="798"/>
      <c r="TQA85" s="798"/>
      <c r="TQB85" s="798"/>
      <c r="TQC85" s="798"/>
      <c r="TQD85" s="798"/>
      <c r="TQE85" s="798"/>
      <c r="TQF85" s="798"/>
      <c r="TQG85" s="798"/>
      <c r="TQH85" s="798"/>
      <c r="TQI85" s="798"/>
      <c r="TQJ85" s="798"/>
      <c r="TQK85" s="798"/>
      <c r="TQL85" s="798"/>
      <c r="TQM85" s="798"/>
      <c r="TQN85" s="798"/>
      <c r="TQO85" s="798"/>
      <c r="TQP85" s="798"/>
      <c r="TQQ85" s="798"/>
      <c r="TQR85" s="798"/>
      <c r="TQS85" s="798"/>
      <c r="TQT85" s="798"/>
      <c r="TQU85" s="798"/>
      <c r="TQV85" s="798"/>
      <c r="TQW85" s="798"/>
      <c r="TQX85" s="798"/>
      <c r="TQY85" s="798"/>
      <c r="TQZ85" s="798"/>
      <c r="TRA85" s="798"/>
      <c r="TRB85" s="798"/>
      <c r="TRC85" s="798"/>
      <c r="TRD85" s="798"/>
      <c r="TRE85" s="798"/>
      <c r="TRF85" s="798"/>
      <c r="TRG85" s="798"/>
      <c r="TRH85" s="798"/>
      <c r="TRI85" s="798"/>
      <c r="TRJ85" s="798"/>
      <c r="TRK85" s="798"/>
      <c r="TRL85" s="798"/>
      <c r="TRM85" s="798"/>
      <c r="TRN85" s="798"/>
      <c r="TRO85" s="798"/>
      <c r="TRP85" s="798"/>
      <c r="TRQ85" s="798"/>
      <c r="TRR85" s="798"/>
      <c r="TRS85" s="798"/>
      <c r="TRT85" s="798"/>
      <c r="TRU85" s="798"/>
      <c r="TRV85" s="798"/>
      <c r="TRW85" s="798"/>
      <c r="TRX85" s="798"/>
      <c r="TRY85" s="798"/>
      <c r="TRZ85" s="798"/>
      <c r="TSA85" s="798"/>
      <c r="TSB85" s="798"/>
      <c r="TSC85" s="798"/>
      <c r="TSD85" s="798"/>
      <c r="TSE85" s="798"/>
      <c r="TSF85" s="798"/>
      <c r="TSG85" s="798"/>
      <c r="TSH85" s="798"/>
      <c r="TSI85" s="798"/>
      <c r="TSJ85" s="798"/>
      <c r="TSK85" s="798"/>
      <c r="TSL85" s="798"/>
      <c r="TSM85" s="798"/>
      <c r="TSN85" s="798"/>
      <c r="TSO85" s="798"/>
      <c r="TSP85" s="798"/>
      <c r="TSQ85" s="798"/>
      <c r="TSR85" s="798"/>
      <c r="TSS85" s="798"/>
      <c r="TST85" s="798"/>
      <c r="TSU85" s="798"/>
      <c r="TSV85" s="798"/>
      <c r="TSW85" s="798"/>
      <c r="TSX85" s="798"/>
      <c r="TSY85" s="798"/>
      <c r="TSZ85" s="798"/>
      <c r="TTA85" s="798"/>
      <c r="TTB85" s="798"/>
      <c r="TTC85" s="798"/>
      <c r="TTD85" s="798"/>
      <c r="TTE85" s="798"/>
      <c r="TTF85" s="798"/>
      <c r="TTG85" s="798"/>
      <c r="TTH85" s="798"/>
      <c r="TTI85" s="798"/>
      <c r="TTJ85" s="798"/>
      <c r="TTK85" s="798"/>
      <c r="TTL85" s="798"/>
      <c r="TTM85" s="798"/>
      <c r="TTN85" s="798"/>
      <c r="TTO85" s="798"/>
      <c r="TTP85" s="798"/>
      <c r="TTQ85" s="798"/>
      <c r="TTR85" s="798"/>
      <c r="TTS85" s="798"/>
      <c r="TTT85" s="798"/>
      <c r="TTU85" s="798"/>
      <c r="TTV85" s="798"/>
      <c r="TTW85" s="798"/>
      <c r="TTX85" s="798"/>
      <c r="TTY85" s="798"/>
      <c r="TTZ85" s="798"/>
      <c r="TUA85" s="798"/>
      <c r="TUB85" s="798"/>
      <c r="TUC85" s="798"/>
      <c r="TUD85" s="798"/>
      <c r="TUE85" s="798"/>
      <c r="TUF85" s="798"/>
      <c r="TUG85" s="798"/>
      <c r="TUH85" s="798"/>
      <c r="TUI85" s="798"/>
      <c r="TUJ85" s="798"/>
      <c r="TUK85" s="798"/>
      <c r="TUL85" s="798"/>
      <c r="TUM85" s="798"/>
      <c r="TUN85" s="798"/>
      <c r="TUO85" s="798"/>
      <c r="TUP85" s="798"/>
      <c r="TUQ85" s="798"/>
      <c r="TUR85" s="798"/>
      <c r="TUS85" s="798"/>
      <c r="TUT85" s="798"/>
      <c r="TUU85" s="798"/>
      <c r="TUV85" s="798"/>
      <c r="TUW85" s="798"/>
      <c r="TUX85" s="798"/>
      <c r="TUY85" s="798"/>
      <c r="TUZ85" s="798"/>
      <c r="TVA85" s="798"/>
      <c r="TVB85" s="798"/>
      <c r="TVC85" s="798"/>
      <c r="TVD85" s="798"/>
      <c r="TVE85" s="798"/>
      <c r="TVF85" s="798"/>
      <c r="TVG85" s="798"/>
      <c r="TVH85" s="798"/>
      <c r="TVI85" s="798"/>
      <c r="TVJ85" s="798"/>
      <c r="TVK85" s="798"/>
      <c r="TVL85" s="798"/>
      <c r="TVM85" s="798"/>
      <c r="TVN85" s="798"/>
      <c r="TVO85" s="798"/>
      <c r="TVP85" s="798"/>
      <c r="TVQ85" s="798"/>
      <c r="TVR85" s="798"/>
      <c r="TVS85" s="798"/>
      <c r="TVT85" s="798"/>
      <c r="TVU85" s="798"/>
      <c r="TVV85" s="798"/>
      <c r="TVW85" s="798"/>
      <c r="TVX85" s="798"/>
      <c r="TVY85" s="798"/>
      <c r="TVZ85" s="798"/>
      <c r="TWA85" s="798"/>
      <c r="TWB85" s="798"/>
      <c r="TWC85" s="798"/>
      <c r="TWD85" s="798"/>
      <c r="TWE85" s="798"/>
      <c r="TWF85" s="798"/>
      <c r="TWG85" s="798"/>
      <c r="TWH85" s="798"/>
      <c r="TWI85" s="798"/>
      <c r="TWJ85" s="798"/>
      <c r="TWK85" s="798"/>
      <c r="TWL85" s="798"/>
      <c r="TWM85" s="798"/>
      <c r="TWN85" s="798"/>
      <c r="TWO85" s="798"/>
      <c r="TWP85" s="798"/>
      <c r="TWQ85" s="798"/>
      <c r="TWR85" s="798"/>
      <c r="TWS85" s="798"/>
      <c r="TWT85" s="798"/>
      <c r="TWU85" s="798"/>
      <c r="TWV85" s="798"/>
      <c r="TWW85" s="798"/>
      <c r="TWX85" s="798"/>
      <c r="TWY85" s="798"/>
      <c r="TWZ85" s="798"/>
      <c r="TXA85" s="798"/>
      <c r="TXB85" s="798"/>
      <c r="TXC85" s="798"/>
      <c r="TXD85" s="798"/>
      <c r="TXE85" s="798"/>
      <c r="TXF85" s="798"/>
      <c r="TXG85" s="798"/>
      <c r="TXH85" s="798"/>
      <c r="TXI85" s="798"/>
      <c r="TXJ85" s="798"/>
      <c r="TXK85" s="798"/>
      <c r="TXL85" s="798"/>
      <c r="TXM85" s="798"/>
      <c r="TXN85" s="798"/>
      <c r="TXO85" s="798"/>
      <c r="TXP85" s="798"/>
      <c r="TXQ85" s="798"/>
      <c r="TXR85" s="798"/>
      <c r="TXS85" s="798"/>
      <c r="TXT85" s="798"/>
      <c r="TXU85" s="798"/>
      <c r="TXV85" s="798"/>
      <c r="TXW85" s="798"/>
      <c r="TXX85" s="798"/>
      <c r="TXY85" s="798"/>
      <c r="TXZ85" s="798"/>
      <c r="TYA85" s="798"/>
      <c r="TYB85" s="798"/>
      <c r="TYC85" s="798"/>
      <c r="TYD85" s="798"/>
      <c r="TYE85" s="798"/>
      <c r="TYF85" s="798"/>
      <c r="TYG85" s="798"/>
      <c r="TYH85" s="798"/>
      <c r="TYI85" s="798"/>
      <c r="TYJ85" s="798"/>
      <c r="TYK85" s="798"/>
      <c r="TYL85" s="798"/>
      <c r="TYM85" s="798"/>
      <c r="TYN85" s="798"/>
      <c r="TYO85" s="798"/>
      <c r="TYP85" s="798"/>
      <c r="TYQ85" s="798"/>
      <c r="TYR85" s="798"/>
      <c r="TYS85" s="798"/>
      <c r="TYT85" s="798"/>
      <c r="TYU85" s="798"/>
      <c r="TYV85" s="798"/>
      <c r="TYW85" s="798"/>
      <c r="TYX85" s="798"/>
      <c r="TYY85" s="798"/>
      <c r="TYZ85" s="798"/>
      <c r="TZA85" s="798"/>
      <c r="TZB85" s="798"/>
      <c r="TZC85" s="798"/>
      <c r="TZD85" s="798"/>
      <c r="TZE85" s="798"/>
      <c r="TZF85" s="798"/>
      <c r="TZG85" s="798"/>
      <c r="TZH85" s="798"/>
      <c r="TZI85" s="798"/>
      <c r="TZJ85" s="798"/>
      <c r="TZK85" s="798"/>
      <c r="TZL85" s="798"/>
      <c r="TZM85" s="798"/>
      <c r="TZN85" s="798"/>
      <c r="TZO85" s="798"/>
      <c r="TZP85" s="798"/>
      <c r="TZQ85" s="798"/>
      <c r="TZR85" s="798"/>
      <c r="TZS85" s="798"/>
      <c r="TZT85" s="798"/>
      <c r="TZU85" s="798"/>
      <c r="TZV85" s="798"/>
      <c r="TZW85" s="798"/>
      <c r="TZX85" s="798"/>
      <c r="TZY85" s="798"/>
      <c r="TZZ85" s="798"/>
      <c r="UAA85" s="798"/>
      <c r="UAB85" s="798"/>
      <c r="UAC85" s="798"/>
      <c r="UAD85" s="798"/>
      <c r="UAE85" s="798"/>
      <c r="UAF85" s="798"/>
      <c r="UAG85" s="798"/>
      <c r="UAH85" s="798"/>
      <c r="UAI85" s="798"/>
      <c r="UAJ85" s="798"/>
      <c r="UAK85" s="798"/>
      <c r="UAL85" s="798"/>
      <c r="UAM85" s="798"/>
      <c r="UAN85" s="798"/>
      <c r="UAO85" s="798"/>
      <c r="UAP85" s="798"/>
      <c r="UAQ85" s="798"/>
      <c r="UAR85" s="798"/>
      <c r="UAS85" s="798"/>
      <c r="UAT85" s="798"/>
      <c r="UAU85" s="798"/>
      <c r="UAV85" s="798"/>
      <c r="UAW85" s="798"/>
      <c r="UAX85" s="798"/>
      <c r="UAY85" s="798"/>
      <c r="UAZ85" s="798"/>
      <c r="UBA85" s="798"/>
      <c r="UBB85" s="798"/>
      <c r="UBC85" s="798"/>
      <c r="UBD85" s="798"/>
      <c r="UBE85" s="798"/>
      <c r="UBF85" s="798"/>
      <c r="UBG85" s="798"/>
      <c r="UBH85" s="798"/>
      <c r="UBI85" s="798"/>
      <c r="UBJ85" s="798"/>
      <c r="UBK85" s="798"/>
      <c r="UBL85" s="798"/>
      <c r="UBM85" s="798"/>
      <c r="UBN85" s="798"/>
      <c r="UBO85" s="798"/>
      <c r="UBP85" s="798"/>
      <c r="UBQ85" s="798"/>
      <c r="UBR85" s="798"/>
      <c r="UBS85" s="798"/>
      <c r="UBT85" s="798"/>
      <c r="UBU85" s="798"/>
      <c r="UBV85" s="798"/>
      <c r="UBW85" s="798"/>
      <c r="UBX85" s="798"/>
      <c r="UBY85" s="798"/>
      <c r="UBZ85" s="798"/>
      <c r="UCA85" s="798"/>
      <c r="UCB85" s="798"/>
      <c r="UCC85" s="798"/>
      <c r="UCD85" s="798"/>
      <c r="UCE85" s="798"/>
      <c r="UCF85" s="798"/>
      <c r="UCG85" s="798"/>
      <c r="UCH85" s="798"/>
      <c r="UCI85" s="798"/>
      <c r="UCJ85" s="798"/>
      <c r="UCK85" s="798"/>
      <c r="UCL85" s="798"/>
      <c r="UCM85" s="798"/>
      <c r="UCN85" s="798"/>
      <c r="UCO85" s="798"/>
      <c r="UCP85" s="798"/>
      <c r="UCQ85" s="798"/>
      <c r="UCR85" s="798"/>
      <c r="UCS85" s="798"/>
      <c r="UCT85" s="798"/>
      <c r="UCU85" s="798"/>
      <c r="UCV85" s="798"/>
      <c r="UCW85" s="798"/>
      <c r="UCX85" s="798"/>
      <c r="UCY85" s="798"/>
      <c r="UCZ85" s="798"/>
      <c r="UDA85" s="798"/>
      <c r="UDB85" s="798"/>
      <c r="UDC85" s="798"/>
      <c r="UDD85" s="798"/>
      <c r="UDE85" s="798"/>
      <c r="UDF85" s="798"/>
      <c r="UDG85" s="798"/>
      <c r="UDH85" s="798"/>
      <c r="UDI85" s="798"/>
      <c r="UDJ85" s="798"/>
      <c r="UDK85" s="798"/>
      <c r="UDL85" s="798"/>
      <c r="UDM85" s="798"/>
      <c r="UDN85" s="798"/>
      <c r="UDO85" s="798"/>
      <c r="UDP85" s="798"/>
      <c r="UDQ85" s="798"/>
      <c r="UDR85" s="798"/>
      <c r="UDS85" s="798"/>
      <c r="UDT85" s="798"/>
      <c r="UDU85" s="798"/>
      <c r="UDV85" s="798"/>
      <c r="UDW85" s="798"/>
      <c r="UDX85" s="798"/>
      <c r="UDY85" s="798"/>
      <c r="UDZ85" s="798"/>
      <c r="UEA85" s="798"/>
      <c r="UEB85" s="798"/>
      <c r="UEC85" s="798"/>
      <c r="UED85" s="798"/>
      <c r="UEE85" s="798"/>
      <c r="UEF85" s="798"/>
      <c r="UEG85" s="798"/>
      <c r="UEH85" s="798"/>
      <c r="UEI85" s="798"/>
      <c r="UEJ85" s="798"/>
      <c r="UEK85" s="798"/>
      <c r="UEL85" s="798"/>
      <c r="UEM85" s="798"/>
      <c r="UEN85" s="798"/>
      <c r="UEO85" s="798"/>
      <c r="UEP85" s="798"/>
      <c r="UEQ85" s="798"/>
      <c r="UER85" s="798"/>
      <c r="UES85" s="798"/>
      <c r="UET85" s="798"/>
      <c r="UEU85" s="798"/>
      <c r="UEV85" s="798"/>
      <c r="UEW85" s="798"/>
      <c r="UEX85" s="798"/>
      <c r="UEY85" s="798"/>
      <c r="UEZ85" s="798"/>
      <c r="UFA85" s="798"/>
      <c r="UFB85" s="798"/>
      <c r="UFC85" s="798"/>
      <c r="UFD85" s="798"/>
      <c r="UFE85" s="798"/>
      <c r="UFF85" s="798"/>
      <c r="UFG85" s="798"/>
      <c r="UFH85" s="798"/>
      <c r="UFI85" s="798"/>
      <c r="UFJ85" s="798"/>
      <c r="UFK85" s="798"/>
      <c r="UFL85" s="798"/>
      <c r="UFM85" s="798"/>
      <c r="UFN85" s="798"/>
      <c r="UFO85" s="798"/>
      <c r="UFP85" s="798"/>
      <c r="UFQ85" s="798"/>
      <c r="UFR85" s="798"/>
      <c r="UFS85" s="798"/>
      <c r="UFT85" s="798"/>
      <c r="UFU85" s="798"/>
      <c r="UFV85" s="798"/>
      <c r="UFW85" s="798"/>
      <c r="UFX85" s="798"/>
      <c r="UFY85" s="798"/>
      <c r="UFZ85" s="798"/>
      <c r="UGA85" s="798"/>
      <c r="UGB85" s="798"/>
      <c r="UGC85" s="798"/>
      <c r="UGD85" s="798"/>
      <c r="UGE85" s="798"/>
      <c r="UGF85" s="798"/>
      <c r="UGG85" s="798"/>
      <c r="UGH85" s="798"/>
      <c r="UGI85" s="798"/>
      <c r="UGJ85" s="798"/>
      <c r="UGK85" s="798"/>
      <c r="UGL85" s="798"/>
      <c r="UGM85" s="798"/>
      <c r="UGN85" s="798"/>
      <c r="UGO85" s="798"/>
      <c r="UGP85" s="798"/>
      <c r="UGQ85" s="798"/>
      <c r="UGR85" s="798"/>
      <c r="UGS85" s="798"/>
      <c r="UGT85" s="798"/>
      <c r="UGU85" s="798"/>
      <c r="UGV85" s="798"/>
      <c r="UGW85" s="798"/>
      <c r="UGX85" s="798"/>
      <c r="UGY85" s="798"/>
      <c r="UGZ85" s="798"/>
      <c r="UHA85" s="798"/>
      <c r="UHB85" s="798"/>
      <c r="UHC85" s="798"/>
      <c r="UHD85" s="798"/>
      <c r="UHE85" s="798"/>
      <c r="UHF85" s="798"/>
      <c r="UHG85" s="798"/>
      <c r="UHH85" s="798"/>
      <c r="UHI85" s="798"/>
      <c r="UHJ85" s="798"/>
      <c r="UHK85" s="798"/>
      <c r="UHL85" s="798"/>
      <c r="UHM85" s="798"/>
      <c r="UHN85" s="798"/>
      <c r="UHO85" s="798"/>
      <c r="UHP85" s="798"/>
      <c r="UHQ85" s="798"/>
      <c r="UHR85" s="798"/>
      <c r="UHS85" s="798"/>
      <c r="UHT85" s="798"/>
      <c r="UHU85" s="798"/>
      <c r="UHV85" s="798"/>
      <c r="UHW85" s="798"/>
      <c r="UHX85" s="798"/>
      <c r="UHY85" s="798"/>
      <c r="UHZ85" s="798"/>
      <c r="UIA85" s="798"/>
      <c r="UIB85" s="798"/>
      <c r="UIC85" s="798"/>
      <c r="UID85" s="798"/>
      <c r="UIE85" s="798"/>
      <c r="UIF85" s="798"/>
      <c r="UIG85" s="798"/>
      <c r="UIH85" s="798"/>
      <c r="UII85" s="798"/>
      <c r="UIJ85" s="798"/>
      <c r="UIK85" s="798"/>
      <c r="UIL85" s="798"/>
      <c r="UIM85" s="798"/>
      <c r="UIN85" s="798"/>
      <c r="UIO85" s="798"/>
      <c r="UIP85" s="798"/>
      <c r="UIQ85" s="798"/>
      <c r="UIR85" s="798"/>
      <c r="UIS85" s="798"/>
      <c r="UIT85" s="798"/>
      <c r="UIU85" s="798"/>
      <c r="UIV85" s="798"/>
      <c r="UIW85" s="798"/>
      <c r="UIX85" s="798"/>
      <c r="UIY85" s="798"/>
      <c r="UIZ85" s="798"/>
      <c r="UJA85" s="798"/>
      <c r="UJB85" s="798"/>
      <c r="UJC85" s="798"/>
      <c r="UJD85" s="798"/>
      <c r="UJE85" s="798"/>
      <c r="UJF85" s="798"/>
      <c r="UJG85" s="798"/>
      <c r="UJH85" s="798"/>
      <c r="UJI85" s="798"/>
      <c r="UJJ85" s="798"/>
      <c r="UJK85" s="798"/>
      <c r="UJL85" s="798"/>
      <c r="UJM85" s="798"/>
      <c r="UJN85" s="798"/>
      <c r="UJO85" s="798"/>
      <c r="UJP85" s="798"/>
      <c r="UJQ85" s="798"/>
      <c r="UJR85" s="798"/>
      <c r="UJS85" s="798"/>
      <c r="UJT85" s="798"/>
      <c r="UJU85" s="798"/>
      <c r="UJV85" s="798"/>
      <c r="UJW85" s="798"/>
      <c r="UJX85" s="798"/>
      <c r="UJY85" s="798"/>
      <c r="UJZ85" s="798"/>
      <c r="UKA85" s="798"/>
      <c r="UKB85" s="798"/>
      <c r="UKC85" s="798"/>
      <c r="UKD85" s="798"/>
      <c r="UKE85" s="798"/>
      <c r="UKF85" s="798"/>
      <c r="UKG85" s="798"/>
      <c r="UKH85" s="798"/>
      <c r="UKI85" s="798"/>
      <c r="UKJ85" s="798"/>
      <c r="UKK85" s="798"/>
      <c r="UKL85" s="798"/>
      <c r="UKM85" s="798"/>
      <c r="UKN85" s="798"/>
      <c r="UKO85" s="798"/>
      <c r="UKP85" s="798"/>
      <c r="UKQ85" s="798"/>
      <c r="UKR85" s="798"/>
      <c r="UKS85" s="798"/>
      <c r="UKT85" s="798"/>
      <c r="UKU85" s="798"/>
      <c r="UKV85" s="798"/>
      <c r="UKW85" s="798"/>
      <c r="UKX85" s="798"/>
      <c r="UKY85" s="798"/>
      <c r="UKZ85" s="798"/>
      <c r="ULA85" s="798"/>
      <c r="ULB85" s="798"/>
      <c r="ULC85" s="798"/>
      <c r="ULD85" s="798"/>
      <c r="ULE85" s="798"/>
      <c r="ULF85" s="798"/>
      <c r="ULG85" s="798"/>
      <c r="ULH85" s="798"/>
      <c r="ULI85" s="798"/>
      <c r="ULJ85" s="798"/>
      <c r="ULK85" s="798"/>
      <c r="ULL85" s="798"/>
      <c r="ULM85" s="798"/>
      <c r="ULN85" s="798"/>
      <c r="ULO85" s="798"/>
      <c r="ULP85" s="798"/>
      <c r="ULQ85" s="798"/>
      <c r="ULR85" s="798"/>
      <c r="ULS85" s="798"/>
      <c r="ULT85" s="798"/>
      <c r="ULU85" s="798"/>
      <c r="ULV85" s="798"/>
      <c r="ULW85" s="798"/>
      <c r="ULX85" s="798"/>
      <c r="ULY85" s="798"/>
      <c r="ULZ85" s="798"/>
      <c r="UMA85" s="798"/>
      <c r="UMB85" s="798"/>
      <c r="UMC85" s="798"/>
      <c r="UMD85" s="798"/>
      <c r="UME85" s="798"/>
      <c r="UMF85" s="798"/>
      <c r="UMG85" s="798"/>
      <c r="UMH85" s="798"/>
      <c r="UMI85" s="798"/>
      <c r="UMJ85" s="798"/>
      <c r="UMK85" s="798"/>
      <c r="UML85" s="798"/>
      <c r="UMM85" s="798"/>
      <c r="UMN85" s="798"/>
      <c r="UMO85" s="798"/>
      <c r="UMP85" s="798"/>
      <c r="UMQ85" s="798"/>
      <c r="UMR85" s="798"/>
      <c r="UMS85" s="798"/>
      <c r="UMT85" s="798"/>
      <c r="UMU85" s="798"/>
      <c r="UMV85" s="798"/>
      <c r="UMW85" s="798"/>
      <c r="UMX85" s="798"/>
      <c r="UMY85" s="798"/>
      <c r="UMZ85" s="798"/>
      <c r="UNA85" s="798"/>
      <c r="UNB85" s="798"/>
      <c r="UNC85" s="798"/>
      <c r="UND85" s="798"/>
      <c r="UNE85" s="798"/>
      <c r="UNF85" s="798"/>
      <c r="UNG85" s="798"/>
      <c r="UNH85" s="798"/>
      <c r="UNI85" s="798"/>
      <c r="UNJ85" s="798"/>
      <c r="UNK85" s="798"/>
      <c r="UNL85" s="798"/>
      <c r="UNM85" s="798"/>
      <c r="UNN85" s="798"/>
      <c r="UNO85" s="798"/>
      <c r="UNP85" s="798"/>
      <c r="UNQ85" s="798"/>
      <c r="UNR85" s="798"/>
      <c r="UNS85" s="798"/>
      <c r="UNT85" s="798"/>
      <c r="UNU85" s="798"/>
      <c r="UNV85" s="798"/>
      <c r="UNW85" s="798"/>
      <c r="UNX85" s="798"/>
      <c r="UNY85" s="798"/>
      <c r="UNZ85" s="798"/>
      <c r="UOA85" s="798"/>
      <c r="UOB85" s="798"/>
      <c r="UOC85" s="798"/>
      <c r="UOD85" s="798"/>
      <c r="UOE85" s="798"/>
      <c r="UOF85" s="798"/>
      <c r="UOG85" s="798"/>
      <c r="UOH85" s="798"/>
      <c r="UOI85" s="798"/>
      <c r="UOJ85" s="798"/>
      <c r="UOK85" s="798"/>
      <c r="UOL85" s="798"/>
      <c r="UOM85" s="798"/>
      <c r="UON85" s="798"/>
      <c r="UOO85" s="798"/>
      <c r="UOP85" s="798"/>
      <c r="UOQ85" s="798"/>
      <c r="UOR85" s="798"/>
      <c r="UOS85" s="798"/>
      <c r="UOT85" s="798"/>
      <c r="UOU85" s="798"/>
      <c r="UOV85" s="798"/>
      <c r="UOW85" s="798"/>
      <c r="UOX85" s="798"/>
      <c r="UOY85" s="798"/>
      <c r="UOZ85" s="798"/>
      <c r="UPA85" s="798"/>
      <c r="UPB85" s="798"/>
      <c r="UPC85" s="798"/>
      <c r="UPD85" s="798"/>
      <c r="UPE85" s="798"/>
      <c r="UPF85" s="798"/>
      <c r="UPG85" s="798"/>
      <c r="UPH85" s="798"/>
      <c r="UPI85" s="798"/>
      <c r="UPJ85" s="798"/>
      <c r="UPK85" s="798"/>
      <c r="UPL85" s="798"/>
      <c r="UPM85" s="798"/>
      <c r="UPN85" s="798"/>
      <c r="UPO85" s="798"/>
      <c r="UPP85" s="798"/>
      <c r="UPQ85" s="798"/>
      <c r="UPR85" s="798"/>
      <c r="UPS85" s="798"/>
      <c r="UPT85" s="798"/>
      <c r="UPU85" s="798"/>
      <c r="UPV85" s="798"/>
      <c r="UPW85" s="798"/>
      <c r="UPX85" s="798"/>
      <c r="UPY85" s="798"/>
      <c r="UPZ85" s="798"/>
      <c r="UQA85" s="798"/>
      <c r="UQB85" s="798"/>
      <c r="UQC85" s="798"/>
      <c r="UQD85" s="798"/>
      <c r="UQE85" s="798"/>
      <c r="UQF85" s="798"/>
      <c r="UQG85" s="798"/>
      <c r="UQH85" s="798"/>
      <c r="UQI85" s="798"/>
      <c r="UQJ85" s="798"/>
      <c r="UQK85" s="798"/>
      <c r="UQL85" s="798"/>
      <c r="UQM85" s="798"/>
      <c r="UQN85" s="798"/>
      <c r="UQO85" s="798"/>
      <c r="UQP85" s="798"/>
      <c r="UQQ85" s="798"/>
      <c r="UQR85" s="798"/>
      <c r="UQS85" s="798"/>
      <c r="UQT85" s="798"/>
      <c r="UQU85" s="798"/>
      <c r="UQV85" s="798"/>
      <c r="UQW85" s="798"/>
      <c r="UQX85" s="798"/>
      <c r="UQY85" s="798"/>
      <c r="UQZ85" s="798"/>
      <c r="URA85" s="798"/>
      <c r="URB85" s="798"/>
      <c r="URC85" s="798"/>
      <c r="URD85" s="798"/>
      <c r="URE85" s="798"/>
      <c r="URF85" s="798"/>
      <c r="URG85" s="798"/>
      <c r="URH85" s="798"/>
      <c r="URI85" s="798"/>
      <c r="URJ85" s="798"/>
      <c r="URK85" s="798"/>
      <c r="URL85" s="798"/>
      <c r="URM85" s="798"/>
      <c r="URN85" s="798"/>
      <c r="URO85" s="798"/>
      <c r="URP85" s="798"/>
      <c r="URQ85" s="798"/>
      <c r="URR85" s="798"/>
      <c r="URS85" s="798"/>
      <c r="URT85" s="798"/>
      <c r="URU85" s="798"/>
      <c r="URV85" s="798"/>
      <c r="URW85" s="798"/>
      <c r="URX85" s="798"/>
      <c r="URY85" s="798"/>
      <c r="URZ85" s="798"/>
      <c r="USA85" s="798"/>
      <c r="USB85" s="798"/>
      <c r="USC85" s="798"/>
      <c r="USD85" s="798"/>
      <c r="USE85" s="798"/>
      <c r="USF85" s="798"/>
      <c r="USG85" s="798"/>
      <c r="USH85" s="798"/>
      <c r="USI85" s="798"/>
      <c r="USJ85" s="798"/>
      <c r="USK85" s="798"/>
      <c r="USL85" s="798"/>
      <c r="USM85" s="798"/>
      <c r="USN85" s="798"/>
      <c r="USO85" s="798"/>
      <c r="USP85" s="798"/>
      <c r="USQ85" s="798"/>
      <c r="USR85" s="798"/>
      <c r="USS85" s="798"/>
      <c r="UST85" s="798"/>
      <c r="USU85" s="798"/>
      <c r="USV85" s="798"/>
      <c r="USW85" s="798"/>
      <c r="USX85" s="798"/>
      <c r="USY85" s="798"/>
      <c r="USZ85" s="798"/>
      <c r="UTA85" s="798"/>
      <c r="UTB85" s="798"/>
      <c r="UTC85" s="798"/>
      <c r="UTD85" s="798"/>
      <c r="UTE85" s="798"/>
      <c r="UTF85" s="798"/>
      <c r="UTG85" s="798"/>
      <c r="UTH85" s="798"/>
      <c r="UTI85" s="798"/>
      <c r="UTJ85" s="798"/>
      <c r="UTK85" s="798"/>
      <c r="UTL85" s="798"/>
      <c r="UTM85" s="798"/>
      <c r="UTN85" s="798"/>
      <c r="UTO85" s="798"/>
      <c r="UTP85" s="798"/>
      <c r="UTQ85" s="798"/>
      <c r="UTR85" s="798"/>
      <c r="UTS85" s="798"/>
      <c r="UTT85" s="798"/>
      <c r="UTU85" s="798"/>
      <c r="UTV85" s="798"/>
      <c r="UTW85" s="798"/>
      <c r="UTX85" s="798"/>
      <c r="UTY85" s="798"/>
      <c r="UTZ85" s="798"/>
      <c r="UUA85" s="798"/>
      <c r="UUB85" s="798"/>
      <c r="UUC85" s="798"/>
      <c r="UUD85" s="798"/>
      <c r="UUE85" s="798"/>
      <c r="UUF85" s="798"/>
      <c r="UUG85" s="798"/>
      <c r="UUH85" s="798"/>
      <c r="UUI85" s="798"/>
      <c r="UUJ85" s="798"/>
      <c r="UUK85" s="798"/>
      <c r="UUL85" s="798"/>
      <c r="UUM85" s="798"/>
      <c r="UUN85" s="798"/>
      <c r="UUO85" s="798"/>
      <c r="UUP85" s="798"/>
      <c r="UUQ85" s="798"/>
      <c r="UUR85" s="798"/>
      <c r="UUS85" s="798"/>
      <c r="UUT85" s="798"/>
      <c r="UUU85" s="798"/>
      <c r="UUV85" s="798"/>
      <c r="UUW85" s="798"/>
      <c r="UUX85" s="798"/>
      <c r="UUY85" s="798"/>
      <c r="UUZ85" s="798"/>
      <c r="UVA85" s="798"/>
      <c r="UVB85" s="798"/>
      <c r="UVC85" s="798"/>
      <c r="UVD85" s="798"/>
      <c r="UVE85" s="798"/>
      <c r="UVF85" s="798"/>
      <c r="UVG85" s="798"/>
      <c r="UVH85" s="798"/>
      <c r="UVI85" s="798"/>
      <c r="UVJ85" s="798"/>
      <c r="UVK85" s="798"/>
      <c r="UVL85" s="798"/>
      <c r="UVM85" s="798"/>
      <c r="UVN85" s="798"/>
      <c r="UVO85" s="798"/>
      <c r="UVP85" s="798"/>
      <c r="UVQ85" s="798"/>
      <c r="UVR85" s="798"/>
      <c r="UVS85" s="798"/>
      <c r="UVT85" s="798"/>
      <c r="UVU85" s="798"/>
      <c r="UVV85" s="798"/>
      <c r="UVW85" s="798"/>
      <c r="UVX85" s="798"/>
      <c r="UVY85" s="798"/>
      <c r="UVZ85" s="798"/>
      <c r="UWA85" s="798"/>
      <c r="UWB85" s="798"/>
      <c r="UWC85" s="798"/>
      <c r="UWD85" s="798"/>
      <c r="UWE85" s="798"/>
      <c r="UWF85" s="798"/>
      <c r="UWG85" s="798"/>
      <c r="UWH85" s="798"/>
      <c r="UWI85" s="798"/>
      <c r="UWJ85" s="798"/>
      <c r="UWK85" s="798"/>
      <c r="UWL85" s="798"/>
      <c r="UWM85" s="798"/>
      <c r="UWN85" s="798"/>
      <c r="UWO85" s="798"/>
      <c r="UWP85" s="798"/>
      <c r="UWQ85" s="798"/>
      <c r="UWR85" s="798"/>
      <c r="UWS85" s="798"/>
      <c r="UWT85" s="798"/>
      <c r="UWU85" s="798"/>
      <c r="UWV85" s="798"/>
      <c r="UWW85" s="798"/>
      <c r="UWX85" s="798"/>
      <c r="UWY85" s="798"/>
      <c r="UWZ85" s="798"/>
      <c r="UXA85" s="798"/>
      <c r="UXB85" s="798"/>
      <c r="UXC85" s="798"/>
      <c r="UXD85" s="798"/>
      <c r="UXE85" s="798"/>
      <c r="UXF85" s="798"/>
      <c r="UXG85" s="798"/>
      <c r="UXH85" s="798"/>
      <c r="UXI85" s="798"/>
      <c r="UXJ85" s="798"/>
      <c r="UXK85" s="798"/>
      <c r="UXL85" s="798"/>
      <c r="UXM85" s="798"/>
      <c r="UXN85" s="798"/>
      <c r="UXO85" s="798"/>
      <c r="UXP85" s="798"/>
      <c r="UXQ85" s="798"/>
      <c r="UXR85" s="798"/>
      <c r="UXS85" s="798"/>
      <c r="UXT85" s="798"/>
      <c r="UXU85" s="798"/>
      <c r="UXV85" s="798"/>
      <c r="UXW85" s="798"/>
      <c r="UXX85" s="798"/>
      <c r="UXY85" s="798"/>
      <c r="UXZ85" s="798"/>
      <c r="UYA85" s="798"/>
      <c r="UYB85" s="798"/>
      <c r="UYC85" s="798"/>
      <c r="UYD85" s="798"/>
      <c r="UYE85" s="798"/>
      <c r="UYF85" s="798"/>
      <c r="UYG85" s="798"/>
      <c r="UYH85" s="798"/>
      <c r="UYI85" s="798"/>
      <c r="UYJ85" s="798"/>
      <c r="UYK85" s="798"/>
      <c r="UYL85" s="798"/>
      <c r="UYM85" s="798"/>
      <c r="UYN85" s="798"/>
      <c r="UYO85" s="798"/>
      <c r="UYP85" s="798"/>
      <c r="UYQ85" s="798"/>
      <c r="UYR85" s="798"/>
      <c r="UYS85" s="798"/>
      <c r="UYT85" s="798"/>
      <c r="UYU85" s="798"/>
      <c r="UYV85" s="798"/>
      <c r="UYW85" s="798"/>
      <c r="UYX85" s="798"/>
      <c r="UYY85" s="798"/>
      <c r="UYZ85" s="798"/>
      <c r="UZA85" s="798"/>
      <c r="UZB85" s="798"/>
      <c r="UZC85" s="798"/>
      <c r="UZD85" s="798"/>
      <c r="UZE85" s="798"/>
      <c r="UZF85" s="798"/>
      <c r="UZG85" s="798"/>
      <c r="UZH85" s="798"/>
      <c r="UZI85" s="798"/>
      <c r="UZJ85" s="798"/>
      <c r="UZK85" s="798"/>
      <c r="UZL85" s="798"/>
      <c r="UZM85" s="798"/>
      <c r="UZN85" s="798"/>
      <c r="UZO85" s="798"/>
      <c r="UZP85" s="798"/>
      <c r="UZQ85" s="798"/>
      <c r="UZR85" s="798"/>
      <c r="UZS85" s="798"/>
      <c r="UZT85" s="798"/>
      <c r="UZU85" s="798"/>
      <c r="UZV85" s="798"/>
      <c r="UZW85" s="798"/>
      <c r="UZX85" s="798"/>
      <c r="UZY85" s="798"/>
      <c r="UZZ85" s="798"/>
      <c r="VAA85" s="798"/>
      <c r="VAB85" s="798"/>
      <c r="VAC85" s="798"/>
      <c r="VAD85" s="798"/>
      <c r="VAE85" s="798"/>
      <c r="VAF85" s="798"/>
      <c r="VAG85" s="798"/>
      <c r="VAH85" s="798"/>
      <c r="VAI85" s="798"/>
      <c r="VAJ85" s="798"/>
      <c r="VAK85" s="798"/>
      <c r="VAL85" s="798"/>
      <c r="VAM85" s="798"/>
      <c r="VAN85" s="798"/>
      <c r="VAO85" s="798"/>
      <c r="VAP85" s="798"/>
      <c r="VAQ85" s="798"/>
      <c r="VAR85" s="798"/>
      <c r="VAS85" s="798"/>
      <c r="VAT85" s="798"/>
      <c r="VAU85" s="798"/>
      <c r="VAV85" s="798"/>
      <c r="VAW85" s="798"/>
      <c r="VAX85" s="798"/>
      <c r="VAY85" s="798"/>
      <c r="VAZ85" s="798"/>
      <c r="VBA85" s="798"/>
      <c r="VBB85" s="798"/>
      <c r="VBC85" s="798"/>
      <c r="VBD85" s="798"/>
      <c r="VBE85" s="798"/>
      <c r="VBF85" s="798"/>
      <c r="VBG85" s="798"/>
      <c r="VBH85" s="798"/>
      <c r="VBI85" s="798"/>
      <c r="VBJ85" s="798"/>
      <c r="VBK85" s="798"/>
      <c r="VBL85" s="798"/>
      <c r="VBM85" s="798"/>
      <c r="VBN85" s="798"/>
      <c r="VBO85" s="798"/>
      <c r="VBP85" s="798"/>
      <c r="VBQ85" s="798"/>
      <c r="VBR85" s="798"/>
      <c r="VBS85" s="798"/>
      <c r="VBT85" s="798"/>
      <c r="VBU85" s="798"/>
      <c r="VBV85" s="798"/>
      <c r="VBW85" s="798"/>
      <c r="VBX85" s="798"/>
      <c r="VBY85" s="798"/>
      <c r="VBZ85" s="798"/>
      <c r="VCA85" s="798"/>
      <c r="VCB85" s="798"/>
      <c r="VCC85" s="798"/>
      <c r="VCD85" s="798"/>
      <c r="VCE85" s="798"/>
      <c r="VCF85" s="798"/>
      <c r="VCG85" s="798"/>
      <c r="VCH85" s="798"/>
      <c r="VCI85" s="798"/>
      <c r="VCJ85" s="798"/>
      <c r="VCK85" s="798"/>
      <c r="VCL85" s="798"/>
      <c r="VCM85" s="798"/>
      <c r="VCN85" s="798"/>
      <c r="VCO85" s="798"/>
      <c r="VCP85" s="798"/>
      <c r="VCQ85" s="798"/>
      <c r="VCR85" s="798"/>
      <c r="VCS85" s="798"/>
      <c r="VCT85" s="798"/>
      <c r="VCU85" s="798"/>
      <c r="VCV85" s="798"/>
      <c r="VCW85" s="798"/>
      <c r="VCX85" s="798"/>
      <c r="VCY85" s="798"/>
      <c r="VCZ85" s="798"/>
      <c r="VDA85" s="798"/>
      <c r="VDB85" s="798"/>
      <c r="VDC85" s="798"/>
      <c r="VDD85" s="798"/>
      <c r="VDE85" s="798"/>
      <c r="VDF85" s="798"/>
      <c r="VDG85" s="798"/>
      <c r="VDH85" s="798"/>
      <c r="VDI85" s="798"/>
      <c r="VDJ85" s="798"/>
      <c r="VDK85" s="798"/>
      <c r="VDL85" s="798"/>
      <c r="VDM85" s="798"/>
      <c r="VDN85" s="798"/>
      <c r="VDO85" s="798"/>
      <c r="VDP85" s="798"/>
      <c r="VDQ85" s="798"/>
      <c r="VDR85" s="798"/>
      <c r="VDS85" s="798"/>
      <c r="VDT85" s="798"/>
      <c r="VDU85" s="798"/>
      <c r="VDV85" s="798"/>
      <c r="VDW85" s="798"/>
      <c r="VDX85" s="798"/>
      <c r="VDY85" s="798"/>
      <c r="VDZ85" s="798"/>
      <c r="VEA85" s="798"/>
      <c r="VEB85" s="798"/>
      <c r="VEC85" s="798"/>
      <c r="VED85" s="798"/>
      <c r="VEE85" s="798"/>
      <c r="VEF85" s="798"/>
      <c r="VEG85" s="798"/>
      <c r="VEH85" s="798"/>
      <c r="VEI85" s="798"/>
      <c r="VEJ85" s="798"/>
      <c r="VEK85" s="798"/>
      <c r="VEL85" s="798"/>
      <c r="VEM85" s="798"/>
      <c r="VEN85" s="798"/>
      <c r="VEO85" s="798"/>
      <c r="VEP85" s="798"/>
      <c r="VEQ85" s="798"/>
      <c r="VER85" s="798"/>
      <c r="VES85" s="798"/>
      <c r="VET85" s="798"/>
      <c r="VEU85" s="798"/>
      <c r="VEV85" s="798"/>
      <c r="VEW85" s="798"/>
      <c r="VEX85" s="798"/>
      <c r="VEY85" s="798"/>
      <c r="VEZ85" s="798"/>
      <c r="VFA85" s="798"/>
      <c r="VFB85" s="798"/>
      <c r="VFC85" s="798"/>
      <c r="VFD85" s="798"/>
      <c r="VFE85" s="798"/>
      <c r="VFF85" s="798"/>
      <c r="VFG85" s="798"/>
      <c r="VFH85" s="798"/>
      <c r="VFI85" s="798"/>
      <c r="VFJ85" s="798"/>
      <c r="VFK85" s="798"/>
      <c r="VFL85" s="798"/>
      <c r="VFM85" s="798"/>
      <c r="VFN85" s="798"/>
      <c r="VFO85" s="798"/>
      <c r="VFP85" s="798"/>
      <c r="VFQ85" s="798"/>
      <c r="VFR85" s="798"/>
      <c r="VFS85" s="798"/>
      <c r="VFT85" s="798"/>
      <c r="VFU85" s="798"/>
      <c r="VFV85" s="798"/>
      <c r="VFW85" s="798"/>
      <c r="VFX85" s="798"/>
      <c r="VFY85" s="798"/>
      <c r="VFZ85" s="798"/>
      <c r="VGA85" s="798"/>
      <c r="VGB85" s="798"/>
      <c r="VGC85" s="798"/>
      <c r="VGD85" s="798"/>
      <c r="VGE85" s="798"/>
      <c r="VGF85" s="798"/>
      <c r="VGG85" s="798"/>
      <c r="VGH85" s="798"/>
      <c r="VGI85" s="798"/>
      <c r="VGJ85" s="798"/>
      <c r="VGK85" s="798"/>
      <c r="VGL85" s="798"/>
      <c r="VGM85" s="798"/>
      <c r="VGN85" s="798"/>
      <c r="VGO85" s="798"/>
      <c r="VGP85" s="798"/>
      <c r="VGQ85" s="798"/>
      <c r="VGR85" s="798"/>
      <c r="VGS85" s="798"/>
      <c r="VGT85" s="798"/>
      <c r="VGU85" s="798"/>
      <c r="VGV85" s="798"/>
      <c r="VGW85" s="798"/>
      <c r="VGX85" s="798"/>
      <c r="VGY85" s="798"/>
      <c r="VGZ85" s="798"/>
      <c r="VHA85" s="798"/>
      <c r="VHB85" s="798"/>
      <c r="VHC85" s="798"/>
      <c r="VHD85" s="798"/>
      <c r="VHE85" s="798"/>
      <c r="VHF85" s="798"/>
      <c r="VHG85" s="798"/>
      <c r="VHH85" s="798"/>
      <c r="VHI85" s="798"/>
      <c r="VHJ85" s="798"/>
      <c r="VHK85" s="798"/>
      <c r="VHL85" s="798"/>
      <c r="VHM85" s="798"/>
      <c r="VHN85" s="798"/>
      <c r="VHO85" s="798"/>
      <c r="VHP85" s="798"/>
      <c r="VHQ85" s="798"/>
      <c r="VHR85" s="798"/>
      <c r="VHS85" s="798"/>
      <c r="VHT85" s="798"/>
      <c r="VHU85" s="798"/>
      <c r="VHV85" s="798"/>
      <c r="VHW85" s="798"/>
      <c r="VHX85" s="798"/>
      <c r="VHY85" s="798"/>
      <c r="VHZ85" s="798"/>
      <c r="VIA85" s="798"/>
      <c r="VIB85" s="798"/>
      <c r="VIC85" s="798"/>
      <c r="VID85" s="798"/>
      <c r="VIE85" s="798"/>
      <c r="VIF85" s="798"/>
      <c r="VIG85" s="798"/>
      <c r="VIH85" s="798"/>
      <c r="VII85" s="798"/>
      <c r="VIJ85" s="798"/>
      <c r="VIK85" s="798"/>
      <c r="VIL85" s="798"/>
      <c r="VIM85" s="798"/>
      <c r="VIN85" s="798"/>
      <c r="VIO85" s="798"/>
      <c r="VIP85" s="798"/>
      <c r="VIQ85" s="798"/>
      <c r="VIR85" s="798"/>
      <c r="VIS85" s="798"/>
      <c r="VIT85" s="798"/>
      <c r="VIU85" s="798"/>
      <c r="VIV85" s="798"/>
      <c r="VIW85" s="798"/>
      <c r="VIX85" s="798"/>
      <c r="VIY85" s="798"/>
      <c r="VIZ85" s="798"/>
      <c r="VJA85" s="798"/>
      <c r="VJB85" s="798"/>
      <c r="VJC85" s="798"/>
      <c r="VJD85" s="798"/>
      <c r="VJE85" s="798"/>
      <c r="VJF85" s="798"/>
      <c r="VJG85" s="798"/>
      <c r="VJH85" s="798"/>
      <c r="VJI85" s="798"/>
      <c r="VJJ85" s="798"/>
      <c r="VJK85" s="798"/>
      <c r="VJL85" s="798"/>
      <c r="VJM85" s="798"/>
      <c r="VJN85" s="798"/>
      <c r="VJO85" s="798"/>
      <c r="VJP85" s="798"/>
      <c r="VJQ85" s="798"/>
      <c r="VJR85" s="798"/>
      <c r="VJS85" s="798"/>
      <c r="VJT85" s="798"/>
      <c r="VJU85" s="798"/>
      <c r="VJV85" s="798"/>
      <c r="VJW85" s="798"/>
      <c r="VJX85" s="798"/>
      <c r="VJY85" s="798"/>
      <c r="VJZ85" s="798"/>
      <c r="VKA85" s="798"/>
      <c r="VKB85" s="798"/>
      <c r="VKC85" s="798"/>
      <c r="VKD85" s="798"/>
      <c r="VKE85" s="798"/>
      <c r="VKF85" s="798"/>
      <c r="VKG85" s="798"/>
      <c r="VKH85" s="798"/>
      <c r="VKI85" s="798"/>
      <c r="VKJ85" s="798"/>
      <c r="VKK85" s="798"/>
      <c r="VKL85" s="798"/>
      <c r="VKM85" s="798"/>
      <c r="VKN85" s="798"/>
      <c r="VKO85" s="798"/>
      <c r="VKP85" s="798"/>
      <c r="VKQ85" s="798"/>
      <c r="VKR85" s="798"/>
      <c r="VKS85" s="798"/>
      <c r="VKT85" s="798"/>
      <c r="VKU85" s="798"/>
      <c r="VKV85" s="798"/>
      <c r="VKW85" s="798"/>
      <c r="VKX85" s="798"/>
      <c r="VKY85" s="798"/>
      <c r="VKZ85" s="798"/>
      <c r="VLA85" s="798"/>
      <c r="VLB85" s="798"/>
      <c r="VLC85" s="798"/>
      <c r="VLD85" s="798"/>
      <c r="VLE85" s="798"/>
      <c r="VLF85" s="798"/>
      <c r="VLG85" s="798"/>
      <c r="VLH85" s="798"/>
      <c r="VLI85" s="798"/>
      <c r="VLJ85" s="798"/>
      <c r="VLK85" s="798"/>
      <c r="VLL85" s="798"/>
      <c r="VLM85" s="798"/>
      <c r="VLN85" s="798"/>
      <c r="VLO85" s="798"/>
      <c r="VLP85" s="798"/>
      <c r="VLQ85" s="798"/>
      <c r="VLR85" s="798"/>
      <c r="VLS85" s="798"/>
      <c r="VLT85" s="798"/>
      <c r="VLU85" s="798"/>
      <c r="VLV85" s="798"/>
      <c r="VLW85" s="798"/>
      <c r="VLX85" s="798"/>
      <c r="VLY85" s="798"/>
      <c r="VLZ85" s="798"/>
      <c r="VMA85" s="798"/>
      <c r="VMB85" s="798"/>
      <c r="VMC85" s="798"/>
      <c r="VMD85" s="798"/>
      <c r="VME85" s="798"/>
      <c r="VMF85" s="798"/>
      <c r="VMG85" s="798"/>
      <c r="VMH85" s="798"/>
      <c r="VMI85" s="798"/>
      <c r="VMJ85" s="798"/>
      <c r="VMK85" s="798"/>
      <c r="VML85" s="798"/>
      <c r="VMM85" s="798"/>
      <c r="VMN85" s="798"/>
      <c r="VMO85" s="798"/>
      <c r="VMP85" s="798"/>
      <c r="VMQ85" s="798"/>
      <c r="VMR85" s="798"/>
      <c r="VMS85" s="798"/>
      <c r="VMT85" s="798"/>
      <c r="VMU85" s="798"/>
      <c r="VMV85" s="798"/>
      <c r="VMW85" s="798"/>
      <c r="VMX85" s="798"/>
      <c r="VMY85" s="798"/>
      <c r="VMZ85" s="798"/>
      <c r="VNA85" s="798"/>
      <c r="VNB85" s="798"/>
      <c r="VNC85" s="798"/>
      <c r="VND85" s="798"/>
      <c r="VNE85" s="798"/>
      <c r="VNF85" s="798"/>
      <c r="VNG85" s="798"/>
      <c r="VNH85" s="798"/>
      <c r="VNI85" s="798"/>
      <c r="VNJ85" s="798"/>
      <c r="VNK85" s="798"/>
      <c r="VNL85" s="798"/>
      <c r="VNM85" s="798"/>
      <c r="VNN85" s="798"/>
      <c r="VNO85" s="798"/>
      <c r="VNP85" s="798"/>
      <c r="VNQ85" s="798"/>
      <c r="VNR85" s="798"/>
      <c r="VNS85" s="798"/>
      <c r="VNT85" s="798"/>
      <c r="VNU85" s="798"/>
      <c r="VNV85" s="798"/>
      <c r="VNW85" s="798"/>
      <c r="VNX85" s="798"/>
      <c r="VNY85" s="798"/>
      <c r="VNZ85" s="798"/>
      <c r="VOA85" s="798"/>
      <c r="VOB85" s="798"/>
      <c r="VOC85" s="798"/>
      <c r="VOD85" s="798"/>
      <c r="VOE85" s="798"/>
      <c r="VOF85" s="798"/>
      <c r="VOG85" s="798"/>
      <c r="VOH85" s="798"/>
      <c r="VOI85" s="798"/>
      <c r="VOJ85" s="798"/>
      <c r="VOK85" s="798"/>
      <c r="VOL85" s="798"/>
      <c r="VOM85" s="798"/>
      <c r="VON85" s="798"/>
      <c r="VOO85" s="798"/>
      <c r="VOP85" s="798"/>
      <c r="VOQ85" s="798"/>
      <c r="VOR85" s="798"/>
      <c r="VOS85" s="798"/>
      <c r="VOT85" s="798"/>
      <c r="VOU85" s="798"/>
      <c r="VOV85" s="798"/>
      <c r="VOW85" s="798"/>
      <c r="VOX85" s="798"/>
      <c r="VOY85" s="798"/>
      <c r="VOZ85" s="798"/>
      <c r="VPA85" s="798"/>
      <c r="VPB85" s="798"/>
      <c r="VPC85" s="798"/>
      <c r="VPD85" s="798"/>
      <c r="VPE85" s="798"/>
      <c r="VPF85" s="798"/>
      <c r="VPG85" s="798"/>
      <c r="VPH85" s="798"/>
      <c r="VPI85" s="798"/>
      <c r="VPJ85" s="798"/>
      <c r="VPK85" s="798"/>
      <c r="VPL85" s="798"/>
      <c r="VPM85" s="798"/>
      <c r="VPN85" s="798"/>
      <c r="VPO85" s="798"/>
      <c r="VPP85" s="798"/>
      <c r="VPQ85" s="798"/>
      <c r="VPR85" s="798"/>
      <c r="VPS85" s="798"/>
      <c r="VPT85" s="798"/>
      <c r="VPU85" s="798"/>
      <c r="VPV85" s="798"/>
      <c r="VPW85" s="798"/>
      <c r="VPX85" s="798"/>
      <c r="VPY85" s="798"/>
      <c r="VPZ85" s="798"/>
      <c r="VQA85" s="798"/>
      <c r="VQB85" s="798"/>
      <c r="VQC85" s="798"/>
      <c r="VQD85" s="798"/>
      <c r="VQE85" s="798"/>
      <c r="VQF85" s="798"/>
      <c r="VQG85" s="798"/>
      <c r="VQH85" s="798"/>
      <c r="VQI85" s="798"/>
      <c r="VQJ85" s="798"/>
      <c r="VQK85" s="798"/>
      <c r="VQL85" s="798"/>
      <c r="VQM85" s="798"/>
      <c r="VQN85" s="798"/>
      <c r="VQO85" s="798"/>
      <c r="VQP85" s="798"/>
      <c r="VQQ85" s="798"/>
      <c r="VQR85" s="798"/>
      <c r="VQS85" s="798"/>
      <c r="VQT85" s="798"/>
      <c r="VQU85" s="798"/>
      <c r="VQV85" s="798"/>
      <c r="VQW85" s="798"/>
      <c r="VQX85" s="798"/>
      <c r="VQY85" s="798"/>
      <c r="VQZ85" s="798"/>
      <c r="VRA85" s="798"/>
      <c r="VRB85" s="798"/>
      <c r="VRC85" s="798"/>
      <c r="VRD85" s="798"/>
      <c r="VRE85" s="798"/>
      <c r="VRF85" s="798"/>
      <c r="VRG85" s="798"/>
      <c r="VRH85" s="798"/>
      <c r="VRI85" s="798"/>
      <c r="VRJ85" s="798"/>
      <c r="VRK85" s="798"/>
      <c r="VRL85" s="798"/>
      <c r="VRM85" s="798"/>
      <c r="VRN85" s="798"/>
      <c r="VRO85" s="798"/>
      <c r="VRP85" s="798"/>
      <c r="VRQ85" s="798"/>
      <c r="VRR85" s="798"/>
      <c r="VRS85" s="798"/>
      <c r="VRT85" s="798"/>
      <c r="VRU85" s="798"/>
      <c r="VRV85" s="798"/>
      <c r="VRW85" s="798"/>
      <c r="VRX85" s="798"/>
      <c r="VRY85" s="798"/>
      <c r="VRZ85" s="798"/>
      <c r="VSA85" s="798"/>
      <c r="VSB85" s="798"/>
      <c r="VSC85" s="798"/>
      <c r="VSD85" s="798"/>
      <c r="VSE85" s="798"/>
      <c r="VSF85" s="798"/>
      <c r="VSG85" s="798"/>
      <c r="VSH85" s="798"/>
      <c r="VSI85" s="798"/>
      <c r="VSJ85" s="798"/>
      <c r="VSK85" s="798"/>
      <c r="VSL85" s="798"/>
      <c r="VSM85" s="798"/>
      <c r="VSN85" s="798"/>
      <c r="VSO85" s="798"/>
      <c r="VSP85" s="798"/>
      <c r="VSQ85" s="798"/>
      <c r="VSR85" s="798"/>
      <c r="VSS85" s="798"/>
      <c r="VST85" s="798"/>
      <c r="VSU85" s="798"/>
      <c r="VSV85" s="798"/>
      <c r="VSW85" s="798"/>
      <c r="VSX85" s="798"/>
      <c r="VSY85" s="798"/>
      <c r="VSZ85" s="798"/>
      <c r="VTA85" s="798"/>
      <c r="VTB85" s="798"/>
      <c r="VTC85" s="798"/>
      <c r="VTD85" s="798"/>
      <c r="VTE85" s="798"/>
      <c r="VTF85" s="798"/>
      <c r="VTG85" s="798"/>
      <c r="VTH85" s="798"/>
      <c r="VTI85" s="798"/>
      <c r="VTJ85" s="798"/>
      <c r="VTK85" s="798"/>
      <c r="VTL85" s="798"/>
      <c r="VTM85" s="798"/>
      <c r="VTN85" s="798"/>
      <c r="VTO85" s="798"/>
      <c r="VTP85" s="798"/>
      <c r="VTQ85" s="798"/>
      <c r="VTR85" s="798"/>
      <c r="VTS85" s="798"/>
      <c r="VTT85" s="798"/>
      <c r="VTU85" s="798"/>
      <c r="VTV85" s="798"/>
      <c r="VTW85" s="798"/>
      <c r="VTX85" s="798"/>
      <c r="VTY85" s="798"/>
      <c r="VTZ85" s="798"/>
      <c r="VUA85" s="798"/>
      <c r="VUB85" s="798"/>
      <c r="VUC85" s="798"/>
      <c r="VUD85" s="798"/>
      <c r="VUE85" s="798"/>
      <c r="VUF85" s="798"/>
      <c r="VUG85" s="798"/>
      <c r="VUH85" s="798"/>
      <c r="VUI85" s="798"/>
      <c r="VUJ85" s="798"/>
      <c r="VUK85" s="798"/>
      <c r="VUL85" s="798"/>
      <c r="VUM85" s="798"/>
      <c r="VUN85" s="798"/>
      <c r="VUO85" s="798"/>
      <c r="VUP85" s="798"/>
      <c r="VUQ85" s="798"/>
      <c r="VUR85" s="798"/>
      <c r="VUS85" s="798"/>
      <c r="VUT85" s="798"/>
      <c r="VUU85" s="798"/>
      <c r="VUV85" s="798"/>
      <c r="VUW85" s="798"/>
      <c r="VUX85" s="798"/>
      <c r="VUY85" s="798"/>
      <c r="VUZ85" s="798"/>
      <c r="VVA85" s="798"/>
      <c r="VVB85" s="798"/>
      <c r="VVC85" s="798"/>
      <c r="VVD85" s="798"/>
      <c r="VVE85" s="798"/>
      <c r="VVF85" s="798"/>
      <c r="VVG85" s="798"/>
      <c r="VVH85" s="798"/>
      <c r="VVI85" s="798"/>
      <c r="VVJ85" s="798"/>
      <c r="VVK85" s="798"/>
      <c r="VVL85" s="798"/>
      <c r="VVM85" s="798"/>
      <c r="VVN85" s="798"/>
      <c r="VVO85" s="798"/>
      <c r="VVP85" s="798"/>
      <c r="VVQ85" s="798"/>
      <c r="VVR85" s="798"/>
      <c r="VVS85" s="798"/>
      <c r="VVT85" s="798"/>
      <c r="VVU85" s="798"/>
      <c r="VVV85" s="798"/>
      <c r="VVW85" s="798"/>
      <c r="VVX85" s="798"/>
      <c r="VVY85" s="798"/>
      <c r="VVZ85" s="798"/>
      <c r="VWA85" s="798"/>
      <c r="VWB85" s="798"/>
      <c r="VWC85" s="798"/>
      <c r="VWD85" s="798"/>
      <c r="VWE85" s="798"/>
      <c r="VWF85" s="798"/>
      <c r="VWG85" s="798"/>
      <c r="VWH85" s="798"/>
      <c r="VWI85" s="798"/>
      <c r="VWJ85" s="798"/>
      <c r="VWK85" s="798"/>
      <c r="VWL85" s="798"/>
      <c r="VWM85" s="798"/>
      <c r="VWN85" s="798"/>
      <c r="VWO85" s="798"/>
      <c r="VWP85" s="798"/>
      <c r="VWQ85" s="798"/>
      <c r="VWR85" s="798"/>
      <c r="VWS85" s="798"/>
      <c r="VWT85" s="798"/>
      <c r="VWU85" s="798"/>
      <c r="VWV85" s="798"/>
      <c r="VWW85" s="798"/>
      <c r="VWX85" s="798"/>
      <c r="VWY85" s="798"/>
      <c r="VWZ85" s="798"/>
      <c r="VXA85" s="798"/>
      <c r="VXB85" s="798"/>
      <c r="VXC85" s="798"/>
      <c r="VXD85" s="798"/>
      <c r="VXE85" s="798"/>
      <c r="VXF85" s="798"/>
      <c r="VXG85" s="798"/>
      <c r="VXH85" s="798"/>
      <c r="VXI85" s="798"/>
      <c r="VXJ85" s="798"/>
      <c r="VXK85" s="798"/>
      <c r="VXL85" s="798"/>
      <c r="VXM85" s="798"/>
      <c r="VXN85" s="798"/>
      <c r="VXO85" s="798"/>
      <c r="VXP85" s="798"/>
      <c r="VXQ85" s="798"/>
      <c r="VXR85" s="798"/>
      <c r="VXS85" s="798"/>
      <c r="VXT85" s="798"/>
      <c r="VXU85" s="798"/>
      <c r="VXV85" s="798"/>
      <c r="VXW85" s="798"/>
      <c r="VXX85" s="798"/>
      <c r="VXY85" s="798"/>
      <c r="VXZ85" s="798"/>
      <c r="VYA85" s="798"/>
      <c r="VYB85" s="798"/>
      <c r="VYC85" s="798"/>
      <c r="VYD85" s="798"/>
      <c r="VYE85" s="798"/>
      <c r="VYF85" s="798"/>
      <c r="VYG85" s="798"/>
      <c r="VYH85" s="798"/>
      <c r="VYI85" s="798"/>
      <c r="VYJ85" s="798"/>
      <c r="VYK85" s="798"/>
      <c r="VYL85" s="798"/>
      <c r="VYM85" s="798"/>
      <c r="VYN85" s="798"/>
      <c r="VYO85" s="798"/>
      <c r="VYP85" s="798"/>
      <c r="VYQ85" s="798"/>
      <c r="VYR85" s="798"/>
      <c r="VYS85" s="798"/>
      <c r="VYT85" s="798"/>
      <c r="VYU85" s="798"/>
      <c r="VYV85" s="798"/>
      <c r="VYW85" s="798"/>
      <c r="VYX85" s="798"/>
      <c r="VYY85" s="798"/>
      <c r="VYZ85" s="798"/>
      <c r="VZA85" s="798"/>
      <c r="VZB85" s="798"/>
      <c r="VZC85" s="798"/>
      <c r="VZD85" s="798"/>
      <c r="VZE85" s="798"/>
      <c r="VZF85" s="798"/>
      <c r="VZG85" s="798"/>
      <c r="VZH85" s="798"/>
      <c r="VZI85" s="798"/>
      <c r="VZJ85" s="798"/>
      <c r="VZK85" s="798"/>
      <c r="VZL85" s="798"/>
      <c r="VZM85" s="798"/>
      <c r="VZN85" s="798"/>
      <c r="VZO85" s="798"/>
      <c r="VZP85" s="798"/>
      <c r="VZQ85" s="798"/>
      <c r="VZR85" s="798"/>
      <c r="VZS85" s="798"/>
      <c r="VZT85" s="798"/>
      <c r="VZU85" s="798"/>
      <c r="VZV85" s="798"/>
      <c r="VZW85" s="798"/>
      <c r="VZX85" s="798"/>
      <c r="VZY85" s="798"/>
      <c r="VZZ85" s="798"/>
      <c r="WAA85" s="798"/>
      <c r="WAB85" s="798"/>
      <c r="WAC85" s="798"/>
      <c r="WAD85" s="798"/>
      <c r="WAE85" s="798"/>
      <c r="WAF85" s="798"/>
      <c r="WAG85" s="798"/>
      <c r="WAH85" s="798"/>
      <c r="WAI85" s="798"/>
      <c r="WAJ85" s="798"/>
      <c r="WAK85" s="798"/>
      <c r="WAL85" s="798"/>
      <c r="WAM85" s="798"/>
      <c r="WAN85" s="798"/>
      <c r="WAO85" s="798"/>
      <c r="WAP85" s="798"/>
      <c r="WAQ85" s="798"/>
      <c r="WAR85" s="798"/>
      <c r="WAS85" s="798"/>
      <c r="WAT85" s="798"/>
      <c r="WAU85" s="798"/>
      <c r="WAV85" s="798"/>
      <c r="WAW85" s="798"/>
      <c r="WAX85" s="798"/>
      <c r="WAY85" s="798"/>
      <c r="WAZ85" s="798"/>
      <c r="WBA85" s="798"/>
      <c r="WBB85" s="798"/>
      <c r="WBC85" s="798"/>
      <c r="WBD85" s="798"/>
      <c r="WBE85" s="798"/>
      <c r="WBF85" s="798"/>
      <c r="WBG85" s="798"/>
      <c r="WBH85" s="798"/>
      <c r="WBI85" s="798"/>
      <c r="WBJ85" s="798"/>
      <c r="WBK85" s="798"/>
      <c r="WBL85" s="798"/>
      <c r="WBM85" s="798"/>
      <c r="WBN85" s="798"/>
      <c r="WBO85" s="798"/>
      <c r="WBP85" s="798"/>
      <c r="WBQ85" s="798"/>
      <c r="WBR85" s="798"/>
      <c r="WBS85" s="798"/>
      <c r="WBT85" s="798"/>
      <c r="WBU85" s="798"/>
      <c r="WBV85" s="798"/>
      <c r="WBW85" s="798"/>
      <c r="WBX85" s="798"/>
      <c r="WBY85" s="798"/>
      <c r="WBZ85" s="798"/>
      <c r="WCA85" s="798"/>
      <c r="WCB85" s="798"/>
      <c r="WCC85" s="798"/>
      <c r="WCD85" s="798"/>
      <c r="WCE85" s="798"/>
      <c r="WCF85" s="798"/>
      <c r="WCG85" s="798"/>
      <c r="WCH85" s="798"/>
      <c r="WCI85" s="798"/>
      <c r="WCJ85" s="798"/>
      <c r="WCK85" s="798"/>
      <c r="WCL85" s="798"/>
      <c r="WCM85" s="798"/>
      <c r="WCN85" s="798"/>
      <c r="WCO85" s="798"/>
      <c r="WCP85" s="798"/>
      <c r="WCQ85" s="798"/>
      <c r="WCR85" s="798"/>
      <c r="WCS85" s="798"/>
      <c r="WCT85" s="798"/>
      <c r="WCU85" s="798"/>
      <c r="WCV85" s="798"/>
      <c r="WCW85" s="798"/>
      <c r="WCX85" s="798"/>
      <c r="WCY85" s="798"/>
      <c r="WCZ85" s="798"/>
      <c r="WDA85" s="798"/>
      <c r="WDB85" s="798"/>
      <c r="WDC85" s="798"/>
      <c r="WDD85" s="798"/>
      <c r="WDE85" s="798"/>
      <c r="WDF85" s="798"/>
      <c r="WDG85" s="798"/>
      <c r="WDH85" s="798"/>
      <c r="WDI85" s="798"/>
      <c r="WDJ85" s="798"/>
      <c r="WDK85" s="798"/>
      <c r="WDL85" s="798"/>
      <c r="WDM85" s="798"/>
      <c r="WDN85" s="798"/>
      <c r="WDO85" s="798"/>
      <c r="WDP85" s="798"/>
      <c r="WDQ85" s="798"/>
      <c r="WDR85" s="798"/>
      <c r="WDS85" s="798"/>
      <c r="WDT85" s="798"/>
      <c r="WDU85" s="798"/>
      <c r="WDV85" s="798"/>
      <c r="WDW85" s="798"/>
      <c r="WDX85" s="798"/>
      <c r="WDY85" s="798"/>
      <c r="WDZ85" s="798"/>
      <c r="WEA85" s="798"/>
      <c r="WEB85" s="798"/>
      <c r="WEC85" s="798"/>
      <c r="WED85" s="798"/>
      <c r="WEE85" s="798"/>
      <c r="WEF85" s="798"/>
      <c r="WEG85" s="798"/>
      <c r="WEH85" s="798"/>
      <c r="WEI85" s="798"/>
      <c r="WEJ85" s="798"/>
      <c r="WEK85" s="798"/>
      <c r="WEL85" s="798"/>
      <c r="WEM85" s="798"/>
      <c r="WEN85" s="798"/>
      <c r="WEO85" s="798"/>
      <c r="WEP85" s="798"/>
      <c r="WEQ85" s="798"/>
      <c r="WER85" s="798"/>
      <c r="WES85" s="798"/>
      <c r="WET85" s="798"/>
      <c r="WEU85" s="798"/>
      <c r="WEV85" s="798"/>
      <c r="WEW85" s="798"/>
      <c r="WEX85" s="798"/>
      <c r="WEY85" s="798"/>
      <c r="WEZ85" s="798"/>
      <c r="WFA85" s="798"/>
      <c r="WFB85" s="798"/>
      <c r="WFC85" s="798"/>
      <c r="WFD85" s="798"/>
      <c r="WFE85" s="798"/>
      <c r="WFF85" s="798"/>
      <c r="WFG85" s="798"/>
      <c r="WFH85" s="798"/>
      <c r="WFI85" s="798"/>
      <c r="WFJ85" s="798"/>
      <c r="WFK85" s="798"/>
      <c r="WFL85" s="798"/>
      <c r="WFM85" s="798"/>
      <c r="WFN85" s="798"/>
      <c r="WFO85" s="798"/>
      <c r="WFP85" s="798"/>
      <c r="WFQ85" s="798"/>
      <c r="WFR85" s="798"/>
      <c r="WFS85" s="798"/>
      <c r="WFT85" s="798"/>
      <c r="WFU85" s="798"/>
      <c r="WFV85" s="798"/>
      <c r="WFW85" s="798"/>
      <c r="WFX85" s="798"/>
      <c r="WFY85" s="798"/>
      <c r="WFZ85" s="798"/>
      <c r="WGA85" s="798"/>
      <c r="WGB85" s="798"/>
      <c r="WGC85" s="798"/>
      <c r="WGD85" s="798"/>
      <c r="WGE85" s="798"/>
      <c r="WGF85" s="798"/>
      <c r="WGG85" s="798"/>
      <c r="WGH85" s="798"/>
      <c r="WGI85" s="798"/>
      <c r="WGJ85" s="798"/>
      <c r="WGK85" s="798"/>
      <c r="WGL85" s="798"/>
      <c r="WGM85" s="798"/>
      <c r="WGN85" s="798"/>
      <c r="WGO85" s="798"/>
      <c r="WGP85" s="798"/>
      <c r="WGQ85" s="798"/>
      <c r="WGR85" s="798"/>
      <c r="WGS85" s="798"/>
      <c r="WGT85" s="798"/>
      <c r="WGU85" s="798"/>
      <c r="WGV85" s="798"/>
      <c r="WGW85" s="798"/>
      <c r="WGX85" s="798"/>
      <c r="WGY85" s="798"/>
      <c r="WGZ85" s="798"/>
      <c r="WHA85" s="798"/>
      <c r="WHB85" s="798"/>
      <c r="WHC85" s="798"/>
      <c r="WHD85" s="798"/>
      <c r="WHE85" s="798"/>
      <c r="WHF85" s="798"/>
      <c r="WHG85" s="798"/>
      <c r="WHH85" s="798"/>
      <c r="WHI85" s="798"/>
      <c r="WHJ85" s="798"/>
      <c r="WHK85" s="798"/>
      <c r="WHL85" s="798"/>
      <c r="WHM85" s="798"/>
      <c r="WHN85" s="798"/>
      <c r="WHO85" s="798"/>
      <c r="WHP85" s="798"/>
      <c r="WHQ85" s="798"/>
      <c r="WHR85" s="798"/>
      <c r="WHS85" s="798"/>
      <c r="WHT85" s="798"/>
      <c r="WHU85" s="798"/>
      <c r="WHV85" s="798"/>
      <c r="WHW85" s="798"/>
      <c r="WHX85" s="798"/>
      <c r="WHY85" s="798"/>
      <c r="WHZ85" s="798"/>
      <c r="WIA85" s="798"/>
      <c r="WIB85" s="798"/>
      <c r="WIC85" s="798"/>
      <c r="WID85" s="798"/>
      <c r="WIE85" s="798"/>
      <c r="WIF85" s="798"/>
      <c r="WIG85" s="798"/>
      <c r="WIH85" s="798"/>
      <c r="WII85" s="798"/>
      <c r="WIJ85" s="798"/>
      <c r="WIK85" s="798"/>
      <c r="WIL85" s="798"/>
      <c r="WIM85" s="798"/>
      <c r="WIN85" s="798"/>
      <c r="WIO85" s="798"/>
      <c r="WIP85" s="798"/>
      <c r="WIQ85" s="798"/>
      <c r="WIR85" s="798"/>
      <c r="WIS85" s="798"/>
      <c r="WIT85" s="798"/>
      <c r="WIU85" s="798"/>
      <c r="WIV85" s="798"/>
      <c r="WIW85" s="798"/>
      <c r="WIX85" s="798"/>
      <c r="WIY85" s="798"/>
      <c r="WIZ85" s="798"/>
      <c r="WJA85" s="798"/>
      <c r="WJB85" s="798"/>
      <c r="WJC85" s="798"/>
      <c r="WJD85" s="798"/>
      <c r="WJE85" s="798"/>
      <c r="WJF85" s="798"/>
      <c r="WJG85" s="798"/>
      <c r="WJH85" s="798"/>
      <c r="WJI85" s="798"/>
      <c r="WJJ85" s="798"/>
      <c r="WJK85" s="798"/>
      <c r="WJL85" s="798"/>
      <c r="WJM85" s="798"/>
      <c r="WJN85" s="798"/>
      <c r="WJO85" s="798"/>
      <c r="WJP85" s="798"/>
      <c r="WJQ85" s="798"/>
      <c r="WJR85" s="798"/>
      <c r="WJS85" s="798"/>
      <c r="WJT85" s="798"/>
      <c r="WJU85" s="798"/>
      <c r="WJV85" s="798"/>
      <c r="WJW85" s="798"/>
      <c r="WJX85" s="798"/>
      <c r="WJY85" s="798"/>
      <c r="WJZ85" s="798"/>
      <c r="WKA85" s="798"/>
      <c r="WKB85" s="798"/>
      <c r="WKC85" s="798"/>
      <c r="WKD85" s="798"/>
      <c r="WKE85" s="798"/>
      <c r="WKF85" s="798"/>
      <c r="WKG85" s="798"/>
      <c r="WKH85" s="798"/>
      <c r="WKI85" s="798"/>
      <c r="WKJ85" s="798"/>
      <c r="WKK85" s="798"/>
      <c r="WKL85" s="798"/>
      <c r="WKM85" s="798"/>
      <c r="WKN85" s="798"/>
      <c r="WKO85" s="798"/>
      <c r="WKP85" s="798"/>
      <c r="WKQ85" s="798"/>
      <c r="WKR85" s="798"/>
      <c r="WKS85" s="798"/>
      <c r="WKT85" s="798"/>
      <c r="WKU85" s="798"/>
      <c r="WKV85" s="798"/>
      <c r="WKW85" s="798"/>
      <c r="WKX85" s="798"/>
      <c r="WKY85" s="798"/>
      <c r="WKZ85" s="798"/>
      <c r="WLA85" s="798"/>
      <c r="WLB85" s="798"/>
      <c r="WLC85" s="798"/>
      <c r="WLD85" s="798"/>
      <c r="WLE85" s="798"/>
      <c r="WLF85" s="798"/>
      <c r="WLG85" s="798"/>
      <c r="WLH85" s="798"/>
      <c r="WLI85" s="798"/>
      <c r="WLJ85" s="798"/>
      <c r="WLK85" s="798"/>
      <c r="WLL85" s="798"/>
      <c r="WLM85" s="798"/>
      <c r="WLN85" s="798"/>
      <c r="WLO85" s="798"/>
      <c r="WLP85" s="798"/>
      <c r="WLQ85" s="798"/>
      <c r="WLR85" s="798"/>
      <c r="WLS85" s="798"/>
      <c r="WLT85" s="798"/>
      <c r="WLU85" s="798"/>
      <c r="WLV85" s="798"/>
      <c r="WLW85" s="798"/>
      <c r="WLX85" s="798"/>
      <c r="WLY85" s="798"/>
      <c r="WLZ85" s="798"/>
      <c r="WMA85" s="798"/>
      <c r="WMB85" s="798"/>
      <c r="WMC85" s="798"/>
      <c r="WMD85" s="798"/>
      <c r="WME85" s="798"/>
      <c r="WMF85" s="798"/>
      <c r="WMG85" s="798"/>
      <c r="WMH85" s="798"/>
      <c r="WMI85" s="798"/>
      <c r="WMJ85" s="798"/>
      <c r="WMK85" s="798"/>
      <c r="WML85" s="798"/>
      <c r="WMM85" s="798"/>
      <c r="WMN85" s="798"/>
      <c r="WMO85" s="798"/>
      <c r="WMP85" s="798"/>
      <c r="WMQ85" s="798"/>
      <c r="WMR85" s="798"/>
      <c r="WMS85" s="798"/>
      <c r="WMT85" s="798"/>
      <c r="WMU85" s="798"/>
      <c r="WMV85" s="798"/>
      <c r="WMW85" s="798"/>
      <c r="WMX85" s="798"/>
      <c r="WMY85" s="798"/>
      <c r="WMZ85" s="798"/>
      <c r="WNA85" s="798"/>
      <c r="WNB85" s="798"/>
      <c r="WNC85" s="798"/>
      <c r="WND85" s="798"/>
      <c r="WNE85" s="798"/>
      <c r="WNF85" s="798"/>
      <c r="WNG85" s="798"/>
      <c r="WNH85" s="798"/>
      <c r="WNI85" s="798"/>
      <c r="WNJ85" s="798"/>
      <c r="WNK85" s="798"/>
      <c r="WNL85" s="798"/>
      <c r="WNM85" s="798"/>
      <c r="WNN85" s="798"/>
      <c r="WNO85" s="798"/>
      <c r="WNP85" s="798"/>
      <c r="WNQ85" s="798"/>
      <c r="WNR85" s="798"/>
      <c r="WNS85" s="798"/>
      <c r="WNT85" s="798"/>
      <c r="WNU85" s="798"/>
      <c r="WNV85" s="798"/>
      <c r="WNW85" s="798"/>
      <c r="WNX85" s="798"/>
      <c r="WNY85" s="798"/>
      <c r="WNZ85" s="798"/>
      <c r="WOA85" s="798"/>
      <c r="WOB85" s="798"/>
      <c r="WOC85" s="798"/>
      <c r="WOD85" s="798"/>
      <c r="WOE85" s="798"/>
      <c r="WOF85" s="798"/>
      <c r="WOG85" s="798"/>
      <c r="WOH85" s="798"/>
      <c r="WOI85" s="798"/>
      <c r="WOJ85" s="798"/>
      <c r="WOK85" s="798"/>
      <c r="WOL85" s="798"/>
      <c r="WOM85" s="798"/>
      <c r="WON85" s="798"/>
      <c r="WOO85" s="798"/>
      <c r="WOP85" s="798"/>
      <c r="WOQ85" s="798"/>
      <c r="WOR85" s="798"/>
      <c r="WOS85" s="798"/>
      <c r="WOT85" s="798"/>
      <c r="WOU85" s="798"/>
      <c r="WOV85" s="798"/>
      <c r="WOW85" s="798"/>
      <c r="WOX85" s="798"/>
      <c r="WOY85" s="798"/>
      <c r="WOZ85" s="798"/>
      <c r="WPA85" s="798"/>
      <c r="WPB85" s="798"/>
      <c r="WPC85" s="798"/>
      <c r="WPD85" s="798"/>
      <c r="WPE85" s="798"/>
      <c r="WPF85" s="798"/>
      <c r="WPG85" s="798"/>
      <c r="WPH85" s="798"/>
      <c r="WPI85" s="798"/>
      <c r="WPJ85" s="798"/>
      <c r="WPK85" s="798"/>
      <c r="WPL85" s="798"/>
      <c r="WPM85" s="798"/>
      <c r="WPN85" s="798"/>
      <c r="WPO85" s="798"/>
      <c r="WPP85" s="798"/>
      <c r="WPQ85" s="798"/>
      <c r="WPR85" s="798"/>
      <c r="WPS85" s="798"/>
      <c r="WPT85" s="798"/>
      <c r="WPU85" s="798"/>
      <c r="WPV85" s="798"/>
      <c r="WPW85" s="798"/>
      <c r="WPX85" s="798"/>
      <c r="WPY85" s="798"/>
      <c r="WPZ85" s="798"/>
      <c r="WQA85" s="798"/>
      <c r="WQB85" s="798"/>
      <c r="WQC85" s="798"/>
      <c r="WQD85" s="798"/>
      <c r="WQE85" s="798"/>
      <c r="WQF85" s="798"/>
      <c r="WQG85" s="798"/>
      <c r="WQH85" s="798"/>
      <c r="WQI85" s="798"/>
      <c r="WQJ85" s="798"/>
      <c r="WQK85" s="798"/>
      <c r="WQL85" s="798"/>
      <c r="WQM85" s="798"/>
      <c r="WQN85" s="798"/>
      <c r="WQO85" s="798"/>
      <c r="WQP85" s="798"/>
      <c r="WQQ85" s="798"/>
      <c r="WQR85" s="798"/>
      <c r="WQS85" s="798"/>
      <c r="WQT85" s="798"/>
      <c r="WQU85" s="798"/>
      <c r="WQV85" s="798"/>
      <c r="WQW85" s="798"/>
      <c r="WQX85" s="798"/>
      <c r="WQY85" s="798"/>
      <c r="WQZ85" s="798"/>
      <c r="WRA85" s="798"/>
      <c r="WRB85" s="798"/>
      <c r="WRC85" s="798"/>
      <c r="WRD85" s="798"/>
      <c r="WRE85" s="798"/>
      <c r="WRF85" s="798"/>
      <c r="WRG85" s="798"/>
      <c r="WRH85" s="798"/>
      <c r="WRI85" s="798"/>
      <c r="WRJ85" s="798"/>
      <c r="WRK85" s="798"/>
      <c r="WRL85" s="798"/>
      <c r="WRM85" s="798"/>
      <c r="WRN85" s="798"/>
      <c r="WRO85" s="798"/>
      <c r="WRP85" s="798"/>
      <c r="WRQ85" s="798"/>
      <c r="WRR85" s="798"/>
      <c r="WRS85" s="798"/>
      <c r="WRT85" s="798"/>
      <c r="WRU85" s="798"/>
      <c r="WRV85" s="798"/>
      <c r="WRW85" s="798"/>
      <c r="WRX85" s="798"/>
      <c r="WRY85" s="798"/>
      <c r="WRZ85" s="798"/>
      <c r="WSA85" s="798"/>
      <c r="WSB85" s="798"/>
      <c r="WSC85" s="798"/>
      <c r="WSD85" s="798"/>
      <c r="WSE85" s="798"/>
      <c r="WSF85" s="798"/>
      <c r="WSG85" s="798"/>
      <c r="WSH85" s="798"/>
      <c r="WSI85" s="798"/>
      <c r="WSJ85" s="798"/>
      <c r="WSK85" s="798"/>
      <c r="WSL85" s="798"/>
      <c r="WSM85" s="798"/>
      <c r="WSN85" s="798"/>
      <c r="WSO85" s="798"/>
      <c r="WSP85" s="798"/>
      <c r="WSQ85" s="798"/>
      <c r="WSR85" s="798"/>
      <c r="WSS85" s="798"/>
      <c r="WST85" s="798"/>
      <c r="WSU85" s="798"/>
      <c r="WSV85" s="798"/>
      <c r="WSW85" s="798"/>
      <c r="WSX85" s="798"/>
      <c r="WSY85" s="798"/>
      <c r="WSZ85" s="798"/>
      <c r="WTA85" s="798"/>
      <c r="WTB85" s="798"/>
      <c r="WTC85" s="798"/>
      <c r="WTD85" s="798"/>
      <c r="WTE85" s="798"/>
      <c r="WTF85" s="798"/>
      <c r="WTG85" s="798"/>
      <c r="WTH85" s="798"/>
      <c r="WTI85" s="798"/>
      <c r="WTJ85" s="798"/>
      <c r="WTK85" s="798"/>
      <c r="WTL85" s="798"/>
      <c r="WTM85" s="798"/>
      <c r="WTN85" s="798"/>
      <c r="WTO85" s="798"/>
      <c r="WTP85" s="798"/>
      <c r="WTQ85" s="798"/>
      <c r="WTR85" s="798"/>
      <c r="WTS85" s="798"/>
      <c r="WTT85" s="798"/>
      <c r="WTU85" s="798"/>
      <c r="WTV85" s="798"/>
      <c r="WTW85" s="798"/>
      <c r="WTX85" s="798"/>
      <c r="WTY85" s="798"/>
      <c r="WTZ85" s="798"/>
      <c r="WUA85" s="798"/>
      <c r="WUB85" s="798"/>
      <c r="WUC85" s="798"/>
      <c r="WUD85" s="798"/>
      <c r="WUE85" s="798"/>
      <c r="WUF85" s="798"/>
      <c r="WUG85" s="798"/>
      <c r="WUH85" s="798"/>
      <c r="WUI85" s="798"/>
      <c r="WUJ85" s="798"/>
      <c r="WUK85" s="798"/>
      <c r="WUL85" s="798"/>
      <c r="WUM85" s="798"/>
      <c r="WUN85" s="798"/>
      <c r="WUO85" s="798"/>
      <c r="WUP85" s="798"/>
      <c r="WUQ85" s="798"/>
      <c r="WUR85" s="798"/>
      <c r="WUS85" s="798"/>
      <c r="WUT85" s="798"/>
      <c r="WUU85" s="798"/>
      <c r="WUV85" s="798"/>
      <c r="WUW85" s="798"/>
      <c r="WUX85" s="798"/>
      <c r="WUY85" s="798"/>
      <c r="WUZ85" s="798"/>
      <c r="WVA85" s="798"/>
      <c r="WVB85" s="798"/>
      <c r="WVC85" s="798"/>
      <c r="WVD85" s="798"/>
      <c r="WVE85" s="798"/>
      <c r="WVF85" s="798"/>
      <c r="WVG85" s="798"/>
      <c r="WVH85" s="798"/>
      <c r="WVI85" s="798"/>
      <c r="WVJ85" s="798"/>
      <c r="WVK85" s="798"/>
      <c r="WVL85" s="798"/>
      <c r="WVM85" s="798"/>
      <c r="WVN85" s="798"/>
      <c r="WVO85" s="798"/>
      <c r="WVP85" s="798"/>
      <c r="WVQ85" s="798"/>
      <c r="WVR85" s="798"/>
      <c r="WVS85" s="798"/>
      <c r="WVT85" s="798"/>
      <c r="WVU85" s="798"/>
      <c r="WVV85" s="798"/>
      <c r="WVW85" s="798"/>
      <c r="WVX85" s="798"/>
      <c r="WVY85" s="798"/>
      <c r="WVZ85" s="798"/>
      <c r="WWA85" s="798"/>
      <c r="WWB85" s="798"/>
      <c r="WWC85" s="798"/>
      <c r="WWD85" s="798"/>
      <c r="WWE85" s="798"/>
      <c r="WWF85" s="798"/>
      <c r="WWG85" s="798"/>
      <c r="WWH85" s="798"/>
      <c r="WWI85" s="798"/>
      <c r="WWJ85" s="798"/>
      <c r="WWK85" s="798"/>
      <c r="WWL85" s="798"/>
      <c r="WWM85" s="798"/>
      <c r="WWN85" s="798"/>
      <c r="WWO85" s="798"/>
      <c r="WWP85" s="798"/>
      <c r="WWQ85" s="798"/>
      <c r="WWR85" s="798"/>
      <c r="WWS85" s="798"/>
      <c r="WWT85" s="798"/>
      <c r="WWU85" s="798"/>
      <c r="WWV85" s="798"/>
      <c r="WWW85" s="798"/>
      <c r="WWX85" s="798"/>
      <c r="WWY85" s="798"/>
      <c r="WWZ85" s="798"/>
      <c r="WXA85" s="798"/>
      <c r="WXB85" s="798"/>
      <c r="WXC85" s="798"/>
      <c r="WXD85" s="798"/>
      <c r="WXE85" s="798"/>
      <c r="WXF85" s="798"/>
      <c r="WXG85" s="798"/>
      <c r="WXH85" s="798"/>
      <c r="WXI85" s="798"/>
      <c r="WXJ85" s="798"/>
      <c r="WXK85" s="798"/>
      <c r="WXL85" s="798"/>
      <c r="WXM85" s="798"/>
      <c r="WXN85" s="798"/>
      <c r="WXO85" s="798"/>
      <c r="WXP85" s="798"/>
      <c r="WXQ85" s="798"/>
      <c r="WXR85" s="798"/>
      <c r="WXS85" s="798"/>
      <c r="WXT85" s="798"/>
      <c r="WXU85" s="798"/>
      <c r="WXV85" s="798"/>
      <c r="WXW85" s="798"/>
      <c r="WXX85" s="798"/>
      <c r="WXY85" s="798"/>
      <c r="WXZ85" s="798"/>
      <c r="WYA85" s="798"/>
      <c r="WYB85" s="798"/>
      <c r="WYC85" s="798"/>
      <c r="WYD85" s="798"/>
      <c r="WYE85" s="798"/>
      <c r="WYF85" s="798"/>
      <c r="WYG85" s="798"/>
      <c r="WYH85" s="798"/>
      <c r="WYI85" s="798"/>
      <c r="WYJ85" s="798"/>
      <c r="WYK85" s="798"/>
      <c r="WYL85" s="798"/>
      <c r="WYM85" s="798"/>
      <c r="WYN85" s="798"/>
      <c r="WYO85" s="798"/>
      <c r="WYP85" s="798"/>
      <c r="WYQ85" s="798"/>
      <c r="WYR85" s="798"/>
      <c r="WYS85" s="798"/>
      <c r="WYT85" s="798"/>
      <c r="WYU85" s="798"/>
      <c r="WYV85" s="798"/>
      <c r="WYW85" s="798"/>
      <c r="WYX85" s="798"/>
      <c r="WYY85" s="798"/>
      <c r="WYZ85" s="798"/>
      <c r="WZA85" s="798"/>
      <c r="WZB85" s="798"/>
      <c r="WZC85" s="798"/>
      <c r="WZD85" s="798"/>
      <c r="WZE85" s="798"/>
      <c r="WZF85" s="798"/>
      <c r="WZG85" s="798"/>
      <c r="WZH85" s="798"/>
      <c r="WZI85" s="798"/>
      <c r="WZJ85" s="798"/>
      <c r="WZK85" s="798"/>
      <c r="WZL85" s="798"/>
      <c r="WZM85" s="798"/>
      <c r="WZN85" s="798"/>
      <c r="WZO85" s="798"/>
      <c r="WZP85" s="798"/>
      <c r="WZQ85" s="798"/>
      <c r="WZR85" s="798"/>
      <c r="WZS85" s="798"/>
      <c r="WZT85" s="798"/>
      <c r="WZU85" s="798"/>
      <c r="WZV85" s="798"/>
      <c r="WZW85" s="798"/>
      <c r="WZX85" s="798"/>
      <c r="WZY85" s="798"/>
      <c r="WZZ85" s="798"/>
      <c r="XAA85" s="798"/>
      <c r="XAB85" s="798"/>
      <c r="XAC85" s="798"/>
      <c r="XAD85" s="798"/>
      <c r="XAE85" s="798"/>
      <c r="XAF85" s="798"/>
      <c r="XAG85" s="798"/>
      <c r="XAH85" s="798"/>
      <c r="XAI85" s="798"/>
      <c r="XAJ85" s="798"/>
      <c r="XAK85" s="798"/>
      <c r="XAL85" s="798"/>
      <c r="XAM85" s="798"/>
      <c r="XAN85" s="798"/>
      <c r="XAO85" s="798"/>
      <c r="XAP85" s="798"/>
      <c r="XAQ85" s="798"/>
      <c r="XAR85" s="798"/>
      <c r="XAS85" s="798"/>
      <c r="XAT85" s="798"/>
      <c r="XAU85" s="798"/>
      <c r="XAV85" s="798"/>
      <c r="XAW85" s="798"/>
      <c r="XAX85" s="798"/>
      <c r="XAY85" s="798"/>
      <c r="XAZ85" s="798"/>
      <c r="XBA85" s="798"/>
      <c r="XBB85" s="798"/>
      <c r="XBC85" s="798"/>
      <c r="XBD85" s="798"/>
    </row>
    <row r="86" spans="1:16280" ht="55.2" x14ac:dyDescent="0.3">
      <c r="A86" s="212">
        <v>83</v>
      </c>
      <c r="B86" s="212"/>
      <c r="C86" s="212" t="s">
        <v>415</v>
      </c>
      <c r="D86" s="212" t="s">
        <v>639</v>
      </c>
      <c r="E86" s="212" t="s">
        <v>677</v>
      </c>
      <c r="F86" s="489" t="s">
        <v>976</v>
      </c>
      <c r="G86" s="212" t="s">
        <v>941</v>
      </c>
      <c r="H86" s="276" t="s">
        <v>35</v>
      </c>
      <c r="I86" s="276" t="s">
        <v>414</v>
      </c>
      <c r="J86" s="276" t="s">
        <v>615</v>
      </c>
      <c r="K86" s="277" t="s">
        <v>642</v>
      </c>
      <c r="L86" s="276"/>
      <c r="M86" s="282"/>
      <c r="N86" s="374" t="s">
        <v>672</v>
      </c>
      <c r="O86" s="282"/>
      <c r="P86" s="291" t="s">
        <v>801</v>
      </c>
      <c r="Q86" s="192"/>
      <c r="R86" s="192"/>
      <c r="S86" s="192"/>
      <c r="T86" s="190"/>
      <c r="U86" s="190"/>
      <c r="V86" s="190"/>
      <c r="W86" s="190"/>
      <c r="X86" s="190"/>
      <c r="Y86" s="190"/>
      <c r="Z86" s="190"/>
      <c r="AA86" s="190"/>
      <c r="AB86" s="190"/>
    </row>
    <row r="87" spans="1:16280" ht="55.2" x14ac:dyDescent="0.3">
      <c r="A87" s="212">
        <v>84</v>
      </c>
      <c r="B87" s="212"/>
      <c r="C87" s="212" t="s">
        <v>415</v>
      </c>
      <c r="D87" s="212" t="s">
        <v>639</v>
      </c>
      <c r="E87" s="212" t="s">
        <v>677</v>
      </c>
      <c r="F87" s="489" t="s">
        <v>977</v>
      </c>
      <c r="G87" s="212" t="s">
        <v>941</v>
      </c>
      <c r="H87" s="276" t="s">
        <v>35</v>
      </c>
      <c r="I87" s="276" t="s">
        <v>414</v>
      </c>
      <c r="J87" s="276" t="s">
        <v>615</v>
      </c>
      <c r="K87" s="277" t="s">
        <v>642</v>
      </c>
      <c r="L87" s="276"/>
      <c r="M87" s="282"/>
      <c r="N87" s="374" t="s">
        <v>672</v>
      </c>
      <c r="O87" s="282"/>
      <c r="P87" s="291" t="s">
        <v>801</v>
      </c>
      <c r="Q87" s="192"/>
      <c r="R87" s="192"/>
      <c r="S87" s="192"/>
      <c r="T87" s="190"/>
      <c r="U87" s="190"/>
      <c r="V87" s="190"/>
      <c r="W87" s="190"/>
      <c r="X87" s="190"/>
      <c r="Y87" s="190"/>
      <c r="Z87" s="190"/>
      <c r="AA87" s="190"/>
      <c r="AB87" s="190"/>
    </row>
    <row r="88" spans="1:16280" ht="28.8" x14ac:dyDescent="0.3">
      <c r="A88" s="212">
        <v>85</v>
      </c>
      <c r="B88" s="212"/>
      <c r="C88" s="212" t="s">
        <v>415</v>
      </c>
      <c r="D88" s="212" t="s">
        <v>639</v>
      </c>
      <c r="E88" s="212" t="s">
        <v>677</v>
      </c>
      <c r="F88" s="489" t="s">
        <v>978</v>
      </c>
      <c r="G88" s="212" t="s">
        <v>941</v>
      </c>
      <c r="H88" s="276" t="s">
        <v>35</v>
      </c>
      <c r="I88" s="276" t="s">
        <v>414</v>
      </c>
      <c r="J88" s="276" t="s">
        <v>615</v>
      </c>
      <c r="K88" s="277" t="s">
        <v>642</v>
      </c>
      <c r="L88" s="276"/>
      <c r="M88" s="282"/>
      <c r="N88" s="374" t="s">
        <v>635</v>
      </c>
      <c r="O88" s="282"/>
      <c r="P88" s="291"/>
      <c r="Q88" s="192"/>
      <c r="R88" s="192"/>
      <c r="S88" s="192"/>
      <c r="T88" s="190"/>
      <c r="U88" s="190"/>
      <c r="V88" s="190"/>
      <c r="W88" s="190"/>
      <c r="X88" s="190"/>
      <c r="Y88" s="190"/>
      <c r="Z88" s="190"/>
      <c r="AA88" s="190"/>
      <c r="AB88" s="190"/>
    </row>
    <row r="89" spans="1:16280" ht="41.4" x14ac:dyDescent="0.3">
      <c r="A89" s="212">
        <v>86</v>
      </c>
      <c r="B89" s="212"/>
      <c r="C89" s="212" t="s">
        <v>417</v>
      </c>
      <c r="D89" s="212" t="s">
        <v>639</v>
      </c>
      <c r="E89" s="212" t="s">
        <v>677</v>
      </c>
      <c r="F89" s="489" t="s">
        <v>979</v>
      </c>
      <c r="G89" s="212" t="s">
        <v>941</v>
      </c>
      <c r="H89" s="276" t="s">
        <v>35</v>
      </c>
      <c r="I89" s="276" t="s">
        <v>414</v>
      </c>
      <c r="J89" s="276" t="s">
        <v>615</v>
      </c>
      <c r="K89" s="277" t="s">
        <v>642</v>
      </c>
      <c r="L89" s="276"/>
      <c r="M89" s="282"/>
      <c r="N89" s="374" t="s">
        <v>635</v>
      </c>
      <c r="O89" s="282"/>
      <c r="P89" s="291"/>
      <c r="Q89" s="192"/>
      <c r="R89" s="192"/>
      <c r="S89" s="192"/>
      <c r="T89" s="190"/>
      <c r="U89" s="190"/>
      <c r="V89" s="190"/>
      <c r="W89" s="190"/>
      <c r="X89" s="190"/>
      <c r="Y89" s="190"/>
      <c r="Z89" s="190"/>
      <c r="AA89" s="190"/>
      <c r="AB89" s="190"/>
    </row>
    <row r="90" spans="1:16280" ht="72" x14ac:dyDescent="0.3">
      <c r="A90" s="377">
        <v>87</v>
      </c>
      <c r="B90" s="377"/>
      <c r="C90" s="377" t="s">
        <v>415</v>
      </c>
      <c r="D90" s="377" t="s">
        <v>46</v>
      </c>
      <c r="E90" s="377" t="s">
        <v>677</v>
      </c>
      <c r="F90" s="377" t="s">
        <v>980</v>
      </c>
      <c r="G90" s="377" t="s">
        <v>937</v>
      </c>
      <c r="H90" s="276" t="s">
        <v>35</v>
      </c>
      <c r="I90" s="276" t="s">
        <v>414</v>
      </c>
      <c r="J90" s="276" t="s">
        <v>615</v>
      </c>
      <c r="K90" s="277" t="s">
        <v>642</v>
      </c>
      <c r="L90" s="276"/>
      <c r="M90" s="282"/>
      <c r="N90" s="374" t="s">
        <v>635</v>
      </c>
      <c r="O90" s="282"/>
      <c r="P90" s="291"/>
      <c r="Q90" s="192"/>
      <c r="R90" s="192"/>
      <c r="S90" s="192"/>
      <c r="T90" s="190"/>
      <c r="U90" s="190"/>
      <c r="V90" s="190"/>
      <c r="W90" s="190"/>
      <c r="X90" s="190"/>
      <c r="Y90" s="190"/>
      <c r="Z90" s="190"/>
      <c r="AA90" s="190"/>
      <c r="AB90" s="190"/>
    </row>
    <row r="91" spans="1:16280" ht="57.6" x14ac:dyDescent="0.3">
      <c r="A91" s="377">
        <v>88</v>
      </c>
      <c r="B91" s="377"/>
      <c r="C91" s="377" t="s">
        <v>417</v>
      </c>
      <c r="D91" s="377" t="s">
        <v>46</v>
      </c>
      <c r="E91" s="377" t="s">
        <v>677</v>
      </c>
      <c r="F91" s="377" t="s">
        <v>981</v>
      </c>
      <c r="G91" s="377" t="s">
        <v>937</v>
      </c>
      <c r="H91" s="276" t="s">
        <v>35</v>
      </c>
      <c r="I91" s="276" t="s">
        <v>414</v>
      </c>
      <c r="J91" s="276" t="s">
        <v>615</v>
      </c>
      <c r="K91" s="277" t="s">
        <v>642</v>
      </c>
      <c r="L91" s="276"/>
      <c r="M91" s="282"/>
      <c r="N91" s="374" t="s">
        <v>635</v>
      </c>
      <c r="O91" s="282"/>
      <c r="P91" s="291"/>
      <c r="Q91" s="192"/>
      <c r="R91" s="192"/>
      <c r="S91" s="192"/>
      <c r="T91" s="190"/>
      <c r="U91" s="190"/>
      <c r="V91" s="190"/>
      <c r="W91" s="190"/>
      <c r="X91" s="190"/>
      <c r="Y91" s="190"/>
      <c r="Z91" s="190"/>
      <c r="AA91" s="190"/>
      <c r="AB91" s="190"/>
    </row>
    <row r="92" spans="1:16280" ht="43.2" x14ac:dyDescent="0.3">
      <c r="A92" s="377">
        <v>89</v>
      </c>
      <c r="B92" s="375"/>
      <c r="C92" s="376" t="s">
        <v>417</v>
      </c>
      <c r="D92" s="376" t="s">
        <v>46</v>
      </c>
      <c r="E92" s="377" t="s">
        <v>677</v>
      </c>
      <c r="F92" s="378" t="s">
        <v>982</v>
      </c>
      <c r="G92" s="377" t="s">
        <v>937</v>
      </c>
      <c r="H92" s="276" t="s">
        <v>35</v>
      </c>
      <c r="I92" s="276" t="s">
        <v>414</v>
      </c>
      <c r="J92" s="276" t="s">
        <v>615</v>
      </c>
      <c r="K92" s="277" t="s">
        <v>642</v>
      </c>
      <c r="L92" s="192"/>
      <c r="N92" s="374" t="s">
        <v>635</v>
      </c>
      <c r="O92" s="192"/>
      <c r="P92" s="192"/>
      <c r="Q92" s="192"/>
      <c r="R92" s="192"/>
      <c r="S92" s="192"/>
    </row>
    <row r="93" spans="1:16280" ht="28.8" x14ac:dyDescent="0.3">
      <c r="A93" s="377">
        <v>90</v>
      </c>
      <c r="B93" s="375"/>
      <c r="C93" s="376" t="s">
        <v>417</v>
      </c>
      <c r="D93" s="376" t="s">
        <v>46</v>
      </c>
      <c r="E93" s="377" t="s">
        <v>677</v>
      </c>
      <c r="F93" s="378" t="s">
        <v>983</v>
      </c>
      <c r="G93" s="377" t="s">
        <v>937</v>
      </c>
      <c r="H93" s="276" t="s">
        <v>35</v>
      </c>
      <c r="I93" s="276" t="s">
        <v>414</v>
      </c>
      <c r="J93" s="276" t="s">
        <v>615</v>
      </c>
      <c r="K93" s="277" t="s">
        <v>642</v>
      </c>
      <c r="L93" s="192"/>
      <c r="N93" s="374" t="s">
        <v>635</v>
      </c>
      <c r="O93" s="192"/>
      <c r="P93" s="192"/>
      <c r="Q93" s="192"/>
      <c r="R93" s="192"/>
      <c r="S93" s="192"/>
    </row>
    <row r="94" spans="1:16280" ht="43.2" x14ac:dyDescent="0.3">
      <c r="A94" s="377">
        <v>91</v>
      </c>
      <c r="B94" s="375"/>
      <c r="C94" s="376" t="s">
        <v>417</v>
      </c>
      <c r="D94" s="376" t="s">
        <v>46</v>
      </c>
      <c r="E94" s="377" t="s">
        <v>677</v>
      </c>
      <c r="F94" s="378" t="s">
        <v>984</v>
      </c>
      <c r="G94" s="377" t="s">
        <v>937</v>
      </c>
      <c r="H94" s="276" t="s">
        <v>35</v>
      </c>
      <c r="I94" s="276" t="s">
        <v>414</v>
      </c>
      <c r="J94" s="276" t="s">
        <v>615</v>
      </c>
      <c r="K94" s="277" t="s">
        <v>642</v>
      </c>
      <c r="L94" s="192"/>
      <c r="N94" s="374" t="s">
        <v>635</v>
      </c>
      <c r="O94" s="192"/>
      <c r="P94" s="192"/>
      <c r="Q94" s="192"/>
      <c r="R94" s="192"/>
      <c r="S94" s="192"/>
    </row>
    <row r="95" spans="1:16280" ht="43.2" x14ac:dyDescent="0.3">
      <c r="A95" s="377">
        <v>92</v>
      </c>
      <c r="B95" s="375"/>
      <c r="C95" s="376" t="s">
        <v>415</v>
      </c>
      <c r="D95" s="376" t="s">
        <v>46</v>
      </c>
      <c r="E95" s="377" t="s">
        <v>677</v>
      </c>
      <c r="F95" s="378" t="s">
        <v>985</v>
      </c>
      <c r="G95" s="377" t="s">
        <v>937</v>
      </c>
      <c r="H95" s="276" t="s">
        <v>35</v>
      </c>
      <c r="I95" s="276" t="s">
        <v>414</v>
      </c>
      <c r="J95" s="276" t="s">
        <v>615</v>
      </c>
      <c r="K95" s="277" t="s">
        <v>642</v>
      </c>
      <c r="L95" s="192"/>
      <c r="N95" s="374" t="s">
        <v>635</v>
      </c>
      <c r="O95" s="192"/>
      <c r="P95" s="192"/>
      <c r="Q95" s="192"/>
      <c r="R95" s="192"/>
      <c r="S95" s="192"/>
    </row>
    <row r="96" spans="1:16280" ht="55.2" x14ac:dyDescent="0.3">
      <c r="A96" s="377">
        <v>93</v>
      </c>
      <c r="B96" s="375"/>
      <c r="C96" s="376" t="s">
        <v>417</v>
      </c>
      <c r="D96" s="376" t="s">
        <v>46</v>
      </c>
      <c r="E96" s="377" t="s">
        <v>677</v>
      </c>
      <c r="F96" s="378" t="s">
        <v>986</v>
      </c>
      <c r="G96" s="377" t="s">
        <v>937</v>
      </c>
      <c r="H96" s="276" t="s">
        <v>35</v>
      </c>
      <c r="I96" s="276" t="s">
        <v>421</v>
      </c>
      <c r="J96" s="276" t="s">
        <v>615</v>
      </c>
      <c r="K96" s="277" t="s">
        <v>642</v>
      </c>
      <c r="L96" s="192"/>
      <c r="N96" s="374" t="s">
        <v>672</v>
      </c>
      <c r="O96" s="192"/>
      <c r="P96" s="192"/>
      <c r="Q96" s="192"/>
      <c r="R96" s="192"/>
      <c r="S96" s="192"/>
    </row>
    <row r="97" spans="1:16280" ht="28.8" x14ac:dyDescent="0.3">
      <c r="A97" s="422">
        <v>94</v>
      </c>
      <c r="B97" s="373"/>
      <c r="C97" s="370" t="s">
        <v>415</v>
      </c>
      <c r="D97" s="279" t="s">
        <v>639</v>
      </c>
      <c r="E97" s="371" t="s">
        <v>677</v>
      </c>
      <c r="F97" s="372" t="s">
        <v>972</v>
      </c>
      <c r="G97" s="371" t="s">
        <v>937</v>
      </c>
      <c r="H97" s="276" t="s">
        <v>35</v>
      </c>
      <c r="I97" s="276" t="s">
        <v>414</v>
      </c>
      <c r="J97" s="276" t="s">
        <v>884</v>
      </c>
      <c r="K97" s="277" t="s">
        <v>642</v>
      </c>
      <c r="L97" s="332"/>
      <c r="M97" s="277"/>
      <c r="N97" s="374" t="s">
        <v>635</v>
      </c>
      <c r="O97" s="281"/>
      <c r="P97" s="277" t="s">
        <v>757</v>
      </c>
      <c r="Q97" s="192"/>
      <c r="R97" s="192"/>
      <c r="S97" s="192"/>
      <c r="T97" s="190"/>
      <c r="U97" s="190"/>
      <c r="V97" s="190"/>
      <c r="W97" s="190"/>
      <c r="X97" s="190"/>
      <c r="Y97" s="190"/>
      <c r="Z97" s="190"/>
      <c r="AA97" s="190"/>
      <c r="AB97" s="190"/>
      <c r="AC97" s="798"/>
      <c r="AD97" s="798"/>
      <c r="AE97" s="798"/>
      <c r="AF97" s="798"/>
      <c r="AG97" s="798"/>
      <c r="AH97" s="798"/>
      <c r="AI97" s="798"/>
      <c r="AJ97" s="798"/>
      <c r="AK97" s="798"/>
      <c r="AL97" s="798"/>
      <c r="AM97" s="798"/>
      <c r="AN97" s="798"/>
      <c r="AO97" s="798"/>
      <c r="AP97" s="798"/>
      <c r="AQ97" s="798"/>
      <c r="AR97" s="798"/>
      <c r="AS97" s="798"/>
      <c r="AT97" s="798"/>
      <c r="AU97" s="798"/>
      <c r="AV97" s="798"/>
      <c r="AW97" s="798"/>
      <c r="AX97" s="798"/>
      <c r="AY97" s="798"/>
      <c r="AZ97" s="798"/>
      <c r="BA97" s="798"/>
      <c r="BB97" s="798"/>
      <c r="BC97" s="798"/>
      <c r="BD97" s="798"/>
      <c r="BE97" s="798"/>
      <c r="BF97" s="798"/>
      <c r="BG97" s="798"/>
      <c r="BH97" s="798"/>
      <c r="BI97" s="798"/>
      <c r="BJ97" s="798"/>
      <c r="BK97" s="798"/>
      <c r="BL97" s="798"/>
      <c r="BM97" s="798"/>
      <c r="BN97" s="798"/>
      <c r="BO97" s="798"/>
      <c r="BP97" s="798"/>
      <c r="BQ97" s="798"/>
      <c r="BR97" s="798"/>
      <c r="BS97" s="798"/>
      <c r="BT97" s="798"/>
      <c r="BU97" s="798"/>
      <c r="BV97" s="798"/>
      <c r="BW97" s="798"/>
      <c r="BX97" s="798"/>
      <c r="BY97" s="798"/>
      <c r="BZ97" s="798"/>
      <c r="CA97" s="798"/>
      <c r="CB97" s="798"/>
      <c r="CC97" s="798"/>
      <c r="CD97" s="798"/>
      <c r="CE97" s="798"/>
      <c r="CF97" s="798"/>
      <c r="CG97" s="798"/>
      <c r="CH97" s="798"/>
      <c r="CI97" s="798"/>
      <c r="CJ97" s="798"/>
      <c r="CK97" s="798"/>
      <c r="CL97" s="798"/>
      <c r="CM97" s="798"/>
      <c r="CN97" s="798"/>
      <c r="CO97" s="798"/>
      <c r="CP97" s="798"/>
      <c r="CQ97" s="798"/>
      <c r="CR97" s="798"/>
      <c r="CS97" s="798"/>
      <c r="CT97" s="798"/>
      <c r="CU97" s="798"/>
      <c r="CV97" s="798"/>
      <c r="CW97" s="798"/>
      <c r="CX97" s="798"/>
      <c r="CY97" s="798"/>
      <c r="CZ97" s="798"/>
      <c r="DA97" s="798"/>
      <c r="DB97" s="798"/>
      <c r="DC97" s="798"/>
      <c r="DD97" s="798"/>
      <c r="DE97" s="798"/>
      <c r="DF97" s="798"/>
      <c r="DG97" s="798"/>
      <c r="DH97" s="798"/>
      <c r="DI97" s="798"/>
      <c r="DJ97" s="798"/>
      <c r="DK97" s="798"/>
      <c r="DL97" s="798"/>
      <c r="DM97" s="798"/>
      <c r="DN97" s="798"/>
      <c r="DO97" s="798"/>
      <c r="DP97" s="798"/>
      <c r="DQ97" s="798"/>
      <c r="DR97" s="798"/>
      <c r="DS97" s="798"/>
      <c r="DT97" s="798"/>
      <c r="DU97" s="798"/>
      <c r="DV97" s="798"/>
      <c r="DW97" s="798"/>
      <c r="DX97" s="798"/>
      <c r="DY97" s="798"/>
      <c r="DZ97" s="798"/>
      <c r="EA97" s="798"/>
      <c r="EB97" s="798"/>
      <c r="EC97" s="798"/>
      <c r="ED97" s="798"/>
      <c r="EE97" s="798"/>
      <c r="EF97" s="798"/>
      <c r="EG97" s="798"/>
      <c r="EH97" s="798"/>
      <c r="EI97" s="798"/>
      <c r="EJ97" s="798"/>
      <c r="EK97" s="798"/>
      <c r="EL97" s="798"/>
      <c r="EM97" s="798"/>
      <c r="EN97" s="798"/>
      <c r="EO97" s="798"/>
      <c r="EP97" s="798"/>
      <c r="EQ97" s="798"/>
      <c r="ER97" s="798"/>
      <c r="ES97" s="798"/>
      <c r="ET97" s="798"/>
      <c r="EU97" s="798"/>
      <c r="EV97" s="798"/>
      <c r="EW97" s="798"/>
      <c r="EX97" s="798"/>
      <c r="EY97" s="798"/>
      <c r="EZ97" s="798"/>
      <c r="FA97" s="798"/>
      <c r="FB97" s="798"/>
      <c r="FC97" s="798"/>
      <c r="FD97" s="798"/>
      <c r="FE97" s="798"/>
      <c r="FF97" s="798"/>
      <c r="FG97" s="798"/>
      <c r="FH97" s="798"/>
      <c r="FI97" s="798"/>
      <c r="FJ97" s="798"/>
      <c r="FK97" s="798"/>
      <c r="FL97" s="798"/>
      <c r="FM97" s="798"/>
      <c r="FN97" s="798"/>
      <c r="FO97" s="798"/>
      <c r="FP97" s="798"/>
      <c r="FQ97" s="798"/>
      <c r="FR97" s="798"/>
      <c r="FS97" s="798"/>
      <c r="FT97" s="798"/>
      <c r="FU97" s="798"/>
      <c r="FV97" s="798"/>
      <c r="FW97" s="798"/>
      <c r="FX97" s="798"/>
      <c r="FY97" s="798"/>
      <c r="FZ97" s="798"/>
      <c r="GA97" s="798"/>
      <c r="GB97" s="798"/>
      <c r="GC97" s="798"/>
      <c r="GD97" s="798"/>
      <c r="GE97" s="798"/>
      <c r="GF97" s="798"/>
      <c r="GG97" s="798"/>
      <c r="GH97" s="798"/>
      <c r="GI97" s="798"/>
      <c r="GJ97" s="798"/>
      <c r="GK97" s="798"/>
      <c r="GL97" s="798"/>
      <c r="GM97" s="798"/>
      <c r="GN97" s="798"/>
      <c r="GO97" s="798"/>
      <c r="GP97" s="798"/>
      <c r="GQ97" s="798"/>
      <c r="GR97" s="798"/>
      <c r="GS97" s="798"/>
      <c r="GT97" s="798"/>
      <c r="GU97" s="798"/>
      <c r="GV97" s="798"/>
      <c r="GW97" s="798"/>
      <c r="GX97" s="798"/>
      <c r="GY97" s="798"/>
      <c r="GZ97" s="798"/>
      <c r="HA97" s="798"/>
      <c r="HB97" s="798"/>
      <c r="HC97" s="798"/>
      <c r="HD97" s="798"/>
      <c r="HE97" s="798"/>
      <c r="HF97" s="798"/>
      <c r="HG97" s="798"/>
      <c r="HH97" s="798"/>
      <c r="HI97" s="798"/>
      <c r="HJ97" s="798"/>
      <c r="HK97" s="798"/>
      <c r="HL97" s="798"/>
      <c r="HM97" s="798"/>
      <c r="HN97" s="798"/>
      <c r="HO97" s="798"/>
      <c r="HP97" s="798"/>
      <c r="HQ97" s="798"/>
      <c r="HR97" s="798"/>
      <c r="HS97" s="798"/>
      <c r="HT97" s="798"/>
      <c r="HU97" s="798"/>
      <c r="HV97" s="798"/>
      <c r="HW97" s="798"/>
      <c r="HX97" s="798"/>
      <c r="HY97" s="798"/>
      <c r="HZ97" s="798"/>
      <c r="IA97" s="798"/>
      <c r="IB97" s="798"/>
      <c r="IC97" s="798"/>
      <c r="ID97" s="798"/>
      <c r="IE97" s="798"/>
      <c r="IF97" s="798"/>
      <c r="IG97" s="798"/>
      <c r="IH97" s="798"/>
      <c r="II97" s="798"/>
      <c r="IJ97" s="798"/>
      <c r="IK97" s="798"/>
      <c r="IL97" s="798"/>
      <c r="IM97" s="798"/>
      <c r="IN97" s="798"/>
      <c r="IO97" s="798"/>
      <c r="IP97" s="798"/>
      <c r="IQ97" s="798"/>
      <c r="IR97" s="798"/>
      <c r="IS97" s="798"/>
      <c r="IT97" s="798"/>
      <c r="IU97" s="798"/>
      <c r="IV97" s="798"/>
      <c r="IW97" s="798"/>
      <c r="IX97" s="798"/>
      <c r="IY97" s="798"/>
      <c r="IZ97" s="798"/>
      <c r="JA97" s="798"/>
      <c r="JB97" s="798"/>
      <c r="JC97" s="798"/>
      <c r="JD97" s="798"/>
      <c r="JE97" s="798"/>
      <c r="JF97" s="798"/>
      <c r="JG97" s="798"/>
      <c r="JH97" s="798"/>
      <c r="JI97" s="798"/>
      <c r="JJ97" s="798"/>
      <c r="JK97" s="798"/>
      <c r="JL97" s="798"/>
      <c r="JM97" s="798"/>
      <c r="JN97" s="798"/>
      <c r="JO97" s="798"/>
      <c r="JP97" s="798"/>
      <c r="JQ97" s="798"/>
      <c r="JR97" s="798"/>
      <c r="JS97" s="798"/>
      <c r="JT97" s="798"/>
      <c r="JU97" s="798"/>
      <c r="JV97" s="798"/>
      <c r="JW97" s="798"/>
      <c r="JX97" s="798"/>
      <c r="JY97" s="798"/>
      <c r="JZ97" s="798"/>
      <c r="KA97" s="798"/>
      <c r="KB97" s="798"/>
      <c r="KC97" s="798"/>
      <c r="KD97" s="798"/>
      <c r="KE97" s="798"/>
      <c r="KF97" s="798"/>
      <c r="KG97" s="798"/>
      <c r="KH97" s="798"/>
      <c r="KI97" s="798"/>
      <c r="KJ97" s="798"/>
      <c r="KK97" s="798"/>
      <c r="KL97" s="798"/>
      <c r="KM97" s="798"/>
      <c r="KN97" s="798"/>
      <c r="KO97" s="798"/>
      <c r="KP97" s="798"/>
      <c r="KQ97" s="798"/>
      <c r="KR97" s="798"/>
      <c r="KS97" s="798"/>
      <c r="KT97" s="798"/>
      <c r="KU97" s="798"/>
      <c r="KV97" s="798"/>
      <c r="KW97" s="798"/>
      <c r="KX97" s="798"/>
      <c r="KY97" s="798"/>
      <c r="KZ97" s="798"/>
      <c r="LA97" s="798"/>
      <c r="LB97" s="798"/>
      <c r="LC97" s="798"/>
      <c r="LD97" s="798"/>
      <c r="LE97" s="798"/>
      <c r="LF97" s="798"/>
      <c r="LG97" s="798"/>
      <c r="LH97" s="798"/>
      <c r="LI97" s="798"/>
      <c r="LJ97" s="798"/>
      <c r="LK97" s="798"/>
      <c r="LL97" s="798"/>
      <c r="LM97" s="798"/>
      <c r="LN97" s="798"/>
      <c r="LO97" s="798"/>
      <c r="LP97" s="798"/>
      <c r="LQ97" s="798"/>
      <c r="LR97" s="798"/>
      <c r="LS97" s="798"/>
      <c r="LT97" s="798"/>
      <c r="LU97" s="798"/>
      <c r="LV97" s="798"/>
      <c r="LW97" s="798"/>
      <c r="LX97" s="798"/>
      <c r="LY97" s="798"/>
      <c r="LZ97" s="798"/>
      <c r="MA97" s="798"/>
      <c r="MB97" s="798"/>
      <c r="MC97" s="798"/>
      <c r="MD97" s="798"/>
      <c r="ME97" s="798"/>
      <c r="MF97" s="798"/>
      <c r="MG97" s="798"/>
      <c r="MH97" s="798"/>
      <c r="MI97" s="798"/>
      <c r="MJ97" s="798"/>
      <c r="MK97" s="798"/>
      <c r="ML97" s="798"/>
      <c r="MM97" s="798"/>
      <c r="MN97" s="798"/>
      <c r="MO97" s="798"/>
      <c r="MP97" s="798"/>
      <c r="MQ97" s="798"/>
      <c r="MR97" s="798"/>
      <c r="MS97" s="798"/>
      <c r="MT97" s="798"/>
      <c r="MU97" s="798"/>
      <c r="MV97" s="798"/>
      <c r="MW97" s="798"/>
      <c r="MX97" s="798"/>
      <c r="MY97" s="798"/>
      <c r="MZ97" s="798"/>
      <c r="NA97" s="798"/>
      <c r="NB97" s="798"/>
      <c r="NC97" s="798"/>
      <c r="ND97" s="798"/>
      <c r="NE97" s="798"/>
      <c r="NF97" s="798"/>
      <c r="NG97" s="798"/>
      <c r="NH97" s="798"/>
      <c r="NI97" s="798"/>
      <c r="NJ97" s="798"/>
      <c r="NK97" s="798"/>
      <c r="NL97" s="798"/>
      <c r="NM97" s="798"/>
      <c r="NN97" s="798"/>
      <c r="NO97" s="798"/>
      <c r="NP97" s="798"/>
      <c r="NQ97" s="798"/>
      <c r="NR97" s="798"/>
      <c r="NS97" s="798"/>
      <c r="NT97" s="798"/>
      <c r="NU97" s="798"/>
      <c r="NV97" s="798"/>
      <c r="NW97" s="798"/>
      <c r="NX97" s="798"/>
      <c r="NY97" s="798"/>
      <c r="NZ97" s="798"/>
      <c r="OA97" s="798"/>
      <c r="OB97" s="798"/>
      <c r="OC97" s="798"/>
      <c r="OD97" s="798"/>
      <c r="OE97" s="798"/>
      <c r="OF97" s="798"/>
      <c r="OG97" s="798"/>
      <c r="OH97" s="798"/>
      <c r="OI97" s="798"/>
      <c r="OJ97" s="798"/>
      <c r="OK97" s="798"/>
      <c r="OL97" s="798"/>
      <c r="OM97" s="798"/>
      <c r="ON97" s="798"/>
      <c r="OO97" s="798"/>
      <c r="OP97" s="798"/>
      <c r="OQ97" s="798"/>
      <c r="OR97" s="798"/>
      <c r="OS97" s="798"/>
      <c r="OT97" s="798"/>
      <c r="OU97" s="798"/>
      <c r="OV97" s="798"/>
      <c r="OW97" s="798"/>
      <c r="OX97" s="798"/>
      <c r="OY97" s="798"/>
      <c r="OZ97" s="798"/>
      <c r="PA97" s="798"/>
      <c r="PB97" s="798"/>
      <c r="PC97" s="798"/>
      <c r="PD97" s="798"/>
      <c r="PE97" s="798"/>
      <c r="PF97" s="798"/>
      <c r="PG97" s="798"/>
      <c r="PH97" s="798"/>
      <c r="PI97" s="798"/>
      <c r="PJ97" s="798"/>
      <c r="PK97" s="798"/>
      <c r="PL97" s="798"/>
      <c r="PM97" s="798"/>
      <c r="PN97" s="798"/>
      <c r="PO97" s="798"/>
      <c r="PP97" s="798"/>
      <c r="PQ97" s="798"/>
      <c r="PR97" s="798"/>
      <c r="PS97" s="798"/>
      <c r="PT97" s="798"/>
      <c r="PU97" s="798"/>
      <c r="PV97" s="798"/>
      <c r="PW97" s="798"/>
      <c r="PX97" s="798"/>
      <c r="PY97" s="798"/>
      <c r="PZ97" s="798"/>
      <c r="QA97" s="798"/>
      <c r="QB97" s="798"/>
      <c r="QC97" s="798"/>
      <c r="QD97" s="798"/>
      <c r="QE97" s="798"/>
      <c r="QF97" s="798"/>
      <c r="QG97" s="798"/>
      <c r="QH97" s="798"/>
      <c r="QI97" s="798"/>
      <c r="QJ97" s="798"/>
      <c r="QK97" s="798"/>
      <c r="QL97" s="798"/>
      <c r="QM97" s="798"/>
      <c r="QN97" s="798"/>
      <c r="QO97" s="798"/>
      <c r="QP97" s="798"/>
      <c r="QQ97" s="798"/>
      <c r="QR97" s="798"/>
      <c r="QS97" s="798"/>
      <c r="QT97" s="798"/>
      <c r="QU97" s="798"/>
      <c r="QV97" s="798"/>
      <c r="QW97" s="798"/>
      <c r="QX97" s="798"/>
      <c r="QY97" s="798"/>
      <c r="QZ97" s="798"/>
      <c r="RA97" s="798"/>
      <c r="RB97" s="798"/>
      <c r="RC97" s="798"/>
      <c r="RD97" s="798"/>
      <c r="RE97" s="798"/>
      <c r="RF97" s="798"/>
      <c r="RG97" s="798"/>
      <c r="RH97" s="798"/>
      <c r="RI97" s="798"/>
      <c r="RJ97" s="798"/>
      <c r="RK97" s="798"/>
      <c r="RL97" s="798"/>
      <c r="RM97" s="798"/>
      <c r="RN97" s="798"/>
      <c r="RO97" s="798"/>
      <c r="RP97" s="798"/>
      <c r="RQ97" s="798"/>
      <c r="RR97" s="798"/>
      <c r="RS97" s="798"/>
      <c r="RT97" s="798"/>
      <c r="RU97" s="798"/>
      <c r="RV97" s="798"/>
      <c r="RW97" s="798"/>
      <c r="RX97" s="798"/>
      <c r="RY97" s="798"/>
      <c r="RZ97" s="798"/>
      <c r="SA97" s="798"/>
      <c r="SB97" s="798"/>
      <c r="SC97" s="798"/>
      <c r="SD97" s="798"/>
      <c r="SE97" s="798"/>
      <c r="SF97" s="798"/>
      <c r="SG97" s="798"/>
      <c r="SH97" s="798"/>
      <c r="SI97" s="798"/>
      <c r="SJ97" s="798"/>
      <c r="SK97" s="798"/>
      <c r="SL97" s="798"/>
      <c r="SM97" s="798"/>
      <c r="SN97" s="798"/>
      <c r="SO97" s="798"/>
      <c r="SP97" s="798"/>
      <c r="SQ97" s="798"/>
      <c r="SR97" s="798"/>
      <c r="SS97" s="798"/>
      <c r="ST97" s="798"/>
      <c r="SU97" s="798"/>
      <c r="SV97" s="798"/>
      <c r="SW97" s="798"/>
      <c r="SX97" s="798"/>
      <c r="SY97" s="798"/>
      <c r="SZ97" s="798"/>
      <c r="TA97" s="798"/>
      <c r="TB97" s="798"/>
      <c r="TC97" s="798"/>
      <c r="TD97" s="798"/>
      <c r="TE97" s="798"/>
      <c r="TF97" s="798"/>
      <c r="TG97" s="798"/>
      <c r="TH97" s="798"/>
      <c r="TI97" s="798"/>
      <c r="TJ97" s="798"/>
      <c r="TK97" s="798"/>
      <c r="TL97" s="798"/>
      <c r="TM97" s="798"/>
      <c r="TN97" s="798"/>
      <c r="TO97" s="798"/>
      <c r="TP97" s="798"/>
      <c r="TQ97" s="798"/>
      <c r="TR97" s="798"/>
      <c r="TS97" s="798"/>
      <c r="TT97" s="798"/>
      <c r="TU97" s="798"/>
      <c r="TV97" s="798"/>
      <c r="TW97" s="798"/>
      <c r="TX97" s="798"/>
      <c r="TY97" s="798"/>
      <c r="TZ97" s="798"/>
      <c r="UA97" s="798"/>
      <c r="UB97" s="798"/>
      <c r="UC97" s="798"/>
      <c r="UD97" s="798"/>
      <c r="UE97" s="798"/>
      <c r="UF97" s="798"/>
      <c r="UG97" s="798"/>
      <c r="UH97" s="798"/>
      <c r="UI97" s="798"/>
      <c r="UJ97" s="798"/>
      <c r="UK97" s="798"/>
      <c r="UL97" s="798"/>
      <c r="UM97" s="798"/>
      <c r="UN97" s="798"/>
      <c r="UO97" s="798"/>
      <c r="UP97" s="798"/>
      <c r="UQ97" s="798"/>
      <c r="UR97" s="798"/>
      <c r="US97" s="798"/>
      <c r="UT97" s="798"/>
      <c r="UU97" s="798"/>
      <c r="UV97" s="798"/>
      <c r="UW97" s="798"/>
      <c r="UX97" s="798"/>
      <c r="UY97" s="798"/>
      <c r="UZ97" s="798"/>
      <c r="VA97" s="798"/>
      <c r="VB97" s="798"/>
      <c r="VC97" s="798"/>
      <c r="VD97" s="798"/>
      <c r="VE97" s="798"/>
      <c r="VF97" s="798"/>
      <c r="VG97" s="798"/>
      <c r="VH97" s="798"/>
      <c r="VI97" s="798"/>
      <c r="VJ97" s="798"/>
      <c r="VK97" s="798"/>
      <c r="VL97" s="798"/>
      <c r="VM97" s="798"/>
      <c r="VN97" s="798"/>
      <c r="VO97" s="798"/>
      <c r="VP97" s="798"/>
      <c r="VQ97" s="798"/>
      <c r="VR97" s="798"/>
      <c r="VS97" s="798"/>
      <c r="VT97" s="798"/>
      <c r="VU97" s="798"/>
      <c r="VV97" s="798"/>
      <c r="VW97" s="798"/>
      <c r="VX97" s="798"/>
      <c r="VY97" s="798"/>
      <c r="VZ97" s="798"/>
      <c r="WA97" s="798"/>
      <c r="WB97" s="798"/>
      <c r="WC97" s="798"/>
      <c r="WD97" s="798"/>
      <c r="WE97" s="798"/>
      <c r="WF97" s="798"/>
      <c r="WG97" s="798"/>
      <c r="WH97" s="798"/>
      <c r="WI97" s="798"/>
      <c r="WJ97" s="798"/>
      <c r="WK97" s="798"/>
      <c r="WL97" s="798"/>
      <c r="WM97" s="798"/>
      <c r="WN97" s="798"/>
      <c r="WO97" s="798"/>
      <c r="WP97" s="798"/>
      <c r="WQ97" s="798"/>
      <c r="WR97" s="798"/>
      <c r="WS97" s="798"/>
      <c r="WT97" s="798"/>
      <c r="WU97" s="798"/>
      <c r="WV97" s="798"/>
      <c r="WW97" s="798"/>
      <c r="WX97" s="798"/>
      <c r="WY97" s="798"/>
      <c r="WZ97" s="798"/>
      <c r="XA97" s="798"/>
      <c r="XB97" s="798"/>
      <c r="XC97" s="798"/>
      <c r="XD97" s="798"/>
      <c r="XE97" s="798"/>
      <c r="XF97" s="798"/>
      <c r="XG97" s="798"/>
      <c r="XH97" s="798"/>
      <c r="XI97" s="798"/>
      <c r="XJ97" s="798"/>
      <c r="XK97" s="798"/>
      <c r="XL97" s="798"/>
      <c r="XM97" s="798"/>
      <c r="XN97" s="798"/>
      <c r="XO97" s="798"/>
      <c r="XP97" s="798"/>
      <c r="XQ97" s="798"/>
      <c r="XR97" s="798"/>
      <c r="XS97" s="798"/>
      <c r="XT97" s="798"/>
      <c r="XU97" s="798"/>
      <c r="XV97" s="798"/>
      <c r="XW97" s="798"/>
      <c r="XX97" s="798"/>
      <c r="XY97" s="798"/>
      <c r="XZ97" s="798"/>
      <c r="YA97" s="798"/>
      <c r="YB97" s="798"/>
      <c r="YC97" s="798"/>
      <c r="YD97" s="798"/>
      <c r="YE97" s="798"/>
      <c r="YF97" s="798"/>
      <c r="YG97" s="798"/>
      <c r="YH97" s="798"/>
      <c r="YI97" s="798"/>
      <c r="YJ97" s="798"/>
      <c r="YK97" s="798"/>
      <c r="YL97" s="798"/>
      <c r="YM97" s="798"/>
      <c r="YN97" s="798"/>
      <c r="YO97" s="798"/>
      <c r="YP97" s="798"/>
      <c r="YQ97" s="798"/>
      <c r="YR97" s="798"/>
      <c r="YS97" s="798"/>
      <c r="YT97" s="798"/>
      <c r="YU97" s="798"/>
      <c r="YV97" s="798"/>
      <c r="YW97" s="798"/>
      <c r="YX97" s="798"/>
      <c r="YY97" s="798"/>
      <c r="YZ97" s="798"/>
      <c r="ZA97" s="798"/>
      <c r="ZB97" s="798"/>
      <c r="ZC97" s="798"/>
      <c r="ZD97" s="798"/>
      <c r="ZE97" s="798"/>
      <c r="ZF97" s="798"/>
      <c r="ZG97" s="798"/>
      <c r="ZH97" s="798"/>
      <c r="ZI97" s="798"/>
      <c r="ZJ97" s="798"/>
      <c r="ZK97" s="798"/>
      <c r="ZL97" s="798"/>
      <c r="ZM97" s="798"/>
      <c r="ZN97" s="798"/>
      <c r="ZO97" s="798"/>
      <c r="ZP97" s="798"/>
      <c r="ZQ97" s="798"/>
      <c r="ZR97" s="798"/>
      <c r="ZS97" s="798"/>
      <c r="ZT97" s="798"/>
      <c r="ZU97" s="798"/>
      <c r="ZV97" s="798"/>
      <c r="ZW97" s="798"/>
      <c r="ZX97" s="798"/>
      <c r="ZY97" s="798"/>
      <c r="ZZ97" s="798"/>
      <c r="AAA97" s="798"/>
      <c r="AAB97" s="798"/>
      <c r="AAC97" s="798"/>
      <c r="AAD97" s="798"/>
      <c r="AAE97" s="798"/>
      <c r="AAF97" s="798"/>
      <c r="AAG97" s="798"/>
      <c r="AAH97" s="798"/>
      <c r="AAI97" s="798"/>
      <c r="AAJ97" s="798"/>
      <c r="AAK97" s="798"/>
      <c r="AAL97" s="798"/>
      <c r="AAM97" s="798"/>
      <c r="AAN97" s="798"/>
      <c r="AAO97" s="798"/>
      <c r="AAP97" s="798"/>
      <c r="AAQ97" s="798"/>
      <c r="AAR97" s="798"/>
      <c r="AAS97" s="798"/>
      <c r="AAT97" s="798"/>
      <c r="AAU97" s="798"/>
      <c r="AAV97" s="798"/>
      <c r="AAW97" s="798"/>
      <c r="AAX97" s="798"/>
      <c r="AAY97" s="798"/>
      <c r="AAZ97" s="798"/>
      <c r="ABA97" s="798"/>
      <c r="ABB97" s="798"/>
      <c r="ABC97" s="798"/>
      <c r="ABD97" s="798"/>
      <c r="ABE97" s="798"/>
      <c r="ABF97" s="798"/>
      <c r="ABG97" s="798"/>
      <c r="ABH97" s="798"/>
      <c r="ABI97" s="798"/>
      <c r="ABJ97" s="798"/>
      <c r="ABK97" s="798"/>
      <c r="ABL97" s="798"/>
      <c r="ABM97" s="798"/>
      <c r="ABN97" s="798"/>
      <c r="ABO97" s="798"/>
      <c r="ABP97" s="798"/>
      <c r="ABQ97" s="798"/>
      <c r="ABR97" s="798"/>
      <c r="ABS97" s="798"/>
      <c r="ABT97" s="798"/>
      <c r="ABU97" s="798"/>
      <c r="ABV97" s="798"/>
      <c r="ABW97" s="798"/>
      <c r="ABX97" s="798"/>
      <c r="ABY97" s="798"/>
      <c r="ABZ97" s="798"/>
      <c r="ACA97" s="798"/>
      <c r="ACB97" s="798"/>
      <c r="ACC97" s="798"/>
      <c r="ACD97" s="798"/>
      <c r="ACE97" s="798"/>
      <c r="ACF97" s="798"/>
      <c r="ACG97" s="798"/>
      <c r="ACH97" s="798"/>
      <c r="ACI97" s="798"/>
      <c r="ACJ97" s="798"/>
      <c r="ACK97" s="798"/>
      <c r="ACL97" s="798"/>
      <c r="ACM97" s="798"/>
      <c r="ACN97" s="798"/>
      <c r="ACO97" s="798"/>
      <c r="ACP97" s="798"/>
      <c r="ACQ97" s="798"/>
      <c r="ACR97" s="798"/>
      <c r="ACS97" s="798"/>
      <c r="ACT97" s="798"/>
      <c r="ACU97" s="798"/>
      <c r="ACV97" s="798"/>
      <c r="ACW97" s="798"/>
      <c r="ACX97" s="798"/>
      <c r="ACY97" s="798"/>
      <c r="ACZ97" s="798"/>
      <c r="ADA97" s="798"/>
      <c r="ADB97" s="798"/>
      <c r="ADC97" s="798"/>
      <c r="ADD97" s="798"/>
      <c r="ADE97" s="798"/>
      <c r="ADF97" s="798"/>
      <c r="ADG97" s="798"/>
      <c r="ADH97" s="798"/>
      <c r="ADI97" s="798"/>
      <c r="ADJ97" s="798"/>
      <c r="ADK97" s="798"/>
      <c r="ADL97" s="798"/>
      <c r="ADM97" s="798"/>
      <c r="ADN97" s="798"/>
      <c r="ADO97" s="798"/>
      <c r="ADP97" s="798"/>
      <c r="ADQ97" s="798"/>
      <c r="ADR97" s="798"/>
      <c r="ADS97" s="798"/>
      <c r="ADT97" s="798"/>
      <c r="ADU97" s="798"/>
      <c r="ADV97" s="798"/>
      <c r="ADW97" s="798"/>
      <c r="ADX97" s="798"/>
      <c r="ADY97" s="798"/>
      <c r="ADZ97" s="798"/>
      <c r="AEA97" s="798"/>
      <c r="AEB97" s="798"/>
      <c r="AEC97" s="798"/>
      <c r="AED97" s="798"/>
      <c r="AEE97" s="798"/>
      <c r="AEF97" s="798"/>
      <c r="AEG97" s="798"/>
      <c r="AEH97" s="798"/>
      <c r="AEI97" s="798"/>
      <c r="AEJ97" s="798"/>
      <c r="AEK97" s="798"/>
      <c r="AEL97" s="798"/>
      <c r="AEM97" s="798"/>
      <c r="AEN97" s="798"/>
      <c r="AEO97" s="798"/>
      <c r="AEP97" s="798"/>
      <c r="AEQ97" s="798"/>
      <c r="AER97" s="798"/>
      <c r="AES97" s="798"/>
      <c r="AET97" s="798"/>
      <c r="AEU97" s="798"/>
      <c r="AEV97" s="798"/>
      <c r="AEW97" s="798"/>
      <c r="AEX97" s="798"/>
      <c r="AEY97" s="798"/>
      <c r="AEZ97" s="798"/>
      <c r="AFA97" s="798"/>
      <c r="AFB97" s="798"/>
      <c r="AFC97" s="798"/>
      <c r="AFD97" s="798"/>
      <c r="AFE97" s="798"/>
      <c r="AFF97" s="798"/>
      <c r="AFG97" s="798"/>
      <c r="AFH97" s="798"/>
      <c r="AFI97" s="798"/>
      <c r="AFJ97" s="798"/>
      <c r="AFK97" s="798"/>
      <c r="AFL97" s="798"/>
      <c r="AFM97" s="798"/>
      <c r="AFN97" s="798"/>
      <c r="AFO97" s="798"/>
      <c r="AFP97" s="798"/>
      <c r="AFQ97" s="798"/>
      <c r="AFR97" s="798"/>
      <c r="AFS97" s="798"/>
      <c r="AFT97" s="798"/>
      <c r="AFU97" s="798"/>
      <c r="AFV97" s="798"/>
      <c r="AFW97" s="798"/>
      <c r="AFX97" s="798"/>
      <c r="AFY97" s="798"/>
      <c r="AFZ97" s="798"/>
      <c r="AGA97" s="798"/>
      <c r="AGB97" s="798"/>
      <c r="AGC97" s="798"/>
      <c r="AGD97" s="798"/>
      <c r="AGE97" s="798"/>
      <c r="AGF97" s="798"/>
      <c r="AGG97" s="798"/>
      <c r="AGH97" s="798"/>
      <c r="AGI97" s="798"/>
      <c r="AGJ97" s="798"/>
      <c r="AGK97" s="798"/>
      <c r="AGL97" s="798"/>
      <c r="AGM97" s="798"/>
      <c r="AGN97" s="798"/>
      <c r="AGO97" s="798"/>
      <c r="AGP97" s="798"/>
      <c r="AGQ97" s="798"/>
      <c r="AGR97" s="798"/>
      <c r="AGS97" s="798"/>
      <c r="AGT97" s="798"/>
      <c r="AGU97" s="798"/>
      <c r="AGV97" s="798"/>
      <c r="AGW97" s="798"/>
      <c r="AGX97" s="798"/>
      <c r="AGY97" s="798"/>
      <c r="AGZ97" s="798"/>
      <c r="AHA97" s="798"/>
      <c r="AHB97" s="798"/>
      <c r="AHC97" s="798"/>
      <c r="AHD97" s="798"/>
      <c r="AHE97" s="798"/>
      <c r="AHF97" s="798"/>
      <c r="AHG97" s="798"/>
      <c r="AHH97" s="798"/>
      <c r="AHI97" s="798"/>
      <c r="AHJ97" s="798"/>
      <c r="AHK97" s="798"/>
      <c r="AHL97" s="798"/>
      <c r="AHM97" s="798"/>
      <c r="AHN97" s="798"/>
      <c r="AHO97" s="798"/>
      <c r="AHP97" s="798"/>
      <c r="AHQ97" s="798"/>
      <c r="AHR97" s="798"/>
      <c r="AHS97" s="798"/>
      <c r="AHT97" s="798"/>
      <c r="AHU97" s="798"/>
      <c r="AHV97" s="798"/>
      <c r="AHW97" s="798"/>
      <c r="AHX97" s="798"/>
      <c r="AHY97" s="798"/>
      <c r="AHZ97" s="798"/>
      <c r="AIA97" s="798"/>
      <c r="AIB97" s="798"/>
      <c r="AIC97" s="798"/>
      <c r="AID97" s="798"/>
      <c r="AIE97" s="798"/>
      <c r="AIF97" s="798"/>
      <c r="AIG97" s="798"/>
      <c r="AIH97" s="798"/>
      <c r="AII97" s="798"/>
      <c r="AIJ97" s="798"/>
      <c r="AIK97" s="798"/>
      <c r="AIL97" s="798"/>
      <c r="AIM97" s="798"/>
      <c r="AIN97" s="798"/>
      <c r="AIO97" s="798"/>
      <c r="AIP97" s="798"/>
      <c r="AIQ97" s="798"/>
      <c r="AIR97" s="798"/>
      <c r="AIS97" s="798"/>
      <c r="AIT97" s="798"/>
      <c r="AIU97" s="798"/>
      <c r="AIV97" s="798"/>
      <c r="AIW97" s="798"/>
      <c r="AIX97" s="798"/>
      <c r="AIY97" s="798"/>
      <c r="AIZ97" s="798"/>
      <c r="AJA97" s="798"/>
      <c r="AJB97" s="798"/>
      <c r="AJC97" s="798"/>
      <c r="AJD97" s="798"/>
      <c r="AJE97" s="798"/>
      <c r="AJF97" s="798"/>
      <c r="AJG97" s="798"/>
      <c r="AJH97" s="798"/>
      <c r="AJI97" s="798"/>
      <c r="AJJ97" s="798"/>
      <c r="AJK97" s="798"/>
      <c r="AJL97" s="798"/>
      <c r="AJM97" s="798"/>
      <c r="AJN97" s="798"/>
      <c r="AJO97" s="798"/>
      <c r="AJP97" s="798"/>
      <c r="AJQ97" s="798"/>
      <c r="AJR97" s="798"/>
      <c r="AJS97" s="798"/>
      <c r="AJT97" s="798"/>
      <c r="AJU97" s="798"/>
      <c r="AJV97" s="798"/>
      <c r="AJW97" s="798"/>
      <c r="AJX97" s="798"/>
      <c r="AJY97" s="798"/>
      <c r="AJZ97" s="798"/>
      <c r="AKA97" s="798"/>
      <c r="AKB97" s="798"/>
      <c r="AKC97" s="798"/>
      <c r="AKD97" s="798"/>
      <c r="AKE97" s="798"/>
      <c r="AKF97" s="798"/>
      <c r="AKG97" s="798"/>
      <c r="AKH97" s="798"/>
      <c r="AKI97" s="798"/>
      <c r="AKJ97" s="798"/>
      <c r="AKK97" s="798"/>
      <c r="AKL97" s="798"/>
      <c r="AKM97" s="798"/>
      <c r="AKN97" s="798"/>
      <c r="AKO97" s="798"/>
      <c r="AKP97" s="798"/>
      <c r="AKQ97" s="798"/>
      <c r="AKR97" s="798"/>
      <c r="AKS97" s="798"/>
      <c r="AKT97" s="798"/>
      <c r="AKU97" s="798"/>
      <c r="AKV97" s="798"/>
      <c r="AKW97" s="798"/>
      <c r="AKX97" s="798"/>
      <c r="AKY97" s="798"/>
      <c r="AKZ97" s="798"/>
      <c r="ALA97" s="798"/>
      <c r="ALB97" s="798"/>
      <c r="ALC97" s="798"/>
      <c r="ALD97" s="798"/>
      <c r="ALE97" s="798"/>
      <c r="ALF97" s="798"/>
      <c r="ALG97" s="798"/>
      <c r="ALH97" s="798"/>
      <c r="ALI97" s="798"/>
      <c r="ALJ97" s="798"/>
      <c r="ALK97" s="798"/>
      <c r="ALL97" s="798"/>
      <c r="ALM97" s="798"/>
      <c r="ALN97" s="798"/>
      <c r="ALO97" s="798"/>
      <c r="ALP97" s="798"/>
      <c r="ALQ97" s="798"/>
      <c r="ALR97" s="798"/>
      <c r="ALS97" s="798"/>
      <c r="ALT97" s="798"/>
      <c r="ALU97" s="798"/>
      <c r="ALV97" s="798"/>
      <c r="ALW97" s="798"/>
      <c r="ALX97" s="798"/>
      <c r="ALY97" s="798"/>
      <c r="ALZ97" s="798"/>
      <c r="AMA97" s="798"/>
      <c r="AMB97" s="798"/>
      <c r="AMC97" s="798"/>
      <c r="AMD97" s="798"/>
      <c r="AME97" s="798"/>
      <c r="AMF97" s="798"/>
      <c r="AMG97" s="798"/>
      <c r="AMH97" s="798"/>
      <c r="AMI97" s="798"/>
      <c r="AMJ97" s="798"/>
      <c r="AMK97" s="798"/>
      <c r="AML97" s="798"/>
      <c r="AMM97" s="798"/>
      <c r="AMN97" s="798"/>
      <c r="AMO97" s="798"/>
      <c r="AMP97" s="798"/>
      <c r="AMQ97" s="798"/>
      <c r="AMR97" s="798"/>
      <c r="AMS97" s="798"/>
      <c r="AMT97" s="798"/>
      <c r="AMU97" s="798"/>
      <c r="AMV97" s="798"/>
      <c r="AMW97" s="798"/>
      <c r="AMX97" s="798"/>
      <c r="AMY97" s="798"/>
      <c r="AMZ97" s="798"/>
      <c r="ANA97" s="798"/>
      <c r="ANB97" s="798"/>
      <c r="ANC97" s="798"/>
      <c r="AND97" s="798"/>
      <c r="ANE97" s="798"/>
      <c r="ANF97" s="798"/>
      <c r="ANG97" s="798"/>
      <c r="ANH97" s="798"/>
      <c r="ANI97" s="798"/>
      <c r="ANJ97" s="798"/>
      <c r="ANK97" s="798"/>
      <c r="ANL97" s="798"/>
      <c r="ANM97" s="798"/>
      <c r="ANN97" s="798"/>
      <c r="ANO97" s="798"/>
      <c r="ANP97" s="798"/>
      <c r="ANQ97" s="798"/>
      <c r="ANR97" s="798"/>
      <c r="ANS97" s="798"/>
      <c r="ANT97" s="798"/>
      <c r="ANU97" s="798"/>
      <c r="ANV97" s="798"/>
      <c r="ANW97" s="798"/>
      <c r="ANX97" s="798"/>
      <c r="ANY97" s="798"/>
      <c r="ANZ97" s="798"/>
      <c r="AOA97" s="798"/>
      <c r="AOB97" s="798"/>
      <c r="AOC97" s="798"/>
      <c r="AOD97" s="798"/>
      <c r="AOE97" s="798"/>
      <c r="AOF97" s="798"/>
      <c r="AOG97" s="798"/>
      <c r="AOH97" s="798"/>
      <c r="AOI97" s="798"/>
      <c r="AOJ97" s="798"/>
      <c r="AOK97" s="798"/>
      <c r="AOL97" s="798"/>
      <c r="AOM97" s="798"/>
      <c r="AON97" s="798"/>
      <c r="AOO97" s="798"/>
      <c r="AOP97" s="798"/>
      <c r="AOQ97" s="798"/>
      <c r="AOR97" s="798"/>
      <c r="AOS97" s="798"/>
      <c r="AOT97" s="798"/>
      <c r="AOU97" s="798"/>
      <c r="AOV97" s="798"/>
      <c r="AOW97" s="798"/>
      <c r="AOX97" s="798"/>
      <c r="AOY97" s="798"/>
      <c r="AOZ97" s="798"/>
      <c r="APA97" s="798"/>
      <c r="APB97" s="798"/>
      <c r="APC97" s="798"/>
      <c r="APD97" s="798"/>
      <c r="APE97" s="798"/>
      <c r="APF97" s="798"/>
      <c r="APG97" s="798"/>
      <c r="APH97" s="798"/>
      <c r="API97" s="798"/>
      <c r="APJ97" s="798"/>
      <c r="APK97" s="798"/>
      <c r="APL97" s="798"/>
      <c r="APM97" s="798"/>
      <c r="APN97" s="798"/>
      <c r="APO97" s="798"/>
      <c r="APP97" s="798"/>
      <c r="APQ97" s="798"/>
      <c r="APR97" s="798"/>
      <c r="APS97" s="798"/>
      <c r="APT97" s="798"/>
      <c r="APU97" s="798"/>
      <c r="APV97" s="798"/>
      <c r="APW97" s="798"/>
      <c r="APX97" s="798"/>
      <c r="APY97" s="798"/>
      <c r="APZ97" s="798"/>
      <c r="AQA97" s="798"/>
      <c r="AQB97" s="798"/>
      <c r="AQC97" s="798"/>
      <c r="AQD97" s="798"/>
      <c r="AQE97" s="798"/>
      <c r="AQF97" s="798"/>
      <c r="AQG97" s="798"/>
      <c r="AQH97" s="798"/>
      <c r="AQI97" s="798"/>
      <c r="AQJ97" s="798"/>
      <c r="AQK97" s="798"/>
      <c r="AQL97" s="798"/>
      <c r="AQM97" s="798"/>
      <c r="AQN97" s="798"/>
      <c r="AQO97" s="798"/>
      <c r="AQP97" s="798"/>
      <c r="AQQ97" s="798"/>
      <c r="AQR97" s="798"/>
      <c r="AQS97" s="798"/>
      <c r="AQT97" s="798"/>
      <c r="AQU97" s="798"/>
      <c r="AQV97" s="798"/>
      <c r="AQW97" s="798"/>
      <c r="AQX97" s="798"/>
      <c r="AQY97" s="798"/>
      <c r="AQZ97" s="798"/>
      <c r="ARA97" s="798"/>
      <c r="ARB97" s="798"/>
      <c r="ARC97" s="798"/>
      <c r="ARD97" s="798"/>
      <c r="ARE97" s="798"/>
      <c r="ARF97" s="798"/>
      <c r="ARG97" s="798"/>
      <c r="ARH97" s="798"/>
      <c r="ARI97" s="798"/>
      <c r="ARJ97" s="798"/>
      <c r="ARK97" s="798"/>
      <c r="ARL97" s="798"/>
      <c r="ARM97" s="798"/>
      <c r="ARN97" s="798"/>
      <c r="ARO97" s="798"/>
      <c r="ARP97" s="798"/>
      <c r="ARQ97" s="798"/>
      <c r="ARR97" s="798"/>
      <c r="ARS97" s="798"/>
      <c r="ART97" s="798"/>
      <c r="ARU97" s="798"/>
      <c r="ARV97" s="798"/>
      <c r="ARW97" s="798"/>
      <c r="ARX97" s="798"/>
      <c r="ARY97" s="798"/>
      <c r="ARZ97" s="798"/>
      <c r="ASA97" s="798"/>
      <c r="ASB97" s="798"/>
      <c r="ASC97" s="798"/>
      <c r="ASD97" s="798"/>
      <c r="ASE97" s="798"/>
      <c r="ASF97" s="798"/>
      <c r="ASG97" s="798"/>
      <c r="ASH97" s="798"/>
      <c r="ASI97" s="798"/>
      <c r="ASJ97" s="798"/>
      <c r="ASK97" s="798"/>
      <c r="ASL97" s="798"/>
      <c r="ASM97" s="798"/>
      <c r="ASN97" s="798"/>
      <c r="ASO97" s="798"/>
      <c r="ASP97" s="798"/>
      <c r="ASQ97" s="798"/>
      <c r="ASR97" s="798"/>
      <c r="ASS97" s="798"/>
      <c r="AST97" s="798"/>
      <c r="ASU97" s="798"/>
      <c r="ASV97" s="798"/>
      <c r="ASW97" s="798"/>
      <c r="ASX97" s="798"/>
      <c r="ASY97" s="798"/>
      <c r="ASZ97" s="798"/>
      <c r="ATA97" s="798"/>
      <c r="ATB97" s="798"/>
      <c r="ATC97" s="798"/>
      <c r="ATD97" s="798"/>
      <c r="ATE97" s="798"/>
      <c r="ATF97" s="798"/>
      <c r="ATG97" s="798"/>
      <c r="ATH97" s="798"/>
      <c r="ATI97" s="798"/>
      <c r="ATJ97" s="798"/>
      <c r="ATK97" s="798"/>
      <c r="ATL97" s="798"/>
      <c r="ATM97" s="798"/>
      <c r="ATN97" s="798"/>
      <c r="ATO97" s="798"/>
      <c r="ATP97" s="798"/>
      <c r="ATQ97" s="798"/>
      <c r="ATR97" s="798"/>
      <c r="ATS97" s="798"/>
      <c r="ATT97" s="798"/>
      <c r="ATU97" s="798"/>
      <c r="ATV97" s="798"/>
      <c r="ATW97" s="798"/>
      <c r="ATX97" s="798"/>
      <c r="ATY97" s="798"/>
      <c r="ATZ97" s="798"/>
      <c r="AUA97" s="798"/>
      <c r="AUB97" s="798"/>
      <c r="AUC97" s="798"/>
      <c r="AUD97" s="798"/>
      <c r="AUE97" s="798"/>
      <c r="AUF97" s="798"/>
      <c r="AUG97" s="798"/>
      <c r="AUH97" s="798"/>
      <c r="AUI97" s="798"/>
      <c r="AUJ97" s="798"/>
      <c r="AUK97" s="798"/>
      <c r="AUL97" s="798"/>
      <c r="AUM97" s="798"/>
      <c r="AUN97" s="798"/>
      <c r="AUO97" s="798"/>
      <c r="AUP97" s="798"/>
      <c r="AUQ97" s="798"/>
      <c r="AUR97" s="798"/>
      <c r="AUS97" s="798"/>
      <c r="AUT97" s="798"/>
      <c r="AUU97" s="798"/>
      <c r="AUV97" s="798"/>
      <c r="AUW97" s="798"/>
      <c r="AUX97" s="798"/>
      <c r="AUY97" s="798"/>
      <c r="AUZ97" s="798"/>
      <c r="AVA97" s="798"/>
      <c r="AVB97" s="798"/>
      <c r="AVC97" s="798"/>
      <c r="AVD97" s="798"/>
      <c r="AVE97" s="798"/>
      <c r="AVF97" s="798"/>
      <c r="AVG97" s="798"/>
      <c r="AVH97" s="798"/>
      <c r="AVI97" s="798"/>
      <c r="AVJ97" s="798"/>
      <c r="AVK97" s="798"/>
      <c r="AVL97" s="798"/>
      <c r="AVM97" s="798"/>
      <c r="AVN97" s="798"/>
      <c r="AVO97" s="798"/>
      <c r="AVP97" s="798"/>
      <c r="AVQ97" s="798"/>
      <c r="AVR97" s="798"/>
      <c r="AVS97" s="798"/>
      <c r="AVT97" s="798"/>
      <c r="AVU97" s="798"/>
      <c r="AVV97" s="798"/>
      <c r="AVW97" s="798"/>
      <c r="AVX97" s="798"/>
      <c r="AVY97" s="798"/>
      <c r="AVZ97" s="798"/>
      <c r="AWA97" s="798"/>
      <c r="AWB97" s="798"/>
      <c r="AWC97" s="798"/>
      <c r="AWD97" s="798"/>
      <c r="AWE97" s="798"/>
      <c r="AWF97" s="798"/>
      <c r="AWG97" s="798"/>
      <c r="AWH97" s="798"/>
      <c r="AWI97" s="798"/>
      <c r="AWJ97" s="798"/>
      <c r="AWK97" s="798"/>
      <c r="AWL97" s="798"/>
      <c r="AWM97" s="798"/>
      <c r="AWN97" s="798"/>
      <c r="AWO97" s="798"/>
      <c r="AWP97" s="798"/>
      <c r="AWQ97" s="798"/>
      <c r="AWR97" s="798"/>
      <c r="AWS97" s="798"/>
      <c r="AWT97" s="798"/>
      <c r="AWU97" s="798"/>
      <c r="AWV97" s="798"/>
      <c r="AWW97" s="798"/>
      <c r="AWX97" s="798"/>
      <c r="AWY97" s="798"/>
      <c r="AWZ97" s="798"/>
      <c r="AXA97" s="798"/>
      <c r="AXB97" s="798"/>
      <c r="AXC97" s="798"/>
      <c r="AXD97" s="798"/>
      <c r="AXE97" s="798"/>
      <c r="AXF97" s="798"/>
      <c r="AXG97" s="798"/>
      <c r="AXH97" s="798"/>
      <c r="AXI97" s="798"/>
      <c r="AXJ97" s="798"/>
      <c r="AXK97" s="798"/>
      <c r="AXL97" s="798"/>
      <c r="AXM97" s="798"/>
      <c r="AXN97" s="798"/>
      <c r="AXO97" s="798"/>
      <c r="AXP97" s="798"/>
      <c r="AXQ97" s="798"/>
      <c r="AXR97" s="798"/>
      <c r="AXS97" s="798"/>
      <c r="AXT97" s="798"/>
      <c r="AXU97" s="798"/>
      <c r="AXV97" s="798"/>
      <c r="AXW97" s="798"/>
      <c r="AXX97" s="798"/>
      <c r="AXY97" s="798"/>
      <c r="AXZ97" s="798"/>
      <c r="AYA97" s="798"/>
      <c r="AYB97" s="798"/>
      <c r="AYC97" s="798"/>
      <c r="AYD97" s="798"/>
      <c r="AYE97" s="798"/>
      <c r="AYF97" s="798"/>
      <c r="AYG97" s="798"/>
      <c r="AYH97" s="798"/>
      <c r="AYI97" s="798"/>
      <c r="AYJ97" s="798"/>
      <c r="AYK97" s="798"/>
      <c r="AYL97" s="798"/>
      <c r="AYM97" s="798"/>
      <c r="AYN97" s="798"/>
      <c r="AYO97" s="798"/>
      <c r="AYP97" s="798"/>
      <c r="AYQ97" s="798"/>
      <c r="AYR97" s="798"/>
      <c r="AYS97" s="798"/>
      <c r="AYT97" s="798"/>
      <c r="AYU97" s="798"/>
      <c r="AYV97" s="798"/>
      <c r="AYW97" s="798"/>
      <c r="AYX97" s="798"/>
      <c r="AYY97" s="798"/>
      <c r="AYZ97" s="798"/>
      <c r="AZA97" s="798"/>
      <c r="AZB97" s="798"/>
      <c r="AZC97" s="798"/>
      <c r="AZD97" s="798"/>
      <c r="AZE97" s="798"/>
      <c r="AZF97" s="798"/>
      <c r="AZG97" s="798"/>
      <c r="AZH97" s="798"/>
      <c r="AZI97" s="798"/>
      <c r="AZJ97" s="798"/>
      <c r="AZK97" s="798"/>
      <c r="AZL97" s="798"/>
      <c r="AZM97" s="798"/>
      <c r="AZN97" s="798"/>
      <c r="AZO97" s="798"/>
      <c r="AZP97" s="798"/>
      <c r="AZQ97" s="798"/>
      <c r="AZR97" s="798"/>
      <c r="AZS97" s="798"/>
      <c r="AZT97" s="798"/>
      <c r="AZU97" s="798"/>
      <c r="AZV97" s="798"/>
      <c r="AZW97" s="798"/>
      <c r="AZX97" s="798"/>
      <c r="AZY97" s="798"/>
      <c r="AZZ97" s="798"/>
      <c r="BAA97" s="798"/>
      <c r="BAB97" s="798"/>
      <c r="BAC97" s="798"/>
      <c r="BAD97" s="798"/>
      <c r="BAE97" s="798"/>
      <c r="BAF97" s="798"/>
      <c r="BAG97" s="798"/>
      <c r="BAH97" s="798"/>
      <c r="BAI97" s="798"/>
      <c r="BAJ97" s="798"/>
      <c r="BAK97" s="798"/>
      <c r="BAL97" s="798"/>
      <c r="BAM97" s="798"/>
      <c r="BAN97" s="798"/>
      <c r="BAO97" s="798"/>
      <c r="BAP97" s="798"/>
      <c r="BAQ97" s="798"/>
      <c r="BAR97" s="798"/>
      <c r="BAS97" s="798"/>
      <c r="BAT97" s="798"/>
      <c r="BAU97" s="798"/>
      <c r="BAV97" s="798"/>
      <c r="BAW97" s="798"/>
      <c r="BAX97" s="798"/>
      <c r="BAY97" s="798"/>
      <c r="BAZ97" s="798"/>
      <c r="BBA97" s="798"/>
      <c r="BBB97" s="798"/>
      <c r="BBC97" s="798"/>
      <c r="BBD97" s="798"/>
      <c r="BBE97" s="798"/>
      <c r="BBF97" s="798"/>
      <c r="BBG97" s="798"/>
      <c r="BBH97" s="798"/>
      <c r="BBI97" s="798"/>
      <c r="BBJ97" s="798"/>
      <c r="BBK97" s="798"/>
      <c r="BBL97" s="798"/>
      <c r="BBM97" s="798"/>
      <c r="BBN97" s="798"/>
      <c r="BBO97" s="798"/>
      <c r="BBP97" s="798"/>
      <c r="BBQ97" s="798"/>
      <c r="BBR97" s="798"/>
      <c r="BBS97" s="798"/>
      <c r="BBT97" s="798"/>
      <c r="BBU97" s="798"/>
      <c r="BBV97" s="798"/>
      <c r="BBW97" s="798"/>
      <c r="BBX97" s="798"/>
      <c r="BBY97" s="798"/>
      <c r="BBZ97" s="798"/>
      <c r="BCA97" s="798"/>
      <c r="BCB97" s="798"/>
      <c r="BCC97" s="798"/>
      <c r="BCD97" s="798"/>
      <c r="BCE97" s="798"/>
      <c r="BCF97" s="798"/>
      <c r="BCG97" s="798"/>
      <c r="BCH97" s="798"/>
      <c r="BCI97" s="798"/>
      <c r="BCJ97" s="798"/>
      <c r="BCK97" s="798"/>
      <c r="BCL97" s="798"/>
      <c r="BCM97" s="798"/>
      <c r="BCN97" s="798"/>
      <c r="BCO97" s="798"/>
      <c r="BCP97" s="798"/>
      <c r="BCQ97" s="798"/>
      <c r="BCR97" s="798"/>
      <c r="BCS97" s="798"/>
      <c r="BCT97" s="798"/>
      <c r="BCU97" s="798"/>
      <c r="BCV97" s="798"/>
      <c r="BCW97" s="798"/>
      <c r="BCX97" s="798"/>
      <c r="BCY97" s="798"/>
      <c r="BCZ97" s="798"/>
      <c r="BDA97" s="798"/>
      <c r="BDB97" s="798"/>
      <c r="BDC97" s="798"/>
      <c r="BDD97" s="798"/>
      <c r="BDE97" s="798"/>
      <c r="BDF97" s="798"/>
      <c r="BDG97" s="798"/>
      <c r="BDH97" s="798"/>
      <c r="BDI97" s="798"/>
      <c r="BDJ97" s="798"/>
      <c r="BDK97" s="798"/>
      <c r="BDL97" s="798"/>
      <c r="BDM97" s="798"/>
      <c r="BDN97" s="798"/>
      <c r="BDO97" s="798"/>
      <c r="BDP97" s="798"/>
      <c r="BDQ97" s="798"/>
      <c r="BDR97" s="798"/>
      <c r="BDS97" s="798"/>
      <c r="BDT97" s="798"/>
      <c r="BDU97" s="798"/>
      <c r="BDV97" s="798"/>
      <c r="BDW97" s="798"/>
      <c r="BDX97" s="798"/>
      <c r="BDY97" s="798"/>
      <c r="BDZ97" s="798"/>
      <c r="BEA97" s="798"/>
      <c r="BEB97" s="798"/>
      <c r="BEC97" s="798"/>
      <c r="BED97" s="798"/>
      <c r="BEE97" s="798"/>
      <c r="BEF97" s="798"/>
      <c r="BEG97" s="798"/>
      <c r="BEH97" s="798"/>
      <c r="BEI97" s="798"/>
      <c r="BEJ97" s="798"/>
      <c r="BEK97" s="798"/>
      <c r="BEL97" s="798"/>
      <c r="BEM97" s="798"/>
      <c r="BEN97" s="798"/>
      <c r="BEO97" s="798"/>
      <c r="BEP97" s="798"/>
      <c r="BEQ97" s="798"/>
      <c r="BER97" s="798"/>
      <c r="BES97" s="798"/>
      <c r="BET97" s="798"/>
      <c r="BEU97" s="798"/>
      <c r="BEV97" s="798"/>
      <c r="BEW97" s="798"/>
      <c r="BEX97" s="798"/>
      <c r="BEY97" s="798"/>
      <c r="BEZ97" s="798"/>
      <c r="BFA97" s="798"/>
      <c r="BFB97" s="798"/>
      <c r="BFC97" s="798"/>
      <c r="BFD97" s="798"/>
      <c r="BFE97" s="798"/>
      <c r="BFF97" s="798"/>
      <c r="BFG97" s="798"/>
      <c r="BFH97" s="798"/>
      <c r="BFI97" s="798"/>
      <c r="BFJ97" s="798"/>
      <c r="BFK97" s="798"/>
      <c r="BFL97" s="798"/>
      <c r="BFM97" s="798"/>
      <c r="BFN97" s="798"/>
      <c r="BFO97" s="798"/>
      <c r="BFP97" s="798"/>
      <c r="BFQ97" s="798"/>
      <c r="BFR97" s="798"/>
      <c r="BFS97" s="798"/>
      <c r="BFT97" s="798"/>
      <c r="BFU97" s="798"/>
      <c r="BFV97" s="798"/>
      <c r="BFW97" s="798"/>
      <c r="BFX97" s="798"/>
      <c r="BFY97" s="798"/>
      <c r="BFZ97" s="798"/>
      <c r="BGA97" s="798"/>
      <c r="BGB97" s="798"/>
      <c r="BGC97" s="798"/>
      <c r="BGD97" s="798"/>
      <c r="BGE97" s="798"/>
      <c r="BGF97" s="798"/>
      <c r="BGG97" s="798"/>
      <c r="BGH97" s="798"/>
      <c r="BGI97" s="798"/>
      <c r="BGJ97" s="798"/>
      <c r="BGK97" s="798"/>
      <c r="BGL97" s="798"/>
      <c r="BGM97" s="798"/>
      <c r="BGN97" s="798"/>
      <c r="BGO97" s="798"/>
      <c r="BGP97" s="798"/>
      <c r="BGQ97" s="798"/>
      <c r="BGR97" s="798"/>
      <c r="BGS97" s="798"/>
      <c r="BGT97" s="798"/>
      <c r="BGU97" s="798"/>
      <c r="BGV97" s="798"/>
      <c r="BGW97" s="798"/>
      <c r="BGX97" s="798"/>
      <c r="BGY97" s="798"/>
      <c r="BGZ97" s="798"/>
      <c r="BHA97" s="798"/>
      <c r="BHB97" s="798"/>
      <c r="BHC97" s="798"/>
      <c r="BHD97" s="798"/>
      <c r="BHE97" s="798"/>
      <c r="BHF97" s="798"/>
      <c r="BHG97" s="798"/>
      <c r="BHH97" s="798"/>
      <c r="BHI97" s="798"/>
      <c r="BHJ97" s="798"/>
      <c r="BHK97" s="798"/>
      <c r="BHL97" s="798"/>
      <c r="BHM97" s="798"/>
      <c r="BHN97" s="798"/>
      <c r="BHO97" s="798"/>
      <c r="BHP97" s="798"/>
      <c r="BHQ97" s="798"/>
      <c r="BHR97" s="798"/>
      <c r="BHS97" s="798"/>
      <c r="BHT97" s="798"/>
      <c r="BHU97" s="798"/>
      <c r="BHV97" s="798"/>
      <c r="BHW97" s="798"/>
      <c r="BHX97" s="798"/>
      <c r="BHY97" s="798"/>
      <c r="BHZ97" s="798"/>
      <c r="BIA97" s="798"/>
      <c r="BIB97" s="798"/>
      <c r="BIC97" s="798"/>
      <c r="BID97" s="798"/>
      <c r="BIE97" s="798"/>
      <c r="BIF97" s="798"/>
      <c r="BIG97" s="798"/>
      <c r="BIH97" s="798"/>
      <c r="BII97" s="798"/>
      <c r="BIJ97" s="798"/>
      <c r="BIK97" s="798"/>
      <c r="BIL97" s="798"/>
      <c r="BIM97" s="798"/>
      <c r="BIN97" s="798"/>
      <c r="BIO97" s="798"/>
      <c r="BIP97" s="798"/>
      <c r="BIQ97" s="798"/>
      <c r="BIR97" s="798"/>
      <c r="BIS97" s="798"/>
      <c r="BIT97" s="798"/>
      <c r="BIU97" s="798"/>
      <c r="BIV97" s="798"/>
      <c r="BIW97" s="798"/>
      <c r="BIX97" s="798"/>
      <c r="BIY97" s="798"/>
      <c r="BIZ97" s="798"/>
      <c r="BJA97" s="798"/>
      <c r="BJB97" s="798"/>
      <c r="BJC97" s="798"/>
      <c r="BJD97" s="798"/>
      <c r="BJE97" s="798"/>
      <c r="BJF97" s="798"/>
      <c r="BJG97" s="798"/>
      <c r="BJH97" s="798"/>
      <c r="BJI97" s="798"/>
      <c r="BJJ97" s="798"/>
      <c r="BJK97" s="798"/>
      <c r="BJL97" s="798"/>
      <c r="BJM97" s="798"/>
      <c r="BJN97" s="798"/>
      <c r="BJO97" s="798"/>
      <c r="BJP97" s="798"/>
      <c r="BJQ97" s="798"/>
      <c r="BJR97" s="798"/>
      <c r="BJS97" s="798"/>
      <c r="BJT97" s="798"/>
      <c r="BJU97" s="798"/>
      <c r="BJV97" s="798"/>
      <c r="BJW97" s="798"/>
      <c r="BJX97" s="798"/>
      <c r="BJY97" s="798"/>
      <c r="BJZ97" s="798"/>
      <c r="BKA97" s="798"/>
      <c r="BKB97" s="798"/>
      <c r="BKC97" s="798"/>
      <c r="BKD97" s="798"/>
      <c r="BKE97" s="798"/>
      <c r="BKF97" s="798"/>
      <c r="BKG97" s="798"/>
      <c r="BKH97" s="798"/>
      <c r="BKI97" s="798"/>
      <c r="BKJ97" s="798"/>
      <c r="BKK97" s="798"/>
      <c r="BKL97" s="798"/>
      <c r="BKM97" s="798"/>
      <c r="BKN97" s="798"/>
      <c r="BKO97" s="798"/>
      <c r="BKP97" s="798"/>
      <c r="BKQ97" s="798"/>
      <c r="BKR97" s="798"/>
      <c r="BKS97" s="798"/>
      <c r="BKT97" s="798"/>
      <c r="BKU97" s="798"/>
      <c r="BKV97" s="798"/>
      <c r="BKW97" s="798"/>
      <c r="BKX97" s="798"/>
      <c r="BKY97" s="798"/>
      <c r="BKZ97" s="798"/>
      <c r="BLA97" s="798"/>
      <c r="BLB97" s="798"/>
      <c r="BLC97" s="798"/>
      <c r="BLD97" s="798"/>
      <c r="BLE97" s="798"/>
      <c r="BLF97" s="798"/>
      <c r="BLG97" s="798"/>
      <c r="BLH97" s="798"/>
      <c r="BLI97" s="798"/>
      <c r="BLJ97" s="798"/>
      <c r="BLK97" s="798"/>
      <c r="BLL97" s="798"/>
      <c r="BLM97" s="798"/>
      <c r="BLN97" s="798"/>
      <c r="BLO97" s="798"/>
      <c r="BLP97" s="798"/>
      <c r="BLQ97" s="798"/>
      <c r="BLR97" s="798"/>
      <c r="BLS97" s="798"/>
      <c r="BLT97" s="798"/>
      <c r="BLU97" s="798"/>
      <c r="BLV97" s="798"/>
      <c r="BLW97" s="798"/>
      <c r="BLX97" s="798"/>
      <c r="BLY97" s="798"/>
      <c r="BLZ97" s="798"/>
      <c r="BMA97" s="798"/>
      <c r="BMB97" s="798"/>
      <c r="BMC97" s="798"/>
      <c r="BMD97" s="798"/>
      <c r="BME97" s="798"/>
      <c r="BMF97" s="798"/>
      <c r="BMG97" s="798"/>
      <c r="BMH97" s="798"/>
      <c r="BMI97" s="798"/>
      <c r="BMJ97" s="798"/>
      <c r="BMK97" s="798"/>
      <c r="BML97" s="798"/>
      <c r="BMM97" s="798"/>
      <c r="BMN97" s="798"/>
      <c r="BMO97" s="798"/>
      <c r="BMP97" s="798"/>
      <c r="BMQ97" s="798"/>
      <c r="BMR97" s="798"/>
      <c r="BMS97" s="798"/>
      <c r="BMT97" s="798"/>
      <c r="BMU97" s="798"/>
      <c r="BMV97" s="798"/>
      <c r="BMW97" s="798"/>
      <c r="BMX97" s="798"/>
      <c r="BMY97" s="798"/>
      <c r="BMZ97" s="798"/>
      <c r="BNA97" s="798"/>
      <c r="BNB97" s="798"/>
      <c r="BNC97" s="798"/>
      <c r="BND97" s="798"/>
      <c r="BNE97" s="798"/>
      <c r="BNF97" s="798"/>
      <c r="BNG97" s="798"/>
      <c r="BNH97" s="798"/>
      <c r="BNI97" s="798"/>
      <c r="BNJ97" s="798"/>
      <c r="BNK97" s="798"/>
      <c r="BNL97" s="798"/>
      <c r="BNM97" s="798"/>
      <c r="BNN97" s="798"/>
      <c r="BNO97" s="798"/>
      <c r="BNP97" s="798"/>
      <c r="BNQ97" s="798"/>
      <c r="BNR97" s="798"/>
      <c r="BNS97" s="798"/>
      <c r="BNT97" s="798"/>
      <c r="BNU97" s="798"/>
      <c r="BNV97" s="798"/>
      <c r="BNW97" s="798"/>
      <c r="BNX97" s="798"/>
      <c r="BNY97" s="798"/>
      <c r="BNZ97" s="798"/>
      <c r="BOA97" s="798"/>
      <c r="BOB97" s="798"/>
      <c r="BOC97" s="798"/>
      <c r="BOD97" s="798"/>
      <c r="BOE97" s="798"/>
      <c r="BOF97" s="798"/>
      <c r="BOG97" s="798"/>
      <c r="BOH97" s="798"/>
      <c r="BOI97" s="798"/>
      <c r="BOJ97" s="798"/>
      <c r="BOK97" s="798"/>
      <c r="BOL97" s="798"/>
      <c r="BOM97" s="798"/>
      <c r="BON97" s="798"/>
      <c r="BOO97" s="798"/>
      <c r="BOP97" s="798"/>
      <c r="BOQ97" s="798"/>
      <c r="BOR97" s="798"/>
      <c r="BOS97" s="798"/>
      <c r="BOT97" s="798"/>
      <c r="BOU97" s="798"/>
      <c r="BOV97" s="798"/>
      <c r="BOW97" s="798"/>
      <c r="BOX97" s="798"/>
      <c r="BOY97" s="798"/>
      <c r="BOZ97" s="798"/>
      <c r="BPA97" s="798"/>
      <c r="BPB97" s="798"/>
      <c r="BPC97" s="798"/>
      <c r="BPD97" s="798"/>
      <c r="BPE97" s="798"/>
      <c r="BPF97" s="798"/>
      <c r="BPG97" s="798"/>
      <c r="BPH97" s="798"/>
      <c r="BPI97" s="798"/>
      <c r="BPJ97" s="798"/>
      <c r="BPK97" s="798"/>
      <c r="BPL97" s="798"/>
      <c r="BPM97" s="798"/>
      <c r="BPN97" s="798"/>
      <c r="BPO97" s="798"/>
      <c r="BPP97" s="798"/>
      <c r="BPQ97" s="798"/>
      <c r="BPR97" s="798"/>
      <c r="BPS97" s="798"/>
      <c r="BPT97" s="798"/>
      <c r="BPU97" s="798"/>
      <c r="BPV97" s="798"/>
      <c r="BPW97" s="798"/>
      <c r="BPX97" s="798"/>
      <c r="BPY97" s="798"/>
      <c r="BPZ97" s="798"/>
      <c r="BQA97" s="798"/>
      <c r="BQB97" s="798"/>
      <c r="BQC97" s="798"/>
      <c r="BQD97" s="798"/>
      <c r="BQE97" s="798"/>
      <c r="BQF97" s="798"/>
      <c r="BQG97" s="798"/>
      <c r="BQH97" s="798"/>
      <c r="BQI97" s="798"/>
      <c r="BQJ97" s="798"/>
      <c r="BQK97" s="798"/>
      <c r="BQL97" s="798"/>
      <c r="BQM97" s="798"/>
      <c r="BQN97" s="798"/>
      <c r="BQO97" s="798"/>
      <c r="BQP97" s="798"/>
      <c r="BQQ97" s="798"/>
      <c r="BQR97" s="798"/>
      <c r="BQS97" s="798"/>
      <c r="BQT97" s="798"/>
      <c r="BQU97" s="798"/>
      <c r="BQV97" s="798"/>
      <c r="BQW97" s="798"/>
      <c r="BQX97" s="798"/>
      <c r="BQY97" s="798"/>
      <c r="BQZ97" s="798"/>
      <c r="BRA97" s="798"/>
      <c r="BRB97" s="798"/>
      <c r="BRC97" s="798"/>
      <c r="BRD97" s="798"/>
      <c r="BRE97" s="798"/>
      <c r="BRF97" s="798"/>
      <c r="BRG97" s="798"/>
      <c r="BRH97" s="798"/>
      <c r="BRI97" s="798"/>
      <c r="BRJ97" s="798"/>
      <c r="BRK97" s="798"/>
      <c r="BRL97" s="798"/>
      <c r="BRM97" s="798"/>
      <c r="BRN97" s="798"/>
      <c r="BRO97" s="798"/>
      <c r="BRP97" s="798"/>
      <c r="BRQ97" s="798"/>
      <c r="BRR97" s="798"/>
      <c r="BRS97" s="798"/>
      <c r="BRT97" s="798"/>
      <c r="BRU97" s="798"/>
      <c r="BRV97" s="798"/>
      <c r="BRW97" s="798"/>
      <c r="BRX97" s="798"/>
      <c r="BRY97" s="798"/>
      <c r="BRZ97" s="798"/>
      <c r="BSA97" s="798"/>
      <c r="BSB97" s="798"/>
      <c r="BSC97" s="798"/>
      <c r="BSD97" s="798"/>
      <c r="BSE97" s="798"/>
      <c r="BSF97" s="798"/>
      <c r="BSG97" s="798"/>
      <c r="BSH97" s="798"/>
      <c r="BSI97" s="798"/>
      <c r="BSJ97" s="798"/>
      <c r="BSK97" s="798"/>
      <c r="BSL97" s="798"/>
      <c r="BSM97" s="798"/>
      <c r="BSN97" s="798"/>
      <c r="BSO97" s="798"/>
      <c r="BSP97" s="798"/>
      <c r="BSQ97" s="798"/>
      <c r="BSR97" s="798"/>
      <c r="BSS97" s="798"/>
      <c r="BST97" s="798"/>
      <c r="BSU97" s="798"/>
      <c r="BSV97" s="798"/>
      <c r="BSW97" s="798"/>
      <c r="BSX97" s="798"/>
      <c r="BSY97" s="798"/>
      <c r="BSZ97" s="798"/>
      <c r="BTA97" s="798"/>
      <c r="BTB97" s="798"/>
      <c r="BTC97" s="798"/>
      <c r="BTD97" s="798"/>
      <c r="BTE97" s="798"/>
      <c r="BTF97" s="798"/>
      <c r="BTG97" s="798"/>
      <c r="BTH97" s="798"/>
      <c r="BTI97" s="798"/>
      <c r="BTJ97" s="798"/>
      <c r="BTK97" s="798"/>
      <c r="BTL97" s="798"/>
      <c r="BTM97" s="798"/>
      <c r="BTN97" s="798"/>
      <c r="BTO97" s="798"/>
      <c r="BTP97" s="798"/>
      <c r="BTQ97" s="798"/>
      <c r="BTR97" s="798"/>
      <c r="BTS97" s="798"/>
      <c r="BTT97" s="798"/>
      <c r="BTU97" s="798"/>
      <c r="BTV97" s="798"/>
      <c r="BTW97" s="798"/>
      <c r="BTX97" s="798"/>
      <c r="BTY97" s="798"/>
      <c r="BTZ97" s="798"/>
      <c r="BUA97" s="798"/>
      <c r="BUB97" s="798"/>
      <c r="BUC97" s="798"/>
      <c r="BUD97" s="798"/>
      <c r="BUE97" s="798"/>
      <c r="BUF97" s="798"/>
      <c r="BUG97" s="798"/>
      <c r="BUH97" s="798"/>
      <c r="BUI97" s="798"/>
      <c r="BUJ97" s="798"/>
      <c r="BUK97" s="798"/>
      <c r="BUL97" s="798"/>
      <c r="BUM97" s="798"/>
      <c r="BUN97" s="798"/>
      <c r="BUO97" s="798"/>
      <c r="BUP97" s="798"/>
      <c r="BUQ97" s="798"/>
      <c r="BUR97" s="798"/>
      <c r="BUS97" s="798"/>
      <c r="BUT97" s="798"/>
      <c r="BUU97" s="798"/>
      <c r="BUV97" s="798"/>
      <c r="BUW97" s="798"/>
      <c r="BUX97" s="798"/>
      <c r="BUY97" s="798"/>
      <c r="BUZ97" s="798"/>
      <c r="BVA97" s="798"/>
      <c r="BVB97" s="798"/>
      <c r="BVC97" s="798"/>
      <c r="BVD97" s="798"/>
      <c r="BVE97" s="798"/>
      <c r="BVF97" s="798"/>
      <c r="BVG97" s="798"/>
      <c r="BVH97" s="798"/>
      <c r="BVI97" s="798"/>
      <c r="BVJ97" s="798"/>
      <c r="BVK97" s="798"/>
      <c r="BVL97" s="798"/>
      <c r="BVM97" s="798"/>
      <c r="BVN97" s="798"/>
      <c r="BVO97" s="798"/>
      <c r="BVP97" s="798"/>
      <c r="BVQ97" s="798"/>
      <c r="BVR97" s="798"/>
      <c r="BVS97" s="798"/>
      <c r="BVT97" s="798"/>
      <c r="BVU97" s="798"/>
      <c r="BVV97" s="798"/>
      <c r="BVW97" s="798"/>
      <c r="BVX97" s="798"/>
      <c r="BVY97" s="798"/>
      <c r="BVZ97" s="798"/>
      <c r="BWA97" s="798"/>
      <c r="BWB97" s="798"/>
      <c r="BWC97" s="798"/>
      <c r="BWD97" s="798"/>
      <c r="BWE97" s="798"/>
      <c r="BWF97" s="798"/>
      <c r="BWG97" s="798"/>
      <c r="BWH97" s="798"/>
      <c r="BWI97" s="798"/>
      <c r="BWJ97" s="798"/>
      <c r="BWK97" s="798"/>
      <c r="BWL97" s="798"/>
      <c r="BWM97" s="798"/>
      <c r="BWN97" s="798"/>
      <c r="BWO97" s="798"/>
      <c r="BWP97" s="798"/>
      <c r="BWQ97" s="798"/>
      <c r="BWR97" s="798"/>
      <c r="BWS97" s="798"/>
      <c r="BWT97" s="798"/>
      <c r="BWU97" s="798"/>
      <c r="BWV97" s="798"/>
      <c r="BWW97" s="798"/>
      <c r="BWX97" s="798"/>
      <c r="BWY97" s="798"/>
      <c r="BWZ97" s="798"/>
      <c r="BXA97" s="798"/>
      <c r="BXB97" s="798"/>
      <c r="BXC97" s="798"/>
      <c r="BXD97" s="798"/>
      <c r="BXE97" s="798"/>
      <c r="BXF97" s="798"/>
      <c r="BXG97" s="798"/>
      <c r="BXH97" s="798"/>
      <c r="BXI97" s="798"/>
      <c r="BXJ97" s="798"/>
      <c r="BXK97" s="798"/>
      <c r="BXL97" s="798"/>
      <c r="BXM97" s="798"/>
      <c r="BXN97" s="798"/>
      <c r="BXO97" s="798"/>
      <c r="BXP97" s="798"/>
      <c r="BXQ97" s="798"/>
      <c r="BXR97" s="798"/>
      <c r="BXS97" s="798"/>
      <c r="BXT97" s="798"/>
      <c r="BXU97" s="798"/>
      <c r="BXV97" s="798"/>
      <c r="BXW97" s="798"/>
      <c r="BXX97" s="798"/>
      <c r="BXY97" s="798"/>
      <c r="BXZ97" s="798"/>
      <c r="BYA97" s="798"/>
      <c r="BYB97" s="798"/>
      <c r="BYC97" s="798"/>
      <c r="BYD97" s="798"/>
      <c r="BYE97" s="798"/>
      <c r="BYF97" s="798"/>
      <c r="BYG97" s="798"/>
      <c r="BYH97" s="798"/>
      <c r="BYI97" s="798"/>
      <c r="BYJ97" s="798"/>
      <c r="BYK97" s="798"/>
      <c r="BYL97" s="798"/>
      <c r="BYM97" s="798"/>
      <c r="BYN97" s="798"/>
      <c r="BYO97" s="798"/>
      <c r="BYP97" s="798"/>
      <c r="BYQ97" s="798"/>
      <c r="BYR97" s="798"/>
      <c r="BYS97" s="798"/>
      <c r="BYT97" s="798"/>
      <c r="BYU97" s="798"/>
      <c r="BYV97" s="798"/>
      <c r="BYW97" s="798"/>
      <c r="BYX97" s="798"/>
      <c r="BYY97" s="798"/>
      <c r="BYZ97" s="798"/>
      <c r="BZA97" s="798"/>
      <c r="BZB97" s="798"/>
      <c r="BZC97" s="798"/>
      <c r="BZD97" s="798"/>
      <c r="BZE97" s="798"/>
      <c r="BZF97" s="798"/>
      <c r="BZG97" s="798"/>
      <c r="BZH97" s="798"/>
      <c r="BZI97" s="798"/>
      <c r="BZJ97" s="798"/>
      <c r="BZK97" s="798"/>
      <c r="BZL97" s="798"/>
      <c r="BZM97" s="798"/>
      <c r="BZN97" s="798"/>
      <c r="BZO97" s="798"/>
      <c r="BZP97" s="798"/>
      <c r="BZQ97" s="798"/>
      <c r="BZR97" s="798"/>
      <c r="BZS97" s="798"/>
      <c r="BZT97" s="798"/>
      <c r="BZU97" s="798"/>
      <c r="BZV97" s="798"/>
      <c r="BZW97" s="798"/>
      <c r="BZX97" s="798"/>
      <c r="BZY97" s="798"/>
      <c r="BZZ97" s="798"/>
      <c r="CAA97" s="798"/>
      <c r="CAB97" s="798"/>
      <c r="CAC97" s="798"/>
      <c r="CAD97" s="798"/>
      <c r="CAE97" s="798"/>
      <c r="CAF97" s="798"/>
      <c r="CAG97" s="798"/>
      <c r="CAH97" s="798"/>
      <c r="CAI97" s="798"/>
      <c r="CAJ97" s="798"/>
      <c r="CAK97" s="798"/>
      <c r="CAL97" s="798"/>
      <c r="CAM97" s="798"/>
      <c r="CAN97" s="798"/>
      <c r="CAO97" s="798"/>
      <c r="CAP97" s="798"/>
      <c r="CAQ97" s="798"/>
      <c r="CAR97" s="798"/>
      <c r="CAS97" s="798"/>
      <c r="CAT97" s="798"/>
      <c r="CAU97" s="798"/>
      <c r="CAV97" s="798"/>
      <c r="CAW97" s="798"/>
      <c r="CAX97" s="798"/>
      <c r="CAY97" s="798"/>
      <c r="CAZ97" s="798"/>
      <c r="CBA97" s="798"/>
      <c r="CBB97" s="798"/>
      <c r="CBC97" s="798"/>
      <c r="CBD97" s="798"/>
      <c r="CBE97" s="798"/>
      <c r="CBF97" s="798"/>
      <c r="CBG97" s="798"/>
      <c r="CBH97" s="798"/>
      <c r="CBI97" s="798"/>
      <c r="CBJ97" s="798"/>
      <c r="CBK97" s="798"/>
      <c r="CBL97" s="798"/>
      <c r="CBM97" s="798"/>
      <c r="CBN97" s="798"/>
      <c r="CBO97" s="798"/>
      <c r="CBP97" s="798"/>
      <c r="CBQ97" s="798"/>
      <c r="CBR97" s="798"/>
      <c r="CBS97" s="798"/>
      <c r="CBT97" s="798"/>
      <c r="CBU97" s="798"/>
      <c r="CBV97" s="798"/>
      <c r="CBW97" s="798"/>
      <c r="CBX97" s="798"/>
      <c r="CBY97" s="798"/>
      <c r="CBZ97" s="798"/>
      <c r="CCA97" s="798"/>
      <c r="CCB97" s="798"/>
      <c r="CCC97" s="798"/>
      <c r="CCD97" s="798"/>
      <c r="CCE97" s="798"/>
      <c r="CCF97" s="798"/>
      <c r="CCG97" s="798"/>
      <c r="CCH97" s="798"/>
      <c r="CCI97" s="798"/>
      <c r="CCJ97" s="798"/>
      <c r="CCK97" s="798"/>
      <c r="CCL97" s="798"/>
      <c r="CCM97" s="798"/>
      <c r="CCN97" s="798"/>
      <c r="CCO97" s="798"/>
      <c r="CCP97" s="798"/>
      <c r="CCQ97" s="798"/>
      <c r="CCR97" s="798"/>
      <c r="CCS97" s="798"/>
      <c r="CCT97" s="798"/>
      <c r="CCU97" s="798"/>
      <c r="CCV97" s="798"/>
      <c r="CCW97" s="798"/>
      <c r="CCX97" s="798"/>
      <c r="CCY97" s="798"/>
      <c r="CCZ97" s="798"/>
      <c r="CDA97" s="798"/>
      <c r="CDB97" s="798"/>
      <c r="CDC97" s="798"/>
      <c r="CDD97" s="798"/>
      <c r="CDE97" s="798"/>
      <c r="CDF97" s="798"/>
      <c r="CDG97" s="798"/>
      <c r="CDH97" s="798"/>
      <c r="CDI97" s="798"/>
      <c r="CDJ97" s="798"/>
      <c r="CDK97" s="798"/>
      <c r="CDL97" s="798"/>
      <c r="CDM97" s="798"/>
      <c r="CDN97" s="798"/>
      <c r="CDO97" s="798"/>
      <c r="CDP97" s="798"/>
      <c r="CDQ97" s="798"/>
      <c r="CDR97" s="798"/>
      <c r="CDS97" s="798"/>
      <c r="CDT97" s="798"/>
      <c r="CDU97" s="798"/>
      <c r="CDV97" s="798"/>
      <c r="CDW97" s="798"/>
      <c r="CDX97" s="798"/>
      <c r="CDY97" s="798"/>
      <c r="CDZ97" s="798"/>
      <c r="CEA97" s="798"/>
      <c r="CEB97" s="798"/>
      <c r="CEC97" s="798"/>
      <c r="CED97" s="798"/>
      <c r="CEE97" s="798"/>
      <c r="CEF97" s="798"/>
      <c r="CEG97" s="798"/>
      <c r="CEH97" s="798"/>
      <c r="CEI97" s="798"/>
      <c r="CEJ97" s="798"/>
      <c r="CEK97" s="798"/>
      <c r="CEL97" s="798"/>
      <c r="CEM97" s="798"/>
      <c r="CEN97" s="798"/>
      <c r="CEO97" s="798"/>
      <c r="CEP97" s="798"/>
      <c r="CEQ97" s="798"/>
      <c r="CER97" s="798"/>
      <c r="CES97" s="798"/>
      <c r="CET97" s="798"/>
      <c r="CEU97" s="798"/>
      <c r="CEV97" s="798"/>
      <c r="CEW97" s="798"/>
      <c r="CEX97" s="798"/>
      <c r="CEY97" s="798"/>
      <c r="CEZ97" s="798"/>
      <c r="CFA97" s="798"/>
      <c r="CFB97" s="798"/>
      <c r="CFC97" s="798"/>
      <c r="CFD97" s="798"/>
      <c r="CFE97" s="798"/>
      <c r="CFF97" s="798"/>
      <c r="CFG97" s="798"/>
      <c r="CFH97" s="798"/>
      <c r="CFI97" s="798"/>
      <c r="CFJ97" s="798"/>
      <c r="CFK97" s="798"/>
      <c r="CFL97" s="798"/>
      <c r="CFM97" s="798"/>
      <c r="CFN97" s="798"/>
      <c r="CFO97" s="798"/>
      <c r="CFP97" s="798"/>
      <c r="CFQ97" s="798"/>
      <c r="CFR97" s="798"/>
      <c r="CFS97" s="798"/>
      <c r="CFT97" s="798"/>
      <c r="CFU97" s="798"/>
      <c r="CFV97" s="798"/>
      <c r="CFW97" s="798"/>
      <c r="CFX97" s="798"/>
      <c r="CFY97" s="798"/>
      <c r="CFZ97" s="798"/>
      <c r="CGA97" s="798"/>
      <c r="CGB97" s="798"/>
      <c r="CGC97" s="798"/>
      <c r="CGD97" s="798"/>
      <c r="CGE97" s="798"/>
      <c r="CGF97" s="798"/>
      <c r="CGG97" s="798"/>
      <c r="CGH97" s="798"/>
      <c r="CGI97" s="798"/>
      <c r="CGJ97" s="798"/>
      <c r="CGK97" s="798"/>
      <c r="CGL97" s="798"/>
      <c r="CGM97" s="798"/>
      <c r="CGN97" s="798"/>
      <c r="CGO97" s="798"/>
      <c r="CGP97" s="798"/>
      <c r="CGQ97" s="798"/>
      <c r="CGR97" s="798"/>
      <c r="CGS97" s="798"/>
      <c r="CGT97" s="798"/>
      <c r="CGU97" s="798"/>
      <c r="CGV97" s="798"/>
      <c r="CGW97" s="798"/>
      <c r="CGX97" s="798"/>
      <c r="CGY97" s="798"/>
      <c r="CGZ97" s="798"/>
      <c r="CHA97" s="798"/>
      <c r="CHB97" s="798"/>
      <c r="CHC97" s="798"/>
      <c r="CHD97" s="798"/>
      <c r="CHE97" s="798"/>
      <c r="CHF97" s="798"/>
      <c r="CHG97" s="798"/>
      <c r="CHH97" s="798"/>
      <c r="CHI97" s="798"/>
      <c r="CHJ97" s="798"/>
      <c r="CHK97" s="798"/>
      <c r="CHL97" s="798"/>
      <c r="CHM97" s="798"/>
      <c r="CHN97" s="798"/>
      <c r="CHO97" s="798"/>
      <c r="CHP97" s="798"/>
      <c r="CHQ97" s="798"/>
      <c r="CHR97" s="798"/>
      <c r="CHS97" s="798"/>
      <c r="CHT97" s="798"/>
      <c r="CHU97" s="798"/>
      <c r="CHV97" s="798"/>
      <c r="CHW97" s="798"/>
      <c r="CHX97" s="798"/>
      <c r="CHY97" s="798"/>
      <c r="CHZ97" s="798"/>
      <c r="CIA97" s="798"/>
      <c r="CIB97" s="798"/>
      <c r="CIC97" s="798"/>
      <c r="CID97" s="798"/>
      <c r="CIE97" s="798"/>
      <c r="CIF97" s="798"/>
      <c r="CIG97" s="798"/>
      <c r="CIH97" s="798"/>
      <c r="CII97" s="798"/>
      <c r="CIJ97" s="798"/>
      <c r="CIK97" s="798"/>
      <c r="CIL97" s="798"/>
      <c r="CIM97" s="798"/>
      <c r="CIN97" s="798"/>
      <c r="CIO97" s="798"/>
      <c r="CIP97" s="798"/>
      <c r="CIQ97" s="798"/>
      <c r="CIR97" s="798"/>
      <c r="CIS97" s="798"/>
      <c r="CIT97" s="798"/>
      <c r="CIU97" s="798"/>
      <c r="CIV97" s="798"/>
      <c r="CIW97" s="798"/>
      <c r="CIX97" s="798"/>
      <c r="CIY97" s="798"/>
      <c r="CIZ97" s="798"/>
      <c r="CJA97" s="798"/>
      <c r="CJB97" s="798"/>
      <c r="CJC97" s="798"/>
      <c r="CJD97" s="798"/>
      <c r="CJE97" s="798"/>
      <c r="CJF97" s="798"/>
      <c r="CJG97" s="798"/>
      <c r="CJH97" s="798"/>
      <c r="CJI97" s="798"/>
      <c r="CJJ97" s="798"/>
      <c r="CJK97" s="798"/>
      <c r="CJL97" s="798"/>
      <c r="CJM97" s="798"/>
      <c r="CJN97" s="798"/>
      <c r="CJO97" s="798"/>
      <c r="CJP97" s="798"/>
      <c r="CJQ97" s="798"/>
      <c r="CJR97" s="798"/>
      <c r="CJS97" s="798"/>
      <c r="CJT97" s="798"/>
      <c r="CJU97" s="798"/>
      <c r="CJV97" s="798"/>
      <c r="CJW97" s="798"/>
      <c r="CJX97" s="798"/>
      <c r="CJY97" s="798"/>
      <c r="CJZ97" s="798"/>
      <c r="CKA97" s="798"/>
      <c r="CKB97" s="798"/>
      <c r="CKC97" s="798"/>
      <c r="CKD97" s="798"/>
      <c r="CKE97" s="798"/>
      <c r="CKF97" s="798"/>
      <c r="CKG97" s="798"/>
      <c r="CKH97" s="798"/>
      <c r="CKI97" s="798"/>
      <c r="CKJ97" s="798"/>
      <c r="CKK97" s="798"/>
      <c r="CKL97" s="798"/>
      <c r="CKM97" s="798"/>
      <c r="CKN97" s="798"/>
      <c r="CKO97" s="798"/>
      <c r="CKP97" s="798"/>
      <c r="CKQ97" s="798"/>
      <c r="CKR97" s="798"/>
      <c r="CKS97" s="798"/>
      <c r="CKT97" s="798"/>
      <c r="CKU97" s="798"/>
      <c r="CKV97" s="798"/>
      <c r="CKW97" s="798"/>
      <c r="CKX97" s="798"/>
      <c r="CKY97" s="798"/>
      <c r="CKZ97" s="798"/>
      <c r="CLA97" s="798"/>
      <c r="CLB97" s="798"/>
      <c r="CLC97" s="798"/>
      <c r="CLD97" s="798"/>
      <c r="CLE97" s="798"/>
      <c r="CLF97" s="798"/>
      <c r="CLG97" s="798"/>
      <c r="CLH97" s="798"/>
      <c r="CLI97" s="798"/>
      <c r="CLJ97" s="798"/>
      <c r="CLK97" s="798"/>
      <c r="CLL97" s="798"/>
      <c r="CLM97" s="798"/>
      <c r="CLN97" s="798"/>
      <c r="CLO97" s="798"/>
      <c r="CLP97" s="798"/>
      <c r="CLQ97" s="798"/>
      <c r="CLR97" s="798"/>
      <c r="CLS97" s="798"/>
      <c r="CLT97" s="798"/>
      <c r="CLU97" s="798"/>
      <c r="CLV97" s="798"/>
      <c r="CLW97" s="798"/>
      <c r="CLX97" s="798"/>
      <c r="CLY97" s="798"/>
      <c r="CLZ97" s="798"/>
      <c r="CMA97" s="798"/>
      <c r="CMB97" s="798"/>
      <c r="CMC97" s="798"/>
      <c r="CMD97" s="798"/>
      <c r="CME97" s="798"/>
      <c r="CMF97" s="798"/>
      <c r="CMG97" s="798"/>
      <c r="CMH97" s="798"/>
      <c r="CMI97" s="798"/>
      <c r="CMJ97" s="798"/>
      <c r="CMK97" s="798"/>
      <c r="CML97" s="798"/>
      <c r="CMM97" s="798"/>
      <c r="CMN97" s="798"/>
      <c r="CMO97" s="798"/>
      <c r="CMP97" s="798"/>
      <c r="CMQ97" s="798"/>
      <c r="CMR97" s="798"/>
      <c r="CMS97" s="798"/>
      <c r="CMT97" s="798"/>
      <c r="CMU97" s="798"/>
      <c r="CMV97" s="798"/>
      <c r="CMW97" s="798"/>
      <c r="CMX97" s="798"/>
      <c r="CMY97" s="798"/>
      <c r="CMZ97" s="798"/>
      <c r="CNA97" s="798"/>
      <c r="CNB97" s="798"/>
      <c r="CNC97" s="798"/>
      <c r="CND97" s="798"/>
      <c r="CNE97" s="798"/>
      <c r="CNF97" s="798"/>
      <c r="CNG97" s="798"/>
      <c r="CNH97" s="798"/>
      <c r="CNI97" s="798"/>
      <c r="CNJ97" s="798"/>
      <c r="CNK97" s="798"/>
      <c r="CNL97" s="798"/>
      <c r="CNM97" s="798"/>
      <c r="CNN97" s="798"/>
      <c r="CNO97" s="798"/>
      <c r="CNP97" s="798"/>
      <c r="CNQ97" s="798"/>
      <c r="CNR97" s="798"/>
      <c r="CNS97" s="798"/>
      <c r="CNT97" s="798"/>
      <c r="CNU97" s="798"/>
      <c r="CNV97" s="798"/>
      <c r="CNW97" s="798"/>
      <c r="CNX97" s="798"/>
      <c r="CNY97" s="798"/>
      <c r="CNZ97" s="798"/>
      <c r="COA97" s="798"/>
      <c r="COB97" s="798"/>
      <c r="COC97" s="798"/>
      <c r="COD97" s="798"/>
      <c r="COE97" s="798"/>
      <c r="COF97" s="798"/>
      <c r="COG97" s="798"/>
      <c r="COH97" s="798"/>
      <c r="COI97" s="798"/>
      <c r="COJ97" s="798"/>
      <c r="COK97" s="798"/>
      <c r="COL97" s="798"/>
      <c r="COM97" s="798"/>
      <c r="CON97" s="798"/>
      <c r="COO97" s="798"/>
      <c r="COP97" s="798"/>
      <c r="COQ97" s="798"/>
      <c r="COR97" s="798"/>
      <c r="COS97" s="798"/>
      <c r="COT97" s="798"/>
      <c r="COU97" s="798"/>
      <c r="COV97" s="798"/>
      <c r="COW97" s="798"/>
      <c r="COX97" s="798"/>
      <c r="COY97" s="798"/>
      <c r="COZ97" s="798"/>
      <c r="CPA97" s="798"/>
      <c r="CPB97" s="798"/>
      <c r="CPC97" s="798"/>
      <c r="CPD97" s="798"/>
      <c r="CPE97" s="798"/>
      <c r="CPF97" s="798"/>
      <c r="CPG97" s="798"/>
      <c r="CPH97" s="798"/>
      <c r="CPI97" s="798"/>
      <c r="CPJ97" s="798"/>
      <c r="CPK97" s="798"/>
      <c r="CPL97" s="798"/>
      <c r="CPM97" s="798"/>
      <c r="CPN97" s="798"/>
      <c r="CPO97" s="798"/>
      <c r="CPP97" s="798"/>
      <c r="CPQ97" s="798"/>
      <c r="CPR97" s="798"/>
      <c r="CPS97" s="798"/>
      <c r="CPT97" s="798"/>
      <c r="CPU97" s="798"/>
      <c r="CPV97" s="798"/>
      <c r="CPW97" s="798"/>
      <c r="CPX97" s="798"/>
      <c r="CPY97" s="798"/>
      <c r="CPZ97" s="798"/>
      <c r="CQA97" s="798"/>
      <c r="CQB97" s="798"/>
      <c r="CQC97" s="798"/>
      <c r="CQD97" s="798"/>
      <c r="CQE97" s="798"/>
      <c r="CQF97" s="798"/>
      <c r="CQG97" s="798"/>
      <c r="CQH97" s="798"/>
      <c r="CQI97" s="798"/>
      <c r="CQJ97" s="798"/>
      <c r="CQK97" s="798"/>
      <c r="CQL97" s="798"/>
      <c r="CQM97" s="798"/>
      <c r="CQN97" s="798"/>
      <c r="CQO97" s="798"/>
      <c r="CQP97" s="798"/>
      <c r="CQQ97" s="798"/>
      <c r="CQR97" s="798"/>
      <c r="CQS97" s="798"/>
      <c r="CQT97" s="798"/>
      <c r="CQU97" s="798"/>
      <c r="CQV97" s="798"/>
      <c r="CQW97" s="798"/>
      <c r="CQX97" s="798"/>
      <c r="CQY97" s="798"/>
      <c r="CQZ97" s="798"/>
      <c r="CRA97" s="798"/>
      <c r="CRB97" s="798"/>
      <c r="CRC97" s="798"/>
      <c r="CRD97" s="798"/>
      <c r="CRE97" s="798"/>
      <c r="CRF97" s="798"/>
      <c r="CRG97" s="798"/>
      <c r="CRH97" s="798"/>
      <c r="CRI97" s="798"/>
      <c r="CRJ97" s="798"/>
      <c r="CRK97" s="798"/>
      <c r="CRL97" s="798"/>
      <c r="CRM97" s="798"/>
      <c r="CRN97" s="798"/>
      <c r="CRO97" s="798"/>
      <c r="CRP97" s="798"/>
      <c r="CRQ97" s="798"/>
      <c r="CRR97" s="798"/>
      <c r="CRS97" s="798"/>
      <c r="CRT97" s="798"/>
      <c r="CRU97" s="798"/>
      <c r="CRV97" s="798"/>
      <c r="CRW97" s="798"/>
      <c r="CRX97" s="798"/>
      <c r="CRY97" s="798"/>
      <c r="CRZ97" s="798"/>
      <c r="CSA97" s="798"/>
      <c r="CSB97" s="798"/>
      <c r="CSC97" s="798"/>
      <c r="CSD97" s="798"/>
      <c r="CSE97" s="798"/>
      <c r="CSF97" s="798"/>
      <c r="CSG97" s="798"/>
      <c r="CSH97" s="798"/>
      <c r="CSI97" s="798"/>
      <c r="CSJ97" s="798"/>
      <c r="CSK97" s="798"/>
      <c r="CSL97" s="798"/>
      <c r="CSM97" s="798"/>
      <c r="CSN97" s="798"/>
      <c r="CSO97" s="798"/>
      <c r="CSP97" s="798"/>
      <c r="CSQ97" s="798"/>
      <c r="CSR97" s="798"/>
      <c r="CSS97" s="798"/>
      <c r="CST97" s="798"/>
      <c r="CSU97" s="798"/>
      <c r="CSV97" s="798"/>
      <c r="CSW97" s="798"/>
      <c r="CSX97" s="798"/>
      <c r="CSY97" s="798"/>
      <c r="CSZ97" s="798"/>
      <c r="CTA97" s="798"/>
      <c r="CTB97" s="798"/>
      <c r="CTC97" s="798"/>
      <c r="CTD97" s="798"/>
      <c r="CTE97" s="798"/>
      <c r="CTF97" s="798"/>
      <c r="CTG97" s="798"/>
      <c r="CTH97" s="798"/>
      <c r="CTI97" s="798"/>
      <c r="CTJ97" s="798"/>
      <c r="CTK97" s="798"/>
      <c r="CTL97" s="798"/>
      <c r="CTM97" s="798"/>
      <c r="CTN97" s="798"/>
      <c r="CTO97" s="798"/>
      <c r="CTP97" s="798"/>
      <c r="CTQ97" s="798"/>
      <c r="CTR97" s="798"/>
      <c r="CTS97" s="798"/>
      <c r="CTT97" s="798"/>
      <c r="CTU97" s="798"/>
      <c r="CTV97" s="798"/>
      <c r="CTW97" s="798"/>
      <c r="CTX97" s="798"/>
      <c r="CTY97" s="798"/>
      <c r="CTZ97" s="798"/>
      <c r="CUA97" s="798"/>
      <c r="CUB97" s="798"/>
      <c r="CUC97" s="798"/>
      <c r="CUD97" s="798"/>
      <c r="CUE97" s="798"/>
      <c r="CUF97" s="798"/>
      <c r="CUG97" s="798"/>
      <c r="CUH97" s="798"/>
      <c r="CUI97" s="798"/>
      <c r="CUJ97" s="798"/>
      <c r="CUK97" s="798"/>
      <c r="CUL97" s="798"/>
      <c r="CUM97" s="798"/>
      <c r="CUN97" s="798"/>
      <c r="CUO97" s="798"/>
      <c r="CUP97" s="798"/>
      <c r="CUQ97" s="798"/>
      <c r="CUR97" s="798"/>
      <c r="CUS97" s="798"/>
      <c r="CUT97" s="798"/>
      <c r="CUU97" s="798"/>
      <c r="CUV97" s="798"/>
      <c r="CUW97" s="798"/>
      <c r="CUX97" s="798"/>
      <c r="CUY97" s="798"/>
      <c r="CUZ97" s="798"/>
      <c r="CVA97" s="798"/>
      <c r="CVB97" s="798"/>
      <c r="CVC97" s="798"/>
      <c r="CVD97" s="798"/>
      <c r="CVE97" s="798"/>
      <c r="CVF97" s="798"/>
      <c r="CVG97" s="798"/>
      <c r="CVH97" s="798"/>
      <c r="CVI97" s="798"/>
      <c r="CVJ97" s="798"/>
      <c r="CVK97" s="798"/>
      <c r="CVL97" s="798"/>
      <c r="CVM97" s="798"/>
      <c r="CVN97" s="798"/>
      <c r="CVO97" s="798"/>
      <c r="CVP97" s="798"/>
      <c r="CVQ97" s="798"/>
      <c r="CVR97" s="798"/>
      <c r="CVS97" s="798"/>
      <c r="CVT97" s="798"/>
      <c r="CVU97" s="798"/>
      <c r="CVV97" s="798"/>
      <c r="CVW97" s="798"/>
      <c r="CVX97" s="798"/>
      <c r="CVY97" s="798"/>
      <c r="CVZ97" s="798"/>
      <c r="CWA97" s="798"/>
      <c r="CWB97" s="798"/>
      <c r="CWC97" s="798"/>
      <c r="CWD97" s="798"/>
      <c r="CWE97" s="798"/>
      <c r="CWF97" s="798"/>
      <c r="CWG97" s="798"/>
      <c r="CWH97" s="798"/>
      <c r="CWI97" s="798"/>
      <c r="CWJ97" s="798"/>
      <c r="CWK97" s="798"/>
      <c r="CWL97" s="798"/>
      <c r="CWM97" s="798"/>
      <c r="CWN97" s="798"/>
      <c r="CWO97" s="798"/>
      <c r="CWP97" s="798"/>
      <c r="CWQ97" s="798"/>
      <c r="CWR97" s="798"/>
      <c r="CWS97" s="798"/>
      <c r="CWT97" s="798"/>
      <c r="CWU97" s="798"/>
      <c r="CWV97" s="798"/>
      <c r="CWW97" s="798"/>
      <c r="CWX97" s="798"/>
      <c r="CWY97" s="798"/>
      <c r="CWZ97" s="798"/>
      <c r="CXA97" s="798"/>
      <c r="CXB97" s="798"/>
      <c r="CXC97" s="798"/>
      <c r="CXD97" s="798"/>
      <c r="CXE97" s="798"/>
      <c r="CXF97" s="798"/>
      <c r="CXG97" s="798"/>
      <c r="CXH97" s="798"/>
      <c r="CXI97" s="798"/>
      <c r="CXJ97" s="798"/>
      <c r="CXK97" s="798"/>
      <c r="CXL97" s="798"/>
      <c r="CXM97" s="798"/>
      <c r="CXN97" s="798"/>
      <c r="CXO97" s="798"/>
      <c r="CXP97" s="798"/>
      <c r="CXQ97" s="798"/>
      <c r="CXR97" s="798"/>
      <c r="CXS97" s="798"/>
      <c r="CXT97" s="798"/>
      <c r="CXU97" s="798"/>
      <c r="CXV97" s="798"/>
      <c r="CXW97" s="798"/>
      <c r="CXX97" s="798"/>
      <c r="CXY97" s="798"/>
      <c r="CXZ97" s="798"/>
      <c r="CYA97" s="798"/>
      <c r="CYB97" s="798"/>
      <c r="CYC97" s="798"/>
      <c r="CYD97" s="798"/>
      <c r="CYE97" s="798"/>
      <c r="CYF97" s="798"/>
      <c r="CYG97" s="798"/>
      <c r="CYH97" s="798"/>
      <c r="CYI97" s="798"/>
      <c r="CYJ97" s="798"/>
      <c r="CYK97" s="798"/>
      <c r="CYL97" s="798"/>
      <c r="CYM97" s="798"/>
      <c r="CYN97" s="798"/>
      <c r="CYO97" s="798"/>
      <c r="CYP97" s="798"/>
      <c r="CYQ97" s="798"/>
      <c r="CYR97" s="798"/>
      <c r="CYS97" s="798"/>
      <c r="CYT97" s="798"/>
      <c r="CYU97" s="798"/>
      <c r="CYV97" s="798"/>
      <c r="CYW97" s="798"/>
      <c r="CYX97" s="798"/>
      <c r="CYY97" s="798"/>
      <c r="CYZ97" s="798"/>
      <c r="CZA97" s="798"/>
      <c r="CZB97" s="798"/>
      <c r="CZC97" s="798"/>
      <c r="CZD97" s="798"/>
      <c r="CZE97" s="798"/>
      <c r="CZF97" s="798"/>
      <c r="CZG97" s="798"/>
      <c r="CZH97" s="798"/>
      <c r="CZI97" s="798"/>
      <c r="CZJ97" s="798"/>
      <c r="CZK97" s="798"/>
      <c r="CZL97" s="798"/>
      <c r="CZM97" s="798"/>
      <c r="CZN97" s="798"/>
      <c r="CZO97" s="798"/>
      <c r="CZP97" s="798"/>
      <c r="CZQ97" s="798"/>
      <c r="CZR97" s="798"/>
      <c r="CZS97" s="798"/>
      <c r="CZT97" s="798"/>
      <c r="CZU97" s="798"/>
      <c r="CZV97" s="798"/>
      <c r="CZW97" s="798"/>
      <c r="CZX97" s="798"/>
      <c r="CZY97" s="798"/>
      <c r="CZZ97" s="798"/>
      <c r="DAA97" s="798"/>
      <c r="DAB97" s="798"/>
      <c r="DAC97" s="798"/>
      <c r="DAD97" s="798"/>
      <c r="DAE97" s="798"/>
      <c r="DAF97" s="798"/>
      <c r="DAG97" s="798"/>
      <c r="DAH97" s="798"/>
      <c r="DAI97" s="798"/>
      <c r="DAJ97" s="798"/>
      <c r="DAK97" s="798"/>
      <c r="DAL97" s="798"/>
      <c r="DAM97" s="798"/>
      <c r="DAN97" s="798"/>
      <c r="DAO97" s="798"/>
      <c r="DAP97" s="798"/>
      <c r="DAQ97" s="798"/>
      <c r="DAR97" s="798"/>
      <c r="DAS97" s="798"/>
      <c r="DAT97" s="798"/>
      <c r="DAU97" s="798"/>
      <c r="DAV97" s="798"/>
      <c r="DAW97" s="798"/>
      <c r="DAX97" s="798"/>
      <c r="DAY97" s="798"/>
      <c r="DAZ97" s="798"/>
      <c r="DBA97" s="798"/>
      <c r="DBB97" s="798"/>
      <c r="DBC97" s="798"/>
      <c r="DBD97" s="798"/>
      <c r="DBE97" s="798"/>
      <c r="DBF97" s="798"/>
      <c r="DBG97" s="798"/>
      <c r="DBH97" s="798"/>
      <c r="DBI97" s="798"/>
      <c r="DBJ97" s="798"/>
      <c r="DBK97" s="798"/>
      <c r="DBL97" s="798"/>
      <c r="DBM97" s="798"/>
      <c r="DBN97" s="798"/>
      <c r="DBO97" s="798"/>
      <c r="DBP97" s="798"/>
      <c r="DBQ97" s="798"/>
      <c r="DBR97" s="798"/>
      <c r="DBS97" s="798"/>
      <c r="DBT97" s="798"/>
      <c r="DBU97" s="798"/>
      <c r="DBV97" s="798"/>
      <c r="DBW97" s="798"/>
      <c r="DBX97" s="798"/>
      <c r="DBY97" s="798"/>
      <c r="DBZ97" s="798"/>
      <c r="DCA97" s="798"/>
      <c r="DCB97" s="798"/>
      <c r="DCC97" s="798"/>
      <c r="DCD97" s="798"/>
      <c r="DCE97" s="798"/>
      <c r="DCF97" s="798"/>
      <c r="DCG97" s="798"/>
      <c r="DCH97" s="798"/>
      <c r="DCI97" s="798"/>
      <c r="DCJ97" s="798"/>
      <c r="DCK97" s="798"/>
      <c r="DCL97" s="798"/>
      <c r="DCM97" s="798"/>
      <c r="DCN97" s="798"/>
      <c r="DCO97" s="798"/>
      <c r="DCP97" s="798"/>
      <c r="DCQ97" s="798"/>
      <c r="DCR97" s="798"/>
      <c r="DCS97" s="798"/>
      <c r="DCT97" s="798"/>
      <c r="DCU97" s="798"/>
      <c r="DCV97" s="798"/>
      <c r="DCW97" s="798"/>
      <c r="DCX97" s="798"/>
      <c r="DCY97" s="798"/>
      <c r="DCZ97" s="798"/>
      <c r="DDA97" s="798"/>
      <c r="DDB97" s="798"/>
      <c r="DDC97" s="798"/>
      <c r="DDD97" s="798"/>
      <c r="DDE97" s="798"/>
      <c r="DDF97" s="798"/>
      <c r="DDG97" s="798"/>
      <c r="DDH97" s="798"/>
      <c r="DDI97" s="798"/>
      <c r="DDJ97" s="798"/>
      <c r="DDK97" s="798"/>
      <c r="DDL97" s="798"/>
      <c r="DDM97" s="798"/>
      <c r="DDN97" s="798"/>
      <c r="DDO97" s="798"/>
      <c r="DDP97" s="798"/>
      <c r="DDQ97" s="798"/>
      <c r="DDR97" s="798"/>
      <c r="DDS97" s="798"/>
      <c r="DDT97" s="798"/>
      <c r="DDU97" s="798"/>
      <c r="DDV97" s="798"/>
      <c r="DDW97" s="798"/>
      <c r="DDX97" s="798"/>
      <c r="DDY97" s="798"/>
      <c r="DDZ97" s="798"/>
      <c r="DEA97" s="798"/>
      <c r="DEB97" s="798"/>
      <c r="DEC97" s="798"/>
      <c r="DED97" s="798"/>
      <c r="DEE97" s="798"/>
      <c r="DEF97" s="798"/>
      <c r="DEG97" s="798"/>
      <c r="DEH97" s="798"/>
      <c r="DEI97" s="798"/>
      <c r="DEJ97" s="798"/>
      <c r="DEK97" s="798"/>
      <c r="DEL97" s="798"/>
      <c r="DEM97" s="798"/>
      <c r="DEN97" s="798"/>
      <c r="DEO97" s="798"/>
      <c r="DEP97" s="798"/>
      <c r="DEQ97" s="798"/>
      <c r="DER97" s="798"/>
      <c r="DES97" s="798"/>
      <c r="DET97" s="798"/>
      <c r="DEU97" s="798"/>
      <c r="DEV97" s="798"/>
      <c r="DEW97" s="798"/>
      <c r="DEX97" s="798"/>
      <c r="DEY97" s="798"/>
      <c r="DEZ97" s="798"/>
      <c r="DFA97" s="798"/>
      <c r="DFB97" s="798"/>
      <c r="DFC97" s="798"/>
      <c r="DFD97" s="798"/>
      <c r="DFE97" s="798"/>
      <c r="DFF97" s="798"/>
      <c r="DFG97" s="798"/>
      <c r="DFH97" s="798"/>
      <c r="DFI97" s="798"/>
      <c r="DFJ97" s="798"/>
      <c r="DFK97" s="798"/>
      <c r="DFL97" s="798"/>
      <c r="DFM97" s="798"/>
      <c r="DFN97" s="798"/>
      <c r="DFO97" s="798"/>
      <c r="DFP97" s="798"/>
      <c r="DFQ97" s="798"/>
      <c r="DFR97" s="798"/>
      <c r="DFS97" s="798"/>
      <c r="DFT97" s="798"/>
      <c r="DFU97" s="798"/>
      <c r="DFV97" s="798"/>
      <c r="DFW97" s="798"/>
      <c r="DFX97" s="798"/>
      <c r="DFY97" s="798"/>
      <c r="DFZ97" s="798"/>
      <c r="DGA97" s="798"/>
      <c r="DGB97" s="798"/>
      <c r="DGC97" s="798"/>
      <c r="DGD97" s="798"/>
      <c r="DGE97" s="798"/>
      <c r="DGF97" s="798"/>
      <c r="DGG97" s="798"/>
      <c r="DGH97" s="798"/>
      <c r="DGI97" s="798"/>
      <c r="DGJ97" s="798"/>
      <c r="DGK97" s="798"/>
      <c r="DGL97" s="798"/>
      <c r="DGM97" s="798"/>
      <c r="DGN97" s="798"/>
      <c r="DGO97" s="798"/>
      <c r="DGP97" s="798"/>
      <c r="DGQ97" s="798"/>
      <c r="DGR97" s="798"/>
      <c r="DGS97" s="798"/>
      <c r="DGT97" s="798"/>
      <c r="DGU97" s="798"/>
      <c r="DGV97" s="798"/>
      <c r="DGW97" s="798"/>
      <c r="DGX97" s="798"/>
      <c r="DGY97" s="798"/>
      <c r="DGZ97" s="798"/>
      <c r="DHA97" s="798"/>
      <c r="DHB97" s="798"/>
      <c r="DHC97" s="798"/>
      <c r="DHD97" s="798"/>
      <c r="DHE97" s="798"/>
      <c r="DHF97" s="798"/>
      <c r="DHG97" s="798"/>
      <c r="DHH97" s="798"/>
      <c r="DHI97" s="798"/>
      <c r="DHJ97" s="798"/>
      <c r="DHK97" s="798"/>
      <c r="DHL97" s="798"/>
      <c r="DHM97" s="798"/>
      <c r="DHN97" s="798"/>
      <c r="DHO97" s="798"/>
      <c r="DHP97" s="798"/>
      <c r="DHQ97" s="798"/>
      <c r="DHR97" s="798"/>
      <c r="DHS97" s="798"/>
      <c r="DHT97" s="798"/>
      <c r="DHU97" s="798"/>
      <c r="DHV97" s="798"/>
      <c r="DHW97" s="798"/>
      <c r="DHX97" s="798"/>
      <c r="DHY97" s="798"/>
      <c r="DHZ97" s="798"/>
      <c r="DIA97" s="798"/>
      <c r="DIB97" s="798"/>
      <c r="DIC97" s="798"/>
      <c r="DID97" s="798"/>
      <c r="DIE97" s="798"/>
      <c r="DIF97" s="798"/>
      <c r="DIG97" s="798"/>
      <c r="DIH97" s="798"/>
      <c r="DII97" s="798"/>
      <c r="DIJ97" s="798"/>
      <c r="DIK97" s="798"/>
      <c r="DIL97" s="798"/>
      <c r="DIM97" s="798"/>
      <c r="DIN97" s="798"/>
      <c r="DIO97" s="798"/>
      <c r="DIP97" s="798"/>
      <c r="DIQ97" s="798"/>
      <c r="DIR97" s="798"/>
      <c r="DIS97" s="798"/>
      <c r="DIT97" s="798"/>
      <c r="DIU97" s="798"/>
      <c r="DIV97" s="798"/>
      <c r="DIW97" s="798"/>
      <c r="DIX97" s="798"/>
      <c r="DIY97" s="798"/>
      <c r="DIZ97" s="798"/>
      <c r="DJA97" s="798"/>
      <c r="DJB97" s="798"/>
      <c r="DJC97" s="798"/>
      <c r="DJD97" s="798"/>
      <c r="DJE97" s="798"/>
      <c r="DJF97" s="798"/>
      <c r="DJG97" s="798"/>
      <c r="DJH97" s="798"/>
      <c r="DJI97" s="798"/>
      <c r="DJJ97" s="798"/>
      <c r="DJK97" s="798"/>
      <c r="DJL97" s="798"/>
      <c r="DJM97" s="798"/>
      <c r="DJN97" s="798"/>
      <c r="DJO97" s="798"/>
      <c r="DJP97" s="798"/>
      <c r="DJQ97" s="798"/>
      <c r="DJR97" s="798"/>
      <c r="DJS97" s="798"/>
      <c r="DJT97" s="798"/>
      <c r="DJU97" s="798"/>
      <c r="DJV97" s="798"/>
      <c r="DJW97" s="798"/>
      <c r="DJX97" s="798"/>
      <c r="DJY97" s="798"/>
      <c r="DJZ97" s="798"/>
      <c r="DKA97" s="798"/>
      <c r="DKB97" s="798"/>
      <c r="DKC97" s="798"/>
      <c r="DKD97" s="798"/>
      <c r="DKE97" s="798"/>
      <c r="DKF97" s="798"/>
      <c r="DKG97" s="798"/>
      <c r="DKH97" s="798"/>
      <c r="DKI97" s="798"/>
      <c r="DKJ97" s="798"/>
      <c r="DKK97" s="798"/>
      <c r="DKL97" s="798"/>
      <c r="DKM97" s="798"/>
      <c r="DKN97" s="798"/>
      <c r="DKO97" s="798"/>
      <c r="DKP97" s="798"/>
      <c r="DKQ97" s="798"/>
      <c r="DKR97" s="798"/>
      <c r="DKS97" s="798"/>
      <c r="DKT97" s="798"/>
      <c r="DKU97" s="798"/>
      <c r="DKV97" s="798"/>
      <c r="DKW97" s="798"/>
      <c r="DKX97" s="798"/>
      <c r="DKY97" s="798"/>
      <c r="DKZ97" s="798"/>
      <c r="DLA97" s="798"/>
      <c r="DLB97" s="798"/>
      <c r="DLC97" s="798"/>
      <c r="DLD97" s="798"/>
      <c r="DLE97" s="798"/>
      <c r="DLF97" s="798"/>
      <c r="DLG97" s="798"/>
      <c r="DLH97" s="798"/>
      <c r="DLI97" s="798"/>
      <c r="DLJ97" s="798"/>
      <c r="DLK97" s="798"/>
      <c r="DLL97" s="798"/>
      <c r="DLM97" s="798"/>
      <c r="DLN97" s="798"/>
      <c r="DLO97" s="798"/>
      <c r="DLP97" s="798"/>
      <c r="DLQ97" s="798"/>
      <c r="DLR97" s="798"/>
      <c r="DLS97" s="798"/>
      <c r="DLT97" s="798"/>
      <c r="DLU97" s="798"/>
      <c r="DLV97" s="798"/>
      <c r="DLW97" s="798"/>
      <c r="DLX97" s="798"/>
      <c r="DLY97" s="798"/>
      <c r="DLZ97" s="798"/>
      <c r="DMA97" s="798"/>
      <c r="DMB97" s="798"/>
      <c r="DMC97" s="798"/>
      <c r="DMD97" s="798"/>
      <c r="DME97" s="798"/>
      <c r="DMF97" s="798"/>
      <c r="DMG97" s="798"/>
      <c r="DMH97" s="798"/>
      <c r="DMI97" s="798"/>
      <c r="DMJ97" s="798"/>
      <c r="DMK97" s="798"/>
      <c r="DML97" s="798"/>
      <c r="DMM97" s="798"/>
      <c r="DMN97" s="798"/>
      <c r="DMO97" s="798"/>
      <c r="DMP97" s="798"/>
      <c r="DMQ97" s="798"/>
      <c r="DMR97" s="798"/>
      <c r="DMS97" s="798"/>
      <c r="DMT97" s="798"/>
      <c r="DMU97" s="798"/>
      <c r="DMV97" s="798"/>
      <c r="DMW97" s="798"/>
      <c r="DMX97" s="798"/>
      <c r="DMY97" s="798"/>
      <c r="DMZ97" s="798"/>
      <c r="DNA97" s="798"/>
      <c r="DNB97" s="798"/>
      <c r="DNC97" s="798"/>
      <c r="DND97" s="798"/>
      <c r="DNE97" s="798"/>
      <c r="DNF97" s="798"/>
      <c r="DNG97" s="798"/>
      <c r="DNH97" s="798"/>
      <c r="DNI97" s="798"/>
      <c r="DNJ97" s="798"/>
      <c r="DNK97" s="798"/>
      <c r="DNL97" s="798"/>
      <c r="DNM97" s="798"/>
      <c r="DNN97" s="798"/>
      <c r="DNO97" s="798"/>
      <c r="DNP97" s="798"/>
      <c r="DNQ97" s="798"/>
      <c r="DNR97" s="798"/>
      <c r="DNS97" s="798"/>
      <c r="DNT97" s="798"/>
      <c r="DNU97" s="798"/>
      <c r="DNV97" s="798"/>
      <c r="DNW97" s="798"/>
      <c r="DNX97" s="798"/>
      <c r="DNY97" s="798"/>
      <c r="DNZ97" s="798"/>
      <c r="DOA97" s="798"/>
      <c r="DOB97" s="798"/>
      <c r="DOC97" s="798"/>
      <c r="DOD97" s="798"/>
      <c r="DOE97" s="798"/>
      <c r="DOF97" s="798"/>
      <c r="DOG97" s="798"/>
      <c r="DOH97" s="798"/>
      <c r="DOI97" s="798"/>
      <c r="DOJ97" s="798"/>
      <c r="DOK97" s="798"/>
      <c r="DOL97" s="798"/>
      <c r="DOM97" s="798"/>
      <c r="DON97" s="798"/>
      <c r="DOO97" s="798"/>
      <c r="DOP97" s="798"/>
      <c r="DOQ97" s="798"/>
      <c r="DOR97" s="798"/>
      <c r="DOS97" s="798"/>
      <c r="DOT97" s="798"/>
      <c r="DOU97" s="798"/>
      <c r="DOV97" s="798"/>
      <c r="DOW97" s="798"/>
      <c r="DOX97" s="798"/>
      <c r="DOY97" s="798"/>
      <c r="DOZ97" s="798"/>
      <c r="DPA97" s="798"/>
      <c r="DPB97" s="798"/>
      <c r="DPC97" s="798"/>
      <c r="DPD97" s="798"/>
      <c r="DPE97" s="798"/>
      <c r="DPF97" s="798"/>
      <c r="DPG97" s="798"/>
      <c r="DPH97" s="798"/>
      <c r="DPI97" s="798"/>
      <c r="DPJ97" s="798"/>
      <c r="DPK97" s="798"/>
      <c r="DPL97" s="798"/>
      <c r="DPM97" s="798"/>
      <c r="DPN97" s="798"/>
      <c r="DPO97" s="798"/>
      <c r="DPP97" s="798"/>
      <c r="DPQ97" s="798"/>
      <c r="DPR97" s="798"/>
      <c r="DPS97" s="798"/>
      <c r="DPT97" s="798"/>
      <c r="DPU97" s="798"/>
      <c r="DPV97" s="798"/>
      <c r="DPW97" s="798"/>
      <c r="DPX97" s="798"/>
      <c r="DPY97" s="798"/>
      <c r="DPZ97" s="798"/>
      <c r="DQA97" s="798"/>
      <c r="DQB97" s="798"/>
      <c r="DQC97" s="798"/>
      <c r="DQD97" s="798"/>
      <c r="DQE97" s="798"/>
      <c r="DQF97" s="798"/>
      <c r="DQG97" s="798"/>
      <c r="DQH97" s="798"/>
      <c r="DQI97" s="798"/>
      <c r="DQJ97" s="798"/>
      <c r="DQK97" s="798"/>
      <c r="DQL97" s="798"/>
      <c r="DQM97" s="798"/>
      <c r="DQN97" s="798"/>
      <c r="DQO97" s="798"/>
      <c r="DQP97" s="798"/>
      <c r="DQQ97" s="798"/>
      <c r="DQR97" s="798"/>
      <c r="DQS97" s="798"/>
      <c r="DQT97" s="798"/>
      <c r="DQU97" s="798"/>
      <c r="DQV97" s="798"/>
      <c r="DQW97" s="798"/>
      <c r="DQX97" s="798"/>
      <c r="DQY97" s="798"/>
      <c r="DQZ97" s="798"/>
      <c r="DRA97" s="798"/>
      <c r="DRB97" s="798"/>
      <c r="DRC97" s="798"/>
      <c r="DRD97" s="798"/>
      <c r="DRE97" s="798"/>
      <c r="DRF97" s="798"/>
      <c r="DRG97" s="798"/>
      <c r="DRH97" s="798"/>
      <c r="DRI97" s="798"/>
      <c r="DRJ97" s="798"/>
      <c r="DRK97" s="798"/>
      <c r="DRL97" s="798"/>
      <c r="DRM97" s="798"/>
      <c r="DRN97" s="798"/>
      <c r="DRO97" s="798"/>
      <c r="DRP97" s="798"/>
      <c r="DRQ97" s="798"/>
      <c r="DRR97" s="798"/>
      <c r="DRS97" s="798"/>
      <c r="DRT97" s="798"/>
      <c r="DRU97" s="798"/>
      <c r="DRV97" s="798"/>
      <c r="DRW97" s="798"/>
      <c r="DRX97" s="798"/>
      <c r="DRY97" s="798"/>
      <c r="DRZ97" s="798"/>
      <c r="DSA97" s="798"/>
      <c r="DSB97" s="798"/>
      <c r="DSC97" s="798"/>
      <c r="DSD97" s="798"/>
      <c r="DSE97" s="798"/>
      <c r="DSF97" s="798"/>
      <c r="DSG97" s="798"/>
      <c r="DSH97" s="798"/>
      <c r="DSI97" s="798"/>
      <c r="DSJ97" s="798"/>
      <c r="DSK97" s="798"/>
      <c r="DSL97" s="798"/>
      <c r="DSM97" s="798"/>
      <c r="DSN97" s="798"/>
      <c r="DSO97" s="798"/>
      <c r="DSP97" s="798"/>
      <c r="DSQ97" s="798"/>
      <c r="DSR97" s="798"/>
      <c r="DSS97" s="798"/>
      <c r="DST97" s="798"/>
      <c r="DSU97" s="798"/>
      <c r="DSV97" s="798"/>
      <c r="DSW97" s="798"/>
      <c r="DSX97" s="798"/>
      <c r="DSY97" s="798"/>
      <c r="DSZ97" s="798"/>
      <c r="DTA97" s="798"/>
      <c r="DTB97" s="798"/>
      <c r="DTC97" s="798"/>
      <c r="DTD97" s="798"/>
      <c r="DTE97" s="798"/>
      <c r="DTF97" s="798"/>
      <c r="DTG97" s="798"/>
      <c r="DTH97" s="798"/>
      <c r="DTI97" s="798"/>
      <c r="DTJ97" s="798"/>
      <c r="DTK97" s="798"/>
      <c r="DTL97" s="798"/>
      <c r="DTM97" s="798"/>
      <c r="DTN97" s="798"/>
      <c r="DTO97" s="798"/>
      <c r="DTP97" s="798"/>
      <c r="DTQ97" s="798"/>
      <c r="DTR97" s="798"/>
      <c r="DTS97" s="798"/>
      <c r="DTT97" s="798"/>
      <c r="DTU97" s="798"/>
      <c r="DTV97" s="798"/>
      <c r="DTW97" s="798"/>
      <c r="DTX97" s="798"/>
      <c r="DTY97" s="798"/>
      <c r="DTZ97" s="798"/>
      <c r="DUA97" s="798"/>
      <c r="DUB97" s="798"/>
      <c r="DUC97" s="798"/>
      <c r="DUD97" s="798"/>
      <c r="DUE97" s="798"/>
      <c r="DUF97" s="798"/>
      <c r="DUG97" s="798"/>
      <c r="DUH97" s="798"/>
      <c r="DUI97" s="798"/>
      <c r="DUJ97" s="798"/>
      <c r="DUK97" s="798"/>
      <c r="DUL97" s="798"/>
      <c r="DUM97" s="798"/>
      <c r="DUN97" s="798"/>
      <c r="DUO97" s="798"/>
      <c r="DUP97" s="798"/>
      <c r="DUQ97" s="798"/>
      <c r="DUR97" s="798"/>
      <c r="DUS97" s="798"/>
      <c r="DUT97" s="798"/>
      <c r="DUU97" s="798"/>
      <c r="DUV97" s="798"/>
      <c r="DUW97" s="798"/>
      <c r="DUX97" s="798"/>
      <c r="DUY97" s="798"/>
      <c r="DUZ97" s="798"/>
      <c r="DVA97" s="798"/>
      <c r="DVB97" s="798"/>
      <c r="DVC97" s="798"/>
      <c r="DVD97" s="798"/>
      <c r="DVE97" s="798"/>
      <c r="DVF97" s="798"/>
      <c r="DVG97" s="798"/>
      <c r="DVH97" s="798"/>
      <c r="DVI97" s="798"/>
      <c r="DVJ97" s="798"/>
      <c r="DVK97" s="798"/>
      <c r="DVL97" s="798"/>
      <c r="DVM97" s="798"/>
      <c r="DVN97" s="798"/>
      <c r="DVO97" s="798"/>
      <c r="DVP97" s="798"/>
      <c r="DVQ97" s="798"/>
      <c r="DVR97" s="798"/>
      <c r="DVS97" s="798"/>
      <c r="DVT97" s="798"/>
      <c r="DVU97" s="798"/>
      <c r="DVV97" s="798"/>
      <c r="DVW97" s="798"/>
      <c r="DVX97" s="798"/>
      <c r="DVY97" s="798"/>
      <c r="DVZ97" s="798"/>
      <c r="DWA97" s="798"/>
      <c r="DWB97" s="798"/>
      <c r="DWC97" s="798"/>
      <c r="DWD97" s="798"/>
      <c r="DWE97" s="798"/>
      <c r="DWF97" s="798"/>
      <c r="DWG97" s="798"/>
      <c r="DWH97" s="798"/>
      <c r="DWI97" s="798"/>
      <c r="DWJ97" s="798"/>
      <c r="DWK97" s="798"/>
      <c r="DWL97" s="798"/>
      <c r="DWM97" s="798"/>
      <c r="DWN97" s="798"/>
      <c r="DWO97" s="798"/>
      <c r="DWP97" s="798"/>
      <c r="DWQ97" s="798"/>
      <c r="DWR97" s="798"/>
      <c r="DWS97" s="798"/>
      <c r="DWT97" s="798"/>
      <c r="DWU97" s="798"/>
      <c r="DWV97" s="798"/>
      <c r="DWW97" s="798"/>
      <c r="DWX97" s="798"/>
      <c r="DWY97" s="798"/>
      <c r="DWZ97" s="798"/>
      <c r="DXA97" s="798"/>
      <c r="DXB97" s="798"/>
      <c r="DXC97" s="798"/>
      <c r="DXD97" s="798"/>
      <c r="DXE97" s="798"/>
      <c r="DXF97" s="798"/>
      <c r="DXG97" s="798"/>
      <c r="DXH97" s="798"/>
      <c r="DXI97" s="798"/>
      <c r="DXJ97" s="798"/>
      <c r="DXK97" s="798"/>
      <c r="DXL97" s="798"/>
      <c r="DXM97" s="798"/>
      <c r="DXN97" s="798"/>
      <c r="DXO97" s="798"/>
      <c r="DXP97" s="798"/>
      <c r="DXQ97" s="798"/>
      <c r="DXR97" s="798"/>
      <c r="DXS97" s="798"/>
      <c r="DXT97" s="798"/>
      <c r="DXU97" s="798"/>
      <c r="DXV97" s="798"/>
      <c r="DXW97" s="798"/>
      <c r="DXX97" s="798"/>
      <c r="DXY97" s="798"/>
      <c r="DXZ97" s="798"/>
      <c r="DYA97" s="798"/>
      <c r="DYB97" s="798"/>
      <c r="DYC97" s="798"/>
      <c r="DYD97" s="798"/>
      <c r="DYE97" s="798"/>
      <c r="DYF97" s="798"/>
      <c r="DYG97" s="798"/>
      <c r="DYH97" s="798"/>
      <c r="DYI97" s="798"/>
      <c r="DYJ97" s="798"/>
      <c r="DYK97" s="798"/>
      <c r="DYL97" s="798"/>
      <c r="DYM97" s="798"/>
      <c r="DYN97" s="798"/>
      <c r="DYO97" s="798"/>
      <c r="DYP97" s="798"/>
      <c r="DYQ97" s="798"/>
      <c r="DYR97" s="798"/>
      <c r="DYS97" s="798"/>
      <c r="DYT97" s="798"/>
      <c r="DYU97" s="798"/>
      <c r="DYV97" s="798"/>
      <c r="DYW97" s="798"/>
      <c r="DYX97" s="798"/>
      <c r="DYY97" s="798"/>
      <c r="DYZ97" s="798"/>
      <c r="DZA97" s="798"/>
      <c r="DZB97" s="798"/>
      <c r="DZC97" s="798"/>
      <c r="DZD97" s="798"/>
      <c r="DZE97" s="798"/>
      <c r="DZF97" s="798"/>
      <c r="DZG97" s="798"/>
      <c r="DZH97" s="798"/>
      <c r="DZI97" s="798"/>
      <c r="DZJ97" s="798"/>
      <c r="DZK97" s="798"/>
      <c r="DZL97" s="798"/>
      <c r="DZM97" s="798"/>
      <c r="DZN97" s="798"/>
      <c r="DZO97" s="798"/>
      <c r="DZP97" s="798"/>
      <c r="DZQ97" s="798"/>
      <c r="DZR97" s="798"/>
      <c r="DZS97" s="798"/>
      <c r="DZT97" s="798"/>
      <c r="DZU97" s="798"/>
      <c r="DZV97" s="798"/>
      <c r="DZW97" s="798"/>
      <c r="DZX97" s="798"/>
      <c r="DZY97" s="798"/>
      <c r="DZZ97" s="798"/>
      <c r="EAA97" s="798"/>
      <c r="EAB97" s="798"/>
      <c r="EAC97" s="798"/>
      <c r="EAD97" s="798"/>
      <c r="EAE97" s="798"/>
      <c r="EAF97" s="798"/>
      <c r="EAG97" s="798"/>
      <c r="EAH97" s="798"/>
      <c r="EAI97" s="798"/>
      <c r="EAJ97" s="798"/>
      <c r="EAK97" s="798"/>
      <c r="EAL97" s="798"/>
      <c r="EAM97" s="798"/>
      <c r="EAN97" s="798"/>
      <c r="EAO97" s="798"/>
      <c r="EAP97" s="798"/>
      <c r="EAQ97" s="798"/>
      <c r="EAR97" s="798"/>
      <c r="EAS97" s="798"/>
      <c r="EAT97" s="798"/>
      <c r="EAU97" s="798"/>
      <c r="EAV97" s="798"/>
      <c r="EAW97" s="798"/>
      <c r="EAX97" s="798"/>
      <c r="EAY97" s="798"/>
      <c r="EAZ97" s="798"/>
      <c r="EBA97" s="798"/>
      <c r="EBB97" s="798"/>
      <c r="EBC97" s="798"/>
      <c r="EBD97" s="798"/>
      <c r="EBE97" s="798"/>
      <c r="EBF97" s="798"/>
      <c r="EBG97" s="798"/>
      <c r="EBH97" s="798"/>
      <c r="EBI97" s="798"/>
      <c r="EBJ97" s="798"/>
      <c r="EBK97" s="798"/>
      <c r="EBL97" s="798"/>
      <c r="EBM97" s="798"/>
      <c r="EBN97" s="798"/>
      <c r="EBO97" s="798"/>
      <c r="EBP97" s="798"/>
      <c r="EBQ97" s="798"/>
      <c r="EBR97" s="798"/>
      <c r="EBS97" s="798"/>
      <c r="EBT97" s="798"/>
      <c r="EBU97" s="798"/>
      <c r="EBV97" s="798"/>
      <c r="EBW97" s="798"/>
      <c r="EBX97" s="798"/>
      <c r="EBY97" s="798"/>
      <c r="EBZ97" s="798"/>
      <c r="ECA97" s="798"/>
      <c r="ECB97" s="798"/>
      <c r="ECC97" s="798"/>
      <c r="ECD97" s="798"/>
      <c r="ECE97" s="798"/>
      <c r="ECF97" s="798"/>
      <c r="ECG97" s="798"/>
      <c r="ECH97" s="798"/>
      <c r="ECI97" s="798"/>
      <c r="ECJ97" s="798"/>
      <c r="ECK97" s="798"/>
      <c r="ECL97" s="798"/>
      <c r="ECM97" s="798"/>
      <c r="ECN97" s="798"/>
      <c r="ECO97" s="798"/>
      <c r="ECP97" s="798"/>
      <c r="ECQ97" s="798"/>
      <c r="ECR97" s="798"/>
      <c r="ECS97" s="798"/>
      <c r="ECT97" s="798"/>
      <c r="ECU97" s="798"/>
      <c r="ECV97" s="798"/>
      <c r="ECW97" s="798"/>
      <c r="ECX97" s="798"/>
      <c r="ECY97" s="798"/>
      <c r="ECZ97" s="798"/>
      <c r="EDA97" s="798"/>
      <c r="EDB97" s="798"/>
      <c r="EDC97" s="798"/>
      <c r="EDD97" s="798"/>
      <c r="EDE97" s="798"/>
      <c r="EDF97" s="798"/>
      <c r="EDG97" s="798"/>
      <c r="EDH97" s="798"/>
      <c r="EDI97" s="798"/>
      <c r="EDJ97" s="798"/>
      <c r="EDK97" s="798"/>
      <c r="EDL97" s="798"/>
      <c r="EDM97" s="798"/>
      <c r="EDN97" s="798"/>
      <c r="EDO97" s="798"/>
      <c r="EDP97" s="798"/>
      <c r="EDQ97" s="798"/>
      <c r="EDR97" s="798"/>
      <c r="EDS97" s="798"/>
      <c r="EDT97" s="798"/>
      <c r="EDU97" s="798"/>
      <c r="EDV97" s="798"/>
      <c r="EDW97" s="798"/>
      <c r="EDX97" s="798"/>
      <c r="EDY97" s="798"/>
      <c r="EDZ97" s="798"/>
      <c r="EEA97" s="798"/>
      <c r="EEB97" s="798"/>
      <c r="EEC97" s="798"/>
      <c r="EED97" s="798"/>
      <c r="EEE97" s="798"/>
      <c r="EEF97" s="798"/>
      <c r="EEG97" s="798"/>
      <c r="EEH97" s="798"/>
      <c r="EEI97" s="798"/>
      <c r="EEJ97" s="798"/>
      <c r="EEK97" s="798"/>
      <c r="EEL97" s="798"/>
      <c r="EEM97" s="798"/>
      <c r="EEN97" s="798"/>
      <c r="EEO97" s="798"/>
      <c r="EEP97" s="798"/>
      <c r="EEQ97" s="798"/>
      <c r="EER97" s="798"/>
      <c r="EES97" s="798"/>
      <c r="EET97" s="798"/>
      <c r="EEU97" s="798"/>
      <c r="EEV97" s="798"/>
      <c r="EEW97" s="798"/>
      <c r="EEX97" s="798"/>
      <c r="EEY97" s="798"/>
      <c r="EEZ97" s="798"/>
      <c r="EFA97" s="798"/>
      <c r="EFB97" s="798"/>
      <c r="EFC97" s="798"/>
      <c r="EFD97" s="798"/>
      <c r="EFE97" s="798"/>
      <c r="EFF97" s="798"/>
      <c r="EFG97" s="798"/>
      <c r="EFH97" s="798"/>
      <c r="EFI97" s="798"/>
      <c r="EFJ97" s="798"/>
      <c r="EFK97" s="798"/>
      <c r="EFL97" s="798"/>
      <c r="EFM97" s="798"/>
      <c r="EFN97" s="798"/>
      <c r="EFO97" s="798"/>
      <c r="EFP97" s="798"/>
      <c r="EFQ97" s="798"/>
      <c r="EFR97" s="798"/>
      <c r="EFS97" s="798"/>
      <c r="EFT97" s="798"/>
      <c r="EFU97" s="798"/>
      <c r="EFV97" s="798"/>
      <c r="EFW97" s="798"/>
      <c r="EFX97" s="798"/>
      <c r="EFY97" s="798"/>
      <c r="EFZ97" s="798"/>
      <c r="EGA97" s="798"/>
      <c r="EGB97" s="798"/>
      <c r="EGC97" s="798"/>
      <c r="EGD97" s="798"/>
      <c r="EGE97" s="798"/>
      <c r="EGF97" s="798"/>
      <c r="EGG97" s="798"/>
      <c r="EGH97" s="798"/>
      <c r="EGI97" s="798"/>
      <c r="EGJ97" s="798"/>
      <c r="EGK97" s="798"/>
      <c r="EGL97" s="798"/>
      <c r="EGM97" s="798"/>
      <c r="EGN97" s="798"/>
      <c r="EGO97" s="798"/>
      <c r="EGP97" s="798"/>
      <c r="EGQ97" s="798"/>
      <c r="EGR97" s="798"/>
      <c r="EGS97" s="798"/>
      <c r="EGT97" s="798"/>
      <c r="EGU97" s="798"/>
      <c r="EGV97" s="798"/>
      <c r="EGW97" s="798"/>
      <c r="EGX97" s="798"/>
      <c r="EGY97" s="798"/>
      <c r="EGZ97" s="798"/>
      <c r="EHA97" s="798"/>
      <c r="EHB97" s="798"/>
      <c r="EHC97" s="798"/>
      <c r="EHD97" s="798"/>
      <c r="EHE97" s="798"/>
      <c r="EHF97" s="798"/>
      <c r="EHG97" s="798"/>
      <c r="EHH97" s="798"/>
      <c r="EHI97" s="798"/>
      <c r="EHJ97" s="798"/>
      <c r="EHK97" s="798"/>
      <c r="EHL97" s="798"/>
      <c r="EHM97" s="798"/>
      <c r="EHN97" s="798"/>
      <c r="EHO97" s="798"/>
      <c r="EHP97" s="798"/>
      <c r="EHQ97" s="798"/>
      <c r="EHR97" s="798"/>
      <c r="EHS97" s="798"/>
      <c r="EHT97" s="798"/>
      <c r="EHU97" s="798"/>
      <c r="EHV97" s="798"/>
      <c r="EHW97" s="798"/>
      <c r="EHX97" s="798"/>
      <c r="EHY97" s="798"/>
      <c r="EHZ97" s="798"/>
      <c r="EIA97" s="798"/>
      <c r="EIB97" s="798"/>
      <c r="EIC97" s="798"/>
      <c r="EID97" s="798"/>
      <c r="EIE97" s="798"/>
      <c r="EIF97" s="798"/>
      <c r="EIG97" s="798"/>
      <c r="EIH97" s="798"/>
      <c r="EII97" s="798"/>
      <c r="EIJ97" s="798"/>
      <c r="EIK97" s="798"/>
      <c r="EIL97" s="798"/>
      <c r="EIM97" s="798"/>
      <c r="EIN97" s="798"/>
      <c r="EIO97" s="798"/>
      <c r="EIP97" s="798"/>
      <c r="EIQ97" s="798"/>
      <c r="EIR97" s="798"/>
      <c r="EIS97" s="798"/>
      <c r="EIT97" s="798"/>
      <c r="EIU97" s="798"/>
      <c r="EIV97" s="798"/>
      <c r="EIW97" s="798"/>
      <c r="EIX97" s="798"/>
      <c r="EIY97" s="798"/>
      <c r="EIZ97" s="798"/>
      <c r="EJA97" s="798"/>
      <c r="EJB97" s="798"/>
      <c r="EJC97" s="798"/>
      <c r="EJD97" s="798"/>
      <c r="EJE97" s="798"/>
      <c r="EJF97" s="798"/>
      <c r="EJG97" s="798"/>
      <c r="EJH97" s="798"/>
      <c r="EJI97" s="798"/>
      <c r="EJJ97" s="798"/>
      <c r="EJK97" s="798"/>
      <c r="EJL97" s="798"/>
      <c r="EJM97" s="798"/>
      <c r="EJN97" s="798"/>
      <c r="EJO97" s="798"/>
      <c r="EJP97" s="798"/>
      <c r="EJQ97" s="798"/>
      <c r="EJR97" s="798"/>
      <c r="EJS97" s="798"/>
      <c r="EJT97" s="798"/>
      <c r="EJU97" s="798"/>
      <c r="EJV97" s="798"/>
      <c r="EJW97" s="798"/>
      <c r="EJX97" s="798"/>
      <c r="EJY97" s="798"/>
      <c r="EJZ97" s="798"/>
      <c r="EKA97" s="798"/>
      <c r="EKB97" s="798"/>
      <c r="EKC97" s="798"/>
      <c r="EKD97" s="798"/>
      <c r="EKE97" s="798"/>
      <c r="EKF97" s="798"/>
      <c r="EKG97" s="798"/>
      <c r="EKH97" s="798"/>
      <c r="EKI97" s="798"/>
      <c r="EKJ97" s="798"/>
      <c r="EKK97" s="798"/>
      <c r="EKL97" s="798"/>
      <c r="EKM97" s="798"/>
      <c r="EKN97" s="798"/>
      <c r="EKO97" s="798"/>
      <c r="EKP97" s="798"/>
      <c r="EKQ97" s="798"/>
      <c r="EKR97" s="798"/>
      <c r="EKS97" s="798"/>
      <c r="EKT97" s="798"/>
      <c r="EKU97" s="798"/>
      <c r="EKV97" s="798"/>
      <c r="EKW97" s="798"/>
      <c r="EKX97" s="798"/>
      <c r="EKY97" s="798"/>
      <c r="EKZ97" s="798"/>
      <c r="ELA97" s="798"/>
      <c r="ELB97" s="798"/>
      <c r="ELC97" s="798"/>
      <c r="ELD97" s="798"/>
      <c r="ELE97" s="798"/>
      <c r="ELF97" s="798"/>
      <c r="ELG97" s="798"/>
      <c r="ELH97" s="798"/>
      <c r="ELI97" s="798"/>
      <c r="ELJ97" s="798"/>
      <c r="ELK97" s="798"/>
      <c r="ELL97" s="798"/>
      <c r="ELM97" s="798"/>
      <c r="ELN97" s="798"/>
      <c r="ELO97" s="798"/>
      <c r="ELP97" s="798"/>
      <c r="ELQ97" s="798"/>
      <c r="ELR97" s="798"/>
      <c r="ELS97" s="798"/>
      <c r="ELT97" s="798"/>
      <c r="ELU97" s="798"/>
      <c r="ELV97" s="798"/>
      <c r="ELW97" s="798"/>
      <c r="ELX97" s="798"/>
      <c r="ELY97" s="798"/>
      <c r="ELZ97" s="798"/>
      <c r="EMA97" s="798"/>
      <c r="EMB97" s="798"/>
      <c r="EMC97" s="798"/>
      <c r="EMD97" s="798"/>
      <c r="EME97" s="798"/>
      <c r="EMF97" s="798"/>
      <c r="EMG97" s="798"/>
      <c r="EMH97" s="798"/>
      <c r="EMI97" s="798"/>
      <c r="EMJ97" s="798"/>
      <c r="EMK97" s="798"/>
      <c r="EML97" s="798"/>
      <c r="EMM97" s="798"/>
      <c r="EMN97" s="798"/>
      <c r="EMO97" s="798"/>
      <c r="EMP97" s="798"/>
      <c r="EMQ97" s="798"/>
      <c r="EMR97" s="798"/>
      <c r="EMS97" s="798"/>
      <c r="EMT97" s="798"/>
      <c r="EMU97" s="798"/>
      <c r="EMV97" s="798"/>
      <c r="EMW97" s="798"/>
      <c r="EMX97" s="798"/>
      <c r="EMY97" s="798"/>
      <c r="EMZ97" s="798"/>
      <c r="ENA97" s="798"/>
      <c r="ENB97" s="798"/>
      <c r="ENC97" s="798"/>
      <c r="END97" s="798"/>
      <c r="ENE97" s="798"/>
      <c r="ENF97" s="798"/>
      <c r="ENG97" s="798"/>
      <c r="ENH97" s="798"/>
      <c r="ENI97" s="798"/>
      <c r="ENJ97" s="798"/>
      <c r="ENK97" s="798"/>
      <c r="ENL97" s="798"/>
      <c r="ENM97" s="798"/>
      <c r="ENN97" s="798"/>
      <c r="ENO97" s="798"/>
      <c r="ENP97" s="798"/>
      <c r="ENQ97" s="798"/>
      <c r="ENR97" s="798"/>
      <c r="ENS97" s="798"/>
      <c r="ENT97" s="798"/>
      <c r="ENU97" s="798"/>
      <c r="ENV97" s="798"/>
      <c r="ENW97" s="798"/>
      <c r="ENX97" s="798"/>
      <c r="ENY97" s="798"/>
      <c r="ENZ97" s="798"/>
      <c r="EOA97" s="798"/>
      <c r="EOB97" s="798"/>
      <c r="EOC97" s="798"/>
      <c r="EOD97" s="798"/>
      <c r="EOE97" s="798"/>
      <c r="EOF97" s="798"/>
      <c r="EOG97" s="798"/>
      <c r="EOH97" s="798"/>
      <c r="EOI97" s="798"/>
      <c r="EOJ97" s="798"/>
      <c r="EOK97" s="798"/>
      <c r="EOL97" s="798"/>
      <c r="EOM97" s="798"/>
      <c r="EON97" s="798"/>
      <c r="EOO97" s="798"/>
      <c r="EOP97" s="798"/>
      <c r="EOQ97" s="798"/>
      <c r="EOR97" s="798"/>
      <c r="EOS97" s="798"/>
      <c r="EOT97" s="798"/>
      <c r="EOU97" s="798"/>
      <c r="EOV97" s="798"/>
      <c r="EOW97" s="798"/>
      <c r="EOX97" s="798"/>
      <c r="EOY97" s="798"/>
      <c r="EOZ97" s="798"/>
      <c r="EPA97" s="798"/>
      <c r="EPB97" s="798"/>
      <c r="EPC97" s="798"/>
      <c r="EPD97" s="798"/>
      <c r="EPE97" s="798"/>
      <c r="EPF97" s="798"/>
      <c r="EPG97" s="798"/>
      <c r="EPH97" s="798"/>
      <c r="EPI97" s="798"/>
      <c r="EPJ97" s="798"/>
      <c r="EPK97" s="798"/>
      <c r="EPL97" s="798"/>
      <c r="EPM97" s="798"/>
      <c r="EPN97" s="798"/>
      <c r="EPO97" s="798"/>
      <c r="EPP97" s="798"/>
      <c r="EPQ97" s="798"/>
      <c r="EPR97" s="798"/>
      <c r="EPS97" s="798"/>
      <c r="EPT97" s="798"/>
      <c r="EPU97" s="798"/>
      <c r="EPV97" s="798"/>
      <c r="EPW97" s="798"/>
      <c r="EPX97" s="798"/>
      <c r="EPY97" s="798"/>
      <c r="EPZ97" s="798"/>
      <c r="EQA97" s="798"/>
      <c r="EQB97" s="798"/>
      <c r="EQC97" s="798"/>
      <c r="EQD97" s="798"/>
      <c r="EQE97" s="798"/>
      <c r="EQF97" s="798"/>
      <c r="EQG97" s="798"/>
      <c r="EQH97" s="798"/>
      <c r="EQI97" s="798"/>
      <c r="EQJ97" s="798"/>
      <c r="EQK97" s="798"/>
      <c r="EQL97" s="798"/>
      <c r="EQM97" s="798"/>
      <c r="EQN97" s="798"/>
      <c r="EQO97" s="798"/>
      <c r="EQP97" s="798"/>
      <c r="EQQ97" s="798"/>
      <c r="EQR97" s="798"/>
      <c r="EQS97" s="798"/>
      <c r="EQT97" s="798"/>
      <c r="EQU97" s="798"/>
      <c r="EQV97" s="798"/>
      <c r="EQW97" s="798"/>
      <c r="EQX97" s="798"/>
      <c r="EQY97" s="798"/>
      <c r="EQZ97" s="798"/>
      <c r="ERA97" s="798"/>
      <c r="ERB97" s="798"/>
      <c r="ERC97" s="798"/>
      <c r="ERD97" s="798"/>
      <c r="ERE97" s="798"/>
      <c r="ERF97" s="798"/>
      <c r="ERG97" s="798"/>
      <c r="ERH97" s="798"/>
      <c r="ERI97" s="798"/>
      <c r="ERJ97" s="798"/>
      <c r="ERK97" s="798"/>
      <c r="ERL97" s="798"/>
      <c r="ERM97" s="798"/>
      <c r="ERN97" s="798"/>
      <c r="ERO97" s="798"/>
      <c r="ERP97" s="798"/>
      <c r="ERQ97" s="798"/>
      <c r="ERR97" s="798"/>
      <c r="ERS97" s="798"/>
      <c r="ERT97" s="798"/>
      <c r="ERU97" s="798"/>
      <c r="ERV97" s="798"/>
      <c r="ERW97" s="798"/>
      <c r="ERX97" s="798"/>
      <c r="ERY97" s="798"/>
      <c r="ERZ97" s="798"/>
      <c r="ESA97" s="798"/>
      <c r="ESB97" s="798"/>
      <c r="ESC97" s="798"/>
      <c r="ESD97" s="798"/>
      <c r="ESE97" s="798"/>
      <c r="ESF97" s="798"/>
      <c r="ESG97" s="798"/>
      <c r="ESH97" s="798"/>
      <c r="ESI97" s="798"/>
      <c r="ESJ97" s="798"/>
      <c r="ESK97" s="798"/>
      <c r="ESL97" s="798"/>
      <c r="ESM97" s="798"/>
      <c r="ESN97" s="798"/>
      <c r="ESO97" s="798"/>
      <c r="ESP97" s="798"/>
      <c r="ESQ97" s="798"/>
      <c r="ESR97" s="798"/>
      <c r="ESS97" s="798"/>
      <c r="EST97" s="798"/>
      <c r="ESU97" s="798"/>
      <c r="ESV97" s="798"/>
      <c r="ESW97" s="798"/>
      <c r="ESX97" s="798"/>
      <c r="ESY97" s="798"/>
      <c r="ESZ97" s="798"/>
      <c r="ETA97" s="798"/>
      <c r="ETB97" s="798"/>
      <c r="ETC97" s="798"/>
      <c r="ETD97" s="798"/>
      <c r="ETE97" s="798"/>
      <c r="ETF97" s="798"/>
      <c r="ETG97" s="798"/>
      <c r="ETH97" s="798"/>
      <c r="ETI97" s="798"/>
      <c r="ETJ97" s="798"/>
      <c r="ETK97" s="798"/>
      <c r="ETL97" s="798"/>
      <c r="ETM97" s="798"/>
      <c r="ETN97" s="798"/>
      <c r="ETO97" s="798"/>
      <c r="ETP97" s="798"/>
      <c r="ETQ97" s="798"/>
      <c r="ETR97" s="798"/>
      <c r="ETS97" s="798"/>
      <c r="ETT97" s="798"/>
      <c r="ETU97" s="798"/>
      <c r="ETV97" s="798"/>
      <c r="ETW97" s="798"/>
      <c r="ETX97" s="798"/>
      <c r="ETY97" s="798"/>
      <c r="ETZ97" s="798"/>
      <c r="EUA97" s="798"/>
      <c r="EUB97" s="798"/>
      <c r="EUC97" s="798"/>
      <c r="EUD97" s="798"/>
      <c r="EUE97" s="798"/>
      <c r="EUF97" s="798"/>
      <c r="EUG97" s="798"/>
      <c r="EUH97" s="798"/>
      <c r="EUI97" s="798"/>
      <c r="EUJ97" s="798"/>
      <c r="EUK97" s="798"/>
      <c r="EUL97" s="798"/>
      <c r="EUM97" s="798"/>
      <c r="EUN97" s="798"/>
      <c r="EUO97" s="798"/>
      <c r="EUP97" s="798"/>
      <c r="EUQ97" s="798"/>
      <c r="EUR97" s="798"/>
      <c r="EUS97" s="798"/>
      <c r="EUT97" s="798"/>
      <c r="EUU97" s="798"/>
      <c r="EUV97" s="798"/>
      <c r="EUW97" s="798"/>
      <c r="EUX97" s="798"/>
      <c r="EUY97" s="798"/>
      <c r="EUZ97" s="798"/>
      <c r="EVA97" s="798"/>
      <c r="EVB97" s="798"/>
      <c r="EVC97" s="798"/>
      <c r="EVD97" s="798"/>
      <c r="EVE97" s="798"/>
      <c r="EVF97" s="798"/>
      <c r="EVG97" s="798"/>
      <c r="EVH97" s="798"/>
      <c r="EVI97" s="798"/>
      <c r="EVJ97" s="798"/>
      <c r="EVK97" s="798"/>
      <c r="EVL97" s="798"/>
      <c r="EVM97" s="798"/>
      <c r="EVN97" s="798"/>
      <c r="EVO97" s="798"/>
      <c r="EVP97" s="798"/>
      <c r="EVQ97" s="798"/>
      <c r="EVR97" s="798"/>
      <c r="EVS97" s="798"/>
      <c r="EVT97" s="798"/>
      <c r="EVU97" s="798"/>
      <c r="EVV97" s="798"/>
      <c r="EVW97" s="798"/>
      <c r="EVX97" s="798"/>
      <c r="EVY97" s="798"/>
      <c r="EVZ97" s="798"/>
      <c r="EWA97" s="798"/>
      <c r="EWB97" s="798"/>
      <c r="EWC97" s="798"/>
      <c r="EWD97" s="798"/>
      <c r="EWE97" s="798"/>
      <c r="EWF97" s="798"/>
      <c r="EWG97" s="798"/>
      <c r="EWH97" s="798"/>
      <c r="EWI97" s="798"/>
      <c r="EWJ97" s="798"/>
      <c r="EWK97" s="798"/>
      <c r="EWL97" s="798"/>
      <c r="EWM97" s="798"/>
      <c r="EWN97" s="798"/>
      <c r="EWO97" s="798"/>
      <c r="EWP97" s="798"/>
      <c r="EWQ97" s="798"/>
      <c r="EWR97" s="798"/>
      <c r="EWS97" s="798"/>
      <c r="EWT97" s="798"/>
      <c r="EWU97" s="798"/>
      <c r="EWV97" s="798"/>
      <c r="EWW97" s="798"/>
      <c r="EWX97" s="798"/>
      <c r="EWY97" s="798"/>
      <c r="EWZ97" s="798"/>
      <c r="EXA97" s="798"/>
      <c r="EXB97" s="798"/>
      <c r="EXC97" s="798"/>
      <c r="EXD97" s="798"/>
      <c r="EXE97" s="798"/>
      <c r="EXF97" s="798"/>
      <c r="EXG97" s="798"/>
      <c r="EXH97" s="798"/>
      <c r="EXI97" s="798"/>
      <c r="EXJ97" s="798"/>
      <c r="EXK97" s="798"/>
      <c r="EXL97" s="798"/>
      <c r="EXM97" s="798"/>
      <c r="EXN97" s="798"/>
      <c r="EXO97" s="798"/>
      <c r="EXP97" s="798"/>
      <c r="EXQ97" s="798"/>
      <c r="EXR97" s="798"/>
      <c r="EXS97" s="798"/>
      <c r="EXT97" s="798"/>
      <c r="EXU97" s="798"/>
      <c r="EXV97" s="798"/>
      <c r="EXW97" s="798"/>
      <c r="EXX97" s="798"/>
      <c r="EXY97" s="798"/>
      <c r="EXZ97" s="798"/>
      <c r="EYA97" s="798"/>
      <c r="EYB97" s="798"/>
      <c r="EYC97" s="798"/>
      <c r="EYD97" s="798"/>
      <c r="EYE97" s="798"/>
      <c r="EYF97" s="798"/>
      <c r="EYG97" s="798"/>
      <c r="EYH97" s="798"/>
      <c r="EYI97" s="798"/>
      <c r="EYJ97" s="798"/>
      <c r="EYK97" s="798"/>
      <c r="EYL97" s="798"/>
      <c r="EYM97" s="798"/>
      <c r="EYN97" s="798"/>
      <c r="EYO97" s="798"/>
      <c r="EYP97" s="798"/>
      <c r="EYQ97" s="798"/>
      <c r="EYR97" s="798"/>
      <c r="EYS97" s="798"/>
      <c r="EYT97" s="798"/>
      <c r="EYU97" s="798"/>
      <c r="EYV97" s="798"/>
      <c r="EYW97" s="798"/>
      <c r="EYX97" s="798"/>
      <c r="EYY97" s="798"/>
      <c r="EYZ97" s="798"/>
      <c r="EZA97" s="798"/>
      <c r="EZB97" s="798"/>
      <c r="EZC97" s="798"/>
      <c r="EZD97" s="798"/>
      <c r="EZE97" s="798"/>
      <c r="EZF97" s="798"/>
      <c r="EZG97" s="798"/>
      <c r="EZH97" s="798"/>
      <c r="EZI97" s="798"/>
      <c r="EZJ97" s="798"/>
      <c r="EZK97" s="798"/>
      <c r="EZL97" s="798"/>
      <c r="EZM97" s="798"/>
      <c r="EZN97" s="798"/>
      <c r="EZO97" s="798"/>
      <c r="EZP97" s="798"/>
      <c r="EZQ97" s="798"/>
      <c r="EZR97" s="798"/>
      <c r="EZS97" s="798"/>
      <c r="EZT97" s="798"/>
      <c r="EZU97" s="798"/>
      <c r="EZV97" s="798"/>
      <c r="EZW97" s="798"/>
      <c r="EZX97" s="798"/>
      <c r="EZY97" s="798"/>
      <c r="EZZ97" s="798"/>
      <c r="FAA97" s="798"/>
      <c r="FAB97" s="798"/>
      <c r="FAC97" s="798"/>
      <c r="FAD97" s="798"/>
      <c r="FAE97" s="798"/>
      <c r="FAF97" s="798"/>
      <c r="FAG97" s="798"/>
      <c r="FAH97" s="798"/>
      <c r="FAI97" s="798"/>
      <c r="FAJ97" s="798"/>
      <c r="FAK97" s="798"/>
      <c r="FAL97" s="798"/>
      <c r="FAM97" s="798"/>
      <c r="FAN97" s="798"/>
      <c r="FAO97" s="798"/>
      <c r="FAP97" s="798"/>
      <c r="FAQ97" s="798"/>
      <c r="FAR97" s="798"/>
      <c r="FAS97" s="798"/>
      <c r="FAT97" s="798"/>
      <c r="FAU97" s="798"/>
      <c r="FAV97" s="798"/>
      <c r="FAW97" s="798"/>
      <c r="FAX97" s="798"/>
      <c r="FAY97" s="798"/>
      <c r="FAZ97" s="798"/>
      <c r="FBA97" s="798"/>
      <c r="FBB97" s="798"/>
      <c r="FBC97" s="798"/>
      <c r="FBD97" s="798"/>
      <c r="FBE97" s="798"/>
      <c r="FBF97" s="798"/>
      <c r="FBG97" s="798"/>
      <c r="FBH97" s="798"/>
      <c r="FBI97" s="798"/>
      <c r="FBJ97" s="798"/>
      <c r="FBK97" s="798"/>
      <c r="FBL97" s="798"/>
      <c r="FBM97" s="798"/>
      <c r="FBN97" s="798"/>
      <c r="FBO97" s="798"/>
      <c r="FBP97" s="798"/>
      <c r="FBQ97" s="798"/>
      <c r="FBR97" s="798"/>
      <c r="FBS97" s="798"/>
      <c r="FBT97" s="798"/>
      <c r="FBU97" s="798"/>
      <c r="FBV97" s="798"/>
      <c r="FBW97" s="798"/>
      <c r="FBX97" s="798"/>
      <c r="FBY97" s="798"/>
      <c r="FBZ97" s="798"/>
      <c r="FCA97" s="798"/>
      <c r="FCB97" s="798"/>
      <c r="FCC97" s="798"/>
      <c r="FCD97" s="798"/>
      <c r="FCE97" s="798"/>
      <c r="FCF97" s="798"/>
      <c r="FCG97" s="798"/>
      <c r="FCH97" s="798"/>
      <c r="FCI97" s="798"/>
      <c r="FCJ97" s="798"/>
      <c r="FCK97" s="798"/>
      <c r="FCL97" s="798"/>
      <c r="FCM97" s="798"/>
      <c r="FCN97" s="798"/>
      <c r="FCO97" s="798"/>
      <c r="FCP97" s="798"/>
      <c r="FCQ97" s="798"/>
      <c r="FCR97" s="798"/>
      <c r="FCS97" s="798"/>
      <c r="FCT97" s="798"/>
      <c r="FCU97" s="798"/>
      <c r="FCV97" s="798"/>
      <c r="FCW97" s="798"/>
      <c r="FCX97" s="798"/>
      <c r="FCY97" s="798"/>
      <c r="FCZ97" s="798"/>
      <c r="FDA97" s="798"/>
      <c r="FDB97" s="798"/>
      <c r="FDC97" s="798"/>
      <c r="FDD97" s="798"/>
      <c r="FDE97" s="798"/>
      <c r="FDF97" s="798"/>
      <c r="FDG97" s="798"/>
      <c r="FDH97" s="798"/>
      <c r="FDI97" s="798"/>
      <c r="FDJ97" s="798"/>
      <c r="FDK97" s="798"/>
      <c r="FDL97" s="798"/>
      <c r="FDM97" s="798"/>
      <c r="FDN97" s="798"/>
      <c r="FDO97" s="798"/>
      <c r="FDP97" s="798"/>
      <c r="FDQ97" s="798"/>
      <c r="FDR97" s="798"/>
      <c r="FDS97" s="798"/>
      <c r="FDT97" s="798"/>
      <c r="FDU97" s="798"/>
      <c r="FDV97" s="798"/>
      <c r="FDW97" s="798"/>
      <c r="FDX97" s="798"/>
      <c r="FDY97" s="798"/>
      <c r="FDZ97" s="798"/>
      <c r="FEA97" s="798"/>
      <c r="FEB97" s="798"/>
      <c r="FEC97" s="798"/>
      <c r="FED97" s="798"/>
      <c r="FEE97" s="798"/>
      <c r="FEF97" s="798"/>
      <c r="FEG97" s="798"/>
      <c r="FEH97" s="798"/>
      <c r="FEI97" s="798"/>
      <c r="FEJ97" s="798"/>
      <c r="FEK97" s="798"/>
      <c r="FEL97" s="798"/>
      <c r="FEM97" s="798"/>
      <c r="FEN97" s="798"/>
      <c r="FEO97" s="798"/>
      <c r="FEP97" s="798"/>
      <c r="FEQ97" s="798"/>
      <c r="FER97" s="798"/>
      <c r="FES97" s="798"/>
      <c r="FET97" s="798"/>
      <c r="FEU97" s="798"/>
      <c r="FEV97" s="798"/>
      <c r="FEW97" s="798"/>
      <c r="FEX97" s="798"/>
      <c r="FEY97" s="798"/>
      <c r="FEZ97" s="798"/>
      <c r="FFA97" s="798"/>
      <c r="FFB97" s="798"/>
      <c r="FFC97" s="798"/>
      <c r="FFD97" s="798"/>
      <c r="FFE97" s="798"/>
      <c r="FFF97" s="798"/>
      <c r="FFG97" s="798"/>
      <c r="FFH97" s="798"/>
      <c r="FFI97" s="798"/>
      <c r="FFJ97" s="798"/>
      <c r="FFK97" s="798"/>
      <c r="FFL97" s="798"/>
      <c r="FFM97" s="798"/>
      <c r="FFN97" s="798"/>
      <c r="FFO97" s="798"/>
      <c r="FFP97" s="798"/>
      <c r="FFQ97" s="798"/>
      <c r="FFR97" s="798"/>
      <c r="FFS97" s="798"/>
      <c r="FFT97" s="798"/>
      <c r="FFU97" s="798"/>
      <c r="FFV97" s="798"/>
      <c r="FFW97" s="798"/>
      <c r="FFX97" s="798"/>
      <c r="FFY97" s="798"/>
      <c r="FFZ97" s="798"/>
      <c r="FGA97" s="798"/>
      <c r="FGB97" s="798"/>
      <c r="FGC97" s="798"/>
      <c r="FGD97" s="798"/>
      <c r="FGE97" s="798"/>
      <c r="FGF97" s="798"/>
      <c r="FGG97" s="798"/>
      <c r="FGH97" s="798"/>
      <c r="FGI97" s="798"/>
      <c r="FGJ97" s="798"/>
      <c r="FGK97" s="798"/>
      <c r="FGL97" s="798"/>
      <c r="FGM97" s="798"/>
      <c r="FGN97" s="798"/>
      <c r="FGO97" s="798"/>
      <c r="FGP97" s="798"/>
      <c r="FGQ97" s="798"/>
      <c r="FGR97" s="798"/>
      <c r="FGS97" s="798"/>
      <c r="FGT97" s="798"/>
      <c r="FGU97" s="798"/>
      <c r="FGV97" s="798"/>
      <c r="FGW97" s="798"/>
      <c r="FGX97" s="798"/>
      <c r="FGY97" s="798"/>
      <c r="FGZ97" s="798"/>
      <c r="FHA97" s="798"/>
      <c r="FHB97" s="798"/>
      <c r="FHC97" s="798"/>
      <c r="FHD97" s="798"/>
      <c r="FHE97" s="798"/>
      <c r="FHF97" s="798"/>
      <c r="FHG97" s="798"/>
      <c r="FHH97" s="798"/>
      <c r="FHI97" s="798"/>
      <c r="FHJ97" s="798"/>
      <c r="FHK97" s="798"/>
      <c r="FHL97" s="798"/>
      <c r="FHM97" s="798"/>
      <c r="FHN97" s="798"/>
      <c r="FHO97" s="798"/>
      <c r="FHP97" s="798"/>
      <c r="FHQ97" s="798"/>
      <c r="FHR97" s="798"/>
      <c r="FHS97" s="798"/>
      <c r="FHT97" s="798"/>
      <c r="FHU97" s="798"/>
      <c r="FHV97" s="798"/>
      <c r="FHW97" s="798"/>
      <c r="FHX97" s="798"/>
      <c r="FHY97" s="798"/>
      <c r="FHZ97" s="798"/>
      <c r="FIA97" s="798"/>
      <c r="FIB97" s="798"/>
      <c r="FIC97" s="798"/>
      <c r="FID97" s="798"/>
      <c r="FIE97" s="798"/>
      <c r="FIF97" s="798"/>
      <c r="FIG97" s="798"/>
      <c r="FIH97" s="798"/>
      <c r="FII97" s="798"/>
      <c r="FIJ97" s="798"/>
      <c r="FIK97" s="798"/>
      <c r="FIL97" s="798"/>
      <c r="FIM97" s="798"/>
      <c r="FIN97" s="798"/>
      <c r="FIO97" s="798"/>
      <c r="FIP97" s="798"/>
      <c r="FIQ97" s="798"/>
      <c r="FIR97" s="798"/>
      <c r="FIS97" s="798"/>
      <c r="FIT97" s="798"/>
      <c r="FIU97" s="798"/>
      <c r="FIV97" s="798"/>
      <c r="FIW97" s="798"/>
      <c r="FIX97" s="798"/>
      <c r="FIY97" s="798"/>
      <c r="FIZ97" s="798"/>
      <c r="FJA97" s="798"/>
      <c r="FJB97" s="798"/>
      <c r="FJC97" s="798"/>
      <c r="FJD97" s="798"/>
      <c r="FJE97" s="798"/>
      <c r="FJF97" s="798"/>
      <c r="FJG97" s="798"/>
      <c r="FJH97" s="798"/>
      <c r="FJI97" s="798"/>
      <c r="FJJ97" s="798"/>
      <c r="FJK97" s="798"/>
      <c r="FJL97" s="798"/>
      <c r="FJM97" s="798"/>
      <c r="FJN97" s="798"/>
      <c r="FJO97" s="798"/>
      <c r="FJP97" s="798"/>
      <c r="FJQ97" s="798"/>
      <c r="FJR97" s="798"/>
      <c r="FJS97" s="798"/>
      <c r="FJT97" s="798"/>
      <c r="FJU97" s="798"/>
      <c r="FJV97" s="798"/>
      <c r="FJW97" s="798"/>
      <c r="FJX97" s="798"/>
      <c r="FJY97" s="798"/>
      <c r="FJZ97" s="798"/>
      <c r="FKA97" s="798"/>
      <c r="FKB97" s="798"/>
      <c r="FKC97" s="798"/>
      <c r="FKD97" s="798"/>
      <c r="FKE97" s="798"/>
      <c r="FKF97" s="798"/>
      <c r="FKG97" s="798"/>
      <c r="FKH97" s="798"/>
      <c r="FKI97" s="798"/>
      <c r="FKJ97" s="798"/>
      <c r="FKK97" s="798"/>
      <c r="FKL97" s="798"/>
      <c r="FKM97" s="798"/>
      <c r="FKN97" s="798"/>
      <c r="FKO97" s="798"/>
      <c r="FKP97" s="798"/>
      <c r="FKQ97" s="798"/>
      <c r="FKR97" s="798"/>
      <c r="FKS97" s="798"/>
      <c r="FKT97" s="798"/>
      <c r="FKU97" s="798"/>
      <c r="FKV97" s="798"/>
      <c r="FKW97" s="798"/>
      <c r="FKX97" s="798"/>
      <c r="FKY97" s="798"/>
      <c r="FKZ97" s="798"/>
      <c r="FLA97" s="798"/>
      <c r="FLB97" s="798"/>
      <c r="FLC97" s="798"/>
      <c r="FLD97" s="798"/>
      <c r="FLE97" s="798"/>
      <c r="FLF97" s="798"/>
      <c r="FLG97" s="798"/>
      <c r="FLH97" s="798"/>
      <c r="FLI97" s="798"/>
      <c r="FLJ97" s="798"/>
      <c r="FLK97" s="798"/>
      <c r="FLL97" s="798"/>
      <c r="FLM97" s="798"/>
      <c r="FLN97" s="798"/>
      <c r="FLO97" s="798"/>
      <c r="FLP97" s="798"/>
      <c r="FLQ97" s="798"/>
      <c r="FLR97" s="798"/>
      <c r="FLS97" s="798"/>
      <c r="FLT97" s="798"/>
      <c r="FLU97" s="798"/>
      <c r="FLV97" s="798"/>
      <c r="FLW97" s="798"/>
      <c r="FLX97" s="798"/>
      <c r="FLY97" s="798"/>
      <c r="FLZ97" s="798"/>
      <c r="FMA97" s="798"/>
      <c r="FMB97" s="798"/>
      <c r="FMC97" s="798"/>
      <c r="FMD97" s="798"/>
      <c r="FME97" s="798"/>
      <c r="FMF97" s="798"/>
      <c r="FMG97" s="798"/>
      <c r="FMH97" s="798"/>
      <c r="FMI97" s="798"/>
      <c r="FMJ97" s="798"/>
      <c r="FMK97" s="798"/>
      <c r="FML97" s="798"/>
      <c r="FMM97" s="798"/>
      <c r="FMN97" s="798"/>
      <c r="FMO97" s="798"/>
      <c r="FMP97" s="798"/>
      <c r="FMQ97" s="798"/>
      <c r="FMR97" s="798"/>
      <c r="FMS97" s="798"/>
      <c r="FMT97" s="798"/>
      <c r="FMU97" s="798"/>
      <c r="FMV97" s="798"/>
      <c r="FMW97" s="798"/>
      <c r="FMX97" s="798"/>
      <c r="FMY97" s="798"/>
      <c r="FMZ97" s="798"/>
      <c r="FNA97" s="798"/>
      <c r="FNB97" s="798"/>
      <c r="FNC97" s="798"/>
      <c r="FND97" s="798"/>
      <c r="FNE97" s="798"/>
      <c r="FNF97" s="798"/>
      <c r="FNG97" s="798"/>
      <c r="FNH97" s="798"/>
      <c r="FNI97" s="798"/>
      <c r="FNJ97" s="798"/>
      <c r="FNK97" s="798"/>
      <c r="FNL97" s="798"/>
      <c r="FNM97" s="798"/>
      <c r="FNN97" s="798"/>
      <c r="FNO97" s="798"/>
      <c r="FNP97" s="798"/>
      <c r="FNQ97" s="798"/>
      <c r="FNR97" s="798"/>
      <c r="FNS97" s="798"/>
      <c r="FNT97" s="798"/>
      <c r="FNU97" s="798"/>
      <c r="FNV97" s="798"/>
      <c r="FNW97" s="798"/>
      <c r="FNX97" s="798"/>
      <c r="FNY97" s="798"/>
      <c r="FNZ97" s="798"/>
      <c r="FOA97" s="798"/>
      <c r="FOB97" s="798"/>
      <c r="FOC97" s="798"/>
      <c r="FOD97" s="798"/>
      <c r="FOE97" s="798"/>
      <c r="FOF97" s="798"/>
      <c r="FOG97" s="798"/>
      <c r="FOH97" s="798"/>
      <c r="FOI97" s="798"/>
      <c r="FOJ97" s="798"/>
      <c r="FOK97" s="798"/>
      <c r="FOL97" s="798"/>
      <c r="FOM97" s="798"/>
      <c r="FON97" s="798"/>
      <c r="FOO97" s="798"/>
      <c r="FOP97" s="798"/>
      <c r="FOQ97" s="798"/>
      <c r="FOR97" s="798"/>
      <c r="FOS97" s="798"/>
      <c r="FOT97" s="798"/>
      <c r="FOU97" s="798"/>
      <c r="FOV97" s="798"/>
      <c r="FOW97" s="798"/>
      <c r="FOX97" s="798"/>
      <c r="FOY97" s="798"/>
      <c r="FOZ97" s="798"/>
      <c r="FPA97" s="798"/>
      <c r="FPB97" s="798"/>
      <c r="FPC97" s="798"/>
      <c r="FPD97" s="798"/>
      <c r="FPE97" s="798"/>
      <c r="FPF97" s="798"/>
      <c r="FPG97" s="798"/>
      <c r="FPH97" s="798"/>
      <c r="FPI97" s="798"/>
      <c r="FPJ97" s="798"/>
      <c r="FPK97" s="798"/>
      <c r="FPL97" s="798"/>
      <c r="FPM97" s="798"/>
      <c r="FPN97" s="798"/>
      <c r="FPO97" s="798"/>
      <c r="FPP97" s="798"/>
      <c r="FPQ97" s="798"/>
      <c r="FPR97" s="798"/>
      <c r="FPS97" s="798"/>
      <c r="FPT97" s="798"/>
      <c r="FPU97" s="798"/>
      <c r="FPV97" s="798"/>
      <c r="FPW97" s="798"/>
      <c r="FPX97" s="798"/>
      <c r="FPY97" s="798"/>
      <c r="FPZ97" s="798"/>
      <c r="FQA97" s="798"/>
      <c r="FQB97" s="798"/>
      <c r="FQC97" s="798"/>
      <c r="FQD97" s="798"/>
      <c r="FQE97" s="798"/>
      <c r="FQF97" s="798"/>
      <c r="FQG97" s="798"/>
      <c r="FQH97" s="798"/>
      <c r="FQI97" s="798"/>
      <c r="FQJ97" s="798"/>
      <c r="FQK97" s="798"/>
      <c r="FQL97" s="798"/>
      <c r="FQM97" s="798"/>
      <c r="FQN97" s="798"/>
      <c r="FQO97" s="798"/>
      <c r="FQP97" s="798"/>
      <c r="FQQ97" s="798"/>
      <c r="FQR97" s="798"/>
      <c r="FQS97" s="798"/>
      <c r="FQT97" s="798"/>
      <c r="FQU97" s="798"/>
      <c r="FQV97" s="798"/>
      <c r="FQW97" s="798"/>
      <c r="FQX97" s="798"/>
      <c r="FQY97" s="798"/>
      <c r="FQZ97" s="798"/>
      <c r="FRA97" s="798"/>
      <c r="FRB97" s="798"/>
      <c r="FRC97" s="798"/>
      <c r="FRD97" s="798"/>
      <c r="FRE97" s="798"/>
      <c r="FRF97" s="798"/>
      <c r="FRG97" s="798"/>
      <c r="FRH97" s="798"/>
      <c r="FRI97" s="798"/>
      <c r="FRJ97" s="798"/>
      <c r="FRK97" s="798"/>
      <c r="FRL97" s="798"/>
      <c r="FRM97" s="798"/>
      <c r="FRN97" s="798"/>
      <c r="FRO97" s="798"/>
      <c r="FRP97" s="798"/>
      <c r="FRQ97" s="798"/>
      <c r="FRR97" s="798"/>
      <c r="FRS97" s="798"/>
      <c r="FRT97" s="798"/>
      <c r="FRU97" s="798"/>
      <c r="FRV97" s="798"/>
      <c r="FRW97" s="798"/>
      <c r="FRX97" s="798"/>
      <c r="FRY97" s="798"/>
      <c r="FRZ97" s="798"/>
      <c r="FSA97" s="798"/>
      <c r="FSB97" s="798"/>
      <c r="FSC97" s="798"/>
      <c r="FSD97" s="798"/>
      <c r="FSE97" s="798"/>
      <c r="FSF97" s="798"/>
      <c r="FSG97" s="798"/>
      <c r="FSH97" s="798"/>
      <c r="FSI97" s="798"/>
      <c r="FSJ97" s="798"/>
      <c r="FSK97" s="798"/>
      <c r="FSL97" s="798"/>
      <c r="FSM97" s="798"/>
      <c r="FSN97" s="798"/>
      <c r="FSO97" s="798"/>
      <c r="FSP97" s="798"/>
      <c r="FSQ97" s="798"/>
      <c r="FSR97" s="798"/>
      <c r="FSS97" s="798"/>
      <c r="FST97" s="798"/>
      <c r="FSU97" s="798"/>
      <c r="FSV97" s="798"/>
      <c r="FSW97" s="798"/>
      <c r="FSX97" s="798"/>
      <c r="FSY97" s="798"/>
      <c r="FSZ97" s="798"/>
      <c r="FTA97" s="798"/>
      <c r="FTB97" s="798"/>
      <c r="FTC97" s="798"/>
      <c r="FTD97" s="798"/>
      <c r="FTE97" s="798"/>
      <c r="FTF97" s="798"/>
      <c r="FTG97" s="798"/>
      <c r="FTH97" s="798"/>
      <c r="FTI97" s="798"/>
      <c r="FTJ97" s="798"/>
      <c r="FTK97" s="798"/>
      <c r="FTL97" s="798"/>
      <c r="FTM97" s="798"/>
      <c r="FTN97" s="798"/>
      <c r="FTO97" s="798"/>
      <c r="FTP97" s="798"/>
      <c r="FTQ97" s="798"/>
      <c r="FTR97" s="798"/>
      <c r="FTS97" s="798"/>
      <c r="FTT97" s="798"/>
      <c r="FTU97" s="798"/>
      <c r="FTV97" s="798"/>
      <c r="FTW97" s="798"/>
      <c r="FTX97" s="798"/>
      <c r="FTY97" s="798"/>
      <c r="FTZ97" s="798"/>
      <c r="FUA97" s="798"/>
      <c r="FUB97" s="798"/>
      <c r="FUC97" s="798"/>
      <c r="FUD97" s="798"/>
      <c r="FUE97" s="798"/>
      <c r="FUF97" s="798"/>
      <c r="FUG97" s="798"/>
      <c r="FUH97" s="798"/>
      <c r="FUI97" s="798"/>
      <c r="FUJ97" s="798"/>
      <c r="FUK97" s="798"/>
      <c r="FUL97" s="798"/>
      <c r="FUM97" s="798"/>
      <c r="FUN97" s="798"/>
      <c r="FUO97" s="798"/>
      <c r="FUP97" s="798"/>
      <c r="FUQ97" s="798"/>
      <c r="FUR97" s="798"/>
      <c r="FUS97" s="798"/>
      <c r="FUT97" s="798"/>
      <c r="FUU97" s="798"/>
      <c r="FUV97" s="798"/>
      <c r="FUW97" s="798"/>
      <c r="FUX97" s="798"/>
      <c r="FUY97" s="798"/>
      <c r="FUZ97" s="798"/>
      <c r="FVA97" s="798"/>
      <c r="FVB97" s="798"/>
      <c r="FVC97" s="798"/>
      <c r="FVD97" s="798"/>
      <c r="FVE97" s="798"/>
      <c r="FVF97" s="798"/>
      <c r="FVG97" s="798"/>
      <c r="FVH97" s="798"/>
      <c r="FVI97" s="798"/>
      <c r="FVJ97" s="798"/>
      <c r="FVK97" s="798"/>
      <c r="FVL97" s="798"/>
      <c r="FVM97" s="798"/>
      <c r="FVN97" s="798"/>
      <c r="FVO97" s="798"/>
      <c r="FVP97" s="798"/>
      <c r="FVQ97" s="798"/>
      <c r="FVR97" s="798"/>
      <c r="FVS97" s="798"/>
      <c r="FVT97" s="798"/>
      <c r="FVU97" s="798"/>
      <c r="FVV97" s="798"/>
      <c r="FVW97" s="798"/>
      <c r="FVX97" s="798"/>
      <c r="FVY97" s="798"/>
      <c r="FVZ97" s="798"/>
      <c r="FWA97" s="798"/>
      <c r="FWB97" s="798"/>
      <c r="FWC97" s="798"/>
      <c r="FWD97" s="798"/>
      <c r="FWE97" s="798"/>
      <c r="FWF97" s="798"/>
      <c r="FWG97" s="798"/>
      <c r="FWH97" s="798"/>
      <c r="FWI97" s="798"/>
      <c r="FWJ97" s="798"/>
      <c r="FWK97" s="798"/>
      <c r="FWL97" s="798"/>
      <c r="FWM97" s="798"/>
      <c r="FWN97" s="798"/>
      <c r="FWO97" s="798"/>
      <c r="FWP97" s="798"/>
      <c r="FWQ97" s="798"/>
      <c r="FWR97" s="798"/>
      <c r="FWS97" s="798"/>
      <c r="FWT97" s="798"/>
      <c r="FWU97" s="798"/>
      <c r="FWV97" s="798"/>
      <c r="FWW97" s="798"/>
      <c r="FWX97" s="798"/>
      <c r="FWY97" s="798"/>
      <c r="FWZ97" s="798"/>
      <c r="FXA97" s="798"/>
      <c r="FXB97" s="798"/>
      <c r="FXC97" s="798"/>
      <c r="FXD97" s="798"/>
      <c r="FXE97" s="798"/>
      <c r="FXF97" s="798"/>
      <c r="FXG97" s="798"/>
      <c r="FXH97" s="798"/>
      <c r="FXI97" s="798"/>
      <c r="FXJ97" s="798"/>
      <c r="FXK97" s="798"/>
      <c r="FXL97" s="798"/>
      <c r="FXM97" s="798"/>
      <c r="FXN97" s="798"/>
      <c r="FXO97" s="798"/>
      <c r="FXP97" s="798"/>
      <c r="FXQ97" s="798"/>
      <c r="FXR97" s="798"/>
      <c r="FXS97" s="798"/>
      <c r="FXT97" s="798"/>
      <c r="FXU97" s="798"/>
      <c r="FXV97" s="798"/>
      <c r="FXW97" s="798"/>
      <c r="FXX97" s="798"/>
      <c r="FXY97" s="798"/>
      <c r="FXZ97" s="798"/>
      <c r="FYA97" s="798"/>
      <c r="FYB97" s="798"/>
      <c r="FYC97" s="798"/>
      <c r="FYD97" s="798"/>
      <c r="FYE97" s="798"/>
      <c r="FYF97" s="798"/>
      <c r="FYG97" s="798"/>
      <c r="FYH97" s="798"/>
      <c r="FYI97" s="798"/>
      <c r="FYJ97" s="798"/>
      <c r="FYK97" s="798"/>
      <c r="FYL97" s="798"/>
      <c r="FYM97" s="798"/>
      <c r="FYN97" s="798"/>
      <c r="FYO97" s="798"/>
      <c r="FYP97" s="798"/>
      <c r="FYQ97" s="798"/>
      <c r="FYR97" s="798"/>
      <c r="FYS97" s="798"/>
      <c r="FYT97" s="798"/>
      <c r="FYU97" s="798"/>
      <c r="FYV97" s="798"/>
      <c r="FYW97" s="798"/>
      <c r="FYX97" s="798"/>
      <c r="FYY97" s="798"/>
      <c r="FYZ97" s="798"/>
      <c r="FZA97" s="798"/>
      <c r="FZB97" s="798"/>
      <c r="FZC97" s="798"/>
      <c r="FZD97" s="798"/>
      <c r="FZE97" s="798"/>
      <c r="FZF97" s="798"/>
      <c r="FZG97" s="798"/>
      <c r="FZH97" s="798"/>
      <c r="FZI97" s="798"/>
      <c r="FZJ97" s="798"/>
      <c r="FZK97" s="798"/>
      <c r="FZL97" s="798"/>
      <c r="FZM97" s="798"/>
      <c r="FZN97" s="798"/>
      <c r="FZO97" s="798"/>
      <c r="FZP97" s="798"/>
      <c r="FZQ97" s="798"/>
      <c r="FZR97" s="798"/>
      <c r="FZS97" s="798"/>
      <c r="FZT97" s="798"/>
      <c r="FZU97" s="798"/>
      <c r="FZV97" s="798"/>
      <c r="FZW97" s="798"/>
      <c r="FZX97" s="798"/>
      <c r="FZY97" s="798"/>
      <c r="FZZ97" s="798"/>
      <c r="GAA97" s="798"/>
      <c r="GAB97" s="798"/>
      <c r="GAC97" s="798"/>
      <c r="GAD97" s="798"/>
      <c r="GAE97" s="798"/>
      <c r="GAF97" s="798"/>
      <c r="GAG97" s="798"/>
      <c r="GAH97" s="798"/>
      <c r="GAI97" s="798"/>
      <c r="GAJ97" s="798"/>
      <c r="GAK97" s="798"/>
      <c r="GAL97" s="798"/>
      <c r="GAM97" s="798"/>
      <c r="GAN97" s="798"/>
      <c r="GAO97" s="798"/>
      <c r="GAP97" s="798"/>
      <c r="GAQ97" s="798"/>
      <c r="GAR97" s="798"/>
      <c r="GAS97" s="798"/>
      <c r="GAT97" s="798"/>
      <c r="GAU97" s="798"/>
      <c r="GAV97" s="798"/>
      <c r="GAW97" s="798"/>
      <c r="GAX97" s="798"/>
      <c r="GAY97" s="798"/>
      <c r="GAZ97" s="798"/>
      <c r="GBA97" s="798"/>
      <c r="GBB97" s="798"/>
      <c r="GBC97" s="798"/>
      <c r="GBD97" s="798"/>
      <c r="GBE97" s="798"/>
      <c r="GBF97" s="798"/>
      <c r="GBG97" s="798"/>
      <c r="GBH97" s="798"/>
      <c r="GBI97" s="798"/>
      <c r="GBJ97" s="798"/>
      <c r="GBK97" s="798"/>
      <c r="GBL97" s="798"/>
      <c r="GBM97" s="798"/>
      <c r="GBN97" s="798"/>
      <c r="GBO97" s="798"/>
      <c r="GBP97" s="798"/>
      <c r="GBQ97" s="798"/>
      <c r="GBR97" s="798"/>
      <c r="GBS97" s="798"/>
      <c r="GBT97" s="798"/>
      <c r="GBU97" s="798"/>
      <c r="GBV97" s="798"/>
      <c r="GBW97" s="798"/>
      <c r="GBX97" s="798"/>
      <c r="GBY97" s="798"/>
      <c r="GBZ97" s="798"/>
      <c r="GCA97" s="798"/>
      <c r="GCB97" s="798"/>
      <c r="GCC97" s="798"/>
      <c r="GCD97" s="798"/>
      <c r="GCE97" s="798"/>
      <c r="GCF97" s="798"/>
      <c r="GCG97" s="798"/>
      <c r="GCH97" s="798"/>
      <c r="GCI97" s="798"/>
      <c r="GCJ97" s="798"/>
      <c r="GCK97" s="798"/>
      <c r="GCL97" s="798"/>
      <c r="GCM97" s="798"/>
      <c r="GCN97" s="798"/>
      <c r="GCO97" s="798"/>
      <c r="GCP97" s="798"/>
      <c r="GCQ97" s="798"/>
      <c r="GCR97" s="798"/>
      <c r="GCS97" s="798"/>
      <c r="GCT97" s="798"/>
      <c r="GCU97" s="798"/>
      <c r="GCV97" s="798"/>
      <c r="GCW97" s="798"/>
      <c r="GCX97" s="798"/>
      <c r="GCY97" s="798"/>
      <c r="GCZ97" s="798"/>
      <c r="GDA97" s="798"/>
      <c r="GDB97" s="798"/>
      <c r="GDC97" s="798"/>
      <c r="GDD97" s="798"/>
      <c r="GDE97" s="798"/>
      <c r="GDF97" s="798"/>
      <c r="GDG97" s="798"/>
      <c r="GDH97" s="798"/>
      <c r="GDI97" s="798"/>
      <c r="GDJ97" s="798"/>
      <c r="GDK97" s="798"/>
      <c r="GDL97" s="798"/>
      <c r="GDM97" s="798"/>
      <c r="GDN97" s="798"/>
      <c r="GDO97" s="798"/>
      <c r="GDP97" s="798"/>
      <c r="GDQ97" s="798"/>
      <c r="GDR97" s="798"/>
      <c r="GDS97" s="798"/>
      <c r="GDT97" s="798"/>
      <c r="GDU97" s="798"/>
      <c r="GDV97" s="798"/>
      <c r="GDW97" s="798"/>
      <c r="GDX97" s="798"/>
      <c r="GDY97" s="798"/>
      <c r="GDZ97" s="798"/>
      <c r="GEA97" s="798"/>
      <c r="GEB97" s="798"/>
      <c r="GEC97" s="798"/>
      <c r="GED97" s="798"/>
      <c r="GEE97" s="798"/>
      <c r="GEF97" s="798"/>
      <c r="GEG97" s="798"/>
      <c r="GEH97" s="798"/>
      <c r="GEI97" s="798"/>
      <c r="GEJ97" s="798"/>
      <c r="GEK97" s="798"/>
      <c r="GEL97" s="798"/>
      <c r="GEM97" s="798"/>
      <c r="GEN97" s="798"/>
      <c r="GEO97" s="798"/>
      <c r="GEP97" s="798"/>
      <c r="GEQ97" s="798"/>
      <c r="GER97" s="798"/>
      <c r="GES97" s="798"/>
      <c r="GET97" s="798"/>
      <c r="GEU97" s="798"/>
      <c r="GEV97" s="798"/>
      <c r="GEW97" s="798"/>
      <c r="GEX97" s="798"/>
      <c r="GEY97" s="798"/>
      <c r="GEZ97" s="798"/>
      <c r="GFA97" s="798"/>
      <c r="GFB97" s="798"/>
      <c r="GFC97" s="798"/>
      <c r="GFD97" s="798"/>
      <c r="GFE97" s="798"/>
      <c r="GFF97" s="798"/>
      <c r="GFG97" s="798"/>
      <c r="GFH97" s="798"/>
      <c r="GFI97" s="798"/>
      <c r="GFJ97" s="798"/>
      <c r="GFK97" s="798"/>
      <c r="GFL97" s="798"/>
      <c r="GFM97" s="798"/>
      <c r="GFN97" s="798"/>
      <c r="GFO97" s="798"/>
      <c r="GFP97" s="798"/>
      <c r="GFQ97" s="798"/>
      <c r="GFR97" s="798"/>
      <c r="GFS97" s="798"/>
      <c r="GFT97" s="798"/>
      <c r="GFU97" s="798"/>
      <c r="GFV97" s="798"/>
      <c r="GFW97" s="798"/>
      <c r="GFX97" s="798"/>
      <c r="GFY97" s="798"/>
      <c r="GFZ97" s="798"/>
      <c r="GGA97" s="798"/>
      <c r="GGB97" s="798"/>
      <c r="GGC97" s="798"/>
      <c r="GGD97" s="798"/>
      <c r="GGE97" s="798"/>
      <c r="GGF97" s="798"/>
      <c r="GGG97" s="798"/>
      <c r="GGH97" s="798"/>
      <c r="GGI97" s="798"/>
      <c r="GGJ97" s="798"/>
      <c r="GGK97" s="798"/>
      <c r="GGL97" s="798"/>
      <c r="GGM97" s="798"/>
      <c r="GGN97" s="798"/>
      <c r="GGO97" s="798"/>
      <c r="GGP97" s="798"/>
      <c r="GGQ97" s="798"/>
      <c r="GGR97" s="798"/>
      <c r="GGS97" s="798"/>
      <c r="GGT97" s="798"/>
      <c r="GGU97" s="798"/>
      <c r="GGV97" s="798"/>
      <c r="GGW97" s="798"/>
      <c r="GGX97" s="798"/>
      <c r="GGY97" s="798"/>
      <c r="GGZ97" s="798"/>
      <c r="GHA97" s="798"/>
      <c r="GHB97" s="798"/>
      <c r="GHC97" s="798"/>
      <c r="GHD97" s="798"/>
      <c r="GHE97" s="798"/>
      <c r="GHF97" s="798"/>
      <c r="GHG97" s="798"/>
      <c r="GHH97" s="798"/>
      <c r="GHI97" s="798"/>
      <c r="GHJ97" s="798"/>
      <c r="GHK97" s="798"/>
      <c r="GHL97" s="798"/>
      <c r="GHM97" s="798"/>
      <c r="GHN97" s="798"/>
      <c r="GHO97" s="798"/>
      <c r="GHP97" s="798"/>
      <c r="GHQ97" s="798"/>
      <c r="GHR97" s="798"/>
      <c r="GHS97" s="798"/>
      <c r="GHT97" s="798"/>
      <c r="GHU97" s="798"/>
      <c r="GHV97" s="798"/>
      <c r="GHW97" s="798"/>
      <c r="GHX97" s="798"/>
      <c r="GHY97" s="798"/>
      <c r="GHZ97" s="798"/>
      <c r="GIA97" s="798"/>
      <c r="GIB97" s="798"/>
      <c r="GIC97" s="798"/>
      <c r="GID97" s="798"/>
      <c r="GIE97" s="798"/>
      <c r="GIF97" s="798"/>
      <c r="GIG97" s="798"/>
      <c r="GIH97" s="798"/>
      <c r="GII97" s="798"/>
      <c r="GIJ97" s="798"/>
      <c r="GIK97" s="798"/>
      <c r="GIL97" s="798"/>
      <c r="GIM97" s="798"/>
      <c r="GIN97" s="798"/>
      <c r="GIO97" s="798"/>
      <c r="GIP97" s="798"/>
      <c r="GIQ97" s="798"/>
      <c r="GIR97" s="798"/>
      <c r="GIS97" s="798"/>
      <c r="GIT97" s="798"/>
      <c r="GIU97" s="798"/>
      <c r="GIV97" s="798"/>
      <c r="GIW97" s="798"/>
      <c r="GIX97" s="798"/>
      <c r="GIY97" s="798"/>
      <c r="GIZ97" s="798"/>
      <c r="GJA97" s="798"/>
      <c r="GJB97" s="798"/>
      <c r="GJC97" s="798"/>
      <c r="GJD97" s="798"/>
      <c r="GJE97" s="798"/>
      <c r="GJF97" s="798"/>
      <c r="GJG97" s="798"/>
      <c r="GJH97" s="798"/>
      <c r="GJI97" s="798"/>
      <c r="GJJ97" s="798"/>
      <c r="GJK97" s="798"/>
      <c r="GJL97" s="798"/>
      <c r="GJM97" s="798"/>
      <c r="GJN97" s="798"/>
      <c r="GJO97" s="798"/>
      <c r="GJP97" s="798"/>
      <c r="GJQ97" s="798"/>
      <c r="GJR97" s="798"/>
      <c r="GJS97" s="798"/>
      <c r="GJT97" s="798"/>
      <c r="GJU97" s="798"/>
      <c r="GJV97" s="798"/>
      <c r="GJW97" s="798"/>
      <c r="GJX97" s="798"/>
      <c r="GJY97" s="798"/>
      <c r="GJZ97" s="798"/>
      <c r="GKA97" s="798"/>
      <c r="GKB97" s="798"/>
      <c r="GKC97" s="798"/>
      <c r="GKD97" s="798"/>
      <c r="GKE97" s="798"/>
      <c r="GKF97" s="798"/>
      <c r="GKG97" s="798"/>
      <c r="GKH97" s="798"/>
      <c r="GKI97" s="798"/>
      <c r="GKJ97" s="798"/>
      <c r="GKK97" s="798"/>
      <c r="GKL97" s="798"/>
      <c r="GKM97" s="798"/>
      <c r="GKN97" s="798"/>
      <c r="GKO97" s="798"/>
      <c r="GKP97" s="798"/>
      <c r="GKQ97" s="798"/>
      <c r="GKR97" s="798"/>
      <c r="GKS97" s="798"/>
      <c r="GKT97" s="798"/>
      <c r="GKU97" s="798"/>
      <c r="GKV97" s="798"/>
      <c r="GKW97" s="798"/>
      <c r="GKX97" s="798"/>
      <c r="GKY97" s="798"/>
      <c r="GKZ97" s="798"/>
      <c r="GLA97" s="798"/>
      <c r="GLB97" s="798"/>
      <c r="GLC97" s="798"/>
      <c r="GLD97" s="798"/>
      <c r="GLE97" s="798"/>
      <c r="GLF97" s="798"/>
      <c r="GLG97" s="798"/>
      <c r="GLH97" s="798"/>
      <c r="GLI97" s="798"/>
      <c r="GLJ97" s="798"/>
      <c r="GLK97" s="798"/>
      <c r="GLL97" s="798"/>
      <c r="GLM97" s="798"/>
      <c r="GLN97" s="798"/>
      <c r="GLO97" s="798"/>
      <c r="GLP97" s="798"/>
      <c r="GLQ97" s="798"/>
      <c r="GLR97" s="798"/>
      <c r="GLS97" s="798"/>
      <c r="GLT97" s="798"/>
      <c r="GLU97" s="798"/>
      <c r="GLV97" s="798"/>
      <c r="GLW97" s="798"/>
      <c r="GLX97" s="798"/>
      <c r="GLY97" s="798"/>
      <c r="GLZ97" s="798"/>
      <c r="GMA97" s="798"/>
      <c r="GMB97" s="798"/>
      <c r="GMC97" s="798"/>
      <c r="GMD97" s="798"/>
      <c r="GME97" s="798"/>
      <c r="GMF97" s="798"/>
      <c r="GMG97" s="798"/>
      <c r="GMH97" s="798"/>
      <c r="GMI97" s="798"/>
      <c r="GMJ97" s="798"/>
      <c r="GMK97" s="798"/>
      <c r="GML97" s="798"/>
      <c r="GMM97" s="798"/>
      <c r="GMN97" s="798"/>
      <c r="GMO97" s="798"/>
      <c r="GMP97" s="798"/>
      <c r="GMQ97" s="798"/>
      <c r="GMR97" s="798"/>
      <c r="GMS97" s="798"/>
      <c r="GMT97" s="798"/>
      <c r="GMU97" s="798"/>
      <c r="GMV97" s="798"/>
      <c r="GMW97" s="798"/>
      <c r="GMX97" s="798"/>
      <c r="GMY97" s="798"/>
      <c r="GMZ97" s="798"/>
      <c r="GNA97" s="798"/>
      <c r="GNB97" s="798"/>
      <c r="GNC97" s="798"/>
      <c r="GND97" s="798"/>
      <c r="GNE97" s="798"/>
      <c r="GNF97" s="798"/>
      <c r="GNG97" s="798"/>
      <c r="GNH97" s="798"/>
      <c r="GNI97" s="798"/>
      <c r="GNJ97" s="798"/>
      <c r="GNK97" s="798"/>
      <c r="GNL97" s="798"/>
      <c r="GNM97" s="798"/>
      <c r="GNN97" s="798"/>
      <c r="GNO97" s="798"/>
      <c r="GNP97" s="798"/>
      <c r="GNQ97" s="798"/>
      <c r="GNR97" s="798"/>
      <c r="GNS97" s="798"/>
      <c r="GNT97" s="798"/>
      <c r="GNU97" s="798"/>
      <c r="GNV97" s="798"/>
      <c r="GNW97" s="798"/>
      <c r="GNX97" s="798"/>
      <c r="GNY97" s="798"/>
      <c r="GNZ97" s="798"/>
      <c r="GOA97" s="798"/>
      <c r="GOB97" s="798"/>
      <c r="GOC97" s="798"/>
      <c r="GOD97" s="798"/>
      <c r="GOE97" s="798"/>
      <c r="GOF97" s="798"/>
      <c r="GOG97" s="798"/>
      <c r="GOH97" s="798"/>
      <c r="GOI97" s="798"/>
      <c r="GOJ97" s="798"/>
      <c r="GOK97" s="798"/>
      <c r="GOL97" s="798"/>
      <c r="GOM97" s="798"/>
      <c r="GON97" s="798"/>
      <c r="GOO97" s="798"/>
      <c r="GOP97" s="798"/>
      <c r="GOQ97" s="798"/>
      <c r="GOR97" s="798"/>
      <c r="GOS97" s="798"/>
      <c r="GOT97" s="798"/>
      <c r="GOU97" s="798"/>
      <c r="GOV97" s="798"/>
      <c r="GOW97" s="798"/>
      <c r="GOX97" s="798"/>
      <c r="GOY97" s="798"/>
      <c r="GOZ97" s="798"/>
      <c r="GPA97" s="798"/>
      <c r="GPB97" s="798"/>
      <c r="GPC97" s="798"/>
      <c r="GPD97" s="798"/>
      <c r="GPE97" s="798"/>
      <c r="GPF97" s="798"/>
      <c r="GPG97" s="798"/>
      <c r="GPH97" s="798"/>
      <c r="GPI97" s="798"/>
      <c r="GPJ97" s="798"/>
      <c r="GPK97" s="798"/>
      <c r="GPL97" s="798"/>
      <c r="GPM97" s="798"/>
      <c r="GPN97" s="798"/>
      <c r="GPO97" s="798"/>
      <c r="GPP97" s="798"/>
      <c r="GPQ97" s="798"/>
      <c r="GPR97" s="798"/>
      <c r="GPS97" s="798"/>
      <c r="GPT97" s="798"/>
      <c r="GPU97" s="798"/>
      <c r="GPV97" s="798"/>
      <c r="GPW97" s="798"/>
      <c r="GPX97" s="798"/>
      <c r="GPY97" s="798"/>
      <c r="GPZ97" s="798"/>
      <c r="GQA97" s="798"/>
      <c r="GQB97" s="798"/>
      <c r="GQC97" s="798"/>
      <c r="GQD97" s="798"/>
      <c r="GQE97" s="798"/>
      <c r="GQF97" s="798"/>
      <c r="GQG97" s="798"/>
      <c r="GQH97" s="798"/>
      <c r="GQI97" s="798"/>
      <c r="GQJ97" s="798"/>
      <c r="GQK97" s="798"/>
      <c r="GQL97" s="798"/>
      <c r="GQM97" s="798"/>
      <c r="GQN97" s="798"/>
      <c r="GQO97" s="798"/>
      <c r="GQP97" s="798"/>
      <c r="GQQ97" s="798"/>
      <c r="GQR97" s="798"/>
      <c r="GQS97" s="798"/>
      <c r="GQT97" s="798"/>
      <c r="GQU97" s="798"/>
      <c r="GQV97" s="798"/>
      <c r="GQW97" s="798"/>
      <c r="GQX97" s="798"/>
      <c r="GQY97" s="798"/>
      <c r="GQZ97" s="798"/>
      <c r="GRA97" s="798"/>
      <c r="GRB97" s="798"/>
      <c r="GRC97" s="798"/>
      <c r="GRD97" s="798"/>
      <c r="GRE97" s="798"/>
      <c r="GRF97" s="798"/>
      <c r="GRG97" s="798"/>
      <c r="GRH97" s="798"/>
      <c r="GRI97" s="798"/>
      <c r="GRJ97" s="798"/>
      <c r="GRK97" s="798"/>
      <c r="GRL97" s="798"/>
      <c r="GRM97" s="798"/>
      <c r="GRN97" s="798"/>
      <c r="GRO97" s="798"/>
      <c r="GRP97" s="798"/>
      <c r="GRQ97" s="798"/>
      <c r="GRR97" s="798"/>
      <c r="GRS97" s="798"/>
      <c r="GRT97" s="798"/>
      <c r="GRU97" s="798"/>
      <c r="GRV97" s="798"/>
      <c r="GRW97" s="798"/>
      <c r="GRX97" s="798"/>
      <c r="GRY97" s="798"/>
      <c r="GRZ97" s="798"/>
      <c r="GSA97" s="798"/>
      <c r="GSB97" s="798"/>
      <c r="GSC97" s="798"/>
      <c r="GSD97" s="798"/>
      <c r="GSE97" s="798"/>
      <c r="GSF97" s="798"/>
      <c r="GSG97" s="798"/>
      <c r="GSH97" s="798"/>
      <c r="GSI97" s="798"/>
      <c r="GSJ97" s="798"/>
      <c r="GSK97" s="798"/>
      <c r="GSL97" s="798"/>
      <c r="GSM97" s="798"/>
      <c r="GSN97" s="798"/>
      <c r="GSO97" s="798"/>
      <c r="GSP97" s="798"/>
      <c r="GSQ97" s="798"/>
      <c r="GSR97" s="798"/>
      <c r="GSS97" s="798"/>
      <c r="GST97" s="798"/>
      <c r="GSU97" s="798"/>
      <c r="GSV97" s="798"/>
      <c r="GSW97" s="798"/>
      <c r="GSX97" s="798"/>
      <c r="GSY97" s="798"/>
      <c r="GSZ97" s="798"/>
      <c r="GTA97" s="798"/>
      <c r="GTB97" s="798"/>
      <c r="GTC97" s="798"/>
      <c r="GTD97" s="798"/>
      <c r="GTE97" s="798"/>
      <c r="GTF97" s="798"/>
      <c r="GTG97" s="798"/>
      <c r="GTH97" s="798"/>
      <c r="GTI97" s="798"/>
      <c r="GTJ97" s="798"/>
      <c r="GTK97" s="798"/>
      <c r="GTL97" s="798"/>
      <c r="GTM97" s="798"/>
      <c r="GTN97" s="798"/>
      <c r="GTO97" s="798"/>
      <c r="GTP97" s="798"/>
      <c r="GTQ97" s="798"/>
      <c r="GTR97" s="798"/>
      <c r="GTS97" s="798"/>
      <c r="GTT97" s="798"/>
      <c r="GTU97" s="798"/>
      <c r="GTV97" s="798"/>
      <c r="GTW97" s="798"/>
      <c r="GTX97" s="798"/>
      <c r="GTY97" s="798"/>
      <c r="GTZ97" s="798"/>
      <c r="GUA97" s="798"/>
      <c r="GUB97" s="798"/>
      <c r="GUC97" s="798"/>
      <c r="GUD97" s="798"/>
      <c r="GUE97" s="798"/>
      <c r="GUF97" s="798"/>
      <c r="GUG97" s="798"/>
      <c r="GUH97" s="798"/>
      <c r="GUI97" s="798"/>
      <c r="GUJ97" s="798"/>
      <c r="GUK97" s="798"/>
      <c r="GUL97" s="798"/>
      <c r="GUM97" s="798"/>
      <c r="GUN97" s="798"/>
      <c r="GUO97" s="798"/>
      <c r="GUP97" s="798"/>
      <c r="GUQ97" s="798"/>
      <c r="GUR97" s="798"/>
      <c r="GUS97" s="798"/>
      <c r="GUT97" s="798"/>
      <c r="GUU97" s="798"/>
      <c r="GUV97" s="798"/>
      <c r="GUW97" s="798"/>
      <c r="GUX97" s="798"/>
      <c r="GUY97" s="798"/>
      <c r="GUZ97" s="798"/>
      <c r="GVA97" s="798"/>
      <c r="GVB97" s="798"/>
      <c r="GVC97" s="798"/>
      <c r="GVD97" s="798"/>
      <c r="GVE97" s="798"/>
      <c r="GVF97" s="798"/>
      <c r="GVG97" s="798"/>
      <c r="GVH97" s="798"/>
      <c r="GVI97" s="798"/>
      <c r="GVJ97" s="798"/>
      <c r="GVK97" s="798"/>
      <c r="GVL97" s="798"/>
      <c r="GVM97" s="798"/>
      <c r="GVN97" s="798"/>
      <c r="GVO97" s="798"/>
      <c r="GVP97" s="798"/>
      <c r="GVQ97" s="798"/>
      <c r="GVR97" s="798"/>
      <c r="GVS97" s="798"/>
      <c r="GVT97" s="798"/>
      <c r="GVU97" s="798"/>
      <c r="GVV97" s="798"/>
      <c r="GVW97" s="798"/>
      <c r="GVX97" s="798"/>
      <c r="GVY97" s="798"/>
      <c r="GVZ97" s="798"/>
      <c r="GWA97" s="798"/>
      <c r="GWB97" s="798"/>
      <c r="GWC97" s="798"/>
      <c r="GWD97" s="798"/>
      <c r="GWE97" s="798"/>
      <c r="GWF97" s="798"/>
      <c r="GWG97" s="798"/>
      <c r="GWH97" s="798"/>
      <c r="GWI97" s="798"/>
      <c r="GWJ97" s="798"/>
      <c r="GWK97" s="798"/>
      <c r="GWL97" s="798"/>
      <c r="GWM97" s="798"/>
      <c r="GWN97" s="798"/>
      <c r="GWO97" s="798"/>
      <c r="GWP97" s="798"/>
      <c r="GWQ97" s="798"/>
      <c r="GWR97" s="798"/>
      <c r="GWS97" s="798"/>
      <c r="GWT97" s="798"/>
      <c r="GWU97" s="798"/>
      <c r="GWV97" s="798"/>
      <c r="GWW97" s="798"/>
      <c r="GWX97" s="798"/>
      <c r="GWY97" s="798"/>
      <c r="GWZ97" s="798"/>
      <c r="GXA97" s="798"/>
      <c r="GXB97" s="798"/>
      <c r="GXC97" s="798"/>
      <c r="GXD97" s="798"/>
      <c r="GXE97" s="798"/>
      <c r="GXF97" s="798"/>
      <c r="GXG97" s="798"/>
      <c r="GXH97" s="798"/>
      <c r="GXI97" s="798"/>
      <c r="GXJ97" s="798"/>
      <c r="GXK97" s="798"/>
      <c r="GXL97" s="798"/>
      <c r="GXM97" s="798"/>
      <c r="GXN97" s="798"/>
      <c r="GXO97" s="798"/>
      <c r="GXP97" s="798"/>
      <c r="GXQ97" s="798"/>
      <c r="GXR97" s="798"/>
      <c r="GXS97" s="798"/>
      <c r="GXT97" s="798"/>
      <c r="GXU97" s="798"/>
      <c r="GXV97" s="798"/>
      <c r="GXW97" s="798"/>
      <c r="GXX97" s="798"/>
      <c r="GXY97" s="798"/>
      <c r="GXZ97" s="798"/>
      <c r="GYA97" s="798"/>
      <c r="GYB97" s="798"/>
      <c r="GYC97" s="798"/>
      <c r="GYD97" s="798"/>
      <c r="GYE97" s="798"/>
      <c r="GYF97" s="798"/>
      <c r="GYG97" s="798"/>
      <c r="GYH97" s="798"/>
      <c r="GYI97" s="798"/>
      <c r="GYJ97" s="798"/>
      <c r="GYK97" s="798"/>
      <c r="GYL97" s="798"/>
      <c r="GYM97" s="798"/>
      <c r="GYN97" s="798"/>
      <c r="GYO97" s="798"/>
      <c r="GYP97" s="798"/>
      <c r="GYQ97" s="798"/>
      <c r="GYR97" s="798"/>
      <c r="GYS97" s="798"/>
      <c r="GYT97" s="798"/>
      <c r="GYU97" s="798"/>
      <c r="GYV97" s="798"/>
      <c r="GYW97" s="798"/>
      <c r="GYX97" s="798"/>
      <c r="GYY97" s="798"/>
      <c r="GYZ97" s="798"/>
      <c r="GZA97" s="798"/>
      <c r="GZB97" s="798"/>
      <c r="GZC97" s="798"/>
      <c r="GZD97" s="798"/>
      <c r="GZE97" s="798"/>
      <c r="GZF97" s="798"/>
      <c r="GZG97" s="798"/>
      <c r="GZH97" s="798"/>
      <c r="GZI97" s="798"/>
      <c r="GZJ97" s="798"/>
      <c r="GZK97" s="798"/>
      <c r="GZL97" s="798"/>
      <c r="GZM97" s="798"/>
      <c r="GZN97" s="798"/>
      <c r="GZO97" s="798"/>
      <c r="GZP97" s="798"/>
      <c r="GZQ97" s="798"/>
      <c r="GZR97" s="798"/>
      <c r="GZS97" s="798"/>
      <c r="GZT97" s="798"/>
      <c r="GZU97" s="798"/>
      <c r="GZV97" s="798"/>
      <c r="GZW97" s="798"/>
      <c r="GZX97" s="798"/>
      <c r="GZY97" s="798"/>
      <c r="GZZ97" s="798"/>
      <c r="HAA97" s="798"/>
      <c r="HAB97" s="798"/>
      <c r="HAC97" s="798"/>
      <c r="HAD97" s="798"/>
      <c r="HAE97" s="798"/>
      <c r="HAF97" s="798"/>
      <c r="HAG97" s="798"/>
      <c r="HAH97" s="798"/>
      <c r="HAI97" s="798"/>
      <c r="HAJ97" s="798"/>
      <c r="HAK97" s="798"/>
      <c r="HAL97" s="798"/>
      <c r="HAM97" s="798"/>
      <c r="HAN97" s="798"/>
      <c r="HAO97" s="798"/>
      <c r="HAP97" s="798"/>
      <c r="HAQ97" s="798"/>
      <c r="HAR97" s="798"/>
      <c r="HAS97" s="798"/>
      <c r="HAT97" s="798"/>
      <c r="HAU97" s="798"/>
      <c r="HAV97" s="798"/>
      <c r="HAW97" s="798"/>
      <c r="HAX97" s="798"/>
      <c r="HAY97" s="798"/>
      <c r="HAZ97" s="798"/>
      <c r="HBA97" s="798"/>
      <c r="HBB97" s="798"/>
      <c r="HBC97" s="798"/>
      <c r="HBD97" s="798"/>
      <c r="HBE97" s="798"/>
      <c r="HBF97" s="798"/>
      <c r="HBG97" s="798"/>
      <c r="HBH97" s="798"/>
      <c r="HBI97" s="798"/>
      <c r="HBJ97" s="798"/>
      <c r="HBK97" s="798"/>
      <c r="HBL97" s="798"/>
      <c r="HBM97" s="798"/>
      <c r="HBN97" s="798"/>
      <c r="HBO97" s="798"/>
      <c r="HBP97" s="798"/>
      <c r="HBQ97" s="798"/>
      <c r="HBR97" s="798"/>
      <c r="HBS97" s="798"/>
      <c r="HBT97" s="798"/>
      <c r="HBU97" s="798"/>
      <c r="HBV97" s="798"/>
      <c r="HBW97" s="798"/>
      <c r="HBX97" s="798"/>
      <c r="HBY97" s="798"/>
      <c r="HBZ97" s="798"/>
      <c r="HCA97" s="798"/>
      <c r="HCB97" s="798"/>
      <c r="HCC97" s="798"/>
      <c r="HCD97" s="798"/>
      <c r="HCE97" s="798"/>
      <c r="HCF97" s="798"/>
      <c r="HCG97" s="798"/>
      <c r="HCH97" s="798"/>
      <c r="HCI97" s="798"/>
      <c r="HCJ97" s="798"/>
      <c r="HCK97" s="798"/>
      <c r="HCL97" s="798"/>
      <c r="HCM97" s="798"/>
      <c r="HCN97" s="798"/>
      <c r="HCO97" s="798"/>
      <c r="HCP97" s="798"/>
      <c r="HCQ97" s="798"/>
      <c r="HCR97" s="798"/>
      <c r="HCS97" s="798"/>
      <c r="HCT97" s="798"/>
      <c r="HCU97" s="798"/>
      <c r="HCV97" s="798"/>
      <c r="HCW97" s="798"/>
      <c r="HCX97" s="798"/>
      <c r="HCY97" s="798"/>
      <c r="HCZ97" s="798"/>
      <c r="HDA97" s="798"/>
      <c r="HDB97" s="798"/>
      <c r="HDC97" s="798"/>
      <c r="HDD97" s="798"/>
      <c r="HDE97" s="798"/>
      <c r="HDF97" s="798"/>
      <c r="HDG97" s="798"/>
      <c r="HDH97" s="798"/>
      <c r="HDI97" s="798"/>
      <c r="HDJ97" s="798"/>
      <c r="HDK97" s="798"/>
      <c r="HDL97" s="798"/>
      <c r="HDM97" s="798"/>
      <c r="HDN97" s="798"/>
      <c r="HDO97" s="798"/>
      <c r="HDP97" s="798"/>
      <c r="HDQ97" s="798"/>
      <c r="HDR97" s="798"/>
      <c r="HDS97" s="798"/>
      <c r="HDT97" s="798"/>
      <c r="HDU97" s="798"/>
      <c r="HDV97" s="798"/>
      <c r="HDW97" s="798"/>
      <c r="HDX97" s="798"/>
      <c r="HDY97" s="798"/>
      <c r="HDZ97" s="798"/>
      <c r="HEA97" s="798"/>
      <c r="HEB97" s="798"/>
      <c r="HEC97" s="798"/>
      <c r="HED97" s="798"/>
      <c r="HEE97" s="798"/>
      <c r="HEF97" s="798"/>
      <c r="HEG97" s="798"/>
      <c r="HEH97" s="798"/>
      <c r="HEI97" s="798"/>
      <c r="HEJ97" s="798"/>
      <c r="HEK97" s="798"/>
      <c r="HEL97" s="798"/>
      <c r="HEM97" s="798"/>
      <c r="HEN97" s="798"/>
      <c r="HEO97" s="798"/>
      <c r="HEP97" s="798"/>
      <c r="HEQ97" s="798"/>
      <c r="HER97" s="798"/>
      <c r="HES97" s="798"/>
      <c r="HET97" s="798"/>
      <c r="HEU97" s="798"/>
      <c r="HEV97" s="798"/>
      <c r="HEW97" s="798"/>
      <c r="HEX97" s="798"/>
      <c r="HEY97" s="798"/>
      <c r="HEZ97" s="798"/>
      <c r="HFA97" s="798"/>
      <c r="HFB97" s="798"/>
      <c r="HFC97" s="798"/>
      <c r="HFD97" s="798"/>
      <c r="HFE97" s="798"/>
      <c r="HFF97" s="798"/>
      <c r="HFG97" s="798"/>
      <c r="HFH97" s="798"/>
      <c r="HFI97" s="798"/>
      <c r="HFJ97" s="798"/>
      <c r="HFK97" s="798"/>
      <c r="HFL97" s="798"/>
      <c r="HFM97" s="798"/>
      <c r="HFN97" s="798"/>
      <c r="HFO97" s="798"/>
      <c r="HFP97" s="798"/>
      <c r="HFQ97" s="798"/>
      <c r="HFR97" s="798"/>
      <c r="HFS97" s="798"/>
      <c r="HFT97" s="798"/>
      <c r="HFU97" s="798"/>
      <c r="HFV97" s="798"/>
      <c r="HFW97" s="798"/>
      <c r="HFX97" s="798"/>
      <c r="HFY97" s="798"/>
      <c r="HFZ97" s="798"/>
      <c r="HGA97" s="798"/>
      <c r="HGB97" s="798"/>
      <c r="HGC97" s="798"/>
      <c r="HGD97" s="798"/>
      <c r="HGE97" s="798"/>
      <c r="HGF97" s="798"/>
      <c r="HGG97" s="798"/>
      <c r="HGH97" s="798"/>
      <c r="HGI97" s="798"/>
      <c r="HGJ97" s="798"/>
      <c r="HGK97" s="798"/>
      <c r="HGL97" s="798"/>
      <c r="HGM97" s="798"/>
      <c r="HGN97" s="798"/>
      <c r="HGO97" s="798"/>
      <c r="HGP97" s="798"/>
      <c r="HGQ97" s="798"/>
      <c r="HGR97" s="798"/>
      <c r="HGS97" s="798"/>
      <c r="HGT97" s="798"/>
      <c r="HGU97" s="798"/>
      <c r="HGV97" s="798"/>
      <c r="HGW97" s="798"/>
      <c r="HGX97" s="798"/>
      <c r="HGY97" s="798"/>
      <c r="HGZ97" s="798"/>
      <c r="HHA97" s="798"/>
      <c r="HHB97" s="798"/>
      <c r="HHC97" s="798"/>
      <c r="HHD97" s="798"/>
      <c r="HHE97" s="798"/>
      <c r="HHF97" s="798"/>
      <c r="HHG97" s="798"/>
      <c r="HHH97" s="798"/>
      <c r="HHI97" s="798"/>
      <c r="HHJ97" s="798"/>
      <c r="HHK97" s="798"/>
      <c r="HHL97" s="798"/>
      <c r="HHM97" s="798"/>
      <c r="HHN97" s="798"/>
      <c r="HHO97" s="798"/>
      <c r="HHP97" s="798"/>
      <c r="HHQ97" s="798"/>
      <c r="HHR97" s="798"/>
      <c r="HHS97" s="798"/>
      <c r="HHT97" s="798"/>
      <c r="HHU97" s="798"/>
      <c r="HHV97" s="798"/>
      <c r="HHW97" s="798"/>
      <c r="HHX97" s="798"/>
      <c r="HHY97" s="798"/>
      <c r="HHZ97" s="798"/>
      <c r="HIA97" s="798"/>
      <c r="HIB97" s="798"/>
      <c r="HIC97" s="798"/>
      <c r="HID97" s="798"/>
      <c r="HIE97" s="798"/>
      <c r="HIF97" s="798"/>
      <c r="HIG97" s="798"/>
      <c r="HIH97" s="798"/>
      <c r="HII97" s="798"/>
      <c r="HIJ97" s="798"/>
      <c r="HIK97" s="798"/>
      <c r="HIL97" s="798"/>
      <c r="HIM97" s="798"/>
      <c r="HIN97" s="798"/>
      <c r="HIO97" s="798"/>
      <c r="HIP97" s="798"/>
      <c r="HIQ97" s="798"/>
      <c r="HIR97" s="798"/>
      <c r="HIS97" s="798"/>
      <c r="HIT97" s="798"/>
      <c r="HIU97" s="798"/>
      <c r="HIV97" s="798"/>
      <c r="HIW97" s="798"/>
      <c r="HIX97" s="798"/>
      <c r="HIY97" s="798"/>
      <c r="HIZ97" s="798"/>
      <c r="HJA97" s="798"/>
      <c r="HJB97" s="798"/>
      <c r="HJC97" s="798"/>
      <c r="HJD97" s="798"/>
      <c r="HJE97" s="798"/>
      <c r="HJF97" s="798"/>
      <c r="HJG97" s="798"/>
      <c r="HJH97" s="798"/>
      <c r="HJI97" s="798"/>
      <c r="HJJ97" s="798"/>
      <c r="HJK97" s="798"/>
      <c r="HJL97" s="798"/>
      <c r="HJM97" s="798"/>
      <c r="HJN97" s="798"/>
      <c r="HJO97" s="798"/>
      <c r="HJP97" s="798"/>
      <c r="HJQ97" s="798"/>
      <c r="HJR97" s="798"/>
      <c r="HJS97" s="798"/>
      <c r="HJT97" s="798"/>
      <c r="HJU97" s="798"/>
      <c r="HJV97" s="798"/>
      <c r="HJW97" s="798"/>
      <c r="HJX97" s="798"/>
      <c r="HJY97" s="798"/>
      <c r="HJZ97" s="798"/>
      <c r="HKA97" s="798"/>
      <c r="HKB97" s="798"/>
      <c r="HKC97" s="798"/>
      <c r="HKD97" s="798"/>
      <c r="HKE97" s="798"/>
      <c r="HKF97" s="798"/>
      <c r="HKG97" s="798"/>
      <c r="HKH97" s="798"/>
      <c r="HKI97" s="798"/>
      <c r="HKJ97" s="798"/>
      <c r="HKK97" s="798"/>
      <c r="HKL97" s="798"/>
      <c r="HKM97" s="798"/>
      <c r="HKN97" s="798"/>
      <c r="HKO97" s="798"/>
      <c r="HKP97" s="798"/>
      <c r="HKQ97" s="798"/>
      <c r="HKR97" s="798"/>
      <c r="HKS97" s="798"/>
      <c r="HKT97" s="798"/>
      <c r="HKU97" s="798"/>
      <c r="HKV97" s="798"/>
      <c r="HKW97" s="798"/>
      <c r="HKX97" s="798"/>
      <c r="HKY97" s="798"/>
      <c r="HKZ97" s="798"/>
      <c r="HLA97" s="798"/>
      <c r="HLB97" s="798"/>
      <c r="HLC97" s="798"/>
      <c r="HLD97" s="798"/>
      <c r="HLE97" s="798"/>
      <c r="HLF97" s="798"/>
      <c r="HLG97" s="798"/>
      <c r="HLH97" s="798"/>
      <c r="HLI97" s="798"/>
      <c r="HLJ97" s="798"/>
      <c r="HLK97" s="798"/>
      <c r="HLL97" s="798"/>
      <c r="HLM97" s="798"/>
      <c r="HLN97" s="798"/>
      <c r="HLO97" s="798"/>
      <c r="HLP97" s="798"/>
      <c r="HLQ97" s="798"/>
      <c r="HLR97" s="798"/>
      <c r="HLS97" s="798"/>
      <c r="HLT97" s="798"/>
      <c r="HLU97" s="798"/>
      <c r="HLV97" s="798"/>
      <c r="HLW97" s="798"/>
      <c r="HLX97" s="798"/>
      <c r="HLY97" s="798"/>
      <c r="HLZ97" s="798"/>
      <c r="HMA97" s="798"/>
      <c r="HMB97" s="798"/>
      <c r="HMC97" s="798"/>
      <c r="HMD97" s="798"/>
      <c r="HME97" s="798"/>
      <c r="HMF97" s="798"/>
      <c r="HMG97" s="798"/>
      <c r="HMH97" s="798"/>
      <c r="HMI97" s="798"/>
      <c r="HMJ97" s="798"/>
      <c r="HMK97" s="798"/>
      <c r="HML97" s="798"/>
      <c r="HMM97" s="798"/>
      <c r="HMN97" s="798"/>
      <c r="HMO97" s="798"/>
      <c r="HMP97" s="798"/>
      <c r="HMQ97" s="798"/>
      <c r="HMR97" s="798"/>
      <c r="HMS97" s="798"/>
      <c r="HMT97" s="798"/>
      <c r="HMU97" s="798"/>
      <c r="HMV97" s="798"/>
      <c r="HMW97" s="798"/>
      <c r="HMX97" s="798"/>
      <c r="HMY97" s="798"/>
      <c r="HMZ97" s="798"/>
      <c r="HNA97" s="798"/>
      <c r="HNB97" s="798"/>
      <c r="HNC97" s="798"/>
      <c r="HND97" s="798"/>
      <c r="HNE97" s="798"/>
      <c r="HNF97" s="798"/>
      <c r="HNG97" s="798"/>
      <c r="HNH97" s="798"/>
      <c r="HNI97" s="798"/>
      <c r="HNJ97" s="798"/>
      <c r="HNK97" s="798"/>
      <c r="HNL97" s="798"/>
      <c r="HNM97" s="798"/>
      <c r="HNN97" s="798"/>
      <c r="HNO97" s="798"/>
      <c r="HNP97" s="798"/>
      <c r="HNQ97" s="798"/>
      <c r="HNR97" s="798"/>
      <c r="HNS97" s="798"/>
      <c r="HNT97" s="798"/>
      <c r="HNU97" s="798"/>
      <c r="HNV97" s="798"/>
      <c r="HNW97" s="798"/>
      <c r="HNX97" s="798"/>
      <c r="HNY97" s="798"/>
      <c r="HNZ97" s="798"/>
      <c r="HOA97" s="798"/>
      <c r="HOB97" s="798"/>
      <c r="HOC97" s="798"/>
      <c r="HOD97" s="798"/>
      <c r="HOE97" s="798"/>
      <c r="HOF97" s="798"/>
      <c r="HOG97" s="798"/>
      <c r="HOH97" s="798"/>
      <c r="HOI97" s="798"/>
      <c r="HOJ97" s="798"/>
      <c r="HOK97" s="798"/>
      <c r="HOL97" s="798"/>
      <c r="HOM97" s="798"/>
      <c r="HON97" s="798"/>
      <c r="HOO97" s="798"/>
      <c r="HOP97" s="798"/>
      <c r="HOQ97" s="798"/>
      <c r="HOR97" s="798"/>
      <c r="HOS97" s="798"/>
      <c r="HOT97" s="798"/>
      <c r="HOU97" s="798"/>
      <c r="HOV97" s="798"/>
      <c r="HOW97" s="798"/>
      <c r="HOX97" s="798"/>
      <c r="HOY97" s="798"/>
      <c r="HOZ97" s="798"/>
      <c r="HPA97" s="798"/>
      <c r="HPB97" s="798"/>
      <c r="HPC97" s="798"/>
      <c r="HPD97" s="798"/>
      <c r="HPE97" s="798"/>
      <c r="HPF97" s="798"/>
      <c r="HPG97" s="798"/>
      <c r="HPH97" s="798"/>
      <c r="HPI97" s="798"/>
      <c r="HPJ97" s="798"/>
      <c r="HPK97" s="798"/>
      <c r="HPL97" s="798"/>
      <c r="HPM97" s="798"/>
      <c r="HPN97" s="798"/>
      <c r="HPO97" s="798"/>
      <c r="HPP97" s="798"/>
      <c r="HPQ97" s="798"/>
      <c r="HPR97" s="798"/>
      <c r="HPS97" s="798"/>
      <c r="HPT97" s="798"/>
      <c r="HPU97" s="798"/>
      <c r="HPV97" s="798"/>
      <c r="HPW97" s="798"/>
      <c r="HPX97" s="798"/>
      <c r="HPY97" s="798"/>
      <c r="HPZ97" s="798"/>
      <c r="HQA97" s="798"/>
      <c r="HQB97" s="798"/>
      <c r="HQC97" s="798"/>
      <c r="HQD97" s="798"/>
      <c r="HQE97" s="798"/>
      <c r="HQF97" s="798"/>
      <c r="HQG97" s="798"/>
      <c r="HQH97" s="798"/>
      <c r="HQI97" s="798"/>
      <c r="HQJ97" s="798"/>
      <c r="HQK97" s="798"/>
      <c r="HQL97" s="798"/>
      <c r="HQM97" s="798"/>
      <c r="HQN97" s="798"/>
      <c r="HQO97" s="798"/>
      <c r="HQP97" s="798"/>
      <c r="HQQ97" s="798"/>
      <c r="HQR97" s="798"/>
      <c r="HQS97" s="798"/>
      <c r="HQT97" s="798"/>
      <c r="HQU97" s="798"/>
      <c r="HQV97" s="798"/>
      <c r="HQW97" s="798"/>
      <c r="HQX97" s="798"/>
      <c r="HQY97" s="798"/>
      <c r="HQZ97" s="798"/>
      <c r="HRA97" s="798"/>
      <c r="HRB97" s="798"/>
      <c r="HRC97" s="798"/>
      <c r="HRD97" s="798"/>
      <c r="HRE97" s="798"/>
      <c r="HRF97" s="798"/>
      <c r="HRG97" s="798"/>
      <c r="HRH97" s="798"/>
      <c r="HRI97" s="798"/>
      <c r="HRJ97" s="798"/>
      <c r="HRK97" s="798"/>
      <c r="HRL97" s="798"/>
      <c r="HRM97" s="798"/>
      <c r="HRN97" s="798"/>
      <c r="HRO97" s="798"/>
      <c r="HRP97" s="798"/>
      <c r="HRQ97" s="798"/>
      <c r="HRR97" s="798"/>
      <c r="HRS97" s="798"/>
      <c r="HRT97" s="798"/>
      <c r="HRU97" s="798"/>
      <c r="HRV97" s="798"/>
      <c r="HRW97" s="798"/>
      <c r="HRX97" s="798"/>
      <c r="HRY97" s="798"/>
      <c r="HRZ97" s="798"/>
      <c r="HSA97" s="798"/>
      <c r="HSB97" s="798"/>
      <c r="HSC97" s="798"/>
      <c r="HSD97" s="798"/>
      <c r="HSE97" s="798"/>
      <c r="HSF97" s="798"/>
      <c r="HSG97" s="798"/>
      <c r="HSH97" s="798"/>
      <c r="HSI97" s="798"/>
      <c r="HSJ97" s="798"/>
      <c r="HSK97" s="798"/>
      <c r="HSL97" s="798"/>
      <c r="HSM97" s="798"/>
      <c r="HSN97" s="798"/>
      <c r="HSO97" s="798"/>
      <c r="HSP97" s="798"/>
      <c r="HSQ97" s="798"/>
      <c r="HSR97" s="798"/>
      <c r="HSS97" s="798"/>
      <c r="HST97" s="798"/>
      <c r="HSU97" s="798"/>
      <c r="HSV97" s="798"/>
      <c r="HSW97" s="798"/>
      <c r="HSX97" s="798"/>
      <c r="HSY97" s="798"/>
      <c r="HSZ97" s="798"/>
      <c r="HTA97" s="798"/>
      <c r="HTB97" s="798"/>
      <c r="HTC97" s="798"/>
      <c r="HTD97" s="798"/>
      <c r="HTE97" s="798"/>
      <c r="HTF97" s="798"/>
      <c r="HTG97" s="798"/>
      <c r="HTH97" s="798"/>
      <c r="HTI97" s="798"/>
      <c r="HTJ97" s="798"/>
      <c r="HTK97" s="798"/>
      <c r="HTL97" s="798"/>
      <c r="HTM97" s="798"/>
      <c r="HTN97" s="798"/>
      <c r="HTO97" s="798"/>
      <c r="HTP97" s="798"/>
      <c r="HTQ97" s="798"/>
      <c r="HTR97" s="798"/>
      <c r="HTS97" s="798"/>
      <c r="HTT97" s="798"/>
      <c r="HTU97" s="798"/>
      <c r="HTV97" s="798"/>
      <c r="HTW97" s="798"/>
      <c r="HTX97" s="798"/>
      <c r="HTY97" s="798"/>
      <c r="HTZ97" s="798"/>
      <c r="HUA97" s="798"/>
      <c r="HUB97" s="798"/>
      <c r="HUC97" s="798"/>
      <c r="HUD97" s="798"/>
      <c r="HUE97" s="798"/>
      <c r="HUF97" s="798"/>
      <c r="HUG97" s="798"/>
      <c r="HUH97" s="798"/>
      <c r="HUI97" s="798"/>
      <c r="HUJ97" s="798"/>
      <c r="HUK97" s="798"/>
      <c r="HUL97" s="798"/>
      <c r="HUM97" s="798"/>
      <c r="HUN97" s="798"/>
      <c r="HUO97" s="798"/>
      <c r="HUP97" s="798"/>
      <c r="HUQ97" s="798"/>
      <c r="HUR97" s="798"/>
      <c r="HUS97" s="798"/>
      <c r="HUT97" s="798"/>
      <c r="HUU97" s="798"/>
      <c r="HUV97" s="798"/>
      <c r="HUW97" s="798"/>
      <c r="HUX97" s="798"/>
      <c r="HUY97" s="798"/>
      <c r="HUZ97" s="798"/>
      <c r="HVA97" s="798"/>
      <c r="HVB97" s="798"/>
      <c r="HVC97" s="798"/>
      <c r="HVD97" s="798"/>
      <c r="HVE97" s="798"/>
      <c r="HVF97" s="798"/>
      <c r="HVG97" s="798"/>
      <c r="HVH97" s="798"/>
      <c r="HVI97" s="798"/>
      <c r="HVJ97" s="798"/>
      <c r="HVK97" s="798"/>
      <c r="HVL97" s="798"/>
      <c r="HVM97" s="798"/>
      <c r="HVN97" s="798"/>
      <c r="HVO97" s="798"/>
      <c r="HVP97" s="798"/>
      <c r="HVQ97" s="798"/>
      <c r="HVR97" s="798"/>
      <c r="HVS97" s="798"/>
      <c r="HVT97" s="798"/>
      <c r="HVU97" s="798"/>
      <c r="HVV97" s="798"/>
      <c r="HVW97" s="798"/>
      <c r="HVX97" s="798"/>
      <c r="HVY97" s="798"/>
      <c r="HVZ97" s="798"/>
      <c r="HWA97" s="798"/>
      <c r="HWB97" s="798"/>
      <c r="HWC97" s="798"/>
      <c r="HWD97" s="798"/>
      <c r="HWE97" s="798"/>
      <c r="HWF97" s="798"/>
      <c r="HWG97" s="798"/>
      <c r="HWH97" s="798"/>
      <c r="HWI97" s="798"/>
      <c r="HWJ97" s="798"/>
      <c r="HWK97" s="798"/>
      <c r="HWL97" s="798"/>
      <c r="HWM97" s="798"/>
      <c r="HWN97" s="798"/>
      <c r="HWO97" s="798"/>
      <c r="HWP97" s="798"/>
      <c r="HWQ97" s="798"/>
      <c r="HWR97" s="798"/>
      <c r="HWS97" s="798"/>
      <c r="HWT97" s="798"/>
      <c r="HWU97" s="798"/>
      <c r="HWV97" s="798"/>
      <c r="HWW97" s="798"/>
      <c r="HWX97" s="798"/>
      <c r="HWY97" s="798"/>
      <c r="HWZ97" s="798"/>
      <c r="HXA97" s="798"/>
      <c r="HXB97" s="798"/>
      <c r="HXC97" s="798"/>
      <c r="HXD97" s="798"/>
      <c r="HXE97" s="798"/>
      <c r="HXF97" s="798"/>
      <c r="HXG97" s="798"/>
      <c r="HXH97" s="798"/>
      <c r="HXI97" s="798"/>
      <c r="HXJ97" s="798"/>
      <c r="HXK97" s="798"/>
      <c r="HXL97" s="798"/>
      <c r="HXM97" s="798"/>
      <c r="HXN97" s="798"/>
      <c r="HXO97" s="798"/>
      <c r="HXP97" s="798"/>
      <c r="HXQ97" s="798"/>
      <c r="HXR97" s="798"/>
      <c r="HXS97" s="798"/>
      <c r="HXT97" s="798"/>
      <c r="HXU97" s="798"/>
      <c r="HXV97" s="798"/>
      <c r="HXW97" s="798"/>
      <c r="HXX97" s="798"/>
      <c r="HXY97" s="798"/>
      <c r="HXZ97" s="798"/>
      <c r="HYA97" s="798"/>
      <c r="HYB97" s="798"/>
      <c r="HYC97" s="798"/>
      <c r="HYD97" s="798"/>
      <c r="HYE97" s="798"/>
      <c r="HYF97" s="798"/>
      <c r="HYG97" s="798"/>
      <c r="HYH97" s="798"/>
      <c r="HYI97" s="798"/>
      <c r="HYJ97" s="798"/>
      <c r="HYK97" s="798"/>
      <c r="HYL97" s="798"/>
      <c r="HYM97" s="798"/>
      <c r="HYN97" s="798"/>
      <c r="HYO97" s="798"/>
      <c r="HYP97" s="798"/>
      <c r="HYQ97" s="798"/>
      <c r="HYR97" s="798"/>
      <c r="HYS97" s="798"/>
      <c r="HYT97" s="798"/>
      <c r="HYU97" s="798"/>
      <c r="HYV97" s="798"/>
      <c r="HYW97" s="798"/>
      <c r="HYX97" s="798"/>
      <c r="HYY97" s="798"/>
      <c r="HYZ97" s="798"/>
      <c r="HZA97" s="798"/>
      <c r="HZB97" s="798"/>
      <c r="HZC97" s="798"/>
      <c r="HZD97" s="798"/>
      <c r="HZE97" s="798"/>
      <c r="HZF97" s="798"/>
      <c r="HZG97" s="798"/>
      <c r="HZH97" s="798"/>
      <c r="HZI97" s="798"/>
      <c r="HZJ97" s="798"/>
      <c r="HZK97" s="798"/>
      <c r="HZL97" s="798"/>
      <c r="HZM97" s="798"/>
      <c r="HZN97" s="798"/>
      <c r="HZO97" s="798"/>
      <c r="HZP97" s="798"/>
      <c r="HZQ97" s="798"/>
      <c r="HZR97" s="798"/>
      <c r="HZS97" s="798"/>
      <c r="HZT97" s="798"/>
      <c r="HZU97" s="798"/>
      <c r="HZV97" s="798"/>
      <c r="HZW97" s="798"/>
      <c r="HZX97" s="798"/>
      <c r="HZY97" s="798"/>
      <c r="HZZ97" s="798"/>
      <c r="IAA97" s="798"/>
      <c r="IAB97" s="798"/>
      <c r="IAC97" s="798"/>
      <c r="IAD97" s="798"/>
      <c r="IAE97" s="798"/>
      <c r="IAF97" s="798"/>
      <c r="IAG97" s="798"/>
      <c r="IAH97" s="798"/>
      <c r="IAI97" s="798"/>
      <c r="IAJ97" s="798"/>
      <c r="IAK97" s="798"/>
      <c r="IAL97" s="798"/>
      <c r="IAM97" s="798"/>
      <c r="IAN97" s="798"/>
      <c r="IAO97" s="798"/>
      <c r="IAP97" s="798"/>
      <c r="IAQ97" s="798"/>
      <c r="IAR97" s="798"/>
      <c r="IAS97" s="798"/>
      <c r="IAT97" s="798"/>
      <c r="IAU97" s="798"/>
      <c r="IAV97" s="798"/>
      <c r="IAW97" s="798"/>
      <c r="IAX97" s="798"/>
      <c r="IAY97" s="798"/>
      <c r="IAZ97" s="798"/>
      <c r="IBA97" s="798"/>
      <c r="IBB97" s="798"/>
      <c r="IBC97" s="798"/>
      <c r="IBD97" s="798"/>
      <c r="IBE97" s="798"/>
      <c r="IBF97" s="798"/>
      <c r="IBG97" s="798"/>
      <c r="IBH97" s="798"/>
      <c r="IBI97" s="798"/>
      <c r="IBJ97" s="798"/>
      <c r="IBK97" s="798"/>
      <c r="IBL97" s="798"/>
      <c r="IBM97" s="798"/>
      <c r="IBN97" s="798"/>
      <c r="IBO97" s="798"/>
      <c r="IBP97" s="798"/>
      <c r="IBQ97" s="798"/>
      <c r="IBR97" s="798"/>
      <c r="IBS97" s="798"/>
      <c r="IBT97" s="798"/>
      <c r="IBU97" s="798"/>
      <c r="IBV97" s="798"/>
      <c r="IBW97" s="798"/>
      <c r="IBX97" s="798"/>
      <c r="IBY97" s="798"/>
      <c r="IBZ97" s="798"/>
      <c r="ICA97" s="798"/>
      <c r="ICB97" s="798"/>
      <c r="ICC97" s="798"/>
      <c r="ICD97" s="798"/>
      <c r="ICE97" s="798"/>
      <c r="ICF97" s="798"/>
      <c r="ICG97" s="798"/>
      <c r="ICH97" s="798"/>
      <c r="ICI97" s="798"/>
      <c r="ICJ97" s="798"/>
      <c r="ICK97" s="798"/>
      <c r="ICL97" s="798"/>
      <c r="ICM97" s="798"/>
      <c r="ICN97" s="798"/>
      <c r="ICO97" s="798"/>
      <c r="ICP97" s="798"/>
      <c r="ICQ97" s="798"/>
      <c r="ICR97" s="798"/>
      <c r="ICS97" s="798"/>
      <c r="ICT97" s="798"/>
      <c r="ICU97" s="798"/>
      <c r="ICV97" s="798"/>
      <c r="ICW97" s="798"/>
      <c r="ICX97" s="798"/>
      <c r="ICY97" s="798"/>
      <c r="ICZ97" s="798"/>
      <c r="IDA97" s="798"/>
      <c r="IDB97" s="798"/>
      <c r="IDC97" s="798"/>
      <c r="IDD97" s="798"/>
      <c r="IDE97" s="798"/>
      <c r="IDF97" s="798"/>
      <c r="IDG97" s="798"/>
      <c r="IDH97" s="798"/>
      <c r="IDI97" s="798"/>
      <c r="IDJ97" s="798"/>
      <c r="IDK97" s="798"/>
      <c r="IDL97" s="798"/>
      <c r="IDM97" s="798"/>
      <c r="IDN97" s="798"/>
      <c r="IDO97" s="798"/>
      <c r="IDP97" s="798"/>
      <c r="IDQ97" s="798"/>
      <c r="IDR97" s="798"/>
      <c r="IDS97" s="798"/>
      <c r="IDT97" s="798"/>
      <c r="IDU97" s="798"/>
      <c r="IDV97" s="798"/>
      <c r="IDW97" s="798"/>
      <c r="IDX97" s="798"/>
      <c r="IDY97" s="798"/>
      <c r="IDZ97" s="798"/>
      <c r="IEA97" s="798"/>
      <c r="IEB97" s="798"/>
      <c r="IEC97" s="798"/>
      <c r="IED97" s="798"/>
      <c r="IEE97" s="798"/>
      <c r="IEF97" s="798"/>
      <c r="IEG97" s="798"/>
      <c r="IEH97" s="798"/>
      <c r="IEI97" s="798"/>
      <c r="IEJ97" s="798"/>
      <c r="IEK97" s="798"/>
      <c r="IEL97" s="798"/>
      <c r="IEM97" s="798"/>
      <c r="IEN97" s="798"/>
      <c r="IEO97" s="798"/>
      <c r="IEP97" s="798"/>
      <c r="IEQ97" s="798"/>
      <c r="IER97" s="798"/>
      <c r="IES97" s="798"/>
      <c r="IET97" s="798"/>
      <c r="IEU97" s="798"/>
      <c r="IEV97" s="798"/>
      <c r="IEW97" s="798"/>
      <c r="IEX97" s="798"/>
      <c r="IEY97" s="798"/>
      <c r="IEZ97" s="798"/>
      <c r="IFA97" s="798"/>
      <c r="IFB97" s="798"/>
      <c r="IFC97" s="798"/>
      <c r="IFD97" s="798"/>
      <c r="IFE97" s="798"/>
      <c r="IFF97" s="798"/>
      <c r="IFG97" s="798"/>
      <c r="IFH97" s="798"/>
      <c r="IFI97" s="798"/>
      <c r="IFJ97" s="798"/>
      <c r="IFK97" s="798"/>
      <c r="IFL97" s="798"/>
      <c r="IFM97" s="798"/>
      <c r="IFN97" s="798"/>
      <c r="IFO97" s="798"/>
      <c r="IFP97" s="798"/>
      <c r="IFQ97" s="798"/>
      <c r="IFR97" s="798"/>
      <c r="IFS97" s="798"/>
      <c r="IFT97" s="798"/>
      <c r="IFU97" s="798"/>
      <c r="IFV97" s="798"/>
      <c r="IFW97" s="798"/>
      <c r="IFX97" s="798"/>
      <c r="IFY97" s="798"/>
      <c r="IFZ97" s="798"/>
      <c r="IGA97" s="798"/>
      <c r="IGB97" s="798"/>
      <c r="IGC97" s="798"/>
      <c r="IGD97" s="798"/>
      <c r="IGE97" s="798"/>
      <c r="IGF97" s="798"/>
      <c r="IGG97" s="798"/>
      <c r="IGH97" s="798"/>
      <c r="IGI97" s="798"/>
      <c r="IGJ97" s="798"/>
      <c r="IGK97" s="798"/>
      <c r="IGL97" s="798"/>
      <c r="IGM97" s="798"/>
      <c r="IGN97" s="798"/>
      <c r="IGO97" s="798"/>
      <c r="IGP97" s="798"/>
      <c r="IGQ97" s="798"/>
      <c r="IGR97" s="798"/>
      <c r="IGS97" s="798"/>
      <c r="IGT97" s="798"/>
      <c r="IGU97" s="798"/>
      <c r="IGV97" s="798"/>
      <c r="IGW97" s="798"/>
      <c r="IGX97" s="798"/>
      <c r="IGY97" s="798"/>
      <c r="IGZ97" s="798"/>
      <c r="IHA97" s="798"/>
      <c r="IHB97" s="798"/>
      <c r="IHC97" s="798"/>
      <c r="IHD97" s="798"/>
      <c r="IHE97" s="798"/>
      <c r="IHF97" s="798"/>
      <c r="IHG97" s="798"/>
      <c r="IHH97" s="798"/>
      <c r="IHI97" s="798"/>
      <c r="IHJ97" s="798"/>
      <c r="IHK97" s="798"/>
      <c r="IHL97" s="798"/>
      <c r="IHM97" s="798"/>
      <c r="IHN97" s="798"/>
      <c r="IHO97" s="798"/>
      <c r="IHP97" s="798"/>
      <c r="IHQ97" s="798"/>
      <c r="IHR97" s="798"/>
      <c r="IHS97" s="798"/>
      <c r="IHT97" s="798"/>
      <c r="IHU97" s="798"/>
      <c r="IHV97" s="798"/>
      <c r="IHW97" s="798"/>
      <c r="IHX97" s="798"/>
      <c r="IHY97" s="798"/>
      <c r="IHZ97" s="798"/>
      <c r="IIA97" s="798"/>
      <c r="IIB97" s="798"/>
      <c r="IIC97" s="798"/>
      <c r="IID97" s="798"/>
      <c r="IIE97" s="798"/>
      <c r="IIF97" s="798"/>
      <c r="IIG97" s="798"/>
      <c r="IIH97" s="798"/>
      <c r="III97" s="798"/>
      <c r="IIJ97" s="798"/>
      <c r="IIK97" s="798"/>
      <c r="IIL97" s="798"/>
      <c r="IIM97" s="798"/>
      <c r="IIN97" s="798"/>
      <c r="IIO97" s="798"/>
      <c r="IIP97" s="798"/>
      <c r="IIQ97" s="798"/>
      <c r="IIR97" s="798"/>
      <c r="IIS97" s="798"/>
      <c r="IIT97" s="798"/>
      <c r="IIU97" s="798"/>
      <c r="IIV97" s="798"/>
      <c r="IIW97" s="798"/>
      <c r="IIX97" s="798"/>
      <c r="IIY97" s="798"/>
      <c r="IIZ97" s="798"/>
      <c r="IJA97" s="798"/>
      <c r="IJB97" s="798"/>
      <c r="IJC97" s="798"/>
      <c r="IJD97" s="798"/>
      <c r="IJE97" s="798"/>
      <c r="IJF97" s="798"/>
      <c r="IJG97" s="798"/>
      <c r="IJH97" s="798"/>
      <c r="IJI97" s="798"/>
      <c r="IJJ97" s="798"/>
      <c r="IJK97" s="798"/>
      <c r="IJL97" s="798"/>
      <c r="IJM97" s="798"/>
      <c r="IJN97" s="798"/>
      <c r="IJO97" s="798"/>
      <c r="IJP97" s="798"/>
      <c r="IJQ97" s="798"/>
      <c r="IJR97" s="798"/>
      <c r="IJS97" s="798"/>
      <c r="IJT97" s="798"/>
      <c r="IJU97" s="798"/>
      <c r="IJV97" s="798"/>
      <c r="IJW97" s="798"/>
      <c r="IJX97" s="798"/>
      <c r="IJY97" s="798"/>
      <c r="IJZ97" s="798"/>
      <c r="IKA97" s="798"/>
      <c r="IKB97" s="798"/>
      <c r="IKC97" s="798"/>
      <c r="IKD97" s="798"/>
      <c r="IKE97" s="798"/>
      <c r="IKF97" s="798"/>
      <c r="IKG97" s="798"/>
      <c r="IKH97" s="798"/>
      <c r="IKI97" s="798"/>
      <c r="IKJ97" s="798"/>
      <c r="IKK97" s="798"/>
      <c r="IKL97" s="798"/>
      <c r="IKM97" s="798"/>
      <c r="IKN97" s="798"/>
      <c r="IKO97" s="798"/>
      <c r="IKP97" s="798"/>
      <c r="IKQ97" s="798"/>
      <c r="IKR97" s="798"/>
      <c r="IKS97" s="798"/>
      <c r="IKT97" s="798"/>
      <c r="IKU97" s="798"/>
      <c r="IKV97" s="798"/>
      <c r="IKW97" s="798"/>
      <c r="IKX97" s="798"/>
      <c r="IKY97" s="798"/>
      <c r="IKZ97" s="798"/>
      <c r="ILA97" s="798"/>
      <c r="ILB97" s="798"/>
      <c r="ILC97" s="798"/>
      <c r="ILD97" s="798"/>
      <c r="ILE97" s="798"/>
      <c r="ILF97" s="798"/>
      <c r="ILG97" s="798"/>
      <c r="ILH97" s="798"/>
      <c r="ILI97" s="798"/>
      <c r="ILJ97" s="798"/>
      <c r="ILK97" s="798"/>
      <c r="ILL97" s="798"/>
      <c r="ILM97" s="798"/>
      <c r="ILN97" s="798"/>
      <c r="ILO97" s="798"/>
      <c r="ILP97" s="798"/>
      <c r="ILQ97" s="798"/>
      <c r="ILR97" s="798"/>
      <c r="ILS97" s="798"/>
      <c r="ILT97" s="798"/>
      <c r="ILU97" s="798"/>
      <c r="ILV97" s="798"/>
      <c r="ILW97" s="798"/>
      <c r="ILX97" s="798"/>
      <c r="ILY97" s="798"/>
      <c r="ILZ97" s="798"/>
      <c r="IMA97" s="798"/>
      <c r="IMB97" s="798"/>
      <c r="IMC97" s="798"/>
      <c r="IMD97" s="798"/>
      <c r="IME97" s="798"/>
      <c r="IMF97" s="798"/>
      <c r="IMG97" s="798"/>
      <c r="IMH97" s="798"/>
      <c r="IMI97" s="798"/>
      <c r="IMJ97" s="798"/>
      <c r="IMK97" s="798"/>
      <c r="IML97" s="798"/>
      <c r="IMM97" s="798"/>
      <c r="IMN97" s="798"/>
      <c r="IMO97" s="798"/>
      <c r="IMP97" s="798"/>
      <c r="IMQ97" s="798"/>
      <c r="IMR97" s="798"/>
      <c r="IMS97" s="798"/>
      <c r="IMT97" s="798"/>
      <c r="IMU97" s="798"/>
      <c r="IMV97" s="798"/>
      <c r="IMW97" s="798"/>
      <c r="IMX97" s="798"/>
      <c r="IMY97" s="798"/>
      <c r="IMZ97" s="798"/>
      <c r="INA97" s="798"/>
      <c r="INB97" s="798"/>
      <c r="INC97" s="798"/>
      <c r="IND97" s="798"/>
      <c r="INE97" s="798"/>
      <c r="INF97" s="798"/>
      <c r="ING97" s="798"/>
      <c r="INH97" s="798"/>
      <c r="INI97" s="798"/>
      <c r="INJ97" s="798"/>
      <c r="INK97" s="798"/>
      <c r="INL97" s="798"/>
      <c r="INM97" s="798"/>
      <c r="INN97" s="798"/>
      <c r="INO97" s="798"/>
      <c r="INP97" s="798"/>
      <c r="INQ97" s="798"/>
      <c r="INR97" s="798"/>
      <c r="INS97" s="798"/>
      <c r="INT97" s="798"/>
      <c r="INU97" s="798"/>
      <c r="INV97" s="798"/>
      <c r="INW97" s="798"/>
      <c r="INX97" s="798"/>
      <c r="INY97" s="798"/>
      <c r="INZ97" s="798"/>
      <c r="IOA97" s="798"/>
      <c r="IOB97" s="798"/>
      <c r="IOC97" s="798"/>
      <c r="IOD97" s="798"/>
      <c r="IOE97" s="798"/>
      <c r="IOF97" s="798"/>
      <c r="IOG97" s="798"/>
      <c r="IOH97" s="798"/>
      <c r="IOI97" s="798"/>
      <c r="IOJ97" s="798"/>
      <c r="IOK97" s="798"/>
      <c r="IOL97" s="798"/>
      <c r="IOM97" s="798"/>
      <c r="ION97" s="798"/>
      <c r="IOO97" s="798"/>
      <c r="IOP97" s="798"/>
      <c r="IOQ97" s="798"/>
      <c r="IOR97" s="798"/>
      <c r="IOS97" s="798"/>
      <c r="IOT97" s="798"/>
      <c r="IOU97" s="798"/>
      <c r="IOV97" s="798"/>
      <c r="IOW97" s="798"/>
      <c r="IOX97" s="798"/>
      <c r="IOY97" s="798"/>
      <c r="IOZ97" s="798"/>
      <c r="IPA97" s="798"/>
      <c r="IPB97" s="798"/>
      <c r="IPC97" s="798"/>
      <c r="IPD97" s="798"/>
      <c r="IPE97" s="798"/>
      <c r="IPF97" s="798"/>
      <c r="IPG97" s="798"/>
      <c r="IPH97" s="798"/>
      <c r="IPI97" s="798"/>
      <c r="IPJ97" s="798"/>
      <c r="IPK97" s="798"/>
      <c r="IPL97" s="798"/>
      <c r="IPM97" s="798"/>
      <c r="IPN97" s="798"/>
      <c r="IPO97" s="798"/>
      <c r="IPP97" s="798"/>
      <c r="IPQ97" s="798"/>
      <c r="IPR97" s="798"/>
      <c r="IPS97" s="798"/>
      <c r="IPT97" s="798"/>
      <c r="IPU97" s="798"/>
      <c r="IPV97" s="798"/>
      <c r="IPW97" s="798"/>
      <c r="IPX97" s="798"/>
      <c r="IPY97" s="798"/>
      <c r="IPZ97" s="798"/>
      <c r="IQA97" s="798"/>
      <c r="IQB97" s="798"/>
      <c r="IQC97" s="798"/>
      <c r="IQD97" s="798"/>
      <c r="IQE97" s="798"/>
      <c r="IQF97" s="798"/>
      <c r="IQG97" s="798"/>
      <c r="IQH97" s="798"/>
      <c r="IQI97" s="798"/>
      <c r="IQJ97" s="798"/>
      <c r="IQK97" s="798"/>
      <c r="IQL97" s="798"/>
      <c r="IQM97" s="798"/>
      <c r="IQN97" s="798"/>
      <c r="IQO97" s="798"/>
      <c r="IQP97" s="798"/>
      <c r="IQQ97" s="798"/>
      <c r="IQR97" s="798"/>
      <c r="IQS97" s="798"/>
      <c r="IQT97" s="798"/>
      <c r="IQU97" s="798"/>
      <c r="IQV97" s="798"/>
      <c r="IQW97" s="798"/>
      <c r="IQX97" s="798"/>
      <c r="IQY97" s="798"/>
      <c r="IQZ97" s="798"/>
      <c r="IRA97" s="798"/>
      <c r="IRB97" s="798"/>
      <c r="IRC97" s="798"/>
      <c r="IRD97" s="798"/>
      <c r="IRE97" s="798"/>
      <c r="IRF97" s="798"/>
      <c r="IRG97" s="798"/>
      <c r="IRH97" s="798"/>
      <c r="IRI97" s="798"/>
      <c r="IRJ97" s="798"/>
      <c r="IRK97" s="798"/>
      <c r="IRL97" s="798"/>
      <c r="IRM97" s="798"/>
      <c r="IRN97" s="798"/>
      <c r="IRO97" s="798"/>
      <c r="IRP97" s="798"/>
      <c r="IRQ97" s="798"/>
      <c r="IRR97" s="798"/>
      <c r="IRS97" s="798"/>
      <c r="IRT97" s="798"/>
      <c r="IRU97" s="798"/>
      <c r="IRV97" s="798"/>
      <c r="IRW97" s="798"/>
      <c r="IRX97" s="798"/>
      <c r="IRY97" s="798"/>
      <c r="IRZ97" s="798"/>
      <c r="ISA97" s="798"/>
      <c r="ISB97" s="798"/>
      <c r="ISC97" s="798"/>
      <c r="ISD97" s="798"/>
      <c r="ISE97" s="798"/>
      <c r="ISF97" s="798"/>
      <c r="ISG97" s="798"/>
      <c r="ISH97" s="798"/>
      <c r="ISI97" s="798"/>
      <c r="ISJ97" s="798"/>
      <c r="ISK97" s="798"/>
      <c r="ISL97" s="798"/>
      <c r="ISM97" s="798"/>
      <c r="ISN97" s="798"/>
      <c r="ISO97" s="798"/>
      <c r="ISP97" s="798"/>
      <c r="ISQ97" s="798"/>
      <c r="ISR97" s="798"/>
      <c r="ISS97" s="798"/>
      <c r="IST97" s="798"/>
      <c r="ISU97" s="798"/>
      <c r="ISV97" s="798"/>
      <c r="ISW97" s="798"/>
      <c r="ISX97" s="798"/>
      <c r="ISY97" s="798"/>
      <c r="ISZ97" s="798"/>
      <c r="ITA97" s="798"/>
      <c r="ITB97" s="798"/>
      <c r="ITC97" s="798"/>
      <c r="ITD97" s="798"/>
      <c r="ITE97" s="798"/>
      <c r="ITF97" s="798"/>
      <c r="ITG97" s="798"/>
      <c r="ITH97" s="798"/>
      <c r="ITI97" s="798"/>
      <c r="ITJ97" s="798"/>
      <c r="ITK97" s="798"/>
      <c r="ITL97" s="798"/>
      <c r="ITM97" s="798"/>
      <c r="ITN97" s="798"/>
      <c r="ITO97" s="798"/>
      <c r="ITP97" s="798"/>
      <c r="ITQ97" s="798"/>
      <c r="ITR97" s="798"/>
      <c r="ITS97" s="798"/>
      <c r="ITT97" s="798"/>
      <c r="ITU97" s="798"/>
      <c r="ITV97" s="798"/>
      <c r="ITW97" s="798"/>
      <c r="ITX97" s="798"/>
      <c r="ITY97" s="798"/>
      <c r="ITZ97" s="798"/>
      <c r="IUA97" s="798"/>
      <c r="IUB97" s="798"/>
      <c r="IUC97" s="798"/>
      <c r="IUD97" s="798"/>
      <c r="IUE97" s="798"/>
      <c r="IUF97" s="798"/>
      <c r="IUG97" s="798"/>
      <c r="IUH97" s="798"/>
      <c r="IUI97" s="798"/>
      <c r="IUJ97" s="798"/>
      <c r="IUK97" s="798"/>
      <c r="IUL97" s="798"/>
      <c r="IUM97" s="798"/>
      <c r="IUN97" s="798"/>
      <c r="IUO97" s="798"/>
      <c r="IUP97" s="798"/>
      <c r="IUQ97" s="798"/>
      <c r="IUR97" s="798"/>
      <c r="IUS97" s="798"/>
      <c r="IUT97" s="798"/>
      <c r="IUU97" s="798"/>
      <c r="IUV97" s="798"/>
      <c r="IUW97" s="798"/>
      <c r="IUX97" s="798"/>
      <c r="IUY97" s="798"/>
      <c r="IUZ97" s="798"/>
      <c r="IVA97" s="798"/>
      <c r="IVB97" s="798"/>
      <c r="IVC97" s="798"/>
      <c r="IVD97" s="798"/>
      <c r="IVE97" s="798"/>
      <c r="IVF97" s="798"/>
      <c r="IVG97" s="798"/>
      <c r="IVH97" s="798"/>
      <c r="IVI97" s="798"/>
      <c r="IVJ97" s="798"/>
      <c r="IVK97" s="798"/>
      <c r="IVL97" s="798"/>
      <c r="IVM97" s="798"/>
      <c r="IVN97" s="798"/>
      <c r="IVO97" s="798"/>
      <c r="IVP97" s="798"/>
      <c r="IVQ97" s="798"/>
      <c r="IVR97" s="798"/>
      <c r="IVS97" s="798"/>
      <c r="IVT97" s="798"/>
      <c r="IVU97" s="798"/>
      <c r="IVV97" s="798"/>
      <c r="IVW97" s="798"/>
      <c r="IVX97" s="798"/>
      <c r="IVY97" s="798"/>
      <c r="IVZ97" s="798"/>
      <c r="IWA97" s="798"/>
      <c r="IWB97" s="798"/>
      <c r="IWC97" s="798"/>
      <c r="IWD97" s="798"/>
      <c r="IWE97" s="798"/>
      <c r="IWF97" s="798"/>
      <c r="IWG97" s="798"/>
      <c r="IWH97" s="798"/>
      <c r="IWI97" s="798"/>
      <c r="IWJ97" s="798"/>
      <c r="IWK97" s="798"/>
      <c r="IWL97" s="798"/>
      <c r="IWM97" s="798"/>
      <c r="IWN97" s="798"/>
      <c r="IWO97" s="798"/>
      <c r="IWP97" s="798"/>
      <c r="IWQ97" s="798"/>
      <c r="IWR97" s="798"/>
      <c r="IWS97" s="798"/>
      <c r="IWT97" s="798"/>
      <c r="IWU97" s="798"/>
      <c r="IWV97" s="798"/>
      <c r="IWW97" s="798"/>
      <c r="IWX97" s="798"/>
      <c r="IWY97" s="798"/>
      <c r="IWZ97" s="798"/>
      <c r="IXA97" s="798"/>
      <c r="IXB97" s="798"/>
      <c r="IXC97" s="798"/>
      <c r="IXD97" s="798"/>
      <c r="IXE97" s="798"/>
      <c r="IXF97" s="798"/>
      <c r="IXG97" s="798"/>
      <c r="IXH97" s="798"/>
      <c r="IXI97" s="798"/>
      <c r="IXJ97" s="798"/>
      <c r="IXK97" s="798"/>
      <c r="IXL97" s="798"/>
      <c r="IXM97" s="798"/>
      <c r="IXN97" s="798"/>
      <c r="IXO97" s="798"/>
      <c r="IXP97" s="798"/>
      <c r="IXQ97" s="798"/>
      <c r="IXR97" s="798"/>
      <c r="IXS97" s="798"/>
      <c r="IXT97" s="798"/>
      <c r="IXU97" s="798"/>
      <c r="IXV97" s="798"/>
      <c r="IXW97" s="798"/>
      <c r="IXX97" s="798"/>
      <c r="IXY97" s="798"/>
      <c r="IXZ97" s="798"/>
      <c r="IYA97" s="798"/>
      <c r="IYB97" s="798"/>
      <c r="IYC97" s="798"/>
      <c r="IYD97" s="798"/>
      <c r="IYE97" s="798"/>
      <c r="IYF97" s="798"/>
      <c r="IYG97" s="798"/>
      <c r="IYH97" s="798"/>
      <c r="IYI97" s="798"/>
      <c r="IYJ97" s="798"/>
      <c r="IYK97" s="798"/>
      <c r="IYL97" s="798"/>
      <c r="IYM97" s="798"/>
      <c r="IYN97" s="798"/>
      <c r="IYO97" s="798"/>
      <c r="IYP97" s="798"/>
      <c r="IYQ97" s="798"/>
      <c r="IYR97" s="798"/>
      <c r="IYS97" s="798"/>
      <c r="IYT97" s="798"/>
      <c r="IYU97" s="798"/>
      <c r="IYV97" s="798"/>
      <c r="IYW97" s="798"/>
      <c r="IYX97" s="798"/>
      <c r="IYY97" s="798"/>
      <c r="IYZ97" s="798"/>
      <c r="IZA97" s="798"/>
      <c r="IZB97" s="798"/>
      <c r="IZC97" s="798"/>
      <c r="IZD97" s="798"/>
      <c r="IZE97" s="798"/>
      <c r="IZF97" s="798"/>
      <c r="IZG97" s="798"/>
      <c r="IZH97" s="798"/>
      <c r="IZI97" s="798"/>
      <c r="IZJ97" s="798"/>
      <c r="IZK97" s="798"/>
      <c r="IZL97" s="798"/>
      <c r="IZM97" s="798"/>
      <c r="IZN97" s="798"/>
      <c r="IZO97" s="798"/>
      <c r="IZP97" s="798"/>
      <c r="IZQ97" s="798"/>
      <c r="IZR97" s="798"/>
      <c r="IZS97" s="798"/>
      <c r="IZT97" s="798"/>
      <c r="IZU97" s="798"/>
      <c r="IZV97" s="798"/>
      <c r="IZW97" s="798"/>
      <c r="IZX97" s="798"/>
      <c r="IZY97" s="798"/>
      <c r="IZZ97" s="798"/>
      <c r="JAA97" s="798"/>
      <c r="JAB97" s="798"/>
      <c r="JAC97" s="798"/>
      <c r="JAD97" s="798"/>
      <c r="JAE97" s="798"/>
      <c r="JAF97" s="798"/>
      <c r="JAG97" s="798"/>
      <c r="JAH97" s="798"/>
      <c r="JAI97" s="798"/>
      <c r="JAJ97" s="798"/>
      <c r="JAK97" s="798"/>
      <c r="JAL97" s="798"/>
      <c r="JAM97" s="798"/>
      <c r="JAN97" s="798"/>
      <c r="JAO97" s="798"/>
      <c r="JAP97" s="798"/>
      <c r="JAQ97" s="798"/>
      <c r="JAR97" s="798"/>
      <c r="JAS97" s="798"/>
      <c r="JAT97" s="798"/>
      <c r="JAU97" s="798"/>
      <c r="JAV97" s="798"/>
      <c r="JAW97" s="798"/>
      <c r="JAX97" s="798"/>
      <c r="JAY97" s="798"/>
      <c r="JAZ97" s="798"/>
      <c r="JBA97" s="798"/>
      <c r="JBB97" s="798"/>
      <c r="JBC97" s="798"/>
      <c r="JBD97" s="798"/>
      <c r="JBE97" s="798"/>
      <c r="JBF97" s="798"/>
      <c r="JBG97" s="798"/>
      <c r="JBH97" s="798"/>
      <c r="JBI97" s="798"/>
      <c r="JBJ97" s="798"/>
      <c r="JBK97" s="798"/>
      <c r="JBL97" s="798"/>
      <c r="JBM97" s="798"/>
      <c r="JBN97" s="798"/>
      <c r="JBO97" s="798"/>
      <c r="JBP97" s="798"/>
      <c r="JBQ97" s="798"/>
      <c r="JBR97" s="798"/>
      <c r="JBS97" s="798"/>
      <c r="JBT97" s="798"/>
      <c r="JBU97" s="798"/>
      <c r="JBV97" s="798"/>
      <c r="JBW97" s="798"/>
      <c r="JBX97" s="798"/>
      <c r="JBY97" s="798"/>
      <c r="JBZ97" s="798"/>
      <c r="JCA97" s="798"/>
      <c r="JCB97" s="798"/>
      <c r="JCC97" s="798"/>
      <c r="JCD97" s="798"/>
      <c r="JCE97" s="798"/>
      <c r="JCF97" s="798"/>
      <c r="JCG97" s="798"/>
      <c r="JCH97" s="798"/>
      <c r="JCI97" s="798"/>
      <c r="JCJ97" s="798"/>
      <c r="JCK97" s="798"/>
      <c r="JCL97" s="798"/>
      <c r="JCM97" s="798"/>
      <c r="JCN97" s="798"/>
      <c r="JCO97" s="798"/>
      <c r="JCP97" s="798"/>
      <c r="JCQ97" s="798"/>
      <c r="JCR97" s="798"/>
      <c r="JCS97" s="798"/>
      <c r="JCT97" s="798"/>
      <c r="JCU97" s="798"/>
      <c r="JCV97" s="798"/>
      <c r="JCW97" s="798"/>
      <c r="JCX97" s="798"/>
      <c r="JCY97" s="798"/>
      <c r="JCZ97" s="798"/>
      <c r="JDA97" s="798"/>
      <c r="JDB97" s="798"/>
      <c r="JDC97" s="798"/>
      <c r="JDD97" s="798"/>
      <c r="JDE97" s="798"/>
      <c r="JDF97" s="798"/>
      <c r="JDG97" s="798"/>
      <c r="JDH97" s="798"/>
      <c r="JDI97" s="798"/>
      <c r="JDJ97" s="798"/>
      <c r="JDK97" s="798"/>
      <c r="JDL97" s="798"/>
      <c r="JDM97" s="798"/>
      <c r="JDN97" s="798"/>
      <c r="JDO97" s="798"/>
      <c r="JDP97" s="798"/>
      <c r="JDQ97" s="798"/>
      <c r="JDR97" s="798"/>
      <c r="JDS97" s="798"/>
      <c r="JDT97" s="798"/>
      <c r="JDU97" s="798"/>
      <c r="JDV97" s="798"/>
      <c r="JDW97" s="798"/>
      <c r="JDX97" s="798"/>
      <c r="JDY97" s="798"/>
      <c r="JDZ97" s="798"/>
      <c r="JEA97" s="798"/>
      <c r="JEB97" s="798"/>
      <c r="JEC97" s="798"/>
      <c r="JED97" s="798"/>
      <c r="JEE97" s="798"/>
      <c r="JEF97" s="798"/>
      <c r="JEG97" s="798"/>
      <c r="JEH97" s="798"/>
      <c r="JEI97" s="798"/>
      <c r="JEJ97" s="798"/>
      <c r="JEK97" s="798"/>
      <c r="JEL97" s="798"/>
      <c r="JEM97" s="798"/>
      <c r="JEN97" s="798"/>
      <c r="JEO97" s="798"/>
      <c r="JEP97" s="798"/>
      <c r="JEQ97" s="798"/>
      <c r="JER97" s="798"/>
      <c r="JES97" s="798"/>
      <c r="JET97" s="798"/>
      <c r="JEU97" s="798"/>
      <c r="JEV97" s="798"/>
      <c r="JEW97" s="798"/>
      <c r="JEX97" s="798"/>
      <c r="JEY97" s="798"/>
      <c r="JEZ97" s="798"/>
      <c r="JFA97" s="798"/>
      <c r="JFB97" s="798"/>
      <c r="JFC97" s="798"/>
      <c r="JFD97" s="798"/>
      <c r="JFE97" s="798"/>
      <c r="JFF97" s="798"/>
      <c r="JFG97" s="798"/>
      <c r="JFH97" s="798"/>
      <c r="JFI97" s="798"/>
      <c r="JFJ97" s="798"/>
      <c r="JFK97" s="798"/>
      <c r="JFL97" s="798"/>
      <c r="JFM97" s="798"/>
      <c r="JFN97" s="798"/>
      <c r="JFO97" s="798"/>
      <c r="JFP97" s="798"/>
      <c r="JFQ97" s="798"/>
      <c r="JFR97" s="798"/>
      <c r="JFS97" s="798"/>
      <c r="JFT97" s="798"/>
      <c r="JFU97" s="798"/>
      <c r="JFV97" s="798"/>
      <c r="JFW97" s="798"/>
      <c r="JFX97" s="798"/>
      <c r="JFY97" s="798"/>
      <c r="JFZ97" s="798"/>
      <c r="JGA97" s="798"/>
      <c r="JGB97" s="798"/>
      <c r="JGC97" s="798"/>
      <c r="JGD97" s="798"/>
      <c r="JGE97" s="798"/>
      <c r="JGF97" s="798"/>
      <c r="JGG97" s="798"/>
      <c r="JGH97" s="798"/>
      <c r="JGI97" s="798"/>
      <c r="JGJ97" s="798"/>
      <c r="JGK97" s="798"/>
      <c r="JGL97" s="798"/>
      <c r="JGM97" s="798"/>
      <c r="JGN97" s="798"/>
      <c r="JGO97" s="798"/>
      <c r="JGP97" s="798"/>
      <c r="JGQ97" s="798"/>
      <c r="JGR97" s="798"/>
      <c r="JGS97" s="798"/>
      <c r="JGT97" s="798"/>
      <c r="JGU97" s="798"/>
      <c r="JGV97" s="798"/>
      <c r="JGW97" s="798"/>
      <c r="JGX97" s="798"/>
      <c r="JGY97" s="798"/>
      <c r="JGZ97" s="798"/>
      <c r="JHA97" s="798"/>
      <c r="JHB97" s="798"/>
      <c r="JHC97" s="798"/>
      <c r="JHD97" s="798"/>
      <c r="JHE97" s="798"/>
      <c r="JHF97" s="798"/>
      <c r="JHG97" s="798"/>
      <c r="JHH97" s="798"/>
      <c r="JHI97" s="798"/>
      <c r="JHJ97" s="798"/>
      <c r="JHK97" s="798"/>
      <c r="JHL97" s="798"/>
      <c r="JHM97" s="798"/>
      <c r="JHN97" s="798"/>
      <c r="JHO97" s="798"/>
      <c r="JHP97" s="798"/>
      <c r="JHQ97" s="798"/>
      <c r="JHR97" s="798"/>
      <c r="JHS97" s="798"/>
      <c r="JHT97" s="798"/>
      <c r="JHU97" s="798"/>
      <c r="JHV97" s="798"/>
      <c r="JHW97" s="798"/>
      <c r="JHX97" s="798"/>
      <c r="JHY97" s="798"/>
      <c r="JHZ97" s="798"/>
      <c r="JIA97" s="798"/>
      <c r="JIB97" s="798"/>
      <c r="JIC97" s="798"/>
      <c r="JID97" s="798"/>
      <c r="JIE97" s="798"/>
      <c r="JIF97" s="798"/>
      <c r="JIG97" s="798"/>
      <c r="JIH97" s="798"/>
      <c r="JII97" s="798"/>
      <c r="JIJ97" s="798"/>
      <c r="JIK97" s="798"/>
      <c r="JIL97" s="798"/>
      <c r="JIM97" s="798"/>
      <c r="JIN97" s="798"/>
      <c r="JIO97" s="798"/>
      <c r="JIP97" s="798"/>
      <c r="JIQ97" s="798"/>
      <c r="JIR97" s="798"/>
      <c r="JIS97" s="798"/>
      <c r="JIT97" s="798"/>
      <c r="JIU97" s="798"/>
      <c r="JIV97" s="798"/>
      <c r="JIW97" s="798"/>
      <c r="JIX97" s="798"/>
      <c r="JIY97" s="798"/>
      <c r="JIZ97" s="798"/>
      <c r="JJA97" s="798"/>
      <c r="JJB97" s="798"/>
      <c r="JJC97" s="798"/>
      <c r="JJD97" s="798"/>
      <c r="JJE97" s="798"/>
      <c r="JJF97" s="798"/>
      <c r="JJG97" s="798"/>
      <c r="JJH97" s="798"/>
      <c r="JJI97" s="798"/>
      <c r="JJJ97" s="798"/>
      <c r="JJK97" s="798"/>
      <c r="JJL97" s="798"/>
      <c r="JJM97" s="798"/>
      <c r="JJN97" s="798"/>
      <c r="JJO97" s="798"/>
      <c r="JJP97" s="798"/>
      <c r="JJQ97" s="798"/>
      <c r="JJR97" s="798"/>
      <c r="JJS97" s="798"/>
      <c r="JJT97" s="798"/>
      <c r="JJU97" s="798"/>
      <c r="JJV97" s="798"/>
      <c r="JJW97" s="798"/>
      <c r="JJX97" s="798"/>
      <c r="JJY97" s="798"/>
      <c r="JJZ97" s="798"/>
      <c r="JKA97" s="798"/>
      <c r="JKB97" s="798"/>
      <c r="JKC97" s="798"/>
      <c r="JKD97" s="798"/>
      <c r="JKE97" s="798"/>
      <c r="JKF97" s="798"/>
      <c r="JKG97" s="798"/>
      <c r="JKH97" s="798"/>
      <c r="JKI97" s="798"/>
      <c r="JKJ97" s="798"/>
      <c r="JKK97" s="798"/>
      <c r="JKL97" s="798"/>
      <c r="JKM97" s="798"/>
      <c r="JKN97" s="798"/>
      <c r="JKO97" s="798"/>
      <c r="JKP97" s="798"/>
      <c r="JKQ97" s="798"/>
      <c r="JKR97" s="798"/>
      <c r="JKS97" s="798"/>
      <c r="JKT97" s="798"/>
      <c r="JKU97" s="798"/>
      <c r="JKV97" s="798"/>
      <c r="JKW97" s="798"/>
      <c r="JKX97" s="798"/>
      <c r="JKY97" s="798"/>
      <c r="JKZ97" s="798"/>
      <c r="JLA97" s="798"/>
      <c r="JLB97" s="798"/>
      <c r="JLC97" s="798"/>
      <c r="JLD97" s="798"/>
      <c r="JLE97" s="798"/>
      <c r="JLF97" s="798"/>
      <c r="JLG97" s="798"/>
      <c r="JLH97" s="798"/>
      <c r="JLI97" s="798"/>
      <c r="JLJ97" s="798"/>
      <c r="JLK97" s="798"/>
      <c r="JLL97" s="798"/>
      <c r="JLM97" s="798"/>
      <c r="JLN97" s="798"/>
      <c r="JLO97" s="798"/>
      <c r="JLP97" s="798"/>
      <c r="JLQ97" s="798"/>
      <c r="JLR97" s="798"/>
      <c r="JLS97" s="798"/>
      <c r="JLT97" s="798"/>
      <c r="JLU97" s="798"/>
      <c r="JLV97" s="798"/>
      <c r="JLW97" s="798"/>
      <c r="JLX97" s="798"/>
      <c r="JLY97" s="798"/>
      <c r="JLZ97" s="798"/>
      <c r="JMA97" s="798"/>
      <c r="JMB97" s="798"/>
      <c r="JMC97" s="798"/>
      <c r="JMD97" s="798"/>
      <c r="JME97" s="798"/>
      <c r="JMF97" s="798"/>
      <c r="JMG97" s="798"/>
      <c r="JMH97" s="798"/>
      <c r="JMI97" s="798"/>
      <c r="JMJ97" s="798"/>
      <c r="JMK97" s="798"/>
      <c r="JML97" s="798"/>
      <c r="JMM97" s="798"/>
      <c r="JMN97" s="798"/>
      <c r="JMO97" s="798"/>
      <c r="JMP97" s="798"/>
      <c r="JMQ97" s="798"/>
      <c r="JMR97" s="798"/>
      <c r="JMS97" s="798"/>
      <c r="JMT97" s="798"/>
      <c r="JMU97" s="798"/>
      <c r="JMV97" s="798"/>
      <c r="JMW97" s="798"/>
      <c r="JMX97" s="798"/>
      <c r="JMY97" s="798"/>
      <c r="JMZ97" s="798"/>
      <c r="JNA97" s="798"/>
      <c r="JNB97" s="798"/>
      <c r="JNC97" s="798"/>
      <c r="JND97" s="798"/>
      <c r="JNE97" s="798"/>
      <c r="JNF97" s="798"/>
      <c r="JNG97" s="798"/>
      <c r="JNH97" s="798"/>
      <c r="JNI97" s="798"/>
      <c r="JNJ97" s="798"/>
      <c r="JNK97" s="798"/>
      <c r="JNL97" s="798"/>
      <c r="JNM97" s="798"/>
      <c r="JNN97" s="798"/>
      <c r="JNO97" s="798"/>
      <c r="JNP97" s="798"/>
      <c r="JNQ97" s="798"/>
      <c r="JNR97" s="798"/>
      <c r="JNS97" s="798"/>
      <c r="JNT97" s="798"/>
      <c r="JNU97" s="798"/>
      <c r="JNV97" s="798"/>
      <c r="JNW97" s="798"/>
      <c r="JNX97" s="798"/>
      <c r="JNY97" s="798"/>
      <c r="JNZ97" s="798"/>
      <c r="JOA97" s="798"/>
      <c r="JOB97" s="798"/>
      <c r="JOC97" s="798"/>
      <c r="JOD97" s="798"/>
      <c r="JOE97" s="798"/>
      <c r="JOF97" s="798"/>
      <c r="JOG97" s="798"/>
      <c r="JOH97" s="798"/>
      <c r="JOI97" s="798"/>
      <c r="JOJ97" s="798"/>
      <c r="JOK97" s="798"/>
      <c r="JOL97" s="798"/>
      <c r="JOM97" s="798"/>
      <c r="JON97" s="798"/>
      <c r="JOO97" s="798"/>
      <c r="JOP97" s="798"/>
      <c r="JOQ97" s="798"/>
      <c r="JOR97" s="798"/>
      <c r="JOS97" s="798"/>
      <c r="JOT97" s="798"/>
      <c r="JOU97" s="798"/>
      <c r="JOV97" s="798"/>
      <c r="JOW97" s="798"/>
      <c r="JOX97" s="798"/>
      <c r="JOY97" s="798"/>
      <c r="JOZ97" s="798"/>
      <c r="JPA97" s="798"/>
      <c r="JPB97" s="798"/>
      <c r="JPC97" s="798"/>
      <c r="JPD97" s="798"/>
      <c r="JPE97" s="798"/>
      <c r="JPF97" s="798"/>
      <c r="JPG97" s="798"/>
      <c r="JPH97" s="798"/>
      <c r="JPI97" s="798"/>
      <c r="JPJ97" s="798"/>
      <c r="JPK97" s="798"/>
      <c r="JPL97" s="798"/>
      <c r="JPM97" s="798"/>
      <c r="JPN97" s="798"/>
      <c r="JPO97" s="798"/>
      <c r="JPP97" s="798"/>
      <c r="JPQ97" s="798"/>
      <c r="JPR97" s="798"/>
      <c r="JPS97" s="798"/>
      <c r="JPT97" s="798"/>
      <c r="JPU97" s="798"/>
      <c r="JPV97" s="798"/>
      <c r="JPW97" s="798"/>
      <c r="JPX97" s="798"/>
      <c r="JPY97" s="798"/>
      <c r="JPZ97" s="798"/>
      <c r="JQA97" s="798"/>
      <c r="JQB97" s="798"/>
      <c r="JQC97" s="798"/>
      <c r="JQD97" s="798"/>
      <c r="JQE97" s="798"/>
      <c r="JQF97" s="798"/>
      <c r="JQG97" s="798"/>
      <c r="JQH97" s="798"/>
      <c r="JQI97" s="798"/>
      <c r="JQJ97" s="798"/>
      <c r="JQK97" s="798"/>
      <c r="JQL97" s="798"/>
      <c r="JQM97" s="798"/>
      <c r="JQN97" s="798"/>
      <c r="JQO97" s="798"/>
      <c r="JQP97" s="798"/>
      <c r="JQQ97" s="798"/>
      <c r="JQR97" s="798"/>
      <c r="JQS97" s="798"/>
      <c r="JQT97" s="798"/>
      <c r="JQU97" s="798"/>
      <c r="JQV97" s="798"/>
      <c r="JQW97" s="798"/>
      <c r="JQX97" s="798"/>
      <c r="JQY97" s="798"/>
      <c r="JQZ97" s="798"/>
      <c r="JRA97" s="798"/>
      <c r="JRB97" s="798"/>
      <c r="JRC97" s="798"/>
      <c r="JRD97" s="798"/>
      <c r="JRE97" s="798"/>
      <c r="JRF97" s="798"/>
      <c r="JRG97" s="798"/>
      <c r="JRH97" s="798"/>
      <c r="JRI97" s="798"/>
      <c r="JRJ97" s="798"/>
      <c r="JRK97" s="798"/>
      <c r="JRL97" s="798"/>
      <c r="JRM97" s="798"/>
      <c r="JRN97" s="798"/>
      <c r="JRO97" s="798"/>
      <c r="JRP97" s="798"/>
      <c r="JRQ97" s="798"/>
      <c r="JRR97" s="798"/>
      <c r="JRS97" s="798"/>
      <c r="JRT97" s="798"/>
      <c r="JRU97" s="798"/>
      <c r="JRV97" s="798"/>
      <c r="JRW97" s="798"/>
      <c r="JRX97" s="798"/>
      <c r="JRY97" s="798"/>
      <c r="JRZ97" s="798"/>
      <c r="JSA97" s="798"/>
      <c r="JSB97" s="798"/>
      <c r="JSC97" s="798"/>
      <c r="JSD97" s="798"/>
      <c r="JSE97" s="798"/>
      <c r="JSF97" s="798"/>
      <c r="JSG97" s="798"/>
      <c r="JSH97" s="798"/>
      <c r="JSI97" s="798"/>
      <c r="JSJ97" s="798"/>
      <c r="JSK97" s="798"/>
      <c r="JSL97" s="798"/>
      <c r="JSM97" s="798"/>
      <c r="JSN97" s="798"/>
      <c r="JSO97" s="798"/>
      <c r="JSP97" s="798"/>
      <c r="JSQ97" s="798"/>
      <c r="JSR97" s="798"/>
      <c r="JSS97" s="798"/>
      <c r="JST97" s="798"/>
      <c r="JSU97" s="798"/>
      <c r="JSV97" s="798"/>
      <c r="JSW97" s="798"/>
      <c r="JSX97" s="798"/>
      <c r="JSY97" s="798"/>
      <c r="JSZ97" s="798"/>
      <c r="JTA97" s="798"/>
      <c r="JTB97" s="798"/>
      <c r="JTC97" s="798"/>
      <c r="JTD97" s="798"/>
      <c r="JTE97" s="798"/>
      <c r="JTF97" s="798"/>
      <c r="JTG97" s="798"/>
      <c r="JTH97" s="798"/>
      <c r="JTI97" s="798"/>
      <c r="JTJ97" s="798"/>
      <c r="JTK97" s="798"/>
      <c r="JTL97" s="798"/>
      <c r="JTM97" s="798"/>
      <c r="JTN97" s="798"/>
      <c r="JTO97" s="798"/>
      <c r="JTP97" s="798"/>
      <c r="JTQ97" s="798"/>
      <c r="JTR97" s="798"/>
      <c r="JTS97" s="798"/>
      <c r="JTT97" s="798"/>
      <c r="JTU97" s="798"/>
      <c r="JTV97" s="798"/>
      <c r="JTW97" s="798"/>
      <c r="JTX97" s="798"/>
      <c r="JTY97" s="798"/>
      <c r="JTZ97" s="798"/>
      <c r="JUA97" s="798"/>
      <c r="JUB97" s="798"/>
      <c r="JUC97" s="798"/>
      <c r="JUD97" s="798"/>
      <c r="JUE97" s="798"/>
      <c r="JUF97" s="798"/>
      <c r="JUG97" s="798"/>
      <c r="JUH97" s="798"/>
      <c r="JUI97" s="798"/>
      <c r="JUJ97" s="798"/>
      <c r="JUK97" s="798"/>
      <c r="JUL97" s="798"/>
      <c r="JUM97" s="798"/>
      <c r="JUN97" s="798"/>
      <c r="JUO97" s="798"/>
      <c r="JUP97" s="798"/>
      <c r="JUQ97" s="798"/>
      <c r="JUR97" s="798"/>
      <c r="JUS97" s="798"/>
      <c r="JUT97" s="798"/>
      <c r="JUU97" s="798"/>
      <c r="JUV97" s="798"/>
      <c r="JUW97" s="798"/>
      <c r="JUX97" s="798"/>
      <c r="JUY97" s="798"/>
      <c r="JUZ97" s="798"/>
      <c r="JVA97" s="798"/>
      <c r="JVB97" s="798"/>
      <c r="JVC97" s="798"/>
      <c r="JVD97" s="798"/>
      <c r="JVE97" s="798"/>
      <c r="JVF97" s="798"/>
      <c r="JVG97" s="798"/>
      <c r="JVH97" s="798"/>
      <c r="JVI97" s="798"/>
      <c r="JVJ97" s="798"/>
      <c r="JVK97" s="798"/>
      <c r="JVL97" s="798"/>
      <c r="JVM97" s="798"/>
      <c r="JVN97" s="798"/>
      <c r="JVO97" s="798"/>
      <c r="JVP97" s="798"/>
      <c r="JVQ97" s="798"/>
      <c r="JVR97" s="798"/>
      <c r="JVS97" s="798"/>
      <c r="JVT97" s="798"/>
      <c r="JVU97" s="798"/>
      <c r="JVV97" s="798"/>
      <c r="JVW97" s="798"/>
      <c r="JVX97" s="798"/>
      <c r="JVY97" s="798"/>
      <c r="JVZ97" s="798"/>
      <c r="JWA97" s="798"/>
      <c r="JWB97" s="798"/>
      <c r="JWC97" s="798"/>
      <c r="JWD97" s="798"/>
      <c r="JWE97" s="798"/>
      <c r="JWF97" s="798"/>
      <c r="JWG97" s="798"/>
      <c r="JWH97" s="798"/>
      <c r="JWI97" s="798"/>
      <c r="JWJ97" s="798"/>
      <c r="JWK97" s="798"/>
      <c r="JWL97" s="798"/>
      <c r="JWM97" s="798"/>
      <c r="JWN97" s="798"/>
      <c r="JWO97" s="798"/>
      <c r="JWP97" s="798"/>
      <c r="JWQ97" s="798"/>
      <c r="JWR97" s="798"/>
      <c r="JWS97" s="798"/>
      <c r="JWT97" s="798"/>
      <c r="JWU97" s="798"/>
      <c r="JWV97" s="798"/>
      <c r="JWW97" s="798"/>
      <c r="JWX97" s="798"/>
      <c r="JWY97" s="798"/>
      <c r="JWZ97" s="798"/>
      <c r="JXA97" s="798"/>
      <c r="JXB97" s="798"/>
      <c r="JXC97" s="798"/>
      <c r="JXD97" s="798"/>
      <c r="JXE97" s="798"/>
      <c r="JXF97" s="798"/>
      <c r="JXG97" s="798"/>
      <c r="JXH97" s="798"/>
      <c r="JXI97" s="798"/>
      <c r="JXJ97" s="798"/>
      <c r="JXK97" s="798"/>
      <c r="JXL97" s="798"/>
      <c r="JXM97" s="798"/>
      <c r="JXN97" s="798"/>
      <c r="JXO97" s="798"/>
      <c r="JXP97" s="798"/>
      <c r="JXQ97" s="798"/>
      <c r="JXR97" s="798"/>
      <c r="JXS97" s="798"/>
      <c r="JXT97" s="798"/>
      <c r="JXU97" s="798"/>
      <c r="JXV97" s="798"/>
      <c r="JXW97" s="798"/>
      <c r="JXX97" s="798"/>
      <c r="JXY97" s="798"/>
      <c r="JXZ97" s="798"/>
      <c r="JYA97" s="798"/>
      <c r="JYB97" s="798"/>
      <c r="JYC97" s="798"/>
      <c r="JYD97" s="798"/>
      <c r="JYE97" s="798"/>
      <c r="JYF97" s="798"/>
      <c r="JYG97" s="798"/>
      <c r="JYH97" s="798"/>
      <c r="JYI97" s="798"/>
      <c r="JYJ97" s="798"/>
      <c r="JYK97" s="798"/>
      <c r="JYL97" s="798"/>
      <c r="JYM97" s="798"/>
      <c r="JYN97" s="798"/>
      <c r="JYO97" s="798"/>
      <c r="JYP97" s="798"/>
      <c r="JYQ97" s="798"/>
      <c r="JYR97" s="798"/>
      <c r="JYS97" s="798"/>
      <c r="JYT97" s="798"/>
      <c r="JYU97" s="798"/>
      <c r="JYV97" s="798"/>
      <c r="JYW97" s="798"/>
      <c r="JYX97" s="798"/>
      <c r="JYY97" s="798"/>
      <c r="JYZ97" s="798"/>
      <c r="JZA97" s="798"/>
      <c r="JZB97" s="798"/>
      <c r="JZC97" s="798"/>
      <c r="JZD97" s="798"/>
      <c r="JZE97" s="798"/>
      <c r="JZF97" s="798"/>
      <c r="JZG97" s="798"/>
      <c r="JZH97" s="798"/>
      <c r="JZI97" s="798"/>
      <c r="JZJ97" s="798"/>
      <c r="JZK97" s="798"/>
      <c r="JZL97" s="798"/>
      <c r="JZM97" s="798"/>
      <c r="JZN97" s="798"/>
      <c r="JZO97" s="798"/>
      <c r="JZP97" s="798"/>
      <c r="JZQ97" s="798"/>
      <c r="JZR97" s="798"/>
      <c r="JZS97" s="798"/>
      <c r="JZT97" s="798"/>
      <c r="JZU97" s="798"/>
      <c r="JZV97" s="798"/>
      <c r="JZW97" s="798"/>
      <c r="JZX97" s="798"/>
      <c r="JZY97" s="798"/>
      <c r="JZZ97" s="798"/>
      <c r="KAA97" s="798"/>
      <c r="KAB97" s="798"/>
      <c r="KAC97" s="798"/>
      <c r="KAD97" s="798"/>
      <c r="KAE97" s="798"/>
      <c r="KAF97" s="798"/>
      <c r="KAG97" s="798"/>
      <c r="KAH97" s="798"/>
      <c r="KAI97" s="798"/>
      <c r="KAJ97" s="798"/>
      <c r="KAK97" s="798"/>
      <c r="KAL97" s="798"/>
      <c r="KAM97" s="798"/>
      <c r="KAN97" s="798"/>
      <c r="KAO97" s="798"/>
      <c r="KAP97" s="798"/>
      <c r="KAQ97" s="798"/>
      <c r="KAR97" s="798"/>
      <c r="KAS97" s="798"/>
      <c r="KAT97" s="798"/>
      <c r="KAU97" s="798"/>
      <c r="KAV97" s="798"/>
      <c r="KAW97" s="798"/>
      <c r="KAX97" s="798"/>
      <c r="KAY97" s="798"/>
      <c r="KAZ97" s="798"/>
      <c r="KBA97" s="798"/>
      <c r="KBB97" s="798"/>
      <c r="KBC97" s="798"/>
      <c r="KBD97" s="798"/>
      <c r="KBE97" s="798"/>
      <c r="KBF97" s="798"/>
      <c r="KBG97" s="798"/>
      <c r="KBH97" s="798"/>
      <c r="KBI97" s="798"/>
      <c r="KBJ97" s="798"/>
      <c r="KBK97" s="798"/>
      <c r="KBL97" s="798"/>
      <c r="KBM97" s="798"/>
      <c r="KBN97" s="798"/>
      <c r="KBO97" s="798"/>
      <c r="KBP97" s="798"/>
      <c r="KBQ97" s="798"/>
      <c r="KBR97" s="798"/>
      <c r="KBS97" s="798"/>
      <c r="KBT97" s="798"/>
      <c r="KBU97" s="798"/>
      <c r="KBV97" s="798"/>
      <c r="KBW97" s="798"/>
      <c r="KBX97" s="798"/>
      <c r="KBY97" s="798"/>
      <c r="KBZ97" s="798"/>
      <c r="KCA97" s="798"/>
      <c r="KCB97" s="798"/>
      <c r="KCC97" s="798"/>
      <c r="KCD97" s="798"/>
      <c r="KCE97" s="798"/>
      <c r="KCF97" s="798"/>
      <c r="KCG97" s="798"/>
      <c r="KCH97" s="798"/>
      <c r="KCI97" s="798"/>
      <c r="KCJ97" s="798"/>
      <c r="KCK97" s="798"/>
      <c r="KCL97" s="798"/>
      <c r="KCM97" s="798"/>
      <c r="KCN97" s="798"/>
      <c r="KCO97" s="798"/>
      <c r="KCP97" s="798"/>
      <c r="KCQ97" s="798"/>
      <c r="KCR97" s="798"/>
      <c r="KCS97" s="798"/>
      <c r="KCT97" s="798"/>
      <c r="KCU97" s="798"/>
      <c r="KCV97" s="798"/>
      <c r="KCW97" s="798"/>
      <c r="KCX97" s="798"/>
      <c r="KCY97" s="798"/>
      <c r="KCZ97" s="798"/>
      <c r="KDA97" s="798"/>
      <c r="KDB97" s="798"/>
      <c r="KDC97" s="798"/>
      <c r="KDD97" s="798"/>
      <c r="KDE97" s="798"/>
      <c r="KDF97" s="798"/>
      <c r="KDG97" s="798"/>
      <c r="KDH97" s="798"/>
      <c r="KDI97" s="798"/>
      <c r="KDJ97" s="798"/>
      <c r="KDK97" s="798"/>
      <c r="KDL97" s="798"/>
      <c r="KDM97" s="798"/>
      <c r="KDN97" s="798"/>
      <c r="KDO97" s="798"/>
      <c r="KDP97" s="798"/>
      <c r="KDQ97" s="798"/>
      <c r="KDR97" s="798"/>
      <c r="KDS97" s="798"/>
      <c r="KDT97" s="798"/>
      <c r="KDU97" s="798"/>
      <c r="KDV97" s="798"/>
      <c r="KDW97" s="798"/>
      <c r="KDX97" s="798"/>
      <c r="KDY97" s="798"/>
      <c r="KDZ97" s="798"/>
      <c r="KEA97" s="798"/>
      <c r="KEB97" s="798"/>
      <c r="KEC97" s="798"/>
      <c r="KED97" s="798"/>
      <c r="KEE97" s="798"/>
      <c r="KEF97" s="798"/>
      <c r="KEG97" s="798"/>
      <c r="KEH97" s="798"/>
      <c r="KEI97" s="798"/>
      <c r="KEJ97" s="798"/>
      <c r="KEK97" s="798"/>
      <c r="KEL97" s="798"/>
      <c r="KEM97" s="798"/>
      <c r="KEN97" s="798"/>
      <c r="KEO97" s="798"/>
      <c r="KEP97" s="798"/>
      <c r="KEQ97" s="798"/>
      <c r="KER97" s="798"/>
      <c r="KES97" s="798"/>
      <c r="KET97" s="798"/>
      <c r="KEU97" s="798"/>
      <c r="KEV97" s="798"/>
      <c r="KEW97" s="798"/>
      <c r="KEX97" s="798"/>
      <c r="KEY97" s="798"/>
      <c r="KEZ97" s="798"/>
      <c r="KFA97" s="798"/>
      <c r="KFB97" s="798"/>
      <c r="KFC97" s="798"/>
      <c r="KFD97" s="798"/>
      <c r="KFE97" s="798"/>
      <c r="KFF97" s="798"/>
      <c r="KFG97" s="798"/>
      <c r="KFH97" s="798"/>
      <c r="KFI97" s="798"/>
      <c r="KFJ97" s="798"/>
      <c r="KFK97" s="798"/>
      <c r="KFL97" s="798"/>
      <c r="KFM97" s="798"/>
      <c r="KFN97" s="798"/>
      <c r="KFO97" s="798"/>
      <c r="KFP97" s="798"/>
      <c r="KFQ97" s="798"/>
      <c r="KFR97" s="798"/>
      <c r="KFS97" s="798"/>
      <c r="KFT97" s="798"/>
      <c r="KFU97" s="798"/>
      <c r="KFV97" s="798"/>
      <c r="KFW97" s="798"/>
      <c r="KFX97" s="798"/>
      <c r="KFY97" s="798"/>
      <c r="KFZ97" s="798"/>
      <c r="KGA97" s="798"/>
      <c r="KGB97" s="798"/>
      <c r="KGC97" s="798"/>
      <c r="KGD97" s="798"/>
      <c r="KGE97" s="798"/>
      <c r="KGF97" s="798"/>
      <c r="KGG97" s="798"/>
      <c r="KGH97" s="798"/>
      <c r="KGI97" s="798"/>
      <c r="KGJ97" s="798"/>
      <c r="KGK97" s="798"/>
      <c r="KGL97" s="798"/>
      <c r="KGM97" s="798"/>
      <c r="KGN97" s="798"/>
      <c r="KGO97" s="798"/>
      <c r="KGP97" s="798"/>
      <c r="KGQ97" s="798"/>
      <c r="KGR97" s="798"/>
      <c r="KGS97" s="798"/>
      <c r="KGT97" s="798"/>
      <c r="KGU97" s="798"/>
      <c r="KGV97" s="798"/>
      <c r="KGW97" s="798"/>
      <c r="KGX97" s="798"/>
      <c r="KGY97" s="798"/>
      <c r="KGZ97" s="798"/>
      <c r="KHA97" s="798"/>
      <c r="KHB97" s="798"/>
      <c r="KHC97" s="798"/>
      <c r="KHD97" s="798"/>
      <c r="KHE97" s="798"/>
      <c r="KHF97" s="798"/>
      <c r="KHG97" s="798"/>
      <c r="KHH97" s="798"/>
      <c r="KHI97" s="798"/>
      <c r="KHJ97" s="798"/>
      <c r="KHK97" s="798"/>
      <c r="KHL97" s="798"/>
      <c r="KHM97" s="798"/>
      <c r="KHN97" s="798"/>
      <c r="KHO97" s="798"/>
      <c r="KHP97" s="798"/>
      <c r="KHQ97" s="798"/>
      <c r="KHR97" s="798"/>
      <c r="KHS97" s="798"/>
      <c r="KHT97" s="798"/>
      <c r="KHU97" s="798"/>
      <c r="KHV97" s="798"/>
      <c r="KHW97" s="798"/>
      <c r="KHX97" s="798"/>
      <c r="KHY97" s="798"/>
      <c r="KHZ97" s="798"/>
      <c r="KIA97" s="798"/>
      <c r="KIB97" s="798"/>
      <c r="KIC97" s="798"/>
      <c r="KID97" s="798"/>
      <c r="KIE97" s="798"/>
      <c r="KIF97" s="798"/>
      <c r="KIG97" s="798"/>
      <c r="KIH97" s="798"/>
      <c r="KII97" s="798"/>
      <c r="KIJ97" s="798"/>
      <c r="KIK97" s="798"/>
      <c r="KIL97" s="798"/>
      <c r="KIM97" s="798"/>
      <c r="KIN97" s="798"/>
      <c r="KIO97" s="798"/>
      <c r="KIP97" s="798"/>
      <c r="KIQ97" s="798"/>
      <c r="KIR97" s="798"/>
      <c r="KIS97" s="798"/>
      <c r="KIT97" s="798"/>
      <c r="KIU97" s="798"/>
      <c r="KIV97" s="798"/>
      <c r="KIW97" s="798"/>
      <c r="KIX97" s="798"/>
      <c r="KIY97" s="798"/>
      <c r="KIZ97" s="798"/>
      <c r="KJA97" s="798"/>
      <c r="KJB97" s="798"/>
      <c r="KJC97" s="798"/>
      <c r="KJD97" s="798"/>
      <c r="KJE97" s="798"/>
      <c r="KJF97" s="798"/>
      <c r="KJG97" s="798"/>
      <c r="KJH97" s="798"/>
      <c r="KJI97" s="798"/>
      <c r="KJJ97" s="798"/>
      <c r="KJK97" s="798"/>
      <c r="KJL97" s="798"/>
      <c r="KJM97" s="798"/>
      <c r="KJN97" s="798"/>
      <c r="KJO97" s="798"/>
      <c r="KJP97" s="798"/>
      <c r="KJQ97" s="798"/>
      <c r="KJR97" s="798"/>
      <c r="KJS97" s="798"/>
      <c r="KJT97" s="798"/>
      <c r="KJU97" s="798"/>
      <c r="KJV97" s="798"/>
      <c r="KJW97" s="798"/>
      <c r="KJX97" s="798"/>
      <c r="KJY97" s="798"/>
      <c r="KJZ97" s="798"/>
      <c r="KKA97" s="798"/>
      <c r="KKB97" s="798"/>
      <c r="KKC97" s="798"/>
      <c r="KKD97" s="798"/>
      <c r="KKE97" s="798"/>
      <c r="KKF97" s="798"/>
      <c r="KKG97" s="798"/>
      <c r="KKH97" s="798"/>
      <c r="KKI97" s="798"/>
      <c r="KKJ97" s="798"/>
      <c r="KKK97" s="798"/>
      <c r="KKL97" s="798"/>
      <c r="KKM97" s="798"/>
      <c r="KKN97" s="798"/>
      <c r="KKO97" s="798"/>
      <c r="KKP97" s="798"/>
      <c r="KKQ97" s="798"/>
      <c r="KKR97" s="798"/>
      <c r="KKS97" s="798"/>
      <c r="KKT97" s="798"/>
      <c r="KKU97" s="798"/>
      <c r="KKV97" s="798"/>
      <c r="KKW97" s="798"/>
      <c r="KKX97" s="798"/>
      <c r="KKY97" s="798"/>
      <c r="KKZ97" s="798"/>
      <c r="KLA97" s="798"/>
      <c r="KLB97" s="798"/>
      <c r="KLC97" s="798"/>
      <c r="KLD97" s="798"/>
      <c r="KLE97" s="798"/>
      <c r="KLF97" s="798"/>
      <c r="KLG97" s="798"/>
      <c r="KLH97" s="798"/>
      <c r="KLI97" s="798"/>
      <c r="KLJ97" s="798"/>
      <c r="KLK97" s="798"/>
      <c r="KLL97" s="798"/>
      <c r="KLM97" s="798"/>
      <c r="KLN97" s="798"/>
      <c r="KLO97" s="798"/>
      <c r="KLP97" s="798"/>
      <c r="KLQ97" s="798"/>
      <c r="KLR97" s="798"/>
      <c r="KLS97" s="798"/>
      <c r="KLT97" s="798"/>
      <c r="KLU97" s="798"/>
      <c r="KLV97" s="798"/>
      <c r="KLW97" s="798"/>
      <c r="KLX97" s="798"/>
      <c r="KLY97" s="798"/>
      <c r="KLZ97" s="798"/>
      <c r="KMA97" s="798"/>
      <c r="KMB97" s="798"/>
      <c r="KMC97" s="798"/>
      <c r="KMD97" s="798"/>
      <c r="KME97" s="798"/>
      <c r="KMF97" s="798"/>
      <c r="KMG97" s="798"/>
      <c r="KMH97" s="798"/>
      <c r="KMI97" s="798"/>
      <c r="KMJ97" s="798"/>
      <c r="KMK97" s="798"/>
      <c r="KML97" s="798"/>
      <c r="KMM97" s="798"/>
      <c r="KMN97" s="798"/>
      <c r="KMO97" s="798"/>
      <c r="KMP97" s="798"/>
      <c r="KMQ97" s="798"/>
      <c r="KMR97" s="798"/>
      <c r="KMS97" s="798"/>
      <c r="KMT97" s="798"/>
      <c r="KMU97" s="798"/>
      <c r="KMV97" s="798"/>
      <c r="KMW97" s="798"/>
      <c r="KMX97" s="798"/>
      <c r="KMY97" s="798"/>
      <c r="KMZ97" s="798"/>
      <c r="KNA97" s="798"/>
      <c r="KNB97" s="798"/>
      <c r="KNC97" s="798"/>
      <c r="KND97" s="798"/>
      <c r="KNE97" s="798"/>
      <c r="KNF97" s="798"/>
      <c r="KNG97" s="798"/>
      <c r="KNH97" s="798"/>
      <c r="KNI97" s="798"/>
      <c r="KNJ97" s="798"/>
      <c r="KNK97" s="798"/>
      <c r="KNL97" s="798"/>
      <c r="KNM97" s="798"/>
      <c r="KNN97" s="798"/>
      <c r="KNO97" s="798"/>
      <c r="KNP97" s="798"/>
      <c r="KNQ97" s="798"/>
      <c r="KNR97" s="798"/>
      <c r="KNS97" s="798"/>
      <c r="KNT97" s="798"/>
      <c r="KNU97" s="798"/>
      <c r="KNV97" s="798"/>
      <c r="KNW97" s="798"/>
      <c r="KNX97" s="798"/>
      <c r="KNY97" s="798"/>
      <c r="KNZ97" s="798"/>
      <c r="KOA97" s="798"/>
      <c r="KOB97" s="798"/>
      <c r="KOC97" s="798"/>
      <c r="KOD97" s="798"/>
      <c r="KOE97" s="798"/>
      <c r="KOF97" s="798"/>
      <c r="KOG97" s="798"/>
      <c r="KOH97" s="798"/>
      <c r="KOI97" s="798"/>
      <c r="KOJ97" s="798"/>
      <c r="KOK97" s="798"/>
      <c r="KOL97" s="798"/>
      <c r="KOM97" s="798"/>
      <c r="KON97" s="798"/>
      <c r="KOO97" s="798"/>
      <c r="KOP97" s="798"/>
      <c r="KOQ97" s="798"/>
      <c r="KOR97" s="798"/>
      <c r="KOS97" s="798"/>
      <c r="KOT97" s="798"/>
      <c r="KOU97" s="798"/>
      <c r="KOV97" s="798"/>
      <c r="KOW97" s="798"/>
      <c r="KOX97" s="798"/>
      <c r="KOY97" s="798"/>
      <c r="KOZ97" s="798"/>
      <c r="KPA97" s="798"/>
      <c r="KPB97" s="798"/>
      <c r="KPC97" s="798"/>
      <c r="KPD97" s="798"/>
      <c r="KPE97" s="798"/>
      <c r="KPF97" s="798"/>
      <c r="KPG97" s="798"/>
      <c r="KPH97" s="798"/>
      <c r="KPI97" s="798"/>
      <c r="KPJ97" s="798"/>
      <c r="KPK97" s="798"/>
      <c r="KPL97" s="798"/>
      <c r="KPM97" s="798"/>
      <c r="KPN97" s="798"/>
      <c r="KPO97" s="798"/>
      <c r="KPP97" s="798"/>
      <c r="KPQ97" s="798"/>
      <c r="KPR97" s="798"/>
      <c r="KPS97" s="798"/>
      <c r="KPT97" s="798"/>
      <c r="KPU97" s="798"/>
      <c r="KPV97" s="798"/>
      <c r="KPW97" s="798"/>
      <c r="KPX97" s="798"/>
      <c r="KPY97" s="798"/>
      <c r="KPZ97" s="798"/>
      <c r="KQA97" s="798"/>
      <c r="KQB97" s="798"/>
      <c r="KQC97" s="798"/>
      <c r="KQD97" s="798"/>
      <c r="KQE97" s="798"/>
      <c r="KQF97" s="798"/>
      <c r="KQG97" s="798"/>
      <c r="KQH97" s="798"/>
      <c r="KQI97" s="798"/>
      <c r="KQJ97" s="798"/>
      <c r="KQK97" s="798"/>
      <c r="KQL97" s="798"/>
      <c r="KQM97" s="798"/>
      <c r="KQN97" s="798"/>
      <c r="KQO97" s="798"/>
      <c r="KQP97" s="798"/>
      <c r="KQQ97" s="798"/>
      <c r="KQR97" s="798"/>
      <c r="KQS97" s="798"/>
      <c r="KQT97" s="798"/>
      <c r="KQU97" s="798"/>
      <c r="KQV97" s="798"/>
      <c r="KQW97" s="798"/>
      <c r="KQX97" s="798"/>
      <c r="KQY97" s="798"/>
      <c r="KQZ97" s="798"/>
      <c r="KRA97" s="798"/>
      <c r="KRB97" s="798"/>
      <c r="KRC97" s="798"/>
      <c r="KRD97" s="798"/>
      <c r="KRE97" s="798"/>
      <c r="KRF97" s="798"/>
      <c r="KRG97" s="798"/>
      <c r="KRH97" s="798"/>
      <c r="KRI97" s="798"/>
      <c r="KRJ97" s="798"/>
      <c r="KRK97" s="798"/>
      <c r="KRL97" s="798"/>
      <c r="KRM97" s="798"/>
      <c r="KRN97" s="798"/>
      <c r="KRO97" s="798"/>
      <c r="KRP97" s="798"/>
      <c r="KRQ97" s="798"/>
      <c r="KRR97" s="798"/>
      <c r="KRS97" s="798"/>
      <c r="KRT97" s="798"/>
      <c r="KRU97" s="798"/>
      <c r="KRV97" s="798"/>
      <c r="KRW97" s="798"/>
      <c r="KRX97" s="798"/>
      <c r="KRY97" s="798"/>
      <c r="KRZ97" s="798"/>
      <c r="KSA97" s="798"/>
      <c r="KSB97" s="798"/>
      <c r="KSC97" s="798"/>
      <c r="KSD97" s="798"/>
      <c r="KSE97" s="798"/>
      <c r="KSF97" s="798"/>
      <c r="KSG97" s="798"/>
      <c r="KSH97" s="798"/>
      <c r="KSI97" s="798"/>
      <c r="KSJ97" s="798"/>
      <c r="KSK97" s="798"/>
      <c r="KSL97" s="798"/>
      <c r="KSM97" s="798"/>
      <c r="KSN97" s="798"/>
      <c r="KSO97" s="798"/>
      <c r="KSP97" s="798"/>
      <c r="KSQ97" s="798"/>
      <c r="KSR97" s="798"/>
      <c r="KSS97" s="798"/>
      <c r="KST97" s="798"/>
      <c r="KSU97" s="798"/>
      <c r="KSV97" s="798"/>
      <c r="KSW97" s="798"/>
      <c r="KSX97" s="798"/>
      <c r="KSY97" s="798"/>
      <c r="KSZ97" s="798"/>
      <c r="KTA97" s="798"/>
      <c r="KTB97" s="798"/>
      <c r="KTC97" s="798"/>
      <c r="KTD97" s="798"/>
      <c r="KTE97" s="798"/>
      <c r="KTF97" s="798"/>
      <c r="KTG97" s="798"/>
      <c r="KTH97" s="798"/>
      <c r="KTI97" s="798"/>
      <c r="KTJ97" s="798"/>
      <c r="KTK97" s="798"/>
      <c r="KTL97" s="798"/>
      <c r="KTM97" s="798"/>
      <c r="KTN97" s="798"/>
      <c r="KTO97" s="798"/>
      <c r="KTP97" s="798"/>
      <c r="KTQ97" s="798"/>
      <c r="KTR97" s="798"/>
      <c r="KTS97" s="798"/>
      <c r="KTT97" s="798"/>
      <c r="KTU97" s="798"/>
      <c r="KTV97" s="798"/>
      <c r="KTW97" s="798"/>
      <c r="KTX97" s="798"/>
      <c r="KTY97" s="798"/>
      <c r="KTZ97" s="798"/>
      <c r="KUA97" s="798"/>
      <c r="KUB97" s="798"/>
      <c r="KUC97" s="798"/>
      <c r="KUD97" s="798"/>
      <c r="KUE97" s="798"/>
      <c r="KUF97" s="798"/>
      <c r="KUG97" s="798"/>
      <c r="KUH97" s="798"/>
      <c r="KUI97" s="798"/>
      <c r="KUJ97" s="798"/>
      <c r="KUK97" s="798"/>
      <c r="KUL97" s="798"/>
      <c r="KUM97" s="798"/>
      <c r="KUN97" s="798"/>
      <c r="KUO97" s="798"/>
      <c r="KUP97" s="798"/>
      <c r="KUQ97" s="798"/>
      <c r="KUR97" s="798"/>
      <c r="KUS97" s="798"/>
      <c r="KUT97" s="798"/>
      <c r="KUU97" s="798"/>
      <c r="KUV97" s="798"/>
      <c r="KUW97" s="798"/>
      <c r="KUX97" s="798"/>
      <c r="KUY97" s="798"/>
      <c r="KUZ97" s="798"/>
      <c r="KVA97" s="798"/>
      <c r="KVB97" s="798"/>
      <c r="KVC97" s="798"/>
      <c r="KVD97" s="798"/>
      <c r="KVE97" s="798"/>
      <c r="KVF97" s="798"/>
      <c r="KVG97" s="798"/>
      <c r="KVH97" s="798"/>
      <c r="KVI97" s="798"/>
      <c r="KVJ97" s="798"/>
      <c r="KVK97" s="798"/>
      <c r="KVL97" s="798"/>
      <c r="KVM97" s="798"/>
      <c r="KVN97" s="798"/>
      <c r="KVO97" s="798"/>
      <c r="KVP97" s="798"/>
      <c r="KVQ97" s="798"/>
      <c r="KVR97" s="798"/>
      <c r="KVS97" s="798"/>
      <c r="KVT97" s="798"/>
      <c r="KVU97" s="798"/>
      <c r="KVV97" s="798"/>
      <c r="KVW97" s="798"/>
      <c r="KVX97" s="798"/>
      <c r="KVY97" s="798"/>
      <c r="KVZ97" s="798"/>
      <c r="KWA97" s="798"/>
      <c r="KWB97" s="798"/>
      <c r="KWC97" s="798"/>
      <c r="KWD97" s="798"/>
      <c r="KWE97" s="798"/>
      <c r="KWF97" s="798"/>
      <c r="KWG97" s="798"/>
      <c r="KWH97" s="798"/>
      <c r="KWI97" s="798"/>
      <c r="KWJ97" s="798"/>
      <c r="KWK97" s="798"/>
      <c r="KWL97" s="798"/>
      <c r="KWM97" s="798"/>
      <c r="KWN97" s="798"/>
      <c r="KWO97" s="798"/>
      <c r="KWP97" s="798"/>
      <c r="KWQ97" s="798"/>
      <c r="KWR97" s="798"/>
      <c r="KWS97" s="798"/>
      <c r="KWT97" s="798"/>
      <c r="KWU97" s="798"/>
      <c r="KWV97" s="798"/>
      <c r="KWW97" s="798"/>
      <c r="KWX97" s="798"/>
      <c r="KWY97" s="798"/>
      <c r="KWZ97" s="798"/>
      <c r="KXA97" s="798"/>
      <c r="KXB97" s="798"/>
      <c r="KXC97" s="798"/>
      <c r="KXD97" s="798"/>
      <c r="KXE97" s="798"/>
      <c r="KXF97" s="798"/>
      <c r="KXG97" s="798"/>
      <c r="KXH97" s="798"/>
      <c r="KXI97" s="798"/>
      <c r="KXJ97" s="798"/>
      <c r="KXK97" s="798"/>
      <c r="KXL97" s="798"/>
      <c r="KXM97" s="798"/>
      <c r="KXN97" s="798"/>
      <c r="KXO97" s="798"/>
      <c r="KXP97" s="798"/>
      <c r="KXQ97" s="798"/>
      <c r="KXR97" s="798"/>
      <c r="KXS97" s="798"/>
      <c r="KXT97" s="798"/>
      <c r="KXU97" s="798"/>
      <c r="KXV97" s="798"/>
      <c r="KXW97" s="798"/>
      <c r="KXX97" s="798"/>
      <c r="KXY97" s="798"/>
      <c r="KXZ97" s="798"/>
      <c r="KYA97" s="798"/>
      <c r="KYB97" s="798"/>
      <c r="KYC97" s="798"/>
      <c r="KYD97" s="798"/>
      <c r="KYE97" s="798"/>
      <c r="KYF97" s="798"/>
      <c r="KYG97" s="798"/>
      <c r="KYH97" s="798"/>
      <c r="KYI97" s="798"/>
      <c r="KYJ97" s="798"/>
      <c r="KYK97" s="798"/>
      <c r="KYL97" s="798"/>
      <c r="KYM97" s="798"/>
      <c r="KYN97" s="798"/>
      <c r="KYO97" s="798"/>
      <c r="KYP97" s="798"/>
      <c r="KYQ97" s="798"/>
      <c r="KYR97" s="798"/>
      <c r="KYS97" s="798"/>
      <c r="KYT97" s="798"/>
      <c r="KYU97" s="798"/>
      <c r="KYV97" s="798"/>
      <c r="KYW97" s="798"/>
      <c r="KYX97" s="798"/>
      <c r="KYY97" s="798"/>
      <c r="KYZ97" s="798"/>
      <c r="KZA97" s="798"/>
      <c r="KZB97" s="798"/>
      <c r="KZC97" s="798"/>
      <c r="KZD97" s="798"/>
      <c r="KZE97" s="798"/>
      <c r="KZF97" s="798"/>
      <c r="KZG97" s="798"/>
      <c r="KZH97" s="798"/>
      <c r="KZI97" s="798"/>
      <c r="KZJ97" s="798"/>
      <c r="KZK97" s="798"/>
      <c r="KZL97" s="798"/>
      <c r="KZM97" s="798"/>
      <c r="KZN97" s="798"/>
      <c r="KZO97" s="798"/>
      <c r="KZP97" s="798"/>
      <c r="KZQ97" s="798"/>
      <c r="KZR97" s="798"/>
      <c r="KZS97" s="798"/>
      <c r="KZT97" s="798"/>
      <c r="KZU97" s="798"/>
      <c r="KZV97" s="798"/>
      <c r="KZW97" s="798"/>
      <c r="KZX97" s="798"/>
      <c r="KZY97" s="798"/>
      <c r="KZZ97" s="798"/>
      <c r="LAA97" s="798"/>
      <c r="LAB97" s="798"/>
      <c r="LAC97" s="798"/>
      <c r="LAD97" s="798"/>
      <c r="LAE97" s="798"/>
      <c r="LAF97" s="798"/>
      <c r="LAG97" s="798"/>
      <c r="LAH97" s="798"/>
      <c r="LAI97" s="798"/>
      <c r="LAJ97" s="798"/>
      <c r="LAK97" s="798"/>
      <c r="LAL97" s="798"/>
      <c r="LAM97" s="798"/>
      <c r="LAN97" s="798"/>
      <c r="LAO97" s="798"/>
      <c r="LAP97" s="798"/>
      <c r="LAQ97" s="798"/>
      <c r="LAR97" s="798"/>
      <c r="LAS97" s="798"/>
      <c r="LAT97" s="798"/>
      <c r="LAU97" s="798"/>
      <c r="LAV97" s="798"/>
      <c r="LAW97" s="798"/>
      <c r="LAX97" s="798"/>
      <c r="LAY97" s="798"/>
      <c r="LAZ97" s="798"/>
      <c r="LBA97" s="798"/>
      <c r="LBB97" s="798"/>
      <c r="LBC97" s="798"/>
      <c r="LBD97" s="798"/>
      <c r="LBE97" s="798"/>
      <c r="LBF97" s="798"/>
      <c r="LBG97" s="798"/>
      <c r="LBH97" s="798"/>
      <c r="LBI97" s="798"/>
      <c r="LBJ97" s="798"/>
      <c r="LBK97" s="798"/>
      <c r="LBL97" s="798"/>
      <c r="LBM97" s="798"/>
      <c r="LBN97" s="798"/>
      <c r="LBO97" s="798"/>
      <c r="LBP97" s="798"/>
      <c r="LBQ97" s="798"/>
      <c r="LBR97" s="798"/>
      <c r="LBS97" s="798"/>
      <c r="LBT97" s="798"/>
      <c r="LBU97" s="798"/>
      <c r="LBV97" s="798"/>
      <c r="LBW97" s="798"/>
      <c r="LBX97" s="798"/>
      <c r="LBY97" s="798"/>
      <c r="LBZ97" s="798"/>
      <c r="LCA97" s="798"/>
      <c r="LCB97" s="798"/>
      <c r="LCC97" s="798"/>
      <c r="LCD97" s="798"/>
      <c r="LCE97" s="798"/>
      <c r="LCF97" s="798"/>
      <c r="LCG97" s="798"/>
      <c r="LCH97" s="798"/>
      <c r="LCI97" s="798"/>
      <c r="LCJ97" s="798"/>
      <c r="LCK97" s="798"/>
      <c r="LCL97" s="798"/>
      <c r="LCM97" s="798"/>
      <c r="LCN97" s="798"/>
      <c r="LCO97" s="798"/>
      <c r="LCP97" s="798"/>
      <c r="LCQ97" s="798"/>
      <c r="LCR97" s="798"/>
      <c r="LCS97" s="798"/>
      <c r="LCT97" s="798"/>
      <c r="LCU97" s="798"/>
      <c r="LCV97" s="798"/>
      <c r="LCW97" s="798"/>
      <c r="LCX97" s="798"/>
      <c r="LCY97" s="798"/>
      <c r="LCZ97" s="798"/>
      <c r="LDA97" s="798"/>
      <c r="LDB97" s="798"/>
      <c r="LDC97" s="798"/>
      <c r="LDD97" s="798"/>
      <c r="LDE97" s="798"/>
      <c r="LDF97" s="798"/>
      <c r="LDG97" s="798"/>
      <c r="LDH97" s="798"/>
      <c r="LDI97" s="798"/>
      <c r="LDJ97" s="798"/>
      <c r="LDK97" s="798"/>
      <c r="LDL97" s="798"/>
      <c r="LDM97" s="798"/>
      <c r="LDN97" s="798"/>
      <c r="LDO97" s="798"/>
      <c r="LDP97" s="798"/>
      <c r="LDQ97" s="798"/>
      <c r="LDR97" s="798"/>
      <c r="LDS97" s="798"/>
      <c r="LDT97" s="798"/>
      <c r="LDU97" s="798"/>
      <c r="LDV97" s="798"/>
      <c r="LDW97" s="798"/>
      <c r="LDX97" s="798"/>
      <c r="LDY97" s="798"/>
      <c r="LDZ97" s="798"/>
      <c r="LEA97" s="798"/>
      <c r="LEB97" s="798"/>
      <c r="LEC97" s="798"/>
      <c r="LED97" s="798"/>
      <c r="LEE97" s="798"/>
      <c r="LEF97" s="798"/>
      <c r="LEG97" s="798"/>
      <c r="LEH97" s="798"/>
      <c r="LEI97" s="798"/>
      <c r="LEJ97" s="798"/>
      <c r="LEK97" s="798"/>
      <c r="LEL97" s="798"/>
      <c r="LEM97" s="798"/>
      <c r="LEN97" s="798"/>
      <c r="LEO97" s="798"/>
      <c r="LEP97" s="798"/>
      <c r="LEQ97" s="798"/>
      <c r="LER97" s="798"/>
      <c r="LES97" s="798"/>
      <c r="LET97" s="798"/>
      <c r="LEU97" s="798"/>
      <c r="LEV97" s="798"/>
      <c r="LEW97" s="798"/>
      <c r="LEX97" s="798"/>
      <c r="LEY97" s="798"/>
      <c r="LEZ97" s="798"/>
      <c r="LFA97" s="798"/>
      <c r="LFB97" s="798"/>
      <c r="LFC97" s="798"/>
      <c r="LFD97" s="798"/>
      <c r="LFE97" s="798"/>
      <c r="LFF97" s="798"/>
      <c r="LFG97" s="798"/>
      <c r="LFH97" s="798"/>
      <c r="LFI97" s="798"/>
      <c r="LFJ97" s="798"/>
      <c r="LFK97" s="798"/>
      <c r="LFL97" s="798"/>
      <c r="LFM97" s="798"/>
      <c r="LFN97" s="798"/>
      <c r="LFO97" s="798"/>
      <c r="LFP97" s="798"/>
      <c r="LFQ97" s="798"/>
      <c r="LFR97" s="798"/>
      <c r="LFS97" s="798"/>
      <c r="LFT97" s="798"/>
      <c r="LFU97" s="798"/>
      <c r="LFV97" s="798"/>
      <c r="LFW97" s="798"/>
      <c r="LFX97" s="798"/>
      <c r="LFY97" s="798"/>
      <c r="LFZ97" s="798"/>
      <c r="LGA97" s="798"/>
      <c r="LGB97" s="798"/>
      <c r="LGC97" s="798"/>
      <c r="LGD97" s="798"/>
      <c r="LGE97" s="798"/>
      <c r="LGF97" s="798"/>
      <c r="LGG97" s="798"/>
      <c r="LGH97" s="798"/>
      <c r="LGI97" s="798"/>
      <c r="LGJ97" s="798"/>
      <c r="LGK97" s="798"/>
      <c r="LGL97" s="798"/>
      <c r="LGM97" s="798"/>
      <c r="LGN97" s="798"/>
      <c r="LGO97" s="798"/>
      <c r="LGP97" s="798"/>
      <c r="LGQ97" s="798"/>
      <c r="LGR97" s="798"/>
      <c r="LGS97" s="798"/>
      <c r="LGT97" s="798"/>
      <c r="LGU97" s="798"/>
      <c r="LGV97" s="798"/>
      <c r="LGW97" s="798"/>
      <c r="LGX97" s="798"/>
      <c r="LGY97" s="798"/>
      <c r="LGZ97" s="798"/>
      <c r="LHA97" s="798"/>
      <c r="LHB97" s="798"/>
      <c r="LHC97" s="798"/>
      <c r="LHD97" s="798"/>
      <c r="LHE97" s="798"/>
      <c r="LHF97" s="798"/>
      <c r="LHG97" s="798"/>
      <c r="LHH97" s="798"/>
      <c r="LHI97" s="798"/>
      <c r="LHJ97" s="798"/>
      <c r="LHK97" s="798"/>
      <c r="LHL97" s="798"/>
      <c r="LHM97" s="798"/>
      <c r="LHN97" s="798"/>
      <c r="LHO97" s="798"/>
      <c r="LHP97" s="798"/>
      <c r="LHQ97" s="798"/>
      <c r="LHR97" s="798"/>
      <c r="LHS97" s="798"/>
      <c r="LHT97" s="798"/>
      <c r="LHU97" s="798"/>
      <c r="LHV97" s="798"/>
      <c r="LHW97" s="798"/>
      <c r="LHX97" s="798"/>
      <c r="LHY97" s="798"/>
      <c r="LHZ97" s="798"/>
      <c r="LIA97" s="798"/>
      <c r="LIB97" s="798"/>
      <c r="LIC97" s="798"/>
      <c r="LID97" s="798"/>
      <c r="LIE97" s="798"/>
      <c r="LIF97" s="798"/>
      <c r="LIG97" s="798"/>
      <c r="LIH97" s="798"/>
      <c r="LII97" s="798"/>
      <c r="LIJ97" s="798"/>
      <c r="LIK97" s="798"/>
      <c r="LIL97" s="798"/>
      <c r="LIM97" s="798"/>
      <c r="LIN97" s="798"/>
      <c r="LIO97" s="798"/>
      <c r="LIP97" s="798"/>
      <c r="LIQ97" s="798"/>
      <c r="LIR97" s="798"/>
      <c r="LIS97" s="798"/>
      <c r="LIT97" s="798"/>
      <c r="LIU97" s="798"/>
      <c r="LIV97" s="798"/>
      <c r="LIW97" s="798"/>
      <c r="LIX97" s="798"/>
      <c r="LIY97" s="798"/>
      <c r="LIZ97" s="798"/>
      <c r="LJA97" s="798"/>
      <c r="LJB97" s="798"/>
      <c r="LJC97" s="798"/>
      <c r="LJD97" s="798"/>
      <c r="LJE97" s="798"/>
      <c r="LJF97" s="798"/>
      <c r="LJG97" s="798"/>
      <c r="LJH97" s="798"/>
      <c r="LJI97" s="798"/>
      <c r="LJJ97" s="798"/>
      <c r="LJK97" s="798"/>
      <c r="LJL97" s="798"/>
      <c r="LJM97" s="798"/>
      <c r="LJN97" s="798"/>
      <c r="LJO97" s="798"/>
      <c r="LJP97" s="798"/>
      <c r="LJQ97" s="798"/>
      <c r="LJR97" s="798"/>
      <c r="LJS97" s="798"/>
      <c r="LJT97" s="798"/>
      <c r="LJU97" s="798"/>
      <c r="LJV97" s="798"/>
      <c r="LJW97" s="798"/>
      <c r="LJX97" s="798"/>
      <c r="LJY97" s="798"/>
      <c r="LJZ97" s="798"/>
      <c r="LKA97" s="798"/>
      <c r="LKB97" s="798"/>
      <c r="LKC97" s="798"/>
      <c r="LKD97" s="798"/>
      <c r="LKE97" s="798"/>
      <c r="LKF97" s="798"/>
      <c r="LKG97" s="798"/>
      <c r="LKH97" s="798"/>
      <c r="LKI97" s="798"/>
      <c r="LKJ97" s="798"/>
      <c r="LKK97" s="798"/>
      <c r="LKL97" s="798"/>
      <c r="LKM97" s="798"/>
      <c r="LKN97" s="798"/>
      <c r="LKO97" s="798"/>
      <c r="LKP97" s="798"/>
      <c r="LKQ97" s="798"/>
      <c r="LKR97" s="798"/>
      <c r="LKS97" s="798"/>
      <c r="LKT97" s="798"/>
      <c r="LKU97" s="798"/>
      <c r="LKV97" s="798"/>
      <c r="LKW97" s="798"/>
      <c r="LKX97" s="798"/>
      <c r="LKY97" s="798"/>
      <c r="LKZ97" s="798"/>
      <c r="LLA97" s="798"/>
      <c r="LLB97" s="798"/>
      <c r="LLC97" s="798"/>
      <c r="LLD97" s="798"/>
      <c r="LLE97" s="798"/>
      <c r="LLF97" s="798"/>
      <c r="LLG97" s="798"/>
      <c r="LLH97" s="798"/>
      <c r="LLI97" s="798"/>
      <c r="LLJ97" s="798"/>
      <c r="LLK97" s="798"/>
      <c r="LLL97" s="798"/>
      <c r="LLM97" s="798"/>
      <c r="LLN97" s="798"/>
      <c r="LLO97" s="798"/>
      <c r="LLP97" s="798"/>
      <c r="LLQ97" s="798"/>
      <c r="LLR97" s="798"/>
      <c r="LLS97" s="798"/>
      <c r="LLT97" s="798"/>
      <c r="LLU97" s="798"/>
      <c r="LLV97" s="798"/>
      <c r="LLW97" s="798"/>
      <c r="LLX97" s="798"/>
      <c r="LLY97" s="798"/>
      <c r="LLZ97" s="798"/>
      <c r="LMA97" s="798"/>
      <c r="LMB97" s="798"/>
      <c r="LMC97" s="798"/>
      <c r="LMD97" s="798"/>
      <c r="LME97" s="798"/>
      <c r="LMF97" s="798"/>
      <c r="LMG97" s="798"/>
      <c r="LMH97" s="798"/>
      <c r="LMI97" s="798"/>
      <c r="LMJ97" s="798"/>
      <c r="LMK97" s="798"/>
      <c r="LML97" s="798"/>
      <c r="LMM97" s="798"/>
      <c r="LMN97" s="798"/>
      <c r="LMO97" s="798"/>
      <c r="LMP97" s="798"/>
      <c r="LMQ97" s="798"/>
      <c r="LMR97" s="798"/>
      <c r="LMS97" s="798"/>
      <c r="LMT97" s="798"/>
      <c r="LMU97" s="798"/>
      <c r="LMV97" s="798"/>
      <c r="LMW97" s="798"/>
      <c r="LMX97" s="798"/>
      <c r="LMY97" s="798"/>
      <c r="LMZ97" s="798"/>
      <c r="LNA97" s="798"/>
      <c r="LNB97" s="798"/>
      <c r="LNC97" s="798"/>
      <c r="LND97" s="798"/>
      <c r="LNE97" s="798"/>
      <c r="LNF97" s="798"/>
      <c r="LNG97" s="798"/>
      <c r="LNH97" s="798"/>
      <c r="LNI97" s="798"/>
      <c r="LNJ97" s="798"/>
      <c r="LNK97" s="798"/>
      <c r="LNL97" s="798"/>
      <c r="LNM97" s="798"/>
      <c r="LNN97" s="798"/>
      <c r="LNO97" s="798"/>
      <c r="LNP97" s="798"/>
      <c r="LNQ97" s="798"/>
      <c r="LNR97" s="798"/>
      <c r="LNS97" s="798"/>
      <c r="LNT97" s="798"/>
      <c r="LNU97" s="798"/>
      <c r="LNV97" s="798"/>
      <c r="LNW97" s="798"/>
      <c r="LNX97" s="798"/>
      <c r="LNY97" s="798"/>
      <c r="LNZ97" s="798"/>
      <c r="LOA97" s="798"/>
      <c r="LOB97" s="798"/>
      <c r="LOC97" s="798"/>
      <c r="LOD97" s="798"/>
      <c r="LOE97" s="798"/>
      <c r="LOF97" s="798"/>
      <c r="LOG97" s="798"/>
      <c r="LOH97" s="798"/>
      <c r="LOI97" s="798"/>
      <c r="LOJ97" s="798"/>
      <c r="LOK97" s="798"/>
      <c r="LOL97" s="798"/>
      <c r="LOM97" s="798"/>
      <c r="LON97" s="798"/>
      <c r="LOO97" s="798"/>
      <c r="LOP97" s="798"/>
      <c r="LOQ97" s="798"/>
      <c r="LOR97" s="798"/>
      <c r="LOS97" s="798"/>
      <c r="LOT97" s="798"/>
      <c r="LOU97" s="798"/>
      <c r="LOV97" s="798"/>
      <c r="LOW97" s="798"/>
      <c r="LOX97" s="798"/>
      <c r="LOY97" s="798"/>
      <c r="LOZ97" s="798"/>
      <c r="LPA97" s="798"/>
      <c r="LPB97" s="798"/>
      <c r="LPC97" s="798"/>
      <c r="LPD97" s="798"/>
      <c r="LPE97" s="798"/>
      <c r="LPF97" s="798"/>
      <c r="LPG97" s="798"/>
      <c r="LPH97" s="798"/>
      <c r="LPI97" s="798"/>
      <c r="LPJ97" s="798"/>
      <c r="LPK97" s="798"/>
      <c r="LPL97" s="798"/>
      <c r="LPM97" s="798"/>
      <c r="LPN97" s="798"/>
      <c r="LPO97" s="798"/>
      <c r="LPP97" s="798"/>
      <c r="LPQ97" s="798"/>
      <c r="LPR97" s="798"/>
      <c r="LPS97" s="798"/>
      <c r="LPT97" s="798"/>
      <c r="LPU97" s="798"/>
      <c r="LPV97" s="798"/>
      <c r="LPW97" s="798"/>
      <c r="LPX97" s="798"/>
      <c r="LPY97" s="798"/>
      <c r="LPZ97" s="798"/>
      <c r="LQA97" s="798"/>
      <c r="LQB97" s="798"/>
      <c r="LQC97" s="798"/>
      <c r="LQD97" s="798"/>
      <c r="LQE97" s="798"/>
      <c r="LQF97" s="798"/>
      <c r="LQG97" s="798"/>
      <c r="LQH97" s="798"/>
      <c r="LQI97" s="798"/>
      <c r="LQJ97" s="798"/>
      <c r="LQK97" s="798"/>
      <c r="LQL97" s="798"/>
      <c r="LQM97" s="798"/>
      <c r="LQN97" s="798"/>
      <c r="LQO97" s="798"/>
      <c r="LQP97" s="798"/>
      <c r="LQQ97" s="798"/>
      <c r="LQR97" s="798"/>
      <c r="LQS97" s="798"/>
      <c r="LQT97" s="798"/>
      <c r="LQU97" s="798"/>
      <c r="LQV97" s="798"/>
      <c r="LQW97" s="798"/>
      <c r="LQX97" s="798"/>
      <c r="LQY97" s="798"/>
      <c r="LQZ97" s="798"/>
      <c r="LRA97" s="798"/>
      <c r="LRB97" s="798"/>
      <c r="LRC97" s="798"/>
      <c r="LRD97" s="798"/>
      <c r="LRE97" s="798"/>
      <c r="LRF97" s="798"/>
      <c r="LRG97" s="798"/>
      <c r="LRH97" s="798"/>
      <c r="LRI97" s="798"/>
      <c r="LRJ97" s="798"/>
      <c r="LRK97" s="798"/>
      <c r="LRL97" s="798"/>
      <c r="LRM97" s="798"/>
      <c r="LRN97" s="798"/>
      <c r="LRO97" s="798"/>
      <c r="LRP97" s="798"/>
      <c r="LRQ97" s="798"/>
      <c r="LRR97" s="798"/>
      <c r="LRS97" s="798"/>
      <c r="LRT97" s="798"/>
      <c r="LRU97" s="798"/>
      <c r="LRV97" s="798"/>
      <c r="LRW97" s="798"/>
      <c r="LRX97" s="798"/>
      <c r="LRY97" s="798"/>
      <c r="LRZ97" s="798"/>
      <c r="LSA97" s="798"/>
      <c r="LSB97" s="798"/>
      <c r="LSC97" s="798"/>
      <c r="LSD97" s="798"/>
      <c r="LSE97" s="798"/>
      <c r="LSF97" s="798"/>
      <c r="LSG97" s="798"/>
      <c r="LSH97" s="798"/>
      <c r="LSI97" s="798"/>
      <c r="LSJ97" s="798"/>
      <c r="LSK97" s="798"/>
      <c r="LSL97" s="798"/>
      <c r="LSM97" s="798"/>
      <c r="LSN97" s="798"/>
      <c r="LSO97" s="798"/>
      <c r="LSP97" s="798"/>
      <c r="LSQ97" s="798"/>
      <c r="LSR97" s="798"/>
      <c r="LSS97" s="798"/>
      <c r="LST97" s="798"/>
      <c r="LSU97" s="798"/>
      <c r="LSV97" s="798"/>
      <c r="LSW97" s="798"/>
      <c r="LSX97" s="798"/>
      <c r="LSY97" s="798"/>
      <c r="LSZ97" s="798"/>
      <c r="LTA97" s="798"/>
      <c r="LTB97" s="798"/>
      <c r="LTC97" s="798"/>
      <c r="LTD97" s="798"/>
      <c r="LTE97" s="798"/>
      <c r="LTF97" s="798"/>
      <c r="LTG97" s="798"/>
      <c r="LTH97" s="798"/>
      <c r="LTI97" s="798"/>
      <c r="LTJ97" s="798"/>
      <c r="LTK97" s="798"/>
      <c r="LTL97" s="798"/>
      <c r="LTM97" s="798"/>
      <c r="LTN97" s="798"/>
      <c r="LTO97" s="798"/>
      <c r="LTP97" s="798"/>
      <c r="LTQ97" s="798"/>
      <c r="LTR97" s="798"/>
      <c r="LTS97" s="798"/>
      <c r="LTT97" s="798"/>
      <c r="LTU97" s="798"/>
      <c r="LTV97" s="798"/>
      <c r="LTW97" s="798"/>
      <c r="LTX97" s="798"/>
      <c r="LTY97" s="798"/>
      <c r="LTZ97" s="798"/>
      <c r="LUA97" s="798"/>
      <c r="LUB97" s="798"/>
      <c r="LUC97" s="798"/>
      <c r="LUD97" s="798"/>
      <c r="LUE97" s="798"/>
      <c r="LUF97" s="798"/>
      <c r="LUG97" s="798"/>
      <c r="LUH97" s="798"/>
      <c r="LUI97" s="798"/>
      <c r="LUJ97" s="798"/>
      <c r="LUK97" s="798"/>
      <c r="LUL97" s="798"/>
      <c r="LUM97" s="798"/>
      <c r="LUN97" s="798"/>
      <c r="LUO97" s="798"/>
      <c r="LUP97" s="798"/>
      <c r="LUQ97" s="798"/>
      <c r="LUR97" s="798"/>
      <c r="LUS97" s="798"/>
      <c r="LUT97" s="798"/>
      <c r="LUU97" s="798"/>
      <c r="LUV97" s="798"/>
      <c r="LUW97" s="798"/>
      <c r="LUX97" s="798"/>
      <c r="LUY97" s="798"/>
      <c r="LUZ97" s="798"/>
      <c r="LVA97" s="798"/>
      <c r="LVB97" s="798"/>
      <c r="LVC97" s="798"/>
      <c r="LVD97" s="798"/>
      <c r="LVE97" s="798"/>
      <c r="LVF97" s="798"/>
      <c r="LVG97" s="798"/>
      <c r="LVH97" s="798"/>
      <c r="LVI97" s="798"/>
      <c r="LVJ97" s="798"/>
      <c r="LVK97" s="798"/>
      <c r="LVL97" s="798"/>
      <c r="LVM97" s="798"/>
      <c r="LVN97" s="798"/>
      <c r="LVO97" s="798"/>
      <c r="LVP97" s="798"/>
      <c r="LVQ97" s="798"/>
      <c r="LVR97" s="798"/>
      <c r="LVS97" s="798"/>
      <c r="LVT97" s="798"/>
      <c r="LVU97" s="798"/>
      <c r="LVV97" s="798"/>
      <c r="LVW97" s="798"/>
      <c r="LVX97" s="798"/>
      <c r="LVY97" s="798"/>
      <c r="LVZ97" s="798"/>
      <c r="LWA97" s="798"/>
      <c r="LWB97" s="798"/>
      <c r="LWC97" s="798"/>
      <c r="LWD97" s="798"/>
      <c r="LWE97" s="798"/>
      <c r="LWF97" s="798"/>
      <c r="LWG97" s="798"/>
      <c r="LWH97" s="798"/>
      <c r="LWI97" s="798"/>
      <c r="LWJ97" s="798"/>
      <c r="LWK97" s="798"/>
      <c r="LWL97" s="798"/>
      <c r="LWM97" s="798"/>
      <c r="LWN97" s="798"/>
      <c r="LWO97" s="798"/>
      <c r="LWP97" s="798"/>
      <c r="LWQ97" s="798"/>
      <c r="LWR97" s="798"/>
      <c r="LWS97" s="798"/>
      <c r="LWT97" s="798"/>
      <c r="LWU97" s="798"/>
      <c r="LWV97" s="798"/>
      <c r="LWW97" s="798"/>
      <c r="LWX97" s="798"/>
      <c r="LWY97" s="798"/>
      <c r="LWZ97" s="798"/>
      <c r="LXA97" s="798"/>
      <c r="LXB97" s="798"/>
      <c r="LXC97" s="798"/>
      <c r="LXD97" s="798"/>
      <c r="LXE97" s="798"/>
      <c r="LXF97" s="798"/>
      <c r="LXG97" s="798"/>
      <c r="LXH97" s="798"/>
      <c r="LXI97" s="798"/>
      <c r="LXJ97" s="798"/>
      <c r="LXK97" s="798"/>
      <c r="LXL97" s="798"/>
      <c r="LXM97" s="798"/>
      <c r="LXN97" s="798"/>
      <c r="LXO97" s="798"/>
      <c r="LXP97" s="798"/>
      <c r="LXQ97" s="798"/>
      <c r="LXR97" s="798"/>
      <c r="LXS97" s="798"/>
      <c r="LXT97" s="798"/>
      <c r="LXU97" s="798"/>
      <c r="LXV97" s="798"/>
      <c r="LXW97" s="798"/>
      <c r="LXX97" s="798"/>
      <c r="LXY97" s="798"/>
      <c r="LXZ97" s="798"/>
      <c r="LYA97" s="798"/>
      <c r="LYB97" s="798"/>
      <c r="LYC97" s="798"/>
      <c r="LYD97" s="798"/>
      <c r="LYE97" s="798"/>
      <c r="LYF97" s="798"/>
      <c r="LYG97" s="798"/>
      <c r="LYH97" s="798"/>
      <c r="LYI97" s="798"/>
      <c r="LYJ97" s="798"/>
      <c r="LYK97" s="798"/>
      <c r="LYL97" s="798"/>
      <c r="LYM97" s="798"/>
      <c r="LYN97" s="798"/>
      <c r="LYO97" s="798"/>
      <c r="LYP97" s="798"/>
      <c r="LYQ97" s="798"/>
      <c r="LYR97" s="798"/>
      <c r="LYS97" s="798"/>
      <c r="LYT97" s="798"/>
      <c r="LYU97" s="798"/>
      <c r="LYV97" s="798"/>
      <c r="LYW97" s="798"/>
      <c r="LYX97" s="798"/>
      <c r="LYY97" s="798"/>
      <c r="LYZ97" s="798"/>
      <c r="LZA97" s="798"/>
      <c r="LZB97" s="798"/>
      <c r="LZC97" s="798"/>
      <c r="LZD97" s="798"/>
      <c r="LZE97" s="798"/>
      <c r="LZF97" s="798"/>
      <c r="LZG97" s="798"/>
      <c r="LZH97" s="798"/>
      <c r="LZI97" s="798"/>
      <c r="LZJ97" s="798"/>
      <c r="LZK97" s="798"/>
      <c r="LZL97" s="798"/>
      <c r="LZM97" s="798"/>
      <c r="LZN97" s="798"/>
      <c r="LZO97" s="798"/>
      <c r="LZP97" s="798"/>
      <c r="LZQ97" s="798"/>
      <c r="LZR97" s="798"/>
      <c r="LZS97" s="798"/>
      <c r="LZT97" s="798"/>
      <c r="LZU97" s="798"/>
      <c r="LZV97" s="798"/>
      <c r="LZW97" s="798"/>
      <c r="LZX97" s="798"/>
      <c r="LZY97" s="798"/>
      <c r="LZZ97" s="798"/>
      <c r="MAA97" s="798"/>
      <c r="MAB97" s="798"/>
      <c r="MAC97" s="798"/>
      <c r="MAD97" s="798"/>
      <c r="MAE97" s="798"/>
      <c r="MAF97" s="798"/>
      <c r="MAG97" s="798"/>
      <c r="MAH97" s="798"/>
      <c r="MAI97" s="798"/>
      <c r="MAJ97" s="798"/>
      <c r="MAK97" s="798"/>
      <c r="MAL97" s="798"/>
      <c r="MAM97" s="798"/>
      <c r="MAN97" s="798"/>
      <c r="MAO97" s="798"/>
      <c r="MAP97" s="798"/>
      <c r="MAQ97" s="798"/>
      <c r="MAR97" s="798"/>
      <c r="MAS97" s="798"/>
      <c r="MAT97" s="798"/>
      <c r="MAU97" s="798"/>
      <c r="MAV97" s="798"/>
      <c r="MAW97" s="798"/>
      <c r="MAX97" s="798"/>
      <c r="MAY97" s="798"/>
      <c r="MAZ97" s="798"/>
      <c r="MBA97" s="798"/>
      <c r="MBB97" s="798"/>
      <c r="MBC97" s="798"/>
      <c r="MBD97" s="798"/>
      <c r="MBE97" s="798"/>
      <c r="MBF97" s="798"/>
      <c r="MBG97" s="798"/>
      <c r="MBH97" s="798"/>
      <c r="MBI97" s="798"/>
      <c r="MBJ97" s="798"/>
      <c r="MBK97" s="798"/>
      <c r="MBL97" s="798"/>
      <c r="MBM97" s="798"/>
      <c r="MBN97" s="798"/>
      <c r="MBO97" s="798"/>
      <c r="MBP97" s="798"/>
      <c r="MBQ97" s="798"/>
      <c r="MBR97" s="798"/>
      <c r="MBS97" s="798"/>
      <c r="MBT97" s="798"/>
      <c r="MBU97" s="798"/>
      <c r="MBV97" s="798"/>
      <c r="MBW97" s="798"/>
      <c r="MBX97" s="798"/>
      <c r="MBY97" s="798"/>
      <c r="MBZ97" s="798"/>
      <c r="MCA97" s="798"/>
      <c r="MCB97" s="798"/>
      <c r="MCC97" s="798"/>
      <c r="MCD97" s="798"/>
      <c r="MCE97" s="798"/>
      <c r="MCF97" s="798"/>
      <c r="MCG97" s="798"/>
      <c r="MCH97" s="798"/>
      <c r="MCI97" s="798"/>
      <c r="MCJ97" s="798"/>
      <c r="MCK97" s="798"/>
      <c r="MCL97" s="798"/>
      <c r="MCM97" s="798"/>
      <c r="MCN97" s="798"/>
      <c r="MCO97" s="798"/>
      <c r="MCP97" s="798"/>
      <c r="MCQ97" s="798"/>
      <c r="MCR97" s="798"/>
      <c r="MCS97" s="798"/>
      <c r="MCT97" s="798"/>
      <c r="MCU97" s="798"/>
      <c r="MCV97" s="798"/>
      <c r="MCW97" s="798"/>
      <c r="MCX97" s="798"/>
      <c r="MCY97" s="798"/>
      <c r="MCZ97" s="798"/>
      <c r="MDA97" s="798"/>
      <c r="MDB97" s="798"/>
      <c r="MDC97" s="798"/>
      <c r="MDD97" s="798"/>
      <c r="MDE97" s="798"/>
      <c r="MDF97" s="798"/>
      <c r="MDG97" s="798"/>
      <c r="MDH97" s="798"/>
      <c r="MDI97" s="798"/>
      <c r="MDJ97" s="798"/>
      <c r="MDK97" s="798"/>
      <c r="MDL97" s="798"/>
      <c r="MDM97" s="798"/>
      <c r="MDN97" s="798"/>
      <c r="MDO97" s="798"/>
      <c r="MDP97" s="798"/>
      <c r="MDQ97" s="798"/>
      <c r="MDR97" s="798"/>
      <c r="MDS97" s="798"/>
      <c r="MDT97" s="798"/>
      <c r="MDU97" s="798"/>
      <c r="MDV97" s="798"/>
      <c r="MDW97" s="798"/>
      <c r="MDX97" s="798"/>
      <c r="MDY97" s="798"/>
      <c r="MDZ97" s="798"/>
      <c r="MEA97" s="798"/>
      <c r="MEB97" s="798"/>
      <c r="MEC97" s="798"/>
      <c r="MED97" s="798"/>
      <c r="MEE97" s="798"/>
      <c r="MEF97" s="798"/>
      <c r="MEG97" s="798"/>
      <c r="MEH97" s="798"/>
      <c r="MEI97" s="798"/>
      <c r="MEJ97" s="798"/>
      <c r="MEK97" s="798"/>
      <c r="MEL97" s="798"/>
      <c r="MEM97" s="798"/>
      <c r="MEN97" s="798"/>
      <c r="MEO97" s="798"/>
      <c r="MEP97" s="798"/>
      <c r="MEQ97" s="798"/>
      <c r="MER97" s="798"/>
      <c r="MES97" s="798"/>
      <c r="MET97" s="798"/>
      <c r="MEU97" s="798"/>
      <c r="MEV97" s="798"/>
      <c r="MEW97" s="798"/>
      <c r="MEX97" s="798"/>
      <c r="MEY97" s="798"/>
      <c r="MEZ97" s="798"/>
      <c r="MFA97" s="798"/>
      <c r="MFB97" s="798"/>
      <c r="MFC97" s="798"/>
      <c r="MFD97" s="798"/>
      <c r="MFE97" s="798"/>
      <c r="MFF97" s="798"/>
      <c r="MFG97" s="798"/>
      <c r="MFH97" s="798"/>
      <c r="MFI97" s="798"/>
      <c r="MFJ97" s="798"/>
      <c r="MFK97" s="798"/>
      <c r="MFL97" s="798"/>
      <c r="MFM97" s="798"/>
      <c r="MFN97" s="798"/>
      <c r="MFO97" s="798"/>
      <c r="MFP97" s="798"/>
      <c r="MFQ97" s="798"/>
      <c r="MFR97" s="798"/>
      <c r="MFS97" s="798"/>
      <c r="MFT97" s="798"/>
      <c r="MFU97" s="798"/>
      <c r="MFV97" s="798"/>
      <c r="MFW97" s="798"/>
      <c r="MFX97" s="798"/>
      <c r="MFY97" s="798"/>
      <c r="MFZ97" s="798"/>
      <c r="MGA97" s="798"/>
      <c r="MGB97" s="798"/>
      <c r="MGC97" s="798"/>
      <c r="MGD97" s="798"/>
      <c r="MGE97" s="798"/>
      <c r="MGF97" s="798"/>
      <c r="MGG97" s="798"/>
      <c r="MGH97" s="798"/>
      <c r="MGI97" s="798"/>
      <c r="MGJ97" s="798"/>
      <c r="MGK97" s="798"/>
      <c r="MGL97" s="798"/>
      <c r="MGM97" s="798"/>
      <c r="MGN97" s="798"/>
      <c r="MGO97" s="798"/>
      <c r="MGP97" s="798"/>
      <c r="MGQ97" s="798"/>
      <c r="MGR97" s="798"/>
      <c r="MGS97" s="798"/>
      <c r="MGT97" s="798"/>
      <c r="MGU97" s="798"/>
      <c r="MGV97" s="798"/>
      <c r="MGW97" s="798"/>
      <c r="MGX97" s="798"/>
      <c r="MGY97" s="798"/>
      <c r="MGZ97" s="798"/>
      <c r="MHA97" s="798"/>
      <c r="MHB97" s="798"/>
      <c r="MHC97" s="798"/>
      <c r="MHD97" s="798"/>
      <c r="MHE97" s="798"/>
      <c r="MHF97" s="798"/>
      <c r="MHG97" s="798"/>
      <c r="MHH97" s="798"/>
      <c r="MHI97" s="798"/>
      <c r="MHJ97" s="798"/>
      <c r="MHK97" s="798"/>
      <c r="MHL97" s="798"/>
      <c r="MHM97" s="798"/>
      <c r="MHN97" s="798"/>
      <c r="MHO97" s="798"/>
      <c r="MHP97" s="798"/>
      <c r="MHQ97" s="798"/>
      <c r="MHR97" s="798"/>
      <c r="MHS97" s="798"/>
      <c r="MHT97" s="798"/>
      <c r="MHU97" s="798"/>
      <c r="MHV97" s="798"/>
      <c r="MHW97" s="798"/>
      <c r="MHX97" s="798"/>
      <c r="MHY97" s="798"/>
      <c r="MHZ97" s="798"/>
      <c r="MIA97" s="798"/>
      <c r="MIB97" s="798"/>
      <c r="MIC97" s="798"/>
      <c r="MID97" s="798"/>
      <c r="MIE97" s="798"/>
      <c r="MIF97" s="798"/>
      <c r="MIG97" s="798"/>
      <c r="MIH97" s="798"/>
      <c r="MII97" s="798"/>
      <c r="MIJ97" s="798"/>
      <c r="MIK97" s="798"/>
      <c r="MIL97" s="798"/>
      <c r="MIM97" s="798"/>
      <c r="MIN97" s="798"/>
      <c r="MIO97" s="798"/>
      <c r="MIP97" s="798"/>
      <c r="MIQ97" s="798"/>
      <c r="MIR97" s="798"/>
      <c r="MIS97" s="798"/>
      <c r="MIT97" s="798"/>
      <c r="MIU97" s="798"/>
      <c r="MIV97" s="798"/>
      <c r="MIW97" s="798"/>
      <c r="MIX97" s="798"/>
      <c r="MIY97" s="798"/>
      <c r="MIZ97" s="798"/>
      <c r="MJA97" s="798"/>
      <c r="MJB97" s="798"/>
      <c r="MJC97" s="798"/>
      <c r="MJD97" s="798"/>
      <c r="MJE97" s="798"/>
      <c r="MJF97" s="798"/>
      <c r="MJG97" s="798"/>
      <c r="MJH97" s="798"/>
      <c r="MJI97" s="798"/>
      <c r="MJJ97" s="798"/>
      <c r="MJK97" s="798"/>
      <c r="MJL97" s="798"/>
      <c r="MJM97" s="798"/>
      <c r="MJN97" s="798"/>
      <c r="MJO97" s="798"/>
      <c r="MJP97" s="798"/>
      <c r="MJQ97" s="798"/>
      <c r="MJR97" s="798"/>
      <c r="MJS97" s="798"/>
      <c r="MJT97" s="798"/>
      <c r="MJU97" s="798"/>
      <c r="MJV97" s="798"/>
      <c r="MJW97" s="798"/>
      <c r="MJX97" s="798"/>
      <c r="MJY97" s="798"/>
      <c r="MJZ97" s="798"/>
      <c r="MKA97" s="798"/>
      <c r="MKB97" s="798"/>
      <c r="MKC97" s="798"/>
      <c r="MKD97" s="798"/>
      <c r="MKE97" s="798"/>
      <c r="MKF97" s="798"/>
      <c r="MKG97" s="798"/>
      <c r="MKH97" s="798"/>
      <c r="MKI97" s="798"/>
      <c r="MKJ97" s="798"/>
      <c r="MKK97" s="798"/>
      <c r="MKL97" s="798"/>
      <c r="MKM97" s="798"/>
      <c r="MKN97" s="798"/>
      <c r="MKO97" s="798"/>
      <c r="MKP97" s="798"/>
      <c r="MKQ97" s="798"/>
      <c r="MKR97" s="798"/>
      <c r="MKS97" s="798"/>
      <c r="MKT97" s="798"/>
      <c r="MKU97" s="798"/>
      <c r="MKV97" s="798"/>
      <c r="MKW97" s="798"/>
      <c r="MKX97" s="798"/>
      <c r="MKY97" s="798"/>
      <c r="MKZ97" s="798"/>
      <c r="MLA97" s="798"/>
      <c r="MLB97" s="798"/>
      <c r="MLC97" s="798"/>
      <c r="MLD97" s="798"/>
      <c r="MLE97" s="798"/>
      <c r="MLF97" s="798"/>
      <c r="MLG97" s="798"/>
      <c r="MLH97" s="798"/>
      <c r="MLI97" s="798"/>
      <c r="MLJ97" s="798"/>
      <c r="MLK97" s="798"/>
      <c r="MLL97" s="798"/>
      <c r="MLM97" s="798"/>
      <c r="MLN97" s="798"/>
      <c r="MLO97" s="798"/>
      <c r="MLP97" s="798"/>
      <c r="MLQ97" s="798"/>
      <c r="MLR97" s="798"/>
      <c r="MLS97" s="798"/>
      <c r="MLT97" s="798"/>
      <c r="MLU97" s="798"/>
      <c r="MLV97" s="798"/>
      <c r="MLW97" s="798"/>
      <c r="MLX97" s="798"/>
      <c r="MLY97" s="798"/>
      <c r="MLZ97" s="798"/>
      <c r="MMA97" s="798"/>
      <c r="MMB97" s="798"/>
      <c r="MMC97" s="798"/>
      <c r="MMD97" s="798"/>
      <c r="MME97" s="798"/>
      <c r="MMF97" s="798"/>
      <c r="MMG97" s="798"/>
      <c r="MMH97" s="798"/>
      <c r="MMI97" s="798"/>
      <c r="MMJ97" s="798"/>
      <c r="MMK97" s="798"/>
      <c r="MML97" s="798"/>
      <c r="MMM97" s="798"/>
      <c r="MMN97" s="798"/>
      <c r="MMO97" s="798"/>
      <c r="MMP97" s="798"/>
      <c r="MMQ97" s="798"/>
      <c r="MMR97" s="798"/>
      <c r="MMS97" s="798"/>
      <c r="MMT97" s="798"/>
      <c r="MMU97" s="798"/>
      <c r="MMV97" s="798"/>
      <c r="MMW97" s="798"/>
      <c r="MMX97" s="798"/>
      <c r="MMY97" s="798"/>
      <c r="MMZ97" s="798"/>
      <c r="MNA97" s="798"/>
      <c r="MNB97" s="798"/>
      <c r="MNC97" s="798"/>
      <c r="MND97" s="798"/>
      <c r="MNE97" s="798"/>
      <c r="MNF97" s="798"/>
      <c r="MNG97" s="798"/>
      <c r="MNH97" s="798"/>
      <c r="MNI97" s="798"/>
      <c r="MNJ97" s="798"/>
      <c r="MNK97" s="798"/>
      <c r="MNL97" s="798"/>
      <c r="MNM97" s="798"/>
      <c r="MNN97" s="798"/>
      <c r="MNO97" s="798"/>
      <c r="MNP97" s="798"/>
      <c r="MNQ97" s="798"/>
      <c r="MNR97" s="798"/>
      <c r="MNS97" s="798"/>
      <c r="MNT97" s="798"/>
      <c r="MNU97" s="798"/>
      <c r="MNV97" s="798"/>
      <c r="MNW97" s="798"/>
      <c r="MNX97" s="798"/>
      <c r="MNY97" s="798"/>
      <c r="MNZ97" s="798"/>
      <c r="MOA97" s="798"/>
      <c r="MOB97" s="798"/>
      <c r="MOC97" s="798"/>
      <c r="MOD97" s="798"/>
      <c r="MOE97" s="798"/>
      <c r="MOF97" s="798"/>
      <c r="MOG97" s="798"/>
      <c r="MOH97" s="798"/>
      <c r="MOI97" s="798"/>
      <c r="MOJ97" s="798"/>
      <c r="MOK97" s="798"/>
      <c r="MOL97" s="798"/>
      <c r="MOM97" s="798"/>
      <c r="MON97" s="798"/>
      <c r="MOO97" s="798"/>
      <c r="MOP97" s="798"/>
      <c r="MOQ97" s="798"/>
      <c r="MOR97" s="798"/>
      <c r="MOS97" s="798"/>
      <c r="MOT97" s="798"/>
      <c r="MOU97" s="798"/>
      <c r="MOV97" s="798"/>
      <c r="MOW97" s="798"/>
      <c r="MOX97" s="798"/>
      <c r="MOY97" s="798"/>
      <c r="MOZ97" s="798"/>
      <c r="MPA97" s="798"/>
      <c r="MPB97" s="798"/>
      <c r="MPC97" s="798"/>
      <c r="MPD97" s="798"/>
      <c r="MPE97" s="798"/>
      <c r="MPF97" s="798"/>
      <c r="MPG97" s="798"/>
      <c r="MPH97" s="798"/>
      <c r="MPI97" s="798"/>
      <c r="MPJ97" s="798"/>
      <c r="MPK97" s="798"/>
      <c r="MPL97" s="798"/>
      <c r="MPM97" s="798"/>
      <c r="MPN97" s="798"/>
      <c r="MPO97" s="798"/>
      <c r="MPP97" s="798"/>
      <c r="MPQ97" s="798"/>
      <c r="MPR97" s="798"/>
      <c r="MPS97" s="798"/>
      <c r="MPT97" s="798"/>
      <c r="MPU97" s="798"/>
      <c r="MPV97" s="798"/>
      <c r="MPW97" s="798"/>
      <c r="MPX97" s="798"/>
      <c r="MPY97" s="798"/>
      <c r="MPZ97" s="798"/>
      <c r="MQA97" s="798"/>
      <c r="MQB97" s="798"/>
      <c r="MQC97" s="798"/>
      <c r="MQD97" s="798"/>
      <c r="MQE97" s="798"/>
      <c r="MQF97" s="798"/>
      <c r="MQG97" s="798"/>
      <c r="MQH97" s="798"/>
      <c r="MQI97" s="798"/>
      <c r="MQJ97" s="798"/>
      <c r="MQK97" s="798"/>
      <c r="MQL97" s="798"/>
      <c r="MQM97" s="798"/>
      <c r="MQN97" s="798"/>
      <c r="MQO97" s="798"/>
      <c r="MQP97" s="798"/>
      <c r="MQQ97" s="798"/>
      <c r="MQR97" s="798"/>
      <c r="MQS97" s="798"/>
      <c r="MQT97" s="798"/>
      <c r="MQU97" s="798"/>
      <c r="MQV97" s="798"/>
      <c r="MQW97" s="798"/>
      <c r="MQX97" s="798"/>
      <c r="MQY97" s="798"/>
      <c r="MQZ97" s="798"/>
      <c r="MRA97" s="798"/>
      <c r="MRB97" s="798"/>
      <c r="MRC97" s="798"/>
      <c r="MRD97" s="798"/>
      <c r="MRE97" s="798"/>
      <c r="MRF97" s="798"/>
      <c r="MRG97" s="798"/>
      <c r="MRH97" s="798"/>
      <c r="MRI97" s="798"/>
      <c r="MRJ97" s="798"/>
      <c r="MRK97" s="798"/>
      <c r="MRL97" s="798"/>
      <c r="MRM97" s="798"/>
      <c r="MRN97" s="798"/>
      <c r="MRO97" s="798"/>
      <c r="MRP97" s="798"/>
      <c r="MRQ97" s="798"/>
      <c r="MRR97" s="798"/>
      <c r="MRS97" s="798"/>
      <c r="MRT97" s="798"/>
      <c r="MRU97" s="798"/>
      <c r="MRV97" s="798"/>
      <c r="MRW97" s="798"/>
      <c r="MRX97" s="798"/>
      <c r="MRY97" s="798"/>
      <c r="MRZ97" s="798"/>
      <c r="MSA97" s="798"/>
      <c r="MSB97" s="798"/>
      <c r="MSC97" s="798"/>
      <c r="MSD97" s="798"/>
      <c r="MSE97" s="798"/>
      <c r="MSF97" s="798"/>
      <c r="MSG97" s="798"/>
      <c r="MSH97" s="798"/>
      <c r="MSI97" s="798"/>
      <c r="MSJ97" s="798"/>
      <c r="MSK97" s="798"/>
      <c r="MSL97" s="798"/>
      <c r="MSM97" s="798"/>
      <c r="MSN97" s="798"/>
      <c r="MSO97" s="798"/>
      <c r="MSP97" s="798"/>
      <c r="MSQ97" s="798"/>
      <c r="MSR97" s="798"/>
      <c r="MSS97" s="798"/>
      <c r="MST97" s="798"/>
      <c r="MSU97" s="798"/>
      <c r="MSV97" s="798"/>
      <c r="MSW97" s="798"/>
      <c r="MSX97" s="798"/>
      <c r="MSY97" s="798"/>
      <c r="MSZ97" s="798"/>
      <c r="MTA97" s="798"/>
      <c r="MTB97" s="798"/>
      <c r="MTC97" s="798"/>
      <c r="MTD97" s="798"/>
      <c r="MTE97" s="798"/>
      <c r="MTF97" s="798"/>
      <c r="MTG97" s="798"/>
      <c r="MTH97" s="798"/>
      <c r="MTI97" s="798"/>
      <c r="MTJ97" s="798"/>
      <c r="MTK97" s="798"/>
      <c r="MTL97" s="798"/>
      <c r="MTM97" s="798"/>
      <c r="MTN97" s="798"/>
      <c r="MTO97" s="798"/>
      <c r="MTP97" s="798"/>
      <c r="MTQ97" s="798"/>
      <c r="MTR97" s="798"/>
      <c r="MTS97" s="798"/>
      <c r="MTT97" s="798"/>
      <c r="MTU97" s="798"/>
      <c r="MTV97" s="798"/>
      <c r="MTW97" s="798"/>
      <c r="MTX97" s="798"/>
      <c r="MTY97" s="798"/>
      <c r="MTZ97" s="798"/>
      <c r="MUA97" s="798"/>
      <c r="MUB97" s="798"/>
      <c r="MUC97" s="798"/>
      <c r="MUD97" s="798"/>
      <c r="MUE97" s="798"/>
      <c r="MUF97" s="798"/>
      <c r="MUG97" s="798"/>
      <c r="MUH97" s="798"/>
      <c r="MUI97" s="798"/>
      <c r="MUJ97" s="798"/>
      <c r="MUK97" s="798"/>
      <c r="MUL97" s="798"/>
      <c r="MUM97" s="798"/>
      <c r="MUN97" s="798"/>
      <c r="MUO97" s="798"/>
      <c r="MUP97" s="798"/>
      <c r="MUQ97" s="798"/>
      <c r="MUR97" s="798"/>
      <c r="MUS97" s="798"/>
      <c r="MUT97" s="798"/>
      <c r="MUU97" s="798"/>
      <c r="MUV97" s="798"/>
      <c r="MUW97" s="798"/>
      <c r="MUX97" s="798"/>
      <c r="MUY97" s="798"/>
      <c r="MUZ97" s="798"/>
      <c r="MVA97" s="798"/>
      <c r="MVB97" s="798"/>
      <c r="MVC97" s="798"/>
      <c r="MVD97" s="798"/>
      <c r="MVE97" s="798"/>
      <c r="MVF97" s="798"/>
      <c r="MVG97" s="798"/>
      <c r="MVH97" s="798"/>
      <c r="MVI97" s="798"/>
      <c r="MVJ97" s="798"/>
      <c r="MVK97" s="798"/>
      <c r="MVL97" s="798"/>
      <c r="MVM97" s="798"/>
      <c r="MVN97" s="798"/>
      <c r="MVO97" s="798"/>
      <c r="MVP97" s="798"/>
      <c r="MVQ97" s="798"/>
      <c r="MVR97" s="798"/>
      <c r="MVS97" s="798"/>
      <c r="MVT97" s="798"/>
      <c r="MVU97" s="798"/>
      <c r="MVV97" s="798"/>
      <c r="MVW97" s="798"/>
      <c r="MVX97" s="798"/>
      <c r="MVY97" s="798"/>
      <c r="MVZ97" s="798"/>
      <c r="MWA97" s="798"/>
      <c r="MWB97" s="798"/>
      <c r="MWC97" s="798"/>
      <c r="MWD97" s="798"/>
      <c r="MWE97" s="798"/>
      <c r="MWF97" s="798"/>
      <c r="MWG97" s="798"/>
      <c r="MWH97" s="798"/>
      <c r="MWI97" s="798"/>
      <c r="MWJ97" s="798"/>
      <c r="MWK97" s="798"/>
      <c r="MWL97" s="798"/>
      <c r="MWM97" s="798"/>
      <c r="MWN97" s="798"/>
      <c r="MWO97" s="798"/>
      <c r="MWP97" s="798"/>
      <c r="MWQ97" s="798"/>
      <c r="MWR97" s="798"/>
      <c r="MWS97" s="798"/>
      <c r="MWT97" s="798"/>
      <c r="MWU97" s="798"/>
      <c r="MWV97" s="798"/>
      <c r="MWW97" s="798"/>
      <c r="MWX97" s="798"/>
      <c r="MWY97" s="798"/>
      <c r="MWZ97" s="798"/>
      <c r="MXA97" s="798"/>
      <c r="MXB97" s="798"/>
      <c r="MXC97" s="798"/>
      <c r="MXD97" s="798"/>
      <c r="MXE97" s="798"/>
      <c r="MXF97" s="798"/>
      <c r="MXG97" s="798"/>
      <c r="MXH97" s="798"/>
      <c r="MXI97" s="798"/>
      <c r="MXJ97" s="798"/>
      <c r="MXK97" s="798"/>
      <c r="MXL97" s="798"/>
      <c r="MXM97" s="798"/>
      <c r="MXN97" s="798"/>
      <c r="MXO97" s="798"/>
      <c r="MXP97" s="798"/>
      <c r="MXQ97" s="798"/>
      <c r="MXR97" s="798"/>
      <c r="MXS97" s="798"/>
      <c r="MXT97" s="798"/>
      <c r="MXU97" s="798"/>
      <c r="MXV97" s="798"/>
      <c r="MXW97" s="798"/>
      <c r="MXX97" s="798"/>
      <c r="MXY97" s="798"/>
      <c r="MXZ97" s="798"/>
      <c r="MYA97" s="798"/>
      <c r="MYB97" s="798"/>
      <c r="MYC97" s="798"/>
      <c r="MYD97" s="798"/>
      <c r="MYE97" s="798"/>
      <c r="MYF97" s="798"/>
      <c r="MYG97" s="798"/>
      <c r="MYH97" s="798"/>
      <c r="MYI97" s="798"/>
      <c r="MYJ97" s="798"/>
      <c r="MYK97" s="798"/>
      <c r="MYL97" s="798"/>
      <c r="MYM97" s="798"/>
      <c r="MYN97" s="798"/>
      <c r="MYO97" s="798"/>
      <c r="MYP97" s="798"/>
      <c r="MYQ97" s="798"/>
      <c r="MYR97" s="798"/>
      <c r="MYS97" s="798"/>
      <c r="MYT97" s="798"/>
      <c r="MYU97" s="798"/>
      <c r="MYV97" s="798"/>
      <c r="MYW97" s="798"/>
      <c r="MYX97" s="798"/>
      <c r="MYY97" s="798"/>
      <c r="MYZ97" s="798"/>
      <c r="MZA97" s="798"/>
      <c r="MZB97" s="798"/>
      <c r="MZC97" s="798"/>
      <c r="MZD97" s="798"/>
      <c r="MZE97" s="798"/>
      <c r="MZF97" s="798"/>
      <c r="MZG97" s="798"/>
      <c r="MZH97" s="798"/>
      <c r="MZI97" s="798"/>
      <c r="MZJ97" s="798"/>
      <c r="MZK97" s="798"/>
      <c r="MZL97" s="798"/>
      <c r="MZM97" s="798"/>
      <c r="MZN97" s="798"/>
      <c r="MZO97" s="798"/>
      <c r="MZP97" s="798"/>
      <c r="MZQ97" s="798"/>
      <c r="MZR97" s="798"/>
      <c r="MZS97" s="798"/>
      <c r="MZT97" s="798"/>
      <c r="MZU97" s="798"/>
      <c r="MZV97" s="798"/>
      <c r="MZW97" s="798"/>
      <c r="MZX97" s="798"/>
      <c r="MZY97" s="798"/>
      <c r="MZZ97" s="798"/>
      <c r="NAA97" s="798"/>
      <c r="NAB97" s="798"/>
      <c r="NAC97" s="798"/>
      <c r="NAD97" s="798"/>
      <c r="NAE97" s="798"/>
      <c r="NAF97" s="798"/>
      <c r="NAG97" s="798"/>
      <c r="NAH97" s="798"/>
      <c r="NAI97" s="798"/>
      <c r="NAJ97" s="798"/>
      <c r="NAK97" s="798"/>
      <c r="NAL97" s="798"/>
      <c r="NAM97" s="798"/>
      <c r="NAN97" s="798"/>
      <c r="NAO97" s="798"/>
      <c r="NAP97" s="798"/>
      <c r="NAQ97" s="798"/>
      <c r="NAR97" s="798"/>
      <c r="NAS97" s="798"/>
      <c r="NAT97" s="798"/>
      <c r="NAU97" s="798"/>
      <c r="NAV97" s="798"/>
      <c r="NAW97" s="798"/>
      <c r="NAX97" s="798"/>
      <c r="NAY97" s="798"/>
      <c r="NAZ97" s="798"/>
      <c r="NBA97" s="798"/>
      <c r="NBB97" s="798"/>
      <c r="NBC97" s="798"/>
      <c r="NBD97" s="798"/>
      <c r="NBE97" s="798"/>
      <c r="NBF97" s="798"/>
      <c r="NBG97" s="798"/>
      <c r="NBH97" s="798"/>
      <c r="NBI97" s="798"/>
      <c r="NBJ97" s="798"/>
      <c r="NBK97" s="798"/>
      <c r="NBL97" s="798"/>
      <c r="NBM97" s="798"/>
      <c r="NBN97" s="798"/>
      <c r="NBO97" s="798"/>
      <c r="NBP97" s="798"/>
      <c r="NBQ97" s="798"/>
      <c r="NBR97" s="798"/>
      <c r="NBS97" s="798"/>
      <c r="NBT97" s="798"/>
      <c r="NBU97" s="798"/>
      <c r="NBV97" s="798"/>
      <c r="NBW97" s="798"/>
      <c r="NBX97" s="798"/>
      <c r="NBY97" s="798"/>
      <c r="NBZ97" s="798"/>
      <c r="NCA97" s="798"/>
      <c r="NCB97" s="798"/>
      <c r="NCC97" s="798"/>
      <c r="NCD97" s="798"/>
      <c r="NCE97" s="798"/>
      <c r="NCF97" s="798"/>
      <c r="NCG97" s="798"/>
      <c r="NCH97" s="798"/>
      <c r="NCI97" s="798"/>
      <c r="NCJ97" s="798"/>
      <c r="NCK97" s="798"/>
      <c r="NCL97" s="798"/>
      <c r="NCM97" s="798"/>
      <c r="NCN97" s="798"/>
      <c r="NCO97" s="798"/>
      <c r="NCP97" s="798"/>
      <c r="NCQ97" s="798"/>
      <c r="NCR97" s="798"/>
      <c r="NCS97" s="798"/>
      <c r="NCT97" s="798"/>
      <c r="NCU97" s="798"/>
      <c r="NCV97" s="798"/>
      <c r="NCW97" s="798"/>
      <c r="NCX97" s="798"/>
      <c r="NCY97" s="798"/>
      <c r="NCZ97" s="798"/>
      <c r="NDA97" s="798"/>
      <c r="NDB97" s="798"/>
      <c r="NDC97" s="798"/>
      <c r="NDD97" s="798"/>
      <c r="NDE97" s="798"/>
      <c r="NDF97" s="798"/>
      <c r="NDG97" s="798"/>
      <c r="NDH97" s="798"/>
      <c r="NDI97" s="798"/>
      <c r="NDJ97" s="798"/>
      <c r="NDK97" s="798"/>
      <c r="NDL97" s="798"/>
      <c r="NDM97" s="798"/>
      <c r="NDN97" s="798"/>
      <c r="NDO97" s="798"/>
      <c r="NDP97" s="798"/>
      <c r="NDQ97" s="798"/>
      <c r="NDR97" s="798"/>
      <c r="NDS97" s="798"/>
      <c r="NDT97" s="798"/>
      <c r="NDU97" s="798"/>
      <c r="NDV97" s="798"/>
      <c r="NDW97" s="798"/>
      <c r="NDX97" s="798"/>
      <c r="NDY97" s="798"/>
      <c r="NDZ97" s="798"/>
      <c r="NEA97" s="798"/>
      <c r="NEB97" s="798"/>
      <c r="NEC97" s="798"/>
      <c r="NED97" s="798"/>
      <c r="NEE97" s="798"/>
      <c r="NEF97" s="798"/>
      <c r="NEG97" s="798"/>
      <c r="NEH97" s="798"/>
      <c r="NEI97" s="798"/>
      <c r="NEJ97" s="798"/>
      <c r="NEK97" s="798"/>
      <c r="NEL97" s="798"/>
      <c r="NEM97" s="798"/>
      <c r="NEN97" s="798"/>
      <c r="NEO97" s="798"/>
      <c r="NEP97" s="798"/>
      <c r="NEQ97" s="798"/>
      <c r="NER97" s="798"/>
      <c r="NES97" s="798"/>
      <c r="NET97" s="798"/>
      <c r="NEU97" s="798"/>
      <c r="NEV97" s="798"/>
      <c r="NEW97" s="798"/>
      <c r="NEX97" s="798"/>
      <c r="NEY97" s="798"/>
      <c r="NEZ97" s="798"/>
      <c r="NFA97" s="798"/>
      <c r="NFB97" s="798"/>
      <c r="NFC97" s="798"/>
      <c r="NFD97" s="798"/>
      <c r="NFE97" s="798"/>
      <c r="NFF97" s="798"/>
      <c r="NFG97" s="798"/>
      <c r="NFH97" s="798"/>
      <c r="NFI97" s="798"/>
      <c r="NFJ97" s="798"/>
      <c r="NFK97" s="798"/>
      <c r="NFL97" s="798"/>
      <c r="NFM97" s="798"/>
      <c r="NFN97" s="798"/>
      <c r="NFO97" s="798"/>
      <c r="NFP97" s="798"/>
      <c r="NFQ97" s="798"/>
      <c r="NFR97" s="798"/>
      <c r="NFS97" s="798"/>
      <c r="NFT97" s="798"/>
      <c r="NFU97" s="798"/>
      <c r="NFV97" s="798"/>
      <c r="NFW97" s="798"/>
      <c r="NFX97" s="798"/>
      <c r="NFY97" s="798"/>
      <c r="NFZ97" s="798"/>
      <c r="NGA97" s="798"/>
      <c r="NGB97" s="798"/>
      <c r="NGC97" s="798"/>
      <c r="NGD97" s="798"/>
      <c r="NGE97" s="798"/>
      <c r="NGF97" s="798"/>
      <c r="NGG97" s="798"/>
      <c r="NGH97" s="798"/>
      <c r="NGI97" s="798"/>
      <c r="NGJ97" s="798"/>
      <c r="NGK97" s="798"/>
      <c r="NGL97" s="798"/>
      <c r="NGM97" s="798"/>
      <c r="NGN97" s="798"/>
      <c r="NGO97" s="798"/>
      <c r="NGP97" s="798"/>
      <c r="NGQ97" s="798"/>
      <c r="NGR97" s="798"/>
      <c r="NGS97" s="798"/>
      <c r="NGT97" s="798"/>
      <c r="NGU97" s="798"/>
      <c r="NGV97" s="798"/>
      <c r="NGW97" s="798"/>
      <c r="NGX97" s="798"/>
      <c r="NGY97" s="798"/>
      <c r="NGZ97" s="798"/>
      <c r="NHA97" s="798"/>
      <c r="NHB97" s="798"/>
      <c r="NHC97" s="798"/>
      <c r="NHD97" s="798"/>
      <c r="NHE97" s="798"/>
      <c r="NHF97" s="798"/>
      <c r="NHG97" s="798"/>
      <c r="NHH97" s="798"/>
      <c r="NHI97" s="798"/>
      <c r="NHJ97" s="798"/>
      <c r="NHK97" s="798"/>
      <c r="NHL97" s="798"/>
      <c r="NHM97" s="798"/>
      <c r="NHN97" s="798"/>
      <c r="NHO97" s="798"/>
      <c r="NHP97" s="798"/>
      <c r="NHQ97" s="798"/>
      <c r="NHR97" s="798"/>
      <c r="NHS97" s="798"/>
      <c r="NHT97" s="798"/>
      <c r="NHU97" s="798"/>
      <c r="NHV97" s="798"/>
      <c r="NHW97" s="798"/>
      <c r="NHX97" s="798"/>
      <c r="NHY97" s="798"/>
      <c r="NHZ97" s="798"/>
      <c r="NIA97" s="798"/>
      <c r="NIB97" s="798"/>
      <c r="NIC97" s="798"/>
      <c r="NID97" s="798"/>
      <c r="NIE97" s="798"/>
      <c r="NIF97" s="798"/>
      <c r="NIG97" s="798"/>
      <c r="NIH97" s="798"/>
      <c r="NII97" s="798"/>
      <c r="NIJ97" s="798"/>
      <c r="NIK97" s="798"/>
      <c r="NIL97" s="798"/>
      <c r="NIM97" s="798"/>
      <c r="NIN97" s="798"/>
      <c r="NIO97" s="798"/>
      <c r="NIP97" s="798"/>
      <c r="NIQ97" s="798"/>
      <c r="NIR97" s="798"/>
      <c r="NIS97" s="798"/>
      <c r="NIT97" s="798"/>
      <c r="NIU97" s="798"/>
      <c r="NIV97" s="798"/>
      <c r="NIW97" s="798"/>
      <c r="NIX97" s="798"/>
      <c r="NIY97" s="798"/>
      <c r="NIZ97" s="798"/>
      <c r="NJA97" s="798"/>
      <c r="NJB97" s="798"/>
      <c r="NJC97" s="798"/>
      <c r="NJD97" s="798"/>
      <c r="NJE97" s="798"/>
      <c r="NJF97" s="798"/>
      <c r="NJG97" s="798"/>
      <c r="NJH97" s="798"/>
      <c r="NJI97" s="798"/>
      <c r="NJJ97" s="798"/>
      <c r="NJK97" s="798"/>
      <c r="NJL97" s="798"/>
      <c r="NJM97" s="798"/>
      <c r="NJN97" s="798"/>
      <c r="NJO97" s="798"/>
      <c r="NJP97" s="798"/>
      <c r="NJQ97" s="798"/>
      <c r="NJR97" s="798"/>
      <c r="NJS97" s="798"/>
      <c r="NJT97" s="798"/>
      <c r="NJU97" s="798"/>
      <c r="NJV97" s="798"/>
      <c r="NJW97" s="798"/>
      <c r="NJX97" s="798"/>
      <c r="NJY97" s="798"/>
      <c r="NJZ97" s="798"/>
      <c r="NKA97" s="798"/>
      <c r="NKB97" s="798"/>
      <c r="NKC97" s="798"/>
      <c r="NKD97" s="798"/>
      <c r="NKE97" s="798"/>
      <c r="NKF97" s="798"/>
      <c r="NKG97" s="798"/>
      <c r="NKH97" s="798"/>
      <c r="NKI97" s="798"/>
      <c r="NKJ97" s="798"/>
      <c r="NKK97" s="798"/>
      <c r="NKL97" s="798"/>
      <c r="NKM97" s="798"/>
      <c r="NKN97" s="798"/>
      <c r="NKO97" s="798"/>
      <c r="NKP97" s="798"/>
      <c r="NKQ97" s="798"/>
      <c r="NKR97" s="798"/>
      <c r="NKS97" s="798"/>
      <c r="NKT97" s="798"/>
      <c r="NKU97" s="798"/>
      <c r="NKV97" s="798"/>
      <c r="NKW97" s="798"/>
      <c r="NKX97" s="798"/>
      <c r="NKY97" s="798"/>
      <c r="NKZ97" s="798"/>
      <c r="NLA97" s="798"/>
      <c r="NLB97" s="798"/>
      <c r="NLC97" s="798"/>
      <c r="NLD97" s="798"/>
      <c r="NLE97" s="798"/>
      <c r="NLF97" s="798"/>
      <c r="NLG97" s="798"/>
      <c r="NLH97" s="798"/>
      <c r="NLI97" s="798"/>
      <c r="NLJ97" s="798"/>
      <c r="NLK97" s="798"/>
      <c r="NLL97" s="798"/>
      <c r="NLM97" s="798"/>
      <c r="NLN97" s="798"/>
      <c r="NLO97" s="798"/>
      <c r="NLP97" s="798"/>
      <c r="NLQ97" s="798"/>
      <c r="NLR97" s="798"/>
      <c r="NLS97" s="798"/>
      <c r="NLT97" s="798"/>
      <c r="NLU97" s="798"/>
      <c r="NLV97" s="798"/>
      <c r="NLW97" s="798"/>
      <c r="NLX97" s="798"/>
      <c r="NLY97" s="798"/>
      <c r="NLZ97" s="798"/>
      <c r="NMA97" s="798"/>
      <c r="NMB97" s="798"/>
      <c r="NMC97" s="798"/>
      <c r="NMD97" s="798"/>
      <c r="NME97" s="798"/>
      <c r="NMF97" s="798"/>
      <c r="NMG97" s="798"/>
      <c r="NMH97" s="798"/>
      <c r="NMI97" s="798"/>
      <c r="NMJ97" s="798"/>
      <c r="NMK97" s="798"/>
      <c r="NML97" s="798"/>
      <c r="NMM97" s="798"/>
      <c r="NMN97" s="798"/>
      <c r="NMO97" s="798"/>
      <c r="NMP97" s="798"/>
      <c r="NMQ97" s="798"/>
      <c r="NMR97" s="798"/>
      <c r="NMS97" s="798"/>
      <c r="NMT97" s="798"/>
      <c r="NMU97" s="798"/>
      <c r="NMV97" s="798"/>
      <c r="NMW97" s="798"/>
      <c r="NMX97" s="798"/>
      <c r="NMY97" s="798"/>
      <c r="NMZ97" s="798"/>
      <c r="NNA97" s="798"/>
      <c r="NNB97" s="798"/>
      <c r="NNC97" s="798"/>
      <c r="NND97" s="798"/>
      <c r="NNE97" s="798"/>
      <c r="NNF97" s="798"/>
      <c r="NNG97" s="798"/>
      <c r="NNH97" s="798"/>
      <c r="NNI97" s="798"/>
      <c r="NNJ97" s="798"/>
      <c r="NNK97" s="798"/>
      <c r="NNL97" s="798"/>
      <c r="NNM97" s="798"/>
      <c r="NNN97" s="798"/>
      <c r="NNO97" s="798"/>
      <c r="NNP97" s="798"/>
      <c r="NNQ97" s="798"/>
      <c r="NNR97" s="798"/>
      <c r="NNS97" s="798"/>
      <c r="NNT97" s="798"/>
      <c r="NNU97" s="798"/>
      <c r="NNV97" s="798"/>
      <c r="NNW97" s="798"/>
      <c r="NNX97" s="798"/>
      <c r="NNY97" s="798"/>
      <c r="NNZ97" s="798"/>
      <c r="NOA97" s="798"/>
      <c r="NOB97" s="798"/>
      <c r="NOC97" s="798"/>
      <c r="NOD97" s="798"/>
      <c r="NOE97" s="798"/>
      <c r="NOF97" s="798"/>
      <c r="NOG97" s="798"/>
      <c r="NOH97" s="798"/>
      <c r="NOI97" s="798"/>
      <c r="NOJ97" s="798"/>
      <c r="NOK97" s="798"/>
      <c r="NOL97" s="798"/>
      <c r="NOM97" s="798"/>
      <c r="NON97" s="798"/>
      <c r="NOO97" s="798"/>
      <c r="NOP97" s="798"/>
      <c r="NOQ97" s="798"/>
      <c r="NOR97" s="798"/>
      <c r="NOS97" s="798"/>
      <c r="NOT97" s="798"/>
      <c r="NOU97" s="798"/>
      <c r="NOV97" s="798"/>
      <c r="NOW97" s="798"/>
      <c r="NOX97" s="798"/>
      <c r="NOY97" s="798"/>
      <c r="NOZ97" s="798"/>
      <c r="NPA97" s="798"/>
      <c r="NPB97" s="798"/>
      <c r="NPC97" s="798"/>
      <c r="NPD97" s="798"/>
      <c r="NPE97" s="798"/>
      <c r="NPF97" s="798"/>
      <c r="NPG97" s="798"/>
      <c r="NPH97" s="798"/>
      <c r="NPI97" s="798"/>
      <c r="NPJ97" s="798"/>
      <c r="NPK97" s="798"/>
      <c r="NPL97" s="798"/>
      <c r="NPM97" s="798"/>
      <c r="NPN97" s="798"/>
      <c r="NPO97" s="798"/>
      <c r="NPP97" s="798"/>
      <c r="NPQ97" s="798"/>
      <c r="NPR97" s="798"/>
      <c r="NPS97" s="798"/>
      <c r="NPT97" s="798"/>
      <c r="NPU97" s="798"/>
      <c r="NPV97" s="798"/>
      <c r="NPW97" s="798"/>
      <c r="NPX97" s="798"/>
      <c r="NPY97" s="798"/>
      <c r="NPZ97" s="798"/>
      <c r="NQA97" s="798"/>
      <c r="NQB97" s="798"/>
      <c r="NQC97" s="798"/>
      <c r="NQD97" s="798"/>
      <c r="NQE97" s="798"/>
      <c r="NQF97" s="798"/>
      <c r="NQG97" s="798"/>
      <c r="NQH97" s="798"/>
      <c r="NQI97" s="798"/>
      <c r="NQJ97" s="798"/>
      <c r="NQK97" s="798"/>
      <c r="NQL97" s="798"/>
      <c r="NQM97" s="798"/>
      <c r="NQN97" s="798"/>
      <c r="NQO97" s="798"/>
      <c r="NQP97" s="798"/>
      <c r="NQQ97" s="798"/>
      <c r="NQR97" s="798"/>
      <c r="NQS97" s="798"/>
      <c r="NQT97" s="798"/>
      <c r="NQU97" s="798"/>
      <c r="NQV97" s="798"/>
      <c r="NQW97" s="798"/>
      <c r="NQX97" s="798"/>
      <c r="NQY97" s="798"/>
      <c r="NQZ97" s="798"/>
      <c r="NRA97" s="798"/>
      <c r="NRB97" s="798"/>
      <c r="NRC97" s="798"/>
      <c r="NRD97" s="798"/>
      <c r="NRE97" s="798"/>
      <c r="NRF97" s="798"/>
      <c r="NRG97" s="798"/>
      <c r="NRH97" s="798"/>
      <c r="NRI97" s="798"/>
      <c r="NRJ97" s="798"/>
      <c r="NRK97" s="798"/>
      <c r="NRL97" s="798"/>
      <c r="NRM97" s="798"/>
      <c r="NRN97" s="798"/>
      <c r="NRO97" s="798"/>
      <c r="NRP97" s="798"/>
      <c r="NRQ97" s="798"/>
      <c r="NRR97" s="798"/>
      <c r="NRS97" s="798"/>
      <c r="NRT97" s="798"/>
      <c r="NRU97" s="798"/>
      <c r="NRV97" s="798"/>
      <c r="NRW97" s="798"/>
      <c r="NRX97" s="798"/>
      <c r="NRY97" s="798"/>
      <c r="NRZ97" s="798"/>
      <c r="NSA97" s="798"/>
      <c r="NSB97" s="798"/>
      <c r="NSC97" s="798"/>
      <c r="NSD97" s="798"/>
      <c r="NSE97" s="798"/>
      <c r="NSF97" s="798"/>
      <c r="NSG97" s="798"/>
      <c r="NSH97" s="798"/>
      <c r="NSI97" s="798"/>
      <c r="NSJ97" s="798"/>
      <c r="NSK97" s="798"/>
      <c r="NSL97" s="798"/>
      <c r="NSM97" s="798"/>
      <c r="NSN97" s="798"/>
      <c r="NSO97" s="798"/>
      <c r="NSP97" s="798"/>
      <c r="NSQ97" s="798"/>
      <c r="NSR97" s="798"/>
      <c r="NSS97" s="798"/>
      <c r="NST97" s="798"/>
      <c r="NSU97" s="798"/>
      <c r="NSV97" s="798"/>
      <c r="NSW97" s="798"/>
      <c r="NSX97" s="798"/>
      <c r="NSY97" s="798"/>
      <c r="NSZ97" s="798"/>
      <c r="NTA97" s="798"/>
      <c r="NTB97" s="798"/>
      <c r="NTC97" s="798"/>
      <c r="NTD97" s="798"/>
      <c r="NTE97" s="798"/>
      <c r="NTF97" s="798"/>
      <c r="NTG97" s="798"/>
      <c r="NTH97" s="798"/>
      <c r="NTI97" s="798"/>
      <c r="NTJ97" s="798"/>
      <c r="NTK97" s="798"/>
      <c r="NTL97" s="798"/>
      <c r="NTM97" s="798"/>
      <c r="NTN97" s="798"/>
      <c r="NTO97" s="798"/>
      <c r="NTP97" s="798"/>
      <c r="NTQ97" s="798"/>
      <c r="NTR97" s="798"/>
      <c r="NTS97" s="798"/>
      <c r="NTT97" s="798"/>
      <c r="NTU97" s="798"/>
      <c r="NTV97" s="798"/>
      <c r="NTW97" s="798"/>
      <c r="NTX97" s="798"/>
      <c r="NTY97" s="798"/>
      <c r="NTZ97" s="798"/>
      <c r="NUA97" s="798"/>
      <c r="NUB97" s="798"/>
      <c r="NUC97" s="798"/>
      <c r="NUD97" s="798"/>
      <c r="NUE97" s="798"/>
      <c r="NUF97" s="798"/>
      <c r="NUG97" s="798"/>
      <c r="NUH97" s="798"/>
      <c r="NUI97" s="798"/>
      <c r="NUJ97" s="798"/>
      <c r="NUK97" s="798"/>
      <c r="NUL97" s="798"/>
      <c r="NUM97" s="798"/>
      <c r="NUN97" s="798"/>
      <c r="NUO97" s="798"/>
      <c r="NUP97" s="798"/>
      <c r="NUQ97" s="798"/>
      <c r="NUR97" s="798"/>
      <c r="NUS97" s="798"/>
      <c r="NUT97" s="798"/>
      <c r="NUU97" s="798"/>
      <c r="NUV97" s="798"/>
      <c r="NUW97" s="798"/>
      <c r="NUX97" s="798"/>
      <c r="NUY97" s="798"/>
      <c r="NUZ97" s="798"/>
      <c r="NVA97" s="798"/>
      <c r="NVB97" s="798"/>
      <c r="NVC97" s="798"/>
      <c r="NVD97" s="798"/>
      <c r="NVE97" s="798"/>
      <c r="NVF97" s="798"/>
      <c r="NVG97" s="798"/>
      <c r="NVH97" s="798"/>
      <c r="NVI97" s="798"/>
      <c r="NVJ97" s="798"/>
      <c r="NVK97" s="798"/>
      <c r="NVL97" s="798"/>
      <c r="NVM97" s="798"/>
      <c r="NVN97" s="798"/>
      <c r="NVO97" s="798"/>
      <c r="NVP97" s="798"/>
      <c r="NVQ97" s="798"/>
      <c r="NVR97" s="798"/>
      <c r="NVS97" s="798"/>
      <c r="NVT97" s="798"/>
      <c r="NVU97" s="798"/>
      <c r="NVV97" s="798"/>
      <c r="NVW97" s="798"/>
      <c r="NVX97" s="798"/>
      <c r="NVY97" s="798"/>
      <c r="NVZ97" s="798"/>
      <c r="NWA97" s="798"/>
      <c r="NWB97" s="798"/>
      <c r="NWC97" s="798"/>
      <c r="NWD97" s="798"/>
      <c r="NWE97" s="798"/>
      <c r="NWF97" s="798"/>
      <c r="NWG97" s="798"/>
      <c r="NWH97" s="798"/>
      <c r="NWI97" s="798"/>
      <c r="NWJ97" s="798"/>
      <c r="NWK97" s="798"/>
      <c r="NWL97" s="798"/>
      <c r="NWM97" s="798"/>
      <c r="NWN97" s="798"/>
      <c r="NWO97" s="798"/>
      <c r="NWP97" s="798"/>
      <c r="NWQ97" s="798"/>
      <c r="NWR97" s="798"/>
      <c r="NWS97" s="798"/>
      <c r="NWT97" s="798"/>
      <c r="NWU97" s="798"/>
      <c r="NWV97" s="798"/>
      <c r="NWW97" s="798"/>
      <c r="NWX97" s="798"/>
      <c r="NWY97" s="798"/>
      <c r="NWZ97" s="798"/>
      <c r="NXA97" s="798"/>
      <c r="NXB97" s="798"/>
      <c r="NXC97" s="798"/>
      <c r="NXD97" s="798"/>
      <c r="NXE97" s="798"/>
      <c r="NXF97" s="798"/>
      <c r="NXG97" s="798"/>
      <c r="NXH97" s="798"/>
      <c r="NXI97" s="798"/>
      <c r="NXJ97" s="798"/>
      <c r="NXK97" s="798"/>
      <c r="NXL97" s="798"/>
      <c r="NXM97" s="798"/>
      <c r="NXN97" s="798"/>
      <c r="NXO97" s="798"/>
      <c r="NXP97" s="798"/>
      <c r="NXQ97" s="798"/>
      <c r="NXR97" s="798"/>
      <c r="NXS97" s="798"/>
      <c r="NXT97" s="798"/>
      <c r="NXU97" s="798"/>
      <c r="NXV97" s="798"/>
      <c r="NXW97" s="798"/>
      <c r="NXX97" s="798"/>
      <c r="NXY97" s="798"/>
      <c r="NXZ97" s="798"/>
      <c r="NYA97" s="798"/>
      <c r="NYB97" s="798"/>
      <c r="NYC97" s="798"/>
      <c r="NYD97" s="798"/>
      <c r="NYE97" s="798"/>
      <c r="NYF97" s="798"/>
      <c r="NYG97" s="798"/>
      <c r="NYH97" s="798"/>
      <c r="NYI97" s="798"/>
      <c r="NYJ97" s="798"/>
      <c r="NYK97" s="798"/>
      <c r="NYL97" s="798"/>
      <c r="NYM97" s="798"/>
      <c r="NYN97" s="798"/>
      <c r="NYO97" s="798"/>
      <c r="NYP97" s="798"/>
      <c r="NYQ97" s="798"/>
      <c r="NYR97" s="798"/>
      <c r="NYS97" s="798"/>
      <c r="NYT97" s="798"/>
      <c r="NYU97" s="798"/>
      <c r="NYV97" s="798"/>
      <c r="NYW97" s="798"/>
      <c r="NYX97" s="798"/>
      <c r="NYY97" s="798"/>
      <c r="NYZ97" s="798"/>
      <c r="NZA97" s="798"/>
      <c r="NZB97" s="798"/>
      <c r="NZC97" s="798"/>
      <c r="NZD97" s="798"/>
      <c r="NZE97" s="798"/>
      <c r="NZF97" s="798"/>
      <c r="NZG97" s="798"/>
      <c r="NZH97" s="798"/>
      <c r="NZI97" s="798"/>
      <c r="NZJ97" s="798"/>
      <c r="NZK97" s="798"/>
      <c r="NZL97" s="798"/>
      <c r="NZM97" s="798"/>
      <c r="NZN97" s="798"/>
      <c r="NZO97" s="798"/>
      <c r="NZP97" s="798"/>
      <c r="NZQ97" s="798"/>
      <c r="NZR97" s="798"/>
      <c r="NZS97" s="798"/>
      <c r="NZT97" s="798"/>
      <c r="NZU97" s="798"/>
      <c r="NZV97" s="798"/>
      <c r="NZW97" s="798"/>
      <c r="NZX97" s="798"/>
      <c r="NZY97" s="798"/>
      <c r="NZZ97" s="798"/>
      <c r="OAA97" s="798"/>
      <c r="OAB97" s="798"/>
      <c r="OAC97" s="798"/>
      <c r="OAD97" s="798"/>
      <c r="OAE97" s="798"/>
      <c r="OAF97" s="798"/>
      <c r="OAG97" s="798"/>
      <c r="OAH97" s="798"/>
      <c r="OAI97" s="798"/>
      <c r="OAJ97" s="798"/>
      <c r="OAK97" s="798"/>
      <c r="OAL97" s="798"/>
      <c r="OAM97" s="798"/>
      <c r="OAN97" s="798"/>
      <c r="OAO97" s="798"/>
      <c r="OAP97" s="798"/>
      <c r="OAQ97" s="798"/>
      <c r="OAR97" s="798"/>
      <c r="OAS97" s="798"/>
      <c r="OAT97" s="798"/>
      <c r="OAU97" s="798"/>
      <c r="OAV97" s="798"/>
      <c r="OAW97" s="798"/>
      <c r="OAX97" s="798"/>
      <c r="OAY97" s="798"/>
      <c r="OAZ97" s="798"/>
      <c r="OBA97" s="798"/>
      <c r="OBB97" s="798"/>
      <c r="OBC97" s="798"/>
      <c r="OBD97" s="798"/>
      <c r="OBE97" s="798"/>
      <c r="OBF97" s="798"/>
      <c r="OBG97" s="798"/>
      <c r="OBH97" s="798"/>
      <c r="OBI97" s="798"/>
      <c r="OBJ97" s="798"/>
      <c r="OBK97" s="798"/>
      <c r="OBL97" s="798"/>
      <c r="OBM97" s="798"/>
      <c r="OBN97" s="798"/>
      <c r="OBO97" s="798"/>
      <c r="OBP97" s="798"/>
      <c r="OBQ97" s="798"/>
      <c r="OBR97" s="798"/>
      <c r="OBS97" s="798"/>
      <c r="OBT97" s="798"/>
      <c r="OBU97" s="798"/>
      <c r="OBV97" s="798"/>
      <c r="OBW97" s="798"/>
      <c r="OBX97" s="798"/>
      <c r="OBY97" s="798"/>
      <c r="OBZ97" s="798"/>
      <c r="OCA97" s="798"/>
      <c r="OCB97" s="798"/>
      <c r="OCC97" s="798"/>
      <c r="OCD97" s="798"/>
      <c r="OCE97" s="798"/>
      <c r="OCF97" s="798"/>
      <c r="OCG97" s="798"/>
      <c r="OCH97" s="798"/>
      <c r="OCI97" s="798"/>
      <c r="OCJ97" s="798"/>
      <c r="OCK97" s="798"/>
      <c r="OCL97" s="798"/>
      <c r="OCM97" s="798"/>
      <c r="OCN97" s="798"/>
      <c r="OCO97" s="798"/>
      <c r="OCP97" s="798"/>
      <c r="OCQ97" s="798"/>
      <c r="OCR97" s="798"/>
      <c r="OCS97" s="798"/>
      <c r="OCT97" s="798"/>
      <c r="OCU97" s="798"/>
      <c r="OCV97" s="798"/>
      <c r="OCW97" s="798"/>
      <c r="OCX97" s="798"/>
      <c r="OCY97" s="798"/>
      <c r="OCZ97" s="798"/>
      <c r="ODA97" s="798"/>
      <c r="ODB97" s="798"/>
      <c r="ODC97" s="798"/>
      <c r="ODD97" s="798"/>
      <c r="ODE97" s="798"/>
      <c r="ODF97" s="798"/>
      <c r="ODG97" s="798"/>
      <c r="ODH97" s="798"/>
      <c r="ODI97" s="798"/>
      <c r="ODJ97" s="798"/>
      <c r="ODK97" s="798"/>
      <c r="ODL97" s="798"/>
      <c r="ODM97" s="798"/>
      <c r="ODN97" s="798"/>
      <c r="ODO97" s="798"/>
      <c r="ODP97" s="798"/>
      <c r="ODQ97" s="798"/>
      <c r="ODR97" s="798"/>
      <c r="ODS97" s="798"/>
      <c r="ODT97" s="798"/>
      <c r="ODU97" s="798"/>
      <c r="ODV97" s="798"/>
      <c r="ODW97" s="798"/>
      <c r="ODX97" s="798"/>
      <c r="ODY97" s="798"/>
      <c r="ODZ97" s="798"/>
      <c r="OEA97" s="798"/>
      <c r="OEB97" s="798"/>
      <c r="OEC97" s="798"/>
      <c r="OED97" s="798"/>
      <c r="OEE97" s="798"/>
      <c r="OEF97" s="798"/>
      <c r="OEG97" s="798"/>
      <c r="OEH97" s="798"/>
      <c r="OEI97" s="798"/>
      <c r="OEJ97" s="798"/>
      <c r="OEK97" s="798"/>
      <c r="OEL97" s="798"/>
      <c r="OEM97" s="798"/>
      <c r="OEN97" s="798"/>
      <c r="OEO97" s="798"/>
      <c r="OEP97" s="798"/>
      <c r="OEQ97" s="798"/>
      <c r="OER97" s="798"/>
      <c r="OES97" s="798"/>
      <c r="OET97" s="798"/>
      <c r="OEU97" s="798"/>
      <c r="OEV97" s="798"/>
      <c r="OEW97" s="798"/>
      <c r="OEX97" s="798"/>
      <c r="OEY97" s="798"/>
      <c r="OEZ97" s="798"/>
      <c r="OFA97" s="798"/>
      <c r="OFB97" s="798"/>
      <c r="OFC97" s="798"/>
      <c r="OFD97" s="798"/>
      <c r="OFE97" s="798"/>
      <c r="OFF97" s="798"/>
      <c r="OFG97" s="798"/>
      <c r="OFH97" s="798"/>
      <c r="OFI97" s="798"/>
      <c r="OFJ97" s="798"/>
      <c r="OFK97" s="798"/>
      <c r="OFL97" s="798"/>
      <c r="OFM97" s="798"/>
      <c r="OFN97" s="798"/>
      <c r="OFO97" s="798"/>
      <c r="OFP97" s="798"/>
      <c r="OFQ97" s="798"/>
      <c r="OFR97" s="798"/>
      <c r="OFS97" s="798"/>
      <c r="OFT97" s="798"/>
      <c r="OFU97" s="798"/>
      <c r="OFV97" s="798"/>
      <c r="OFW97" s="798"/>
      <c r="OFX97" s="798"/>
      <c r="OFY97" s="798"/>
      <c r="OFZ97" s="798"/>
      <c r="OGA97" s="798"/>
      <c r="OGB97" s="798"/>
      <c r="OGC97" s="798"/>
      <c r="OGD97" s="798"/>
      <c r="OGE97" s="798"/>
      <c r="OGF97" s="798"/>
      <c r="OGG97" s="798"/>
      <c r="OGH97" s="798"/>
      <c r="OGI97" s="798"/>
      <c r="OGJ97" s="798"/>
      <c r="OGK97" s="798"/>
      <c r="OGL97" s="798"/>
      <c r="OGM97" s="798"/>
      <c r="OGN97" s="798"/>
      <c r="OGO97" s="798"/>
      <c r="OGP97" s="798"/>
      <c r="OGQ97" s="798"/>
      <c r="OGR97" s="798"/>
      <c r="OGS97" s="798"/>
      <c r="OGT97" s="798"/>
      <c r="OGU97" s="798"/>
      <c r="OGV97" s="798"/>
      <c r="OGW97" s="798"/>
      <c r="OGX97" s="798"/>
      <c r="OGY97" s="798"/>
      <c r="OGZ97" s="798"/>
      <c r="OHA97" s="798"/>
      <c r="OHB97" s="798"/>
      <c r="OHC97" s="798"/>
      <c r="OHD97" s="798"/>
      <c r="OHE97" s="798"/>
      <c r="OHF97" s="798"/>
      <c r="OHG97" s="798"/>
      <c r="OHH97" s="798"/>
      <c r="OHI97" s="798"/>
      <c r="OHJ97" s="798"/>
      <c r="OHK97" s="798"/>
      <c r="OHL97" s="798"/>
      <c r="OHM97" s="798"/>
      <c r="OHN97" s="798"/>
      <c r="OHO97" s="798"/>
      <c r="OHP97" s="798"/>
      <c r="OHQ97" s="798"/>
      <c r="OHR97" s="798"/>
      <c r="OHS97" s="798"/>
      <c r="OHT97" s="798"/>
      <c r="OHU97" s="798"/>
      <c r="OHV97" s="798"/>
      <c r="OHW97" s="798"/>
      <c r="OHX97" s="798"/>
      <c r="OHY97" s="798"/>
      <c r="OHZ97" s="798"/>
      <c r="OIA97" s="798"/>
      <c r="OIB97" s="798"/>
      <c r="OIC97" s="798"/>
      <c r="OID97" s="798"/>
      <c r="OIE97" s="798"/>
      <c r="OIF97" s="798"/>
      <c r="OIG97" s="798"/>
      <c r="OIH97" s="798"/>
      <c r="OII97" s="798"/>
      <c r="OIJ97" s="798"/>
      <c r="OIK97" s="798"/>
      <c r="OIL97" s="798"/>
      <c r="OIM97" s="798"/>
      <c r="OIN97" s="798"/>
      <c r="OIO97" s="798"/>
      <c r="OIP97" s="798"/>
      <c r="OIQ97" s="798"/>
      <c r="OIR97" s="798"/>
      <c r="OIS97" s="798"/>
      <c r="OIT97" s="798"/>
      <c r="OIU97" s="798"/>
      <c r="OIV97" s="798"/>
      <c r="OIW97" s="798"/>
      <c r="OIX97" s="798"/>
      <c r="OIY97" s="798"/>
      <c r="OIZ97" s="798"/>
      <c r="OJA97" s="798"/>
      <c r="OJB97" s="798"/>
      <c r="OJC97" s="798"/>
      <c r="OJD97" s="798"/>
      <c r="OJE97" s="798"/>
      <c r="OJF97" s="798"/>
      <c r="OJG97" s="798"/>
      <c r="OJH97" s="798"/>
      <c r="OJI97" s="798"/>
      <c r="OJJ97" s="798"/>
      <c r="OJK97" s="798"/>
      <c r="OJL97" s="798"/>
      <c r="OJM97" s="798"/>
      <c r="OJN97" s="798"/>
      <c r="OJO97" s="798"/>
      <c r="OJP97" s="798"/>
      <c r="OJQ97" s="798"/>
      <c r="OJR97" s="798"/>
      <c r="OJS97" s="798"/>
      <c r="OJT97" s="798"/>
      <c r="OJU97" s="798"/>
      <c r="OJV97" s="798"/>
      <c r="OJW97" s="798"/>
      <c r="OJX97" s="798"/>
      <c r="OJY97" s="798"/>
      <c r="OJZ97" s="798"/>
      <c r="OKA97" s="798"/>
      <c r="OKB97" s="798"/>
      <c r="OKC97" s="798"/>
      <c r="OKD97" s="798"/>
      <c r="OKE97" s="798"/>
      <c r="OKF97" s="798"/>
      <c r="OKG97" s="798"/>
      <c r="OKH97" s="798"/>
      <c r="OKI97" s="798"/>
      <c r="OKJ97" s="798"/>
      <c r="OKK97" s="798"/>
      <c r="OKL97" s="798"/>
      <c r="OKM97" s="798"/>
      <c r="OKN97" s="798"/>
      <c r="OKO97" s="798"/>
      <c r="OKP97" s="798"/>
      <c r="OKQ97" s="798"/>
      <c r="OKR97" s="798"/>
      <c r="OKS97" s="798"/>
      <c r="OKT97" s="798"/>
      <c r="OKU97" s="798"/>
      <c r="OKV97" s="798"/>
      <c r="OKW97" s="798"/>
      <c r="OKX97" s="798"/>
      <c r="OKY97" s="798"/>
      <c r="OKZ97" s="798"/>
      <c r="OLA97" s="798"/>
      <c r="OLB97" s="798"/>
      <c r="OLC97" s="798"/>
      <c r="OLD97" s="798"/>
      <c r="OLE97" s="798"/>
      <c r="OLF97" s="798"/>
      <c r="OLG97" s="798"/>
      <c r="OLH97" s="798"/>
      <c r="OLI97" s="798"/>
      <c r="OLJ97" s="798"/>
      <c r="OLK97" s="798"/>
      <c r="OLL97" s="798"/>
      <c r="OLM97" s="798"/>
      <c r="OLN97" s="798"/>
      <c r="OLO97" s="798"/>
      <c r="OLP97" s="798"/>
      <c r="OLQ97" s="798"/>
      <c r="OLR97" s="798"/>
      <c r="OLS97" s="798"/>
      <c r="OLT97" s="798"/>
      <c r="OLU97" s="798"/>
      <c r="OLV97" s="798"/>
      <c r="OLW97" s="798"/>
      <c r="OLX97" s="798"/>
      <c r="OLY97" s="798"/>
      <c r="OLZ97" s="798"/>
      <c r="OMA97" s="798"/>
      <c r="OMB97" s="798"/>
      <c r="OMC97" s="798"/>
      <c r="OMD97" s="798"/>
      <c r="OME97" s="798"/>
      <c r="OMF97" s="798"/>
      <c r="OMG97" s="798"/>
      <c r="OMH97" s="798"/>
      <c r="OMI97" s="798"/>
      <c r="OMJ97" s="798"/>
      <c r="OMK97" s="798"/>
      <c r="OML97" s="798"/>
      <c r="OMM97" s="798"/>
      <c r="OMN97" s="798"/>
      <c r="OMO97" s="798"/>
      <c r="OMP97" s="798"/>
      <c r="OMQ97" s="798"/>
      <c r="OMR97" s="798"/>
      <c r="OMS97" s="798"/>
      <c r="OMT97" s="798"/>
      <c r="OMU97" s="798"/>
      <c r="OMV97" s="798"/>
      <c r="OMW97" s="798"/>
      <c r="OMX97" s="798"/>
      <c r="OMY97" s="798"/>
      <c r="OMZ97" s="798"/>
      <c r="ONA97" s="798"/>
      <c r="ONB97" s="798"/>
      <c r="ONC97" s="798"/>
      <c r="OND97" s="798"/>
      <c r="ONE97" s="798"/>
      <c r="ONF97" s="798"/>
      <c r="ONG97" s="798"/>
      <c r="ONH97" s="798"/>
      <c r="ONI97" s="798"/>
      <c r="ONJ97" s="798"/>
      <c r="ONK97" s="798"/>
      <c r="ONL97" s="798"/>
      <c r="ONM97" s="798"/>
      <c r="ONN97" s="798"/>
      <c r="ONO97" s="798"/>
      <c r="ONP97" s="798"/>
      <c r="ONQ97" s="798"/>
      <c r="ONR97" s="798"/>
      <c r="ONS97" s="798"/>
      <c r="ONT97" s="798"/>
      <c r="ONU97" s="798"/>
      <c r="ONV97" s="798"/>
      <c r="ONW97" s="798"/>
      <c r="ONX97" s="798"/>
      <c r="ONY97" s="798"/>
      <c r="ONZ97" s="798"/>
      <c r="OOA97" s="798"/>
      <c r="OOB97" s="798"/>
      <c r="OOC97" s="798"/>
      <c r="OOD97" s="798"/>
      <c r="OOE97" s="798"/>
      <c r="OOF97" s="798"/>
      <c r="OOG97" s="798"/>
      <c r="OOH97" s="798"/>
      <c r="OOI97" s="798"/>
      <c r="OOJ97" s="798"/>
      <c r="OOK97" s="798"/>
      <c r="OOL97" s="798"/>
      <c r="OOM97" s="798"/>
      <c r="OON97" s="798"/>
      <c r="OOO97" s="798"/>
      <c r="OOP97" s="798"/>
      <c r="OOQ97" s="798"/>
      <c r="OOR97" s="798"/>
      <c r="OOS97" s="798"/>
      <c r="OOT97" s="798"/>
      <c r="OOU97" s="798"/>
      <c r="OOV97" s="798"/>
      <c r="OOW97" s="798"/>
      <c r="OOX97" s="798"/>
      <c r="OOY97" s="798"/>
      <c r="OOZ97" s="798"/>
      <c r="OPA97" s="798"/>
      <c r="OPB97" s="798"/>
      <c r="OPC97" s="798"/>
      <c r="OPD97" s="798"/>
      <c r="OPE97" s="798"/>
      <c r="OPF97" s="798"/>
      <c r="OPG97" s="798"/>
      <c r="OPH97" s="798"/>
      <c r="OPI97" s="798"/>
      <c r="OPJ97" s="798"/>
      <c r="OPK97" s="798"/>
      <c r="OPL97" s="798"/>
      <c r="OPM97" s="798"/>
      <c r="OPN97" s="798"/>
      <c r="OPO97" s="798"/>
      <c r="OPP97" s="798"/>
      <c r="OPQ97" s="798"/>
      <c r="OPR97" s="798"/>
      <c r="OPS97" s="798"/>
      <c r="OPT97" s="798"/>
      <c r="OPU97" s="798"/>
      <c r="OPV97" s="798"/>
      <c r="OPW97" s="798"/>
      <c r="OPX97" s="798"/>
      <c r="OPY97" s="798"/>
      <c r="OPZ97" s="798"/>
      <c r="OQA97" s="798"/>
      <c r="OQB97" s="798"/>
      <c r="OQC97" s="798"/>
      <c r="OQD97" s="798"/>
      <c r="OQE97" s="798"/>
      <c r="OQF97" s="798"/>
      <c r="OQG97" s="798"/>
      <c r="OQH97" s="798"/>
      <c r="OQI97" s="798"/>
      <c r="OQJ97" s="798"/>
      <c r="OQK97" s="798"/>
      <c r="OQL97" s="798"/>
      <c r="OQM97" s="798"/>
      <c r="OQN97" s="798"/>
      <c r="OQO97" s="798"/>
      <c r="OQP97" s="798"/>
      <c r="OQQ97" s="798"/>
      <c r="OQR97" s="798"/>
      <c r="OQS97" s="798"/>
      <c r="OQT97" s="798"/>
      <c r="OQU97" s="798"/>
      <c r="OQV97" s="798"/>
      <c r="OQW97" s="798"/>
      <c r="OQX97" s="798"/>
      <c r="OQY97" s="798"/>
      <c r="OQZ97" s="798"/>
      <c r="ORA97" s="798"/>
      <c r="ORB97" s="798"/>
      <c r="ORC97" s="798"/>
      <c r="ORD97" s="798"/>
      <c r="ORE97" s="798"/>
      <c r="ORF97" s="798"/>
      <c r="ORG97" s="798"/>
      <c r="ORH97" s="798"/>
      <c r="ORI97" s="798"/>
      <c r="ORJ97" s="798"/>
      <c r="ORK97" s="798"/>
      <c r="ORL97" s="798"/>
      <c r="ORM97" s="798"/>
      <c r="ORN97" s="798"/>
      <c r="ORO97" s="798"/>
      <c r="ORP97" s="798"/>
      <c r="ORQ97" s="798"/>
      <c r="ORR97" s="798"/>
      <c r="ORS97" s="798"/>
      <c r="ORT97" s="798"/>
      <c r="ORU97" s="798"/>
      <c r="ORV97" s="798"/>
      <c r="ORW97" s="798"/>
      <c r="ORX97" s="798"/>
      <c r="ORY97" s="798"/>
      <c r="ORZ97" s="798"/>
      <c r="OSA97" s="798"/>
      <c r="OSB97" s="798"/>
      <c r="OSC97" s="798"/>
      <c r="OSD97" s="798"/>
      <c r="OSE97" s="798"/>
      <c r="OSF97" s="798"/>
      <c r="OSG97" s="798"/>
      <c r="OSH97" s="798"/>
      <c r="OSI97" s="798"/>
      <c r="OSJ97" s="798"/>
      <c r="OSK97" s="798"/>
      <c r="OSL97" s="798"/>
      <c r="OSM97" s="798"/>
      <c r="OSN97" s="798"/>
      <c r="OSO97" s="798"/>
      <c r="OSP97" s="798"/>
      <c r="OSQ97" s="798"/>
      <c r="OSR97" s="798"/>
      <c r="OSS97" s="798"/>
      <c r="OST97" s="798"/>
      <c r="OSU97" s="798"/>
      <c r="OSV97" s="798"/>
      <c r="OSW97" s="798"/>
      <c r="OSX97" s="798"/>
      <c r="OSY97" s="798"/>
      <c r="OSZ97" s="798"/>
      <c r="OTA97" s="798"/>
      <c r="OTB97" s="798"/>
      <c r="OTC97" s="798"/>
      <c r="OTD97" s="798"/>
      <c r="OTE97" s="798"/>
      <c r="OTF97" s="798"/>
      <c r="OTG97" s="798"/>
      <c r="OTH97" s="798"/>
      <c r="OTI97" s="798"/>
      <c r="OTJ97" s="798"/>
      <c r="OTK97" s="798"/>
      <c r="OTL97" s="798"/>
      <c r="OTM97" s="798"/>
      <c r="OTN97" s="798"/>
      <c r="OTO97" s="798"/>
      <c r="OTP97" s="798"/>
      <c r="OTQ97" s="798"/>
      <c r="OTR97" s="798"/>
      <c r="OTS97" s="798"/>
      <c r="OTT97" s="798"/>
      <c r="OTU97" s="798"/>
      <c r="OTV97" s="798"/>
      <c r="OTW97" s="798"/>
      <c r="OTX97" s="798"/>
      <c r="OTY97" s="798"/>
      <c r="OTZ97" s="798"/>
      <c r="OUA97" s="798"/>
      <c r="OUB97" s="798"/>
      <c r="OUC97" s="798"/>
      <c r="OUD97" s="798"/>
      <c r="OUE97" s="798"/>
      <c r="OUF97" s="798"/>
      <c r="OUG97" s="798"/>
      <c r="OUH97" s="798"/>
      <c r="OUI97" s="798"/>
      <c r="OUJ97" s="798"/>
      <c r="OUK97" s="798"/>
      <c r="OUL97" s="798"/>
      <c r="OUM97" s="798"/>
      <c r="OUN97" s="798"/>
      <c r="OUO97" s="798"/>
      <c r="OUP97" s="798"/>
      <c r="OUQ97" s="798"/>
      <c r="OUR97" s="798"/>
      <c r="OUS97" s="798"/>
      <c r="OUT97" s="798"/>
      <c r="OUU97" s="798"/>
      <c r="OUV97" s="798"/>
      <c r="OUW97" s="798"/>
      <c r="OUX97" s="798"/>
      <c r="OUY97" s="798"/>
      <c r="OUZ97" s="798"/>
      <c r="OVA97" s="798"/>
      <c r="OVB97" s="798"/>
      <c r="OVC97" s="798"/>
      <c r="OVD97" s="798"/>
      <c r="OVE97" s="798"/>
      <c r="OVF97" s="798"/>
      <c r="OVG97" s="798"/>
      <c r="OVH97" s="798"/>
      <c r="OVI97" s="798"/>
      <c r="OVJ97" s="798"/>
      <c r="OVK97" s="798"/>
      <c r="OVL97" s="798"/>
      <c r="OVM97" s="798"/>
      <c r="OVN97" s="798"/>
      <c r="OVO97" s="798"/>
      <c r="OVP97" s="798"/>
      <c r="OVQ97" s="798"/>
      <c r="OVR97" s="798"/>
      <c r="OVS97" s="798"/>
      <c r="OVT97" s="798"/>
      <c r="OVU97" s="798"/>
      <c r="OVV97" s="798"/>
      <c r="OVW97" s="798"/>
      <c r="OVX97" s="798"/>
      <c r="OVY97" s="798"/>
      <c r="OVZ97" s="798"/>
      <c r="OWA97" s="798"/>
      <c r="OWB97" s="798"/>
      <c r="OWC97" s="798"/>
      <c r="OWD97" s="798"/>
      <c r="OWE97" s="798"/>
      <c r="OWF97" s="798"/>
      <c r="OWG97" s="798"/>
      <c r="OWH97" s="798"/>
      <c r="OWI97" s="798"/>
      <c r="OWJ97" s="798"/>
      <c r="OWK97" s="798"/>
      <c r="OWL97" s="798"/>
      <c r="OWM97" s="798"/>
      <c r="OWN97" s="798"/>
      <c r="OWO97" s="798"/>
      <c r="OWP97" s="798"/>
      <c r="OWQ97" s="798"/>
      <c r="OWR97" s="798"/>
      <c r="OWS97" s="798"/>
      <c r="OWT97" s="798"/>
      <c r="OWU97" s="798"/>
      <c r="OWV97" s="798"/>
      <c r="OWW97" s="798"/>
      <c r="OWX97" s="798"/>
      <c r="OWY97" s="798"/>
      <c r="OWZ97" s="798"/>
      <c r="OXA97" s="798"/>
      <c r="OXB97" s="798"/>
      <c r="OXC97" s="798"/>
      <c r="OXD97" s="798"/>
      <c r="OXE97" s="798"/>
      <c r="OXF97" s="798"/>
      <c r="OXG97" s="798"/>
      <c r="OXH97" s="798"/>
      <c r="OXI97" s="798"/>
      <c r="OXJ97" s="798"/>
      <c r="OXK97" s="798"/>
      <c r="OXL97" s="798"/>
      <c r="OXM97" s="798"/>
      <c r="OXN97" s="798"/>
      <c r="OXO97" s="798"/>
      <c r="OXP97" s="798"/>
      <c r="OXQ97" s="798"/>
      <c r="OXR97" s="798"/>
      <c r="OXS97" s="798"/>
      <c r="OXT97" s="798"/>
      <c r="OXU97" s="798"/>
      <c r="OXV97" s="798"/>
      <c r="OXW97" s="798"/>
      <c r="OXX97" s="798"/>
      <c r="OXY97" s="798"/>
      <c r="OXZ97" s="798"/>
      <c r="OYA97" s="798"/>
      <c r="OYB97" s="798"/>
      <c r="OYC97" s="798"/>
      <c r="OYD97" s="798"/>
      <c r="OYE97" s="798"/>
      <c r="OYF97" s="798"/>
      <c r="OYG97" s="798"/>
      <c r="OYH97" s="798"/>
      <c r="OYI97" s="798"/>
      <c r="OYJ97" s="798"/>
      <c r="OYK97" s="798"/>
      <c r="OYL97" s="798"/>
      <c r="OYM97" s="798"/>
      <c r="OYN97" s="798"/>
      <c r="OYO97" s="798"/>
      <c r="OYP97" s="798"/>
      <c r="OYQ97" s="798"/>
      <c r="OYR97" s="798"/>
      <c r="OYS97" s="798"/>
      <c r="OYT97" s="798"/>
      <c r="OYU97" s="798"/>
      <c r="OYV97" s="798"/>
      <c r="OYW97" s="798"/>
      <c r="OYX97" s="798"/>
      <c r="OYY97" s="798"/>
      <c r="OYZ97" s="798"/>
      <c r="OZA97" s="798"/>
      <c r="OZB97" s="798"/>
      <c r="OZC97" s="798"/>
      <c r="OZD97" s="798"/>
      <c r="OZE97" s="798"/>
      <c r="OZF97" s="798"/>
      <c r="OZG97" s="798"/>
      <c r="OZH97" s="798"/>
      <c r="OZI97" s="798"/>
      <c r="OZJ97" s="798"/>
      <c r="OZK97" s="798"/>
      <c r="OZL97" s="798"/>
      <c r="OZM97" s="798"/>
      <c r="OZN97" s="798"/>
      <c r="OZO97" s="798"/>
      <c r="OZP97" s="798"/>
      <c r="OZQ97" s="798"/>
      <c r="OZR97" s="798"/>
      <c r="OZS97" s="798"/>
      <c r="OZT97" s="798"/>
      <c r="OZU97" s="798"/>
      <c r="OZV97" s="798"/>
      <c r="OZW97" s="798"/>
      <c r="OZX97" s="798"/>
      <c r="OZY97" s="798"/>
      <c r="OZZ97" s="798"/>
      <c r="PAA97" s="798"/>
      <c r="PAB97" s="798"/>
      <c r="PAC97" s="798"/>
      <c r="PAD97" s="798"/>
      <c r="PAE97" s="798"/>
      <c r="PAF97" s="798"/>
      <c r="PAG97" s="798"/>
      <c r="PAH97" s="798"/>
      <c r="PAI97" s="798"/>
      <c r="PAJ97" s="798"/>
      <c r="PAK97" s="798"/>
      <c r="PAL97" s="798"/>
      <c r="PAM97" s="798"/>
      <c r="PAN97" s="798"/>
      <c r="PAO97" s="798"/>
      <c r="PAP97" s="798"/>
      <c r="PAQ97" s="798"/>
      <c r="PAR97" s="798"/>
      <c r="PAS97" s="798"/>
      <c r="PAT97" s="798"/>
      <c r="PAU97" s="798"/>
      <c r="PAV97" s="798"/>
      <c r="PAW97" s="798"/>
      <c r="PAX97" s="798"/>
      <c r="PAY97" s="798"/>
      <c r="PAZ97" s="798"/>
      <c r="PBA97" s="798"/>
      <c r="PBB97" s="798"/>
      <c r="PBC97" s="798"/>
      <c r="PBD97" s="798"/>
      <c r="PBE97" s="798"/>
      <c r="PBF97" s="798"/>
      <c r="PBG97" s="798"/>
      <c r="PBH97" s="798"/>
      <c r="PBI97" s="798"/>
      <c r="PBJ97" s="798"/>
      <c r="PBK97" s="798"/>
      <c r="PBL97" s="798"/>
      <c r="PBM97" s="798"/>
      <c r="PBN97" s="798"/>
      <c r="PBO97" s="798"/>
      <c r="PBP97" s="798"/>
      <c r="PBQ97" s="798"/>
      <c r="PBR97" s="798"/>
      <c r="PBS97" s="798"/>
      <c r="PBT97" s="798"/>
      <c r="PBU97" s="798"/>
      <c r="PBV97" s="798"/>
      <c r="PBW97" s="798"/>
      <c r="PBX97" s="798"/>
      <c r="PBY97" s="798"/>
      <c r="PBZ97" s="798"/>
      <c r="PCA97" s="798"/>
      <c r="PCB97" s="798"/>
      <c r="PCC97" s="798"/>
      <c r="PCD97" s="798"/>
      <c r="PCE97" s="798"/>
      <c r="PCF97" s="798"/>
      <c r="PCG97" s="798"/>
      <c r="PCH97" s="798"/>
      <c r="PCI97" s="798"/>
      <c r="PCJ97" s="798"/>
      <c r="PCK97" s="798"/>
      <c r="PCL97" s="798"/>
      <c r="PCM97" s="798"/>
      <c r="PCN97" s="798"/>
      <c r="PCO97" s="798"/>
      <c r="PCP97" s="798"/>
      <c r="PCQ97" s="798"/>
      <c r="PCR97" s="798"/>
      <c r="PCS97" s="798"/>
      <c r="PCT97" s="798"/>
      <c r="PCU97" s="798"/>
      <c r="PCV97" s="798"/>
      <c r="PCW97" s="798"/>
      <c r="PCX97" s="798"/>
      <c r="PCY97" s="798"/>
      <c r="PCZ97" s="798"/>
      <c r="PDA97" s="798"/>
      <c r="PDB97" s="798"/>
      <c r="PDC97" s="798"/>
      <c r="PDD97" s="798"/>
      <c r="PDE97" s="798"/>
      <c r="PDF97" s="798"/>
      <c r="PDG97" s="798"/>
      <c r="PDH97" s="798"/>
      <c r="PDI97" s="798"/>
      <c r="PDJ97" s="798"/>
      <c r="PDK97" s="798"/>
      <c r="PDL97" s="798"/>
      <c r="PDM97" s="798"/>
      <c r="PDN97" s="798"/>
      <c r="PDO97" s="798"/>
      <c r="PDP97" s="798"/>
      <c r="PDQ97" s="798"/>
      <c r="PDR97" s="798"/>
      <c r="PDS97" s="798"/>
      <c r="PDT97" s="798"/>
      <c r="PDU97" s="798"/>
      <c r="PDV97" s="798"/>
      <c r="PDW97" s="798"/>
      <c r="PDX97" s="798"/>
      <c r="PDY97" s="798"/>
      <c r="PDZ97" s="798"/>
      <c r="PEA97" s="798"/>
      <c r="PEB97" s="798"/>
      <c r="PEC97" s="798"/>
      <c r="PED97" s="798"/>
      <c r="PEE97" s="798"/>
      <c r="PEF97" s="798"/>
      <c r="PEG97" s="798"/>
      <c r="PEH97" s="798"/>
      <c r="PEI97" s="798"/>
      <c r="PEJ97" s="798"/>
      <c r="PEK97" s="798"/>
      <c r="PEL97" s="798"/>
      <c r="PEM97" s="798"/>
      <c r="PEN97" s="798"/>
      <c r="PEO97" s="798"/>
      <c r="PEP97" s="798"/>
      <c r="PEQ97" s="798"/>
      <c r="PER97" s="798"/>
      <c r="PES97" s="798"/>
      <c r="PET97" s="798"/>
      <c r="PEU97" s="798"/>
      <c r="PEV97" s="798"/>
      <c r="PEW97" s="798"/>
      <c r="PEX97" s="798"/>
      <c r="PEY97" s="798"/>
      <c r="PEZ97" s="798"/>
      <c r="PFA97" s="798"/>
      <c r="PFB97" s="798"/>
      <c r="PFC97" s="798"/>
      <c r="PFD97" s="798"/>
      <c r="PFE97" s="798"/>
      <c r="PFF97" s="798"/>
      <c r="PFG97" s="798"/>
      <c r="PFH97" s="798"/>
      <c r="PFI97" s="798"/>
      <c r="PFJ97" s="798"/>
      <c r="PFK97" s="798"/>
      <c r="PFL97" s="798"/>
      <c r="PFM97" s="798"/>
      <c r="PFN97" s="798"/>
      <c r="PFO97" s="798"/>
      <c r="PFP97" s="798"/>
      <c r="PFQ97" s="798"/>
      <c r="PFR97" s="798"/>
      <c r="PFS97" s="798"/>
      <c r="PFT97" s="798"/>
      <c r="PFU97" s="798"/>
      <c r="PFV97" s="798"/>
      <c r="PFW97" s="798"/>
      <c r="PFX97" s="798"/>
      <c r="PFY97" s="798"/>
      <c r="PFZ97" s="798"/>
      <c r="PGA97" s="798"/>
      <c r="PGB97" s="798"/>
      <c r="PGC97" s="798"/>
      <c r="PGD97" s="798"/>
      <c r="PGE97" s="798"/>
      <c r="PGF97" s="798"/>
      <c r="PGG97" s="798"/>
      <c r="PGH97" s="798"/>
      <c r="PGI97" s="798"/>
      <c r="PGJ97" s="798"/>
      <c r="PGK97" s="798"/>
      <c r="PGL97" s="798"/>
      <c r="PGM97" s="798"/>
      <c r="PGN97" s="798"/>
      <c r="PGO97" s="798"/>
      <c r="PGP97" s="798"/>
      <c r="PGQ97" s="798"/>
      <c r="PGR97" s="798"/>
      <c r="PGS97" s="798"/>
      <c r="PGT97" s="798"/>
      <c r="PGU97" s="798"/>
      <c r="PGV97" s="798"/>
      <c r="PGW97" s="798"/>
      <c r="PGX97" s="798"/>
      <c r="PGY97" s="798"/>
      <c r="PGZ97" s="798"/>
      <c r="PHA97" s="798"/>
      <c r="PHB97" s="798"/>
      <c r="PHC97" s="798"/>
      <c r="PHD97" s="798"/>
      <c r="PHE97" s="798"/>
      <c r="PHF97" s="798"/>
      <c r="PHG97" s="798"/>
      <c r="PHH97" s="798"/>
      <c r="PHI97" s="798"/>
      <c r="PHJ97" s="798"/>
      <c r="PHK97" s="798"/>
      <c r="PHL97" s="798"/>
      <c r="PHM97" s="798"/>
      <c r="PHN97" s="798"/>
      <c r="PHO97" s="798"/>
      <c r="PHP97" s="798"/>
      <c r="PHQ97" s="798"/>
      <c r="PHR97" s="798"/>
      <c r="PHS97" s="798"/>
      <c r="PHT97" s="798"/>
      <c r="PHU97" s="798"/>
      <c r="PHV97" s="798"/>
      <c r="PHW97" s="798"/>
      <c r="PHX97" s="798"/>
      <c r="PHY97" s="798"/>
      <c r="PHZ97" s="798"/>
      <c r="PIA97" s="798"/>
      <c r="PIB97" s="798"/>
      <c r="PIC97" s="798"/>
      <c r="PID97" s="798"/>
      <c r="PIE97" s="798"/>
      <c r="PIF97" s="798"/>
      <c r="PIG97" s="798"/>
      <c r="PIH97" s="798"/>
      <c r="PII97" s="798"/>
      <c r="PIJ97" s="798"/>
      <c r="PIK97" s="798"/>
      <c r="PIL97" s="798"/>
      <c r="PIM97" s="798"/>
      <c r="PIN97" s="798"/>
      <c r="PIO97" s="798"/>
      <c r="PIP97" s="798"/>
      <c r="PIQ97" s="798"/>
      <c r="PIR97" s="798"/>
      <c r="PIS97" s="798"/>
      <c r="PIT97" s="798"/>
      <c r="PIU97" s="798"/>
      <c r="PIV97" s="798"/>
      <c r="PIW97" s="798"/>
      <c r="PIX97" s="798"/>
      <c r="PIY97" s="798"/>
      <c r="PIZ97" s="798"/>
      <c r="PJA97" s="798"/>
      <c r="PJB97" s="798"/>
      <c r="PJC97" s="798"/>
      <c r="PJD97" s="798"/>
      <c r="PJE97" s="798"/>
      <c r="PJF97" s="798"/>
      <c r="PJG97" s="798"/>
      <c r="PJH97" s="798"/>
      <c r="PJI97" s="798"/>
      <c r="PJJ97" s="798"/>
      <c r="PJK97" s="798"/>
      <c r="PJL97" s="798"/>
      <c r="PJM97" s="798"/>
      <c r="PJN97" s="798"/>
      <c r="PJO97" s="798"/>
      <c r="PJP97" s="798"/>
      <c r="PJQ97" s="798"/>
      <c r="PJR97" s="798"/>
      <c r="PJS97" s="798"/>
      <c r="PJT97" s="798"/>
      <c r="PJU97" s="798"/>
      <c r="PJV97" s="798"/>
      <c r="PJW97" s="798"/>
      <c r="PJX97" s="798"/>
      <c r="PJY97" s="798"/>
      <c r="PJZ97" s="798"/>
      <c r="PKA97" s="798"/>
      <c r="PKB97" s="798"/>
      <c r="PKC97" s="798"/>
      <c r="PKD97" s="798"/>
      <c r="PKE97" s="798"/>
      <c r="PKF97" s="798"/>
      <c r="PKG97" s="798"/>
      <c r="PKH97" s="798"/>
      <c r="PKI97" s="798"/>
      <c r="PKJ97" s="798"/>
      <c r="PKK97" s="798"/>
      <c r="PKL97" s="798"/>
      <c r="PKM97" s="798"/>
      <c r="PKN97" s="798"/>
      <c r="PKO97" s="798"/>
      <c r="PKP97" s="798"/>
      <c r="PKQ97" s="798"/>
      <c r="PKR97" s="798"/>
      <c r="PKS97" s="798"/>
      <c r="PKT97" s="798"/>
      <c r="PKU97" s="798"/>
      <c r="PKV97" s="798"/>
      <c r="PKW97" s="798"/>
      <c r="PKX97" s="798"/>
      <c r="PKY97" s="798"/>
      <c r="PKZ97" s="798"/>
      <c r="PLA97" s="798"/>
      <c r="PLB97" s="798"/>
      <c r="PLC97" s="798"/>
      <c r="PLD97" s="798"/>
      <c r="PLE97" s="798"/>
      <c r="PLF97" s="798"/>
      <c r="PLG97" s="798"/>
      <c r="PLH97" s="798"/>
      <c r="PLI97" s="798"/>
      <c r="PLJ97" s="798"/>
      <c r="PLK97" s="798"/>
      <c r="PLL97" s="798"/>
      <c r="PLM97" s="798"/>
      <c r="PLN97" s="798"/>
      <c r="PLO97" s="798"/>
      <c r="PLP97" s="798"/>
      <c r="PLQ97" s="798"/>
      <c r="PLR97" s="798"/>
      <c r="PLS97" s="798"/>
      <c r="PLT97" s="798"/>
      <c r="PLU97" s="798"/>
      <c r="PLV97" s="798"/>
      <c r="PLW97" s="798"/>
      <c r="PLX97" s="798"/>
      <c r="PLY97" s="798"/>
      <c r="PLZ97" s="798"/>
      <c r="PMA97" s="798"/>
      <c r="PMB97" s="798"/>
      <c r="PMC97" s="798"/>
      <c r="PMD97" s="798"/>
      <c r="PME97" s="798"/>
      <c r="PMF97" s="798"/>
      <c r="PMG97" s="798"/>
      <c r="PMH97" s="798"/>
      <c r="PMI97" s="798"/>
      <c r="PMJ97" s="798"/>
      <c r="PMK97" s="798"/>
      <c r="PML97" s="798"/>
      <c r="PMM97" s="798"/>
      <c r="PMN97" s="798"/>
      <c r="PMO97" s="798"/>
      <c r="PMP97" s="798"/>
      <c r="PMQ97" s="798"/>
      <c r="PMR97" s="798"/>
      <c r="PMS97" s="798"/>
      <c r="PMT97" s="798"/>
      <c r="PMU97" s="798"/>
      <c r="PMV97" s="798"/>
      <c r="PMW97" s="798"/>
      <c r="PMX97" s="798"/>
      <c r="PMY97" s="798"/>
      <c r="PMZ97" s="798"/>
      <c r="PNA97" s="798"/>
      <c r="PNB97" s="798"/>
      <c r="PNC97" s="798"/>
      <c r="PND97" s="798"/>
      <c r="PNE97" s="798"/>
      <c r="PNF97" s="798"/>
      <c r="PNG97" s="798"/>
      <c r="PNH97" s="798"/>
      <c r="PNI97" s="798"/>
      <c r="PNJ97" s="798"/>
      <c r="PNK97" s="798"/>
      <c r="PNL97" s="798"/>
      <c r="PNM97" s="798"/>
      <c r="PNN97" s="798"/>
      <c r="PNO97" s="798"/>
      <c r="PNP97" s="798"/>
      <c r="PNQ97" s="798"/>
      <c r="PNR97" s="798"/>
      <c r="PNS97" s="798"/>
      <c r="PNT97" s="798"/>
      <c r="PNU97" s="798"/>
      <c r="PNV97" s="798"/>
      <c r="PNW97" s="798"/>
      <c r="PNX97" s="798"/>
      <c r="PNY97" s="798"/>
      <c r="PNZ97" s="798"/>
      <c r="POA97" s="798"/>
      <c r="POB97" s="798"/>
      <c r="POC97" s="798"/>
      <c r="POD97" s="798"/>
      <c r="POE97" s="798"/>
      <c r="POF97" s="798"/>
      <c r="POG97" s="798"/>
      <c r="POH97" s="798"/>
      <c r="POI97" s="798"/>
      <c r="POJ97" s="798"/>
      <c r="POK97" s="798"/>
      <c r="POL97" s="798"/>
      <c r="POM97" s="798"/>
      <c r="PON97" s="798"/>
      <c r="POO97" s="798"/>
      <c r="POP97" s="798"/>
      <c r="POQ97" s="798"/>
      <c r="POR97" s="798"/>
      <c r="POS97" s="798"/>
      <c r="POT97" s="798"/>
      <c r="POU97" s="798"/>
      <c r="POV97" s="798"/>
      <c r="POW97" s="798"/>
      <c r="POX97" s="798"/>
      <c r="POY97" s="798"/>
      <c r="POZ97" s="798"/>
      <c r="PPA97" s="798"/>
      <c r="PPB97" s="798"/>
      <c r="PPC97" s="798"/>
      <c r="PPD97" s="798"/>
      <c r="PPE97" s="798"/>
      <c r="PPF97" s="798"/>
      <c r="PPG97" s="798"/>
      <c r="PPH97" s="798"/>
      <c r="PPI97" s="798"/>
      <c r="PPJ97" s="798"/>
      <c r="PPK97" s="798"/>
      <c r="PPL97" s="798"/>
      <c r="PPM97" s="798"/>
      <c r="PPN97" s="798"/>
      <c r="PPO97" s="798"/>
      <c r="PPP97" s="798"/>
      <c r="PPQ97" s="798"/>
      <c r="PPR97" s="798"/>
      <c r="PPS97" s="798"/>
      <c r="PPT97" s="798"/>
      <c r="PPU97" s="798"/>
      <c r="PPV97" s="798"/>
      <c r="PPW97" s="798"/>
      <c r="PPX97" s="798"/>
      <c r="PPY97" s="798"/>
      <c r="PPZ97" s="798"/>
      <c r="PQA97" s="798"/>
      <c r="PQB97" s="798"/>
      <c r="PQC97" s="798"/>
      <c r="PQD97" s="798"/>
      <c r="PQE97" s="798"/>
      <c r="PQF97" s="798"/>
      <c r="PQG97" s="798"/>
      <c r="PQH97" s="798"/>
      <c r="PQI97" s="798"/>
      <c r="PQJ97" s="798"/>
      <c r="PQK97" s="798"/>
      <c r="PQL97" s="798"/>
      <c r="PQM97" s="798"/>
      <c r="PQN97" s="798"/>
      <c r="PQO97" s="798"/>
      <c r="PQP97" s="798"/>
      <c r="PQQ97" s="798"/>
      <c r="PQR97" s="798"/>
      <c r="PQS97" s="798"/>
      <c r="PQT97" s="798"/>
      <c r="PQU97" s="798"/>
      <c r="PQV97" s="798"/>
      <c r="PQW97" s="798"/>
      <c r="PQX97" s="798"/>
      <c r="PQY97" s="798"/>
      <c r="PQZ97" s="798"/>
      <c r="PRA97" s="798"/>
      <c r="PRB97" s="798"/>
      <c r="PRC97" s="798"/>
      <c r="PRD97" s="798"/>
      <c r="PRE97" s="798"/>
      <c r="PRF97" s="798"/>
      <c r="PRG97" s="798"/>
      <c r="PRH97" s="798"/>
      <c r="PRI97" s="798"/>
      <c r="PRJ97" s="798"/>
      <c r="PRK97" s="798"/>
      <c r="PRL97" s="798"/>
      <c r="PRM97" s="798"/>
      <c r="PRN97" s="798"/>
      <c r="PRO97" s="798"/>
      <c r="PRP97" s="798"/>
      <c r="PRQ97" s="798"/>
      <c r="PRR97" s="798"/>
      <c r="PRS97" s="798"/>
      <c r="PRT97" s="798"/>
      <c r="PRU97" s="798"/>
      <c r="PRV97" s="798"/>
      <c r="PRW97" s="798"/>
      <c r="PRX97" s="798"/>
      <c r="PRY97" s="798"/>
      <c r="PRZ97" s="798"/>
      <c r="PSA97" s="798"/>
      <c r="PSB97" s="798"/>
      <c r="PSC97" s="798"/>
      <c r="PSD97" s="798"/>
      <c r="PSE97" s="798"/>
      <c r="PSF97" s="798"/>
      <c r="PSG97" s="798"/>
      <c r="PSH97" s="798"/>
      <c r="PSI97" s="798"/>
      <c r="PSJ97" s="798"/>
      <c r="PSK97" s="798"/>
      <c r="PSL97" s="798"/>
      <c r="PSM97" s="798"/>
      <c r="PSN97" s="798"/>
      <c r="PSO97" s="798"/>
      <c r="PSP97" s="798"/>
      <c r="PSQ97" s="798"/>
      <c r="PSR97" s="798"/>
      <c r="PSS97" s="798"/>
      <c r="PST97" s="798"/>
      <c r="PSU97" s="798"/>
      <c r="PSV97" s="798"/>
      <c r="PSW97" s="798"/>
      <c r="PSX97" s="798"/>
      <c r="PSY97" s="798"/>
      <c r="PSZ97" s="798"/>
      <c r="PTA97" s="798"/>
      <c r="PTB97" s="798"/>
      <c r="PTC97" s="798"/>
      <c r="PTD97" s="798"/>
      <c r="PTE97" s="798"/>
      <c r="PTF97" s="798"/>
      <c r="PTG97" s="798"/>
      <c r="PTH97" s="798"/>
      <c r="PTI97" s="798"/>
      <c r="PTJ97" s="798"/>
      <c r="PTK97" s="798"/>
      <c r="PTL97" s="798"/>
      <c r="PTM97" s="798"/>
      <c r="PTN97" s="798"/>
      <c r="PTO97" s="798"/>
      <c r="PTP97" s="798"/>
      <c r="PTQ97" s="798"/>
      <c r="PTR97" s="798"/>
      <c r="PTS97" s="798"/>
      <c r="PTT97" s="798"/>
      <c r="PTU97" s="798"/>
      <c r="PTV97" s="798"/>
      <c r="PTW97" s="798"/>
      <c r="PTX97" s="798"/>
      <c r="PTY97" s="798"/>
      <c r="PTZ97" s="798"/>
      <c r="PUA97" s="798"/>
      <c r="PUB97" s="798"/>
      <c r="PUC97" s="798"/>
      <c r="PUD97" s="798"/>
      <c r="PUE97" s="798"/>
      <c r="PUF97" s="798"/>
      <c r="PUG97" s="798"/>
      <c r="PUH97" s="798"/>
      <c r="PUI97" s="798"/>
      <c r="PUJ97" s="798"/>
      <c r="PUK97" s="798"/>
      <c r="PUL97" s="798"/>
      <c r="PUM97" s="798"/>
      <c r="PUN97" s="798"/>
      <c r="PUO97" s="798"/>
      <c r="PUP97" s="798"/>
      <c r="PUQ97" s="798"/>
      <c r="PUR97" s="798"/>
      <c r="PUS97" s="798"/>
      <c r="PUT97" s="798"/>
      <c r="PUU97" s="798"/>
      <c r="PUV97" s="798"/>
      <c r="PUW97" s="798"/>
      <c r="PUX97" s="798"/>
      <c r="PUY97" s="798"/>
      <c r="PUZ97" s="798"/>
      <c r="PVA97" s="798"/>
      <c r="PVB97" s="798"/>
      <c r="PVC97" s="798"/>
      <c r="PVD97" s="798"/>
      <c r="PVE97" s="798"/>
      <c r="PVF97" s="798"/>
      <c r="PVG97" s="798"/>
      <c r="PVH97" s="798"/>
      <c r="PVI97" s="798"/>
      <c r="PVJ97" s="798"/>
      <c r="PVK97" s="798"/>
      <c r="PVL97" s="798"/>
      <c r="PVM97" s="798"/>
      <c r="PVN97" s="798"/>
      <c r="PVO97" s="798"/>
      <c r="PVP97" s="798"/>
      <c r="PVQ97" s="798"/>
      <c r="PVR97" s="798"/>
      <c r="PVS97" s="798"/>
      <c r="PVT97" s="798"/>
      <c r="PVU97" s="798"/>
      <c r="PVV97" s="798"/>
      <c r="PVW97" s="798"/>
      <c r="PVX97" s="798"/>
      <c r="PVY97" s="798"/>
      <c r="PVZ97" s="798"/>
      <c r="PWA97" s="798"/>
      <c r="PWB97" s="798"/>
      <c r="PWC97" s="798"/>
      <c r="PWD97" s="798"/>
      <c r="PWE97" s="798"/>
      <c r="PWF97" s="798"/>
      <c r="PWG97" s="798"/>
      <c r="PWH97" s="798"/>
      <c r="PWI97" s="798"/>
      <c r="PWJ97" s="798"/>
      <c r="PWK97" s="798"/>
      <c r="PWL97" s="798"/>
      <c r="PWM97" s="798"/>
      <c r="PWN97" s="798"/>
      <c r="PWO97" s="798"/>
      <c r="PWP97" s="798"/>
      <c r="PWQ97" s="798"/>
      <c r="PWR97" s="798"/>
      <c r="PWS97" s="798"/>
      <c r="PWT97" s="798"/>
      <c r="PWU97" s="798"/>
      <c r="PWV97" s="798"/>
      <c r="PWW97" s="798"/>
      <c r="PWX97" s="798"/>
      <c r="PWY97" s="798"/>
      <c r="PWZ97" s="798"/>
      <c r="PXA97" s="798"/>
      <c r="PXB97" s="798"/>
      <c r="PXC97" s="798"/>
      <c r="PXD97" s="798"/>
      <c r="PXE97" s="798"/>
      <c r="PXF97" s="798"/>
      <c r="PXG97" s="798"/>
      <c r="PXH97" s="798"/>
      <c r="PXI97" s="798"/>
      <c r="PXJ97" s="798"/>
      <c r="PXK97" s="798"/>
      <c r="PXL97" s="798"/>
      <c r="PXM97" s="798"/>
      <c r="PXN97" s="798"/>
      <c r="PXO97" s="798"/>
      <c r="PXP97" s="798"/>
      <c r="PXQ97" s="798"/>
      <c r="PXR97" s="798"/>
      <c r="PXS97" s="798"/>
      <c r="PXT97" s="798"/>
      <c r="PXU97" s="798"/>
      <c r="PXV97" s="798"/>
      <c r="PXW97" s="798"/>
      <c r="PXX97" s="798"/>
      <c r="PXY97" s="798"/>
      <c r="PXZ97" s="798"/>
      <c r="PYA97" s="798"/>
      <c r="PYB97" s="798"/>
      <c r="PYC97" s="798"/>
      <c r="PYD97" s="798"/>
      <c r="PYE97" s="798"/>
      <c r="PYF97" s="798"/>
      <c r="PYG97" s="798"/>
      <c r="PYH97" s="798"/>
      <c r="PYI97" s="798"/>
      <c r="PYJ97" s="798"/>
      <c r="PYK97" s="798"/>
      <c r="PYL97" s="798"/>
      <c r="PYM97" s="798"/>
      <c r="PYN97" s="798"/>
      <c r="PYO97" s="798"/>
      <c r="PYP97" s="798"/>
      <c r="PYQ97" s="798"/>
      <c r="PYR97" s="798"/>
      <c r="PYS97" s="798"/>
      <c r="PYT97" s="798"/>
      <c r="PYU97" s="798"/>
      <c r="PYV97" s="798"/>
      <c r="PYW97" s="798"/>
      <c r="PYX97" s="798"/>
      <c r="PYY97" s="798"/>
      <c r="PYZ97" s="798"/>
      <c r="PZA97" s="798"/>
      <c r="PZB97" s="798"/>
      <c r="PZC97" s="798"/>
      <c r="PZD97" s="798"/>
      <c r="PZE97" s="798"/>
      <c r="PZF97" s="798"/>
      <c r="PZG97" s="798"/>
      <c r="PZH97" s="798"/>
      <c r="PZI97" s="798"/>
      <c r="PZJ97" s="798"/>
      <c r="PZK97" s="798"/>
      <c r="PZL97" s="798"/>
      <c r="PZM97" s="798"/>
      <c r="PZN97" s="798"/>
      <c r="PZO97" s="798"/>
      <c r="PZP97" s="798"/>
      <c r="PZQ97" s="798"/>
      <c r="PZR97" s="798"/>
      <c r="PZS97" s="798"/>
      <c r="PZT97" s="798"/>
      <c r="PZU97" s="798"/>
      <c r="PZV97" s="798"/>
      <c r="PZW97" s="798"/>
      <c r="PZX97" s="798"/>
      <c r="PZY97" s="798"/>
      <c r="PZZ97" s="798"/>
      <c r="QAA97" s="798"/>
      <c r="QAB97" s="798"/>
      <c r="QAC97" s="798"/>
      <c r="QAD97" s="798"/>
      <c r="QAE97" s="798"/>
      <c r="QAF97" s="798"/>
      <c r="QAG97" s="798"/>
      <c r="QAH97" s="798"/>
      <c r="QAI97" s="798"/>
      <c r="QAJ97" s="798"/>
      <c r="QAK97" s="798"/>
      <c r="QAL97" s="798"/>
      <c r="QAM97" s="798"/>
      <c r="QAN97" s="798"/>
      <c r="QAO97" s="798"/>
      <c r="QAP97" s="798"/>
      <c r="QAQ97" s="798"/>
      <c r="QAR97" s="798"/>
      <c r="QAS97" s="798"/>
      <c r="QAT97" s="798"/>
      <c r="QAU97" s="798"/>
      <c r="QAV97" s="798"/>
      <c r="QAW97" s="798"/>
      <c r="QAX97" s="798"/>
      <c r="QAY97" s="798"/>
      <c r="QAZ97" s="798"/>
      <c r="QBA97" s="798"/>
      <c r="QBB97" s="798"/>
      <c r="QBC97" s="798"/>
      <c r="QBD97" s="798"/>
      <c r="QBE97" s="798"/>
      <c r="QBF97" s="798"/>
      <c r="QBG97" s="798"/>
      <c r="QBH97" s="798"/>
      <c r="QBI97" s="798"/>
      <c r="QBJ97" s="798"/>
      <c r="QBK97" s="798"/>
      <c r="QBL97" s="798"/>
      <c r="QBM97" s="798"/>
      <c r="QBN97" s="798"/>
      <c r="QBO97" s="798"/>
      <c r="QBP97" s="798"/>
      <c r="QBQ97" s="798"/>
      <c r="QBR97" s="798"/>
      <c r="QBS97" s="798"/>
      <c r="QBT97" s="798"/>
      <c r="QBU97" s="798"/>
      <c r="QBV97" s="798"/>
      <c r="QBW97" s="798"/>
      <c r="QBX97" s="798"/>
      <c r="QBY97" s="798"/>
      <c r="QBZ97" s="798"/>
      <c r="QCA97" s="798"/>
      <c r="QCB97" s="798"/>
      <c r="QCC97" s="798"/>
      <c r="QCD97" s="798"/>
      <c r="QCE97" s="798"/>
      <c r="QCF97" s="798"/>
      <c r="QCG97" s="798"/>
      <c r="QCH97" s="798"/>
      <c r="QCI97" s="798"/>
      <c r="QCJ97" s="798"/>
      <c r="QCK97" s="798"/>
      <c r="QCL97" s="798"/>
      <c r="QCM97" s="798"/>
      <c r="QCN97" s="798"/>
      <c r="QCO97" s="798"/>
      <c r="QCP97" s="798"/>
      <c r="QCQ97" s="798"/>
      <c r="QCR97" s="798"/>
      <c r="QCS97" s="798"/>
      <c r="QCT97" s="798"/>
      <c r="QCU97" s="798"/>
      <c r="QCV97" s="798"/>
      <c r="QCW97" s="798"/>
      <c r="QCX97" s="798"/>
      <c r="QCY97" s="798"/>
      <c r="QCZ97" s="798"/>
      <c r="QDA97" s="798"/>
      <c r="QDB97" s="798"/>
      <c r="QDC97" s="798"/>
      <c r="QDD97" s="798"/>
      <c r="QDE97" s="798"/>
      <c r="QDF97" s="798"/>
      <c r="QDG97" s="798"/>
      <c r="QDH97" s="798"/>
      <c r="QDI97" s="798"/>
      <c r="QDJ97" s="798"/>
      <c r="QDK97" s="798"/>
      <c r="QDL97" s="798"/>
      <c r="QDM97" s="798"/>
      <c r="QDN97" s="798"/>
      <c r="QDO97" s="798"/>
      <c r="QDP97" s="798"/>
      <c r="QDQ97" s="798"/>
      <c r="QDR97" s="798"/>
      <c r="QDS97" s="798"/>
      <c r="QDT97" s="798"/>
      <c r="QDU97" s="798"/>
      <c r="QDV97" s="798"/>
      <c r="QDW97" s="798"/>
      <c r="QDX97" s="798"/>
      <c r="QDY97" s="798"/>
      <c r="QDZ97" s="798"/>
      <c r="QEA97" s="798"/>
      <c r="QEB97" s="798"/>
      <c r="QEC97" s="798"/>
      <c r="QED97" s="798"/>
      <c r="QEE97" s="798"/>
      <c r="QEF97" s="798"/>
      <c r="QEG97" s="798"/>
      <c r="QEH97" s="798"/>
      <c r="QEI97" s="798"/>
      <c r="QEJ97" s="798"/>
      <c r="QEK97" s="798"/>
      <c r="QEL97" s="798"/>
      <c r="QEM97" s="798"/>
      <c r="QEN97" s="798"/>
      <c r="QEO97" s="798"/>
      <c r="QEP97" s="798"/>
      <c r="QEQ97" s="798"/>
      <c r="QER97" s="798"/>
      <c r="QES97" s="798"/>
      <c r="QET97" s="798"/>
      <c r="QEU97" s="798"/>
      <c r="QEV97" s="798"/>
      <c r="QEW97" s="798"/>
      <c r="QEX97" s="798"/>
      <c r="QEY97" s="798"/>
      <c r="QEZ97" s="798"/>
      <c r="QFA97" s="798"/>
      <c r="QFB97" s="798"/>
      <c r="QFC97" s="798"/>
      <c r="QFD97" s="798"/>
      <c r="QFE97" s="798"/>
      <c r="QFF97" s="798"/>
      <c r="QFG97" s="798"/>
      <c r="QFH97" s="798"/>
      <c r="QFI97" s="798"/>
      <c r="QFJ97" s="798"/>
      <c r="QFK97" s="798"/>
      <c r="QFL97" s="798"/>
      <c r="QFM97" s="798"/>
      <c r="QFN97" s="798"/>
      <c r="QFO97" s="798"/>
      <c r="QFP97" s="798"/>
      <c r="QFQ97" s="798"/>
      <c r="QFR97" s="798"/>
      <c r="QFS97" s="798"/>
      <c r="QFT97" s="798"/>
      <c r="QFU97" s="798"/>
      <c r="QFV97" s="798"/>
      <c r="QFW97" s="798"/>
      <c r="QFX97" s="798"/>
      <c r="QFY97" s="798"/>
      <c r="QFZ97" s="798"/>
      <c r="QGA97" s="798"/>
      <c r="QGB97" s="798"/>
      <c r="QGC97" s="798"/>
      <c r="QGD97" s="798"/>
      <c r="QGE97" s="798"/>
      <c r="QGF97" s="798"/>
      <c r="QGG97" s="798"/>
      <c r="QGH97" s="798"/>
      <c r="QGI97" s="798"/>
      <c r="QGJ97" s="798"/>
      <c r="QGK97" s="798"/>
      <c r="QGL97" s="798"/>
      <c r="QGM97" s="798"/>
      <c r="QGN97" s="798"/>
      <c r="QGO97" s="798"/>
      <c r="QGP97" s="798"/>
      <c r="QGQ97" s="798"/>
      <c r="QGR97" s="798"/>
      <c r="QGS97" s="798"/>
      <c r="QGT97" s="798"/>
      <c r="QGU97" s="798"/>
      <c r="QGV97" s="798"/>
      <c r="QGW97" s="798"/>
      <c r="QGX97" s="798"/>
      <c r="QGY97" s="798"/>
      <c r="QGZ97" s="798"/>
      <c r="QHA97" s="798"/>
      <c r="QHB97" s="798"/>
      <c r="QHC97" s="798"/>
      <c r="QHD97" s="798"/>
      <c r="QHE97" s="798"/>
      <c r="QHF97" s="798"/>
      <c r="QHG97" s="798"/>
      <c r="QHH97" s="798"/>
      <c r="QHI97" s="798"/>
      <c r="QHJ97" s="798"/>
      <c r="QHK97" s="798"/>
      <c r="QHL97" s="798"/>
      <c r="QHM97" s="798"/>
      <c r="QHN97" s="798"/>
      <c r="QHO97" s="798"/>
      <c r="QHP97" s="798"/>
      <c r="QHQ97" s="798"/>
      <c r="QHR97" s="798"/>
      <c r="QHS97" s="798"/>
      <c r="QHT97" s="798"/>
      <c r="QHU97" s="798"/>
      <c r="QHV97" s="798"/>
      <c r="QHW97" s="798"/>
      <c r="QHX97" s="798"/>
      <c r="QHY97" s="798"/>
      <c r="QHZ97" s="798"/>
      <c r="QIA97" s="798"/>
      <c r="QIB97" s="798"/>
      <c r="QIC97" s="798"/>
      <c r="QID97" s="798"/>
      <c r="QIE97" s="798"/>
      <c r="QIF97" s="798"/>
      <c r="QIG97" s="798"/>
      <c r="QIH97" s="798"/>
      <c r="QII97" s="798"/>
      <c r="QIJ97" s="798"/>
      <c r="QIK97" s="798"/>
      <c r="QIL97" s="798"/>
      <c r="QIM97" s="798"/>
      <c r="QIN97" s="798"/>
      <c r="QIO97" s="798"/>
      <c r="QIP97" s="798"/>
      <c r="QIQ97" s="798"/>
      <c r="QIR97" s="798"/>
      <c r="QIS97" s="798"/>
      <c r="QIT97" s="798"/>
      <c r="QIU97" s="798"/>
      <c r="QIV97" s="798"/>
      <c r="QIW97" s="798"/>
      <c r="QIX97" s="798"/>
      <c r="QIY97" s="798"/>
      <c r="QIZ97" s="798"/>
      <c r="QJA97" s="798"/>
      <c r="QJB97" s="798"/>
      <c r="QJC97" s="798"/>
      <c r="QJD97" s="798"/>
      <c r="QJE97" s="798"/>
      <c r="QJF97" s="798"/>
      <c r="QJG97" s="798"/>
      <c r="QJH97" s="798"/>
      <c r="QJI97" s="798"/>
      <c r="QJJ97" s="798"/>
      <c r="QJK97" s="798"/>
      <c r="QJL97" s="798"/>
      <c r="QJM97" s="798"/>
      <c r="QJN97" s="798"/>
      <c r="QJO97" s="798"/>
      <c r="QJP97" s="798"/>
      <c r="QJQ97" s="798"/>
      <c r="QJR97" s="798"/>
      <c r="QJS97" s="798"/>
      <c r="QJT97" s="798"/>
      <c r="QJU97" s="798"/>
      <c r="QJV97" s="798"/>
      <c r="QJW97" s="798"/>
      <c r="QJX97" s="798"/>
      <c r="QJY97" s="798"/>
      <c r="QJZ97" s="798"/>
      <c r="QKA97" s="798"/>
      <c r="QKB97" s="798"/>
      <c r="QKC97" s="798"/>
      <c r="QKD97" s="798"/>
      <c r="QKE97" s="798"/>
      <c r="QKF97" s="798"/>
      <c r="QKG97" s="798"/>
      <c r="QKH97" s="798"/>
      <c r="QKI97" s="798"/>
      <c r="QKJ97" s="798"/>
      <c r="QKK97" s="798"/>
      <c r="QKL97" s="798"/>
      <c r="QKM97" s="798"/>
      <c r="QKN97" s="798"/>
      <c r="QKO97" s="798"/>
      <c r="QKP97" s="798"/>
      <c r="QKQ97" s="798"/>
      <c r="QKR97" s="798"/>
      <c r="QKS97" s="798"/>
      <c r="QKT97" s="798"/>
      <c r="QKU97" s="798"/>
      <c r="QKV97" s="798"/>
      <c r="QKW97" s="798"/>
      <c r="QKX97" s="798"/>
      <c r="QKY97" s="798"/>
      <c r="QKZ97" s="798"/>
      <c r="QLA97" s="798"/>
      <c r="QLB97" s="798"/>
      <c r="QLC97" s="798"/>
      <c r="QLD97" s="798"/>
      <c r="QLE97" s="798"/>
      <c r="QLF97" s="798"/>
      <c r="QLG97" s="798"/>
      <c r="QLH97" s="798"/>
      <c r="QLI97" s="798"/>
      <c r="QLJ97" s="798"/>
      <c r="QLK97" s="798"/>
      <c r="QLL97" s="798"/>
      <c r="QLM97" s="798"/>
      <c r="QLN97" s="798"/>
      <c r="QLO97" s="798"/>
      <c r="QLP97" s="798"/>
      <c r="QLQ97" s="798"/>
      <c r="QLR97" s="798"/>
      <c r="QLS97" s="798"/>
      <c r="QLT97" s="798"/>
      <c r="QLU97" s="798"/>
      <c r="QLV97" s="798"/>
      <c r="QLW97" s="798"/>
      <c r="QLX97" s="798"/>
      <c r="QLY97" s="798"/>
      <c r="QLZ97" s="798"/>
      <c r="QMA97" s="798"/>
      <c r="QMB97" s="798"/>
      <c r="QMC97" s="798"/>
      <c r="QMD97" s="798"/>
      <c r="QME97" s="798"/>
      <c r="QMF97" s="798"/>
      <c r="QMG97" s="798"/>
      <c r="QMH97" s="798"/>
      <c r="QMI97" s="798"/>
      <c r="QMJ97" s="798"/>
      <c r="QMK97" s="798"/>
      <c r="QML97" s="798"/>
      <c r="QMM97" s="798"/>
      <c r="QMN97" s="798"/>
      <c r="QMO97" s="798"/>
      <c r="QMP97" s="798"/>
      <c r="QMQ97" s="798"/>
      <c r="QMR97" s="798"/>
      <c r="QMS97" s="798"/>
      <c r="QMT97" s="798"/>
      <c r="QMU97" s="798"/>
      <c r="QMV97" s="798"/>
      <c r="QMW97" s="798"/>
      <c r="QMX97" s="798"/>
      <c r="QMY97" s="798"/>
      <c r="QMZ97" s="798"/>
      <c r="QNA97" s="798"/>
      <c r="QNB97" s="798"/>
      <c r="QNC97" s="798"/>
      <c r="QND97" s="798"/>
      <c r="QNE97" s="798"/>
      <c r="QNF97" s="798"/>
      <c r="QNG97" s="798"/>
      <c r="QNH97" s="798"/>
      <c r="QNI97" s="798"/>
      <c r="QNJ97" s="798"/>
      <c r="QNK97" s="798"/>
      <c r="QNL97" s="798"/>
      <c r="QNM97" s="798"/>
      <c r="QNN97" s="798"/>
      <c r="QNO97" s="798"/>
      <c r="QNP97" s="798"/>
      <c r="QNQ97" s="798"/>
      <c r="QNR97" s="798"/>
      <c r="QNS97" s="798"/>
      <c r="QNT97" s="798"/>
      <c r="QNU97" s="798"/>
      <c r="QNV97" s="798"/>
      <c r="QNW97" s="798"/>
      <c r="QNX97" s="798"/>
      <c r="QNY97" s="798"/>
      <c r="QNZ97" s="798"/>
      <c r="QOA97" s="798"/>
      <c r="QOB97" s="798"/>
      <c r="QOC97" s="798"/>
      <c r="QOD97" s="798"/>
      <c r="QOE97" s="798"/>
      <c r="QOF97" s="798"/>
      <c r="QOG97" s="798"/>
      <c r="QOH97" s="798"/>
      <c r="QOI97" s="798"/>
      <c r="QOJ97" s="798"/>
      <c r="QOK97" s="798"/>
      <c r="QOL97" s="798"/>
      <c r="QOM97" s="798"/>
      <c r="QON97" s="798"/>
      <c r="QOO97" s="798"/>
      <c r="QOP97" s="798"/>
      <c r="QOQ97" s="798"/>
      <c r="QOR97" s="798"/>
      <c r="QOS97" s="798"/>
      <c r="QOT97" s="798"/>
      <c r="QOU97" s="798"/>
      <c r="QOV97" s="798"/>
      <c r="QOW97" s="798"/>
      <c r="QOX97" s="798"/>
      <c r="QOY97" s="798"/>
      <c r="QOZ97" s="798"/>
      <c r="QPA97" s="798"/>
      <c r="QPB97" s="798"/>
      <c r="QPC97" s="798"/>
      <c r="QPD97" s="798"/>
      <c r="QPE97" s="798"/>
      <c r="QPF97" s="798"/>
      <c r="QPG97" s="798"/>
      <c r="QPH97" s="798"/>
      <c r="QPI97" s="798"/>
      <c r="QPJ97" s="798"/>
      <c r="QPK97" s="798"/>
      <c r="QPL97" s="798"/>
      <c r="QPM97" s="798"/>
      <c r="QPN97" s="798"/>
      <c r="QPO97" s="798"/>
      <c r="QPP97" s="798"/>
      <c r="QPQ97" s="798"/>
      <c r="QPR97" s="798"/>
      <c r="QPS97" s="798"/>
      <c r="QPT97" s="798"/>
      <c r="QPU97" s="798"/>
      <c r="QPV97" s="798"/>
      <c r="QPW97" s="798"/>
      <c r="QPX97" s="798"/>
      <c r="QPY97" s="798"/>
      <c r="QPZ97" s="798"/>
      <c r="QQA97" s="798"/>
      <c r="QQB97" s="798"/>
      <c r="QQC97" s="798"/>
      <c r="QQD97" s="798"/>
      <c r="QQE97" s="798"/>
      <c r="QQF97" s="798"/>
      <c r="QQG97" s="798"/>
      <c r="QQH97" s="798"/>
      <c r="QQI97" s="798"/>
      <c r="QQJ97" s="798"/>
      <c r="QQK97" s="798"/>
      <c r="QQL97" s="798"/>
      <c r="QQM97" s="798"/>
      <c r="QQN97" s="798"/>
      <c r="QQO97" s="798"/>
      <c r="QQP97" s="798"/>
      <c r="QQQ97" s="798"/>
      <c r="QQR97" s="798"/>
      <c r="QQS97" s="798"/>
      <c r="QQT97" s="798"/>
      <c r="QQU97" s="798"/>
      <c r="QQV97" s="798"/>
      <c r="QQW97" s="798"/>
      <c r="QQX97" s="798"/>
      <c r="QQY97" s="798"/>
      <c r="QQZ97" s="798"/>
      <c r="QRA97" s="798"/>
      <c r="QRB97" s="798"/>
      <c r="QRC97" s="798"/>
      <c r="QRD97" s="798"/>
      <c r="QRE97" s="798"/>
      <c r="QRF97" s="798"/>
      <c r="QRG97" s="798"/>
      <c r="QRH97" s="798"/>
      <c r="QRI97" s="798"/>
      <c r="QRJ97" s="798"/>
      <c r="QRK97" s="798"/>
      <c r="QRL97" s="798"/>
      <c r="QRM97" s="798"/>
      <c r="QRN97" s="798"/>
      <c r="QRO97" s="798"/>
      <c r="QRP97" s="798"/>
      <c r="QRQ97" s="798"/>
      <c r="QRR97" s="798"/>
      <c r="QRS97" s="798"/>
      <c r="QRT97" s="798"/>
      <c r="QRU97" s="798"/>
      <c r="QRV97" s="798"/>
      <c r="QRW97" s="798"/>
      <c r="QRX97" s="798"/>
      <c r="QRY97" s="798"/>
      <c r="QRZ97" s="798"/>
      <c r="QSA97" s="798"/>
      <c r="QSB97" s="798"/>
      <c r="QSC97" s="798"/>
      <c r="QSD97" s="798"/>
      <c r="QSE97" s="798"/>
      <c r="QSF97" s="798"/>
      <c r="QSG97" s="798"/>
      <c r="QSH97" s="798"/>
      <c r="QSI97" s="798"/>
      <c r="QSJ97" s="798"/>
      <c r="QSK97" s="798"/>
      <c r="QSL97" s="798"/>
      <c r="QSM97" s="798"/>
      <c r="QSN97" s="798"/>
      <c r="QSO97" s="798"/>
      <c r="QSP97" s="798"/>
      <c r="QSQ97" s="798"/>
      <c r="QSR97" s="798"/>
      <c r="QSS97" s="798"/>
      <c r="QST97" s="798"/>
      <c r="QSU97" s="798"/>
      <c r="QSV97" s="798"/>
      <c r="QSW97" s="798"/>
      <c r="QSX97" s="798"/>
      <c r="QSY97" s="798"/>
      <c r="QSZ97" s="798"/>
      <c r="QTA97" s="798"/>
      <c r="QTB97" s="798"/>
      <c r="QTC97" s="798"/>
      <c r="QTD97" s="798"/>
      <c r="QTE97" s="798"/>
      <c r="QTF97" s="798"/>
      <c r="QTG97" s="798"/>
      <c r="QTH97" s="798"/>
      <c r="QTI97" s="798"/>
      <c r="QTJ97" s="798"/>
      <c r="QTK97" s="798"/>
      <c r="QTL97" s="798"/>
      <c r="QTM97" s="798"/>
      <c r="QTN97" s="798"/>
      <c r="QTO97" s="798"/>
      <c r="QTP97" s="798"/>
      <c r="QTQ97" s="798"/>
      <c r="QTR97" s="798"/>
      <c r="QTS97" s="798"/>
      <c r="QTT97" s="798"/>
      <c r="QTU97" s="798"/>
      <c r="QTV97" s="798"/>
      <c r="QTW97" s="798"/>
      <c r="QTX97" s="798"/>
      <c r="QTY97" s="798"/>
      <c r="QTZ97" s="798"/>
      <c r="QUA97" s="798"/>
      <c r="QUB97" s="798"/>
      <c r="QUC97" s="798"/>
      <c r="QUD97" s="798"/>
      <c r="QUE97" s="798"/>
      <c r="QUF97" s="798"/>
      <c r="QUG97" s="798"/>
      <c r="QUH97" s="798"/>
      <c r="QUI97" s="798"/>
      <c r="QUJ97" s="798"/>
      <c r="QUK97" s="798"/>
      <c r="QUL97" s="798"/>
      <c r="QUM97" s="798"/>
      <c r="QUN97" s="798"/>
      <c r="QUO97" s="798"/>
      <c r="QUP97" s="798"/>
      <c r="QUQ97" s="798"/>
      <c r="QUR97" s="798"/>
      <c r="QUS97" s="798"/>
      <c r="QUT97" s="798"/>
      <c r="QUU97" s="798"/>
      <c r="QUV97" s="798"/>
      <c r="QUW97" s="798"/>
      <c r="QUX97" s="798"/>
      <c r="QUY97" s="798"/>
      <c r="QUZ97" s="798"/>
      <c r="QVA97" s="798"/>
      <c r="QVB97" s="798"/>
      <c r="QVC97" s="798"/>
      <c r="QVD97" s="798"/>
      <c r="QVE97" s="798"/>
      <c r="QVF97" s="798"/>
      <c r="QVG97" s="798"/>
      <c r="QVH97" s="798"/>
      <c r="QVI97" s="798"/>
      <c r="QVJ97" s="798"/>
      <c r="QVK97" s="798"/>
      <c r="QVL97" s="798"/>
      <c r="QVM97" s="798"/>
      <c r="QVN97" s="798"/>
      <c r="QVO97" s="798"/>
      <c r="QVP97" s="798"/>
      <c r="QVQ97" s="798"/>
      <c r="QVR97" s="798"/>
      <c r="QVS97" s="798"/>
      <c r="QVT97" s="798"/>
      <c r="QVU97" s="798"/>
      <c r="QVV97" s="798"/>
      <c r="QVW97" s="798"/>
      <c r="QVX97" s="798"/>
      <c r="QVY97" s="798"/>
      <c r="QVZ97" s="798"/>
      <c r="QWA97" s="798"/>
      <c r="QWB97" s="798"/>
      <c r="QWC97" s="798"/>
      <c r="QWD97" s="798"/>
      <c r="QWE97" s="798"/>
      <c r="QWF97" s="798"/>
      <c r="QWG97" s="798"/>
      <c r="QWH97" s="798"/>
      <c r="QWI97" s="798"/>
      <c r="QWJ97" s="798"/>
      <c r="QWK97" s="798"/>
      <c r="QWL97" s="798"/>
      <c r="QWM97" s="798"/>
      <c r="QWN97" s="798"/>
      <c r="QWO97" s="798"/>
      <c r="QWP97" s="798"/>
      <c r="QWQ97" s="798"/>
      <c r="QWR97" s="798"/>
      <c r="QWS97" s="798"/>
      <c r="QWT97" s="798"/>
      <c r="QWU97" s="798"/>
      <c r="QWV97" s="798"/>
      <c r="QWW97" s="798"/>
      <c r="QWX97" s="798"/>
      <c r="QWY97" s="798"/>
      <c r="QWZ97" s="798"/>
      <c r="QXA97" s="798"/>
      <c r="QXB97" s="798"/>
      <c r="QXC97" s="798"/>
      <c r="QXD97" s="798"/>
      <c r="QXE97" s="798"/>
      <c r="QXF97" s="798"/>
      <c r="QXG97" s="798"/>
      <c r="QXH97" s="798"/>
      <c r="QXI97" s="798"/>
      <c r="QXJ97" s="798"/>
      <c r="QXK97" s="798"/>
      <c r="QXL97" s="798"/>
      <c r="QXM97" s="798"/>
      <c r="QXN97" s="798"/>
      <c r="QXO97" s="798"/>
      <c r="QXP97" s="798"/>
      <c r="QXQ97" s="798"/>
      <c r="QXR97" s="798"/>
      <c r="QXS97" s="798"/>
      <c r="QXT97" s="798"/>
      <c r="QXU97" s="798"/>
      <c r="QXV97" s="798"/>
      <c r="QXW97" s="798"/>
      <c r="QXX97" s="798"/>
      <c r="QXY97" s="798"/>
      <c r="QXZ97" s="798"/>
      <c r="QYA97" s="798"/>
      <c r="QYB97" s="798"/>
      <c r="QYC97" s="798"/>
      <c r="QYD97" s="798"/>
      <c r="QYE97" s="798"/>
      <c r="QYF97" s="798"/>
      <c r="QYG97" s="798"/>
      <c r="QYH97" s="798"/>
      <c r="QYI97" s="798"/>
      <c r="QYJ97" s="798"/>
      <c r="QYK97" s="798"/>
      <c r="QYL97" s="798"/>
      <c r="QYM97" s="798"/>
      <c r="QYN97" s="798"/>
      <c r="QYO97" s="798"/>
      <c r="QYP97" s="798"/>
      <c r="QYQ97" s="798"/>
      <c r="QYR97" s="798"/>
      <c r="QYS97" s="798"/>
      <c r="QYT97" s="798"/>
      <c r="QYU97" s="798"/>
      <c r="QYV97" s="798"/>
      <c r="QYW97" s="798"/>
      <c r="QYX97" s="798"/>
      <c r="QYY97" s="798"/>
      <c r="QYZ97" s="798"/>
      <c r="QZA97" s="798"/>
      <c r="QZB97" s="798"/>
      <c r="QZC97" s="798"/>
      <c r="QZD97" s="798"/>
      <c r="QZE97" s="798"/>
      <c r="QZF97" s="798"/>
      <c r="QZG97" s="798"/>
      <c r="QZH97" s="798"/>
      <c r="QZI97" s="798"/>
      <c r="QZJ97" s="798"/>
      <c r="QZK97" s="798"/>
      <c r="QZL97" s="798"/>
      <c r="QZM97" s="798"/>
      <c r="QZN97" s="798"/>
      <c r="QZO97" s="798"/>
      <c r="QZP97" s="798"/>
      <c r="QZQ97" s="798"/>
      <c r="QZR97" s="798"/>
      <c r="QZS97" s="798"/>
      <c r="QZT97" s="798"/>
      <c r="QZU97" s="798"/>
      <c r="QZV97" s="798"/>
      <c r="QZW97" s="798"/>
      <c r="QZX97" s="798"/>
      <c r="QZY97" s="798"/>
      <c r="QZZ97" s="798"/>
      <c r="RAA97" s="798"/>
      <c r="RAB97" s="798"/>
      <c r="RAC97" s="798"/>
      <c r="RAD97" s="798"/>
      <c r="RAE97" s="798"/>
      <c r="RAF97" s="798"/>
      <c r="RAG97" s="798"/>
      <c r="RAH97" s="798"/>
      <c r="RAI97" s="798"/>
      <c r="RAJ97" s="798"/>
      <c r="RAK97" s="798"/>
      <c r="RAL97" s="798"/>
      <c r="RAM97" s="798"/>
      <c r="RAN97" s="798"/>
      <c r="RAO97" s="798"/>
      <c r="RAP97" s="798"/>
      <c r="RAQ97" s="798"/>
      <c r="RAR97" s="798"/>
      <c r="RAS97" s="798"/>
      <c r="RAT97" s="798"/>
      <c r="RAU97" s="798"/>
      <c r="RAV97" s="798"/>
      <c r="RAW97" s="798"/>
      <c r="RAX97" s="798"/>
      <c r="RAY97" s="798"/>
      <c r="RAZ97" s="798"/>
      <c r="RBA97" s="798"/>
      <c r="RBB97" s="798"/>
      <c r="RBC97" s="798"/>
      <c r="RBD97" s="798"/>
      <c r="RBE97" s="798"/>
      <c r="RBF97" s="798"/>
      <c r="RBG97" s="798"/>
      <c r="RBH97" s="798"/>
      <c r="RBI97" s="798"/>
      <c r="RBJ97" s="798"/>
      <c r="RBK97" s="798"/>
      <c r="RBL97" s="798"/>
      <c r="RBM97" s="798"/>
      <c r="RBN97" s="798"/>
      <c r="RBO97" s="798"/>
      <c r="RBP97" s="798"/>
      <c r="RBQ97" s="798"/>
      <c r="RBR97" s="798"/>
      <c r="RBS97" s="798"/>
      <c r="RBT97" s="798"/>
      <c r="RBU97" s="798"/>
      <c r="RBV97" s="798"/>
      <c r="RBW97" s="798"/>
      <c r="RBX97" s="798"/>
      <c r="RBY97" s="798"/>
      <c r="RBZ97" s="798"/>
      <c r="RCA97" s="798"/>
      <c r="RCB97" s="798"/>
      <c r="RCC97" s="798"/>
      <c r="RCD97" s="798"/>
      <c r="RCE97" s="798"/>
      <c r="RCF97" s="798"/>
      <c r="RCG97" s="798"/>
      <c r="RCH97" s="798"/>
      <c r="RCI97" s="798"/>
      <c r="RCJ97" s="798"/>
      <c r="RCK97" s="798"/>
      <c r="RCL97" s="798"/>
      <c r="RCM97" s="798"/>
      <c r="RCN97" s="798"/>
      <c r="RCO97" s="798"/>
      <c r="RCP97" s="798"/>
      <c r="RCQ97" s="798"/>
      <c r="RCR97" s="798"/>
      <c r="RCS97" s="798"/>
      <c r="RCT97" s="798"/>
      <c r="RCU97" s="798"/>
      <c r="RCV97" s="798"/>
      <c r="RCW97" s="798"/>
      <c r="RCX97" s="798"/>
      <c r="RCY97" s="798"/>
      <c r="RCZ97" s="798"/>
      <c r="RDA97" s="798"/>
      <c r="RDB97" s="798"/>
      <c r="RDC97" s="798"/>
      <c r="RDD97" s="798"/>
      <c r="RDE97" s="798"/>
      <c r="RDF97" s="798"/>
      <c r="RDG97" s="798"/>
      <c r="RDH97" s="798"/>
      <c r="RDI97" s="798"/>
      <c r="RDJ97" s="798"/>
      <c r="RDK97" s="798"/>
      <c r="RDL97" s="798"/>
      <c r="RDM97" s="798"/>
      <c r="RDN97" s="798"/>
      <c r="RDO97" s="798"/>
      <c r="RDP97" s="798"/>
      <c r="RDQ97" s="798"/>
      <c r="RDR97" s="798"/>
      <c r="RDS97" s="798"/>
      <c r="RDT97" s="798"/>
      <c r="RDU97" s="798"/>
      <c r="RDV97" s="798"/>
      <c r="RDW97" s="798"/>
      <c r="RDX97" s="798"/>
      <c r="RDY97" s="798"/>
      <c r="RDZ97" s="798"/>
      <c r="REA97" s="798"/>
      <c r="REB97" s="798"/>
      <c r="REC97" s="798"/>
      <c r="RED97" s="798"/>
      <c r="REE97" s="798"/>
      <c r="REF97" s="798"/>
      <c r="REG97" s="798"/>
      <c r="REH97" s="798"/>
      <c r="REI97" s="798"/>
      <c r="REJ97" s="798"/>
      <c r="REK97" s="798"/>
      <c r="REL97" s="798"/>
      <c r="REM97" s="798"/>
      <c r="REN97" s="798"/>
      <c r="REO97" s="798"/>
      <c r="REP97" s="798"/>
      <c r="REQ97" s="798"/>
      <c r="RER97" s="798"/>
      <c r="RES97" s="798"/>
      <c r="RET97" s="798"/>
      <c r="REU97" s="798"/>
      <c r="REV97" s="798"/>
      <c r="REW97" s="798"/>
      <c r="REX97" s="798"/>
      <c r="REY97" s="798"/>
      <c r="REZ97" s="798"/>
      <c r="RFA97" s="798"/>
      <c r="RFB97" s="798"/>
      <c r="RFC97" s="798"/>
      <c r="RFD97" s="798"/>
      <c r="RFE97" s="798"/>
      <c r="RFF97" s="798"/>
      <c r="RFG97" s="798"/>
      <c r="RFH97" s="798"/>
      <c r="RFI97" s="798"/>
      <c r="RFJ97" s="798"/>
      <c r="RFK97" s="798"/>
      <c r="RFL97" s="798"/>
      <c r="RFM97" s="798"/>
      <c r="RFN97" s="798"/>
      <c r="RFO97" s="798"/>
      <c r="RFP97" s="798"/>
      <c r="RFQ97" s="798"/>
      <c r="RFR97" s="798"/>
      <c r="RFS97" s="798"/>
      <c r="RFT97" s="798"/>
      <c r="RFU97" s="798"/>
      <c r="RFV97" s="798"/>
      <c r="RFW97" s="798"/>
      <c r="RFX97" s="798"/>
      <c r="RFY97" s="798"/>
      <c r="RFZ97" s="798"/>
      <c r="RGA97" s="798"/>
      <c r="RGB97" s="798"/>
      <c r="RGC97" s="798"/>
      <c r="RGD97" s="798"/>
      <c r="RGE97" s="798"/>
      <c r="RGF97" s="798"/>
      <c r="RGG97" s="798"/>
      <c r="RGH97" s="798"/>
      <c r="RGI97" s="798"/>
      <c r="RGJ97" s="798"/>
      <c r="RGK97" s="798"/>
      <c r="RGL97" s="798"/>
      <c r="RGM97" s="798"/>
      <c r="RGN97" s="798"/>
      <c r="RGO97" s="798"/>
      <c r="RGP97" s="798"/>
      <c r="RGQ97" s="798"/>
      <c r="RGR97" s="798"/>
      <c r="RGS97" s="798"/>
      <c r="RGT97" s="798"/>
      <c r="RGU97" s="798"/>
      <c r="RGV97" s="798"/>
      <c r="RGW97" s="798"/>
      <c r="RGX97" s="798"/>
      <c r="RGY97" s="798"/>
      <c r="RGZ97" s="798"/>
      <c r="RHA97" s="798"/>
      <c r="RHB97" s="798"/>
      <c r="RHC97" s="798"/>
      <c r="RHD97" s="798"/>
      <c r="RHE97" s="798"/>
      <c r="RHF97" s="798"/>
      <c r="RHG97" s="798"/>
      <c r="RHH97" s="798"/>
      <c r="RHI97" s="798"/>
      <c r="RHJ97" s="798"/>
      <c r="RHK97" s="798"/>
      <c r="RHL97" s="798"/>
      <c r="RHM97" s="798"/>
      <c r="RHN97" s="798"/>
      <c r="RHO97" s="798"/>
      <c r="RHP97" s="798"/>
      <c r="RHQ97" s="798"/>
      <c r="RHR97" s="798"/>
      <c r="RHS97" s="798"/>
      <c r="RHT97" s="798"/>
      <c r="RHU97" s="798"/>
      <c r="RHV97" s="798"/>
      <c r="RHW97" s="798"/>
      <c r="RHX97" s="798"/>
      <c r="RHY97" s="798"/>
      <c r="RHZ97" s="798"/>
      <c r="RIA97" s="798"/>
      <c r="RIB97" s="798"/>
      <c r="RIC97" s="798"/>
      <c r="RID97" s="798"/>
      <c r="RIE97" s="798"/>
      <c r="RIF97" s="798"/>
      <c r="RIG97" s="798"/>
      <c r="RIH97" s="798"/>
      <c r="RII97" s="798"/>
      <c r="RIJ97" s="798"/>
      <c r="RIK97" s="798"/>
      <c r="RIL97" s="798"/>
      <c r="RIM97" s="798"/>
      <c r="RIN97" s="798"/>
      <c r="RIO97" s="798"/>
      <c r="RIP97" s="798"/>
      <c r="RIQ97" s="798"/>
      <c r="RIR97" s="798"/>
      <c r="RIS97" s="798"/>
      <c r="RIT97" s="798"/>
      <c r="RIU97" s="798"/>
      <c r="RIV97" s="798"/>
      <c r="RIW97" s="798"/>
      <c r="RIX97" s="798"/>
      <c r="RIY97" s="798"/>
      <c r="RIZ97" s="798"/>
      <c r="RJA97" s="798"/>
      <c r="RJB97" s="798"/>
      <c r="RJC97" s="798"/>
      <c r="RJD97" s="798"/>
      <c r="RJE97" s="798"/>
      <c r="RJF97" s="798"/>
      <c r="RJG97" s="798"/>
      <c r="RJH97" s="798"/>
      <c r="RJI97" s="798"/>
      <c r="RJJ97" s="798"/>
      <c r="RJK97" s="798"/>
      <c r="RJL97" s="798"/>
      <c r="RJM97" s="798"/>
      <c r="RJN97" s="798"/>
      <c r="RJO97" s="798"/>
      <c r="RJP97" s="798"/>
      <c r="RJQ97" s="798"/>
      <c r="RJR97" s="798"/>
      <c r="RJS97" s="798"/>
      <c r="RJT97" s="798"/>
      <c r="RJU97" s="798"/>
      <c r="RJV97" s="798"/>
      <c r="RJW97" s="798"/>
      <c r="RJX97" s="798"/>
      <c r="RJY97" s="798"/>
      <c r="RJZ97" s="798"/>
      <c r="RKA97" s="798"/>
      <c r="RKB97" s="798"/>
      <c r="RKC97" s="798"/>
      <c r="RKD97" s="798"/>
      <c r="RKE97" s="798"/>
      <c r="RKF97" s="798"/>
      <c r="RKG97" s="798"/>
      <c r="RKH97" s="798"/>
      <c r="RKI97" s="798"/>
      <c r="RKJ97" s="798"/>
      <c r="RKK97" s="798"/>
      <c r="RKL97" s="798"/>
      <c r="RKM97" s="798"/>
      <c r="RKN97" s="798"/>
      <c r="RKO97" s="798"/>
      <c r="RKP97" s="798"/>
      <c r="RKQ97" s="798"/>
      <c r="RKR97" s="798"/>
      <c r="RKS97" s="798"/>
      <c r="RKT97" s="798"/>
      <c r="RKU97" s="798"/>
      <c r="RKV97" s="798"/>
      <c r="RKW97" s="798"/>
      <c r="RKX97" s="798"/>
      <c r="RKY97" s="798"/>
      <c r="RKZ97" s="798"/>
      <c r="RLA97" s="798"/>
      <c r="RLB97" s="798"/>
      <c r="RLC97" s="798"/>
      <c r="RLD97" s="798"/>
      <c r="RLE97" s="798"/>
      <c r="RLF97" s="798"/>
      <c r="RLG97" s="798"/>
      <c r="RLH97" s="798"/>
      <c r="RLI97" s="798"/>
      <c r="RLJ97" s="798"/>
      <c r="RLK97" s="798"/>
      <c r="RLL97" s="798"/>
      <c r="RLM97" s="798"/>
      <c r="RLN97" s="798"/>
      <c r="RLO97" s="798"/>
      <c r="RLP97" s="798"/>
      <c r="RLQ97" s="798"/>
      <c r="RLR97" s="798"/>
      <c r="RLS97" s="798"/>
      <c r="RLT97" s="798"/>
      <c r="RLU97" s="798"/>
      <c r="RLV97" s="798"/>
      <c r="RLW97" s="798"/>
      <c r="RLX97" s="798"/>
      <c r="RLY97" s="798"/>
      <c r="RLZ97" s="798"/>
      <c r="RMA97" s="798"/>
      <c r="RMB97" s="798"/>
      <c r="RMC97" s="798"/>
      <c r="RMD97" s="798"/>
      <c r="RME97" s="798"/>
      <c r="RMF97" s="798"/>
      <c r="RMG97" s="798"/>
      <c r="RMH97" s="798"/>
      <c r="RMI97" s="798"/>
      <c r="RMJ97" s="798"/>
      <c r="RMK97" s="798"/>
      <c r="RML97" s="798"/>
      <c r="RMM97" s="798"/>
      <c r="RMN97" s="798"/>
      <c r="RMO97" s="798"/>
      <c r="RMP97" s="798"/>
      <c r="RMQ97" s="798"/>
      <c r="RMR97" s="798"/>
      <c r="RMS97" s="798"/>
      <c r="RMT97" s="798"/>
      <c r="RMU97" s="798"/>
      <c r="RMV97" s="798"/>
      <c r="RMW97" s="798"/>
      <c r="RMX97" s="798"/>
      <c r="RMY97" s="798"/>
      <c r="RMZ97" s="798"/>
      <c r="RNA97" s="798"/>
      <c r="RNB97" s="798"/>
      <c r="RNC97" s="798"/>
      <c r="RND97" s="798"/>
      <c r="RNE97" s="798"/>
      <c r="RNF97" s="798"/>
      <c r="RNG97" s="798"/>
      <c r="RNH97" s="798"/>
      <c r="RNI97" s="798"/>
      <c r="RNJ97" s="798"/>
      <c r="RNK97" s="798"/>
      <c r="RNL97" s="798"/>
      <c r="RNM97" s="798"/>
      <c r="RNN97" s="798"/>
      <c r="RNO97" s="798"/>
      <c r="RNP97" s="798"/>
      <c r="RNQ97" s="798"/>
      <c r="RNR97" s="798"/>
      <c r="RNS97" s="798"/>
      <c r="RNT97" s="798"/>
      <c r="RNU97" s="798"/>
      <c r="RNV97" s="798"/>
      <c r="RNW97" s="798"/>
      <c r="RNX97" s="798"/>
      <c r="RNY97" s="798"/>
      <c r="RNZ97" s="798"/>
      <c r="ROA97" s="798"/>
      <c r="ROB97" s="798"/>
      <c r="ROC97" s="798"/>
      <c r="ROD97" s="798"/>
      <c r="ROE97" s="798"/>
      <c r="ROF97" s="798"/>
      <c r="ROG97" s="798"/>
      <c r="ROH97" s="798"/>
      <c r="ROI97" s="798"/>
      <c r="ROJ97" s="798"/>
      <c r="ROK97" s="798"/>
      <c r="ROL97" s="798"/>
      <c r="ROM97" s="798"/>
      <c r="RON97" s="798"/>
      <c r="ROO97" s="798"/>
      <c r="ROP97" s="798"/>
      <c r="ROQ97" s="798"/>
      <c r="ROR97" s="798"/>
      <c r="ROS97" s="798"/>
      <c r="ROT97" s="798"/>
      <c r="ROU97" s="798"/>
      <c r="ROV97" s="798"/>
      <c r="ROW97" s="798"/>
      <c r="ROX97" s="798"/>
      <c r="ROY97" s="798"/>
      <c r="ROZ97" s="798"/>
      <c r="RPA97" s="798"/>
      <c r="RPB97" s="798"/>
      <c r="RPC97" s="798"/>
      <c r="RPD97" s="798"/>
      <c r="RPE97" s="798"/>
      <c r="RPF97" s="798"/>
      <c r="RPG97" s="798"/>
      <c r="RPH97" s="798"/>
      <c r="RPI97" s="798"/>
      <c r="RPJ97" s="798"/>
      <c r="RPK97" s="798"/>
      <c r="RPL97" s="798"/>
      <c r="RPM97" s="798"/>
      <c r="RPN97" s="798"/>
      <c r="RPO97" s="798"/>
      <c r="RPP97" s="798"/>
      <c r="RPQ97" s="798"/>
      <c r="RPR97" s="798"/>
      <c r="RPS97" s="798"/>
      <c r="RPT97" s="798"/>
      <c r="RPU97" s="798"/>
      <c r="RPV97" s="798"/>
      <c r="RPW97" s="798"/>
      <c r="RPX97" s="798"/>
      <c r="RPY97" s="798"/>
      <c r="RPZ97" s="798"/>
      <c r="RQA97" s="798"/>
      <c r="RQB97" s="798"/>
      <c r="RQC97" s="798"/>
      <c r="RQD97" s="798"/>
      <c r="RQE97" s="798"/>
      <c r="RQF97" s="798"/>
      <c r="RQG97" s="798"/>
      <c r="RQH97" s="798"/>
      <c r="RQI97" s="798"/>
      <c r="RQJ97" s="798"/>
      <c r="RQK97" s="798"/>
      <c r="RQL97" s="798"/>
      <c r="RQM97" s="798"/>
      <c r="RQN97" s="798"/>
      <c r="RQO97" s="798"/>
      <c r="RQP97" s="798"/>
      <c r="RQQ97" s="798"/>
      <c r="RQR97" s="798"/>
      <c r="RQS97" s="798"/>
      <c r="RQT97" s="798"/>
      <c r="RQU97" s="798"/>
      <c r="RQV97" s="798"/>
      <c r="RQW97" s="798"/>
      <c r="RQX97" s="798"/>
      <c r="RQY97" s="798"/>
      <c r="RQZ97" s="798"/>
      <c r="RRA97" s="798"/>
      <c r="RRB97" s="798"/>
      <c r="RRC97" s="798"/>
      <c r="RRD97" s="798"/>
      <c r="RRE97" s="798"/>
      <c r="RRF97" s="798"/>
      <c r="RRG97" s="798"/>
      <c r="RRH97" s="798"/>
      <c r="RRI97" s="798"/>
      <c r="RRJ97" s="798"/>
      <c r="RRK97" s="798"/>
      <c r="RRL97" s="798"/>
      <c r="RRM97" s="798"/>
      <c r="RRN97" s="798"/>
      <c r="RRO97" s="798"/>
      <c r="RRP97" s="798"/>
      <c r="RRQ97" s="798"/>
      <c r="RRR97" s="798"/>
      <c r="RRS97" s="798"/>
      <c r="RRT97" s="798"/>
      <c r="RRU97" s="798"/>
      <c r="RRV97" s="798"/>
      <c r="RRW97" s="798"/>
      <c r="RRX97" s="798"/>
      <c r="RRY97" s="798"/>
      <c r="RRZ97" s="798"/>
      <c r="RSA97" s="798"/>
      <c r="RSB97" s="798"/>
      <c r="RSC97" s="798"/>
      <c r="RSD97" s="798"/>
      <c r="RSE97" s="798"/>
      <c r="RSF97" s="798"/>
      <c r="RSG97" s="798"/>
      <c r="RSH97" s="798"/>
      <c r="RSI97" s="798"/>
      <c r="RSJ97" s="798"/>
      <c r="RSK97" s="798"/>
      <c r="RSL97" s="798"/>
      <c r="RSM97" s="798"/>
      <c r="RSN97" s="798"/>
      <c r="RSO97" s="798"/>
      <c r="RSP97" s="798"/>
      <c r="RSQ97" s="798"/>
      <c r="RSR97" s="798"/>
      <c r="RSS97" s="798"/>
      <c r="RST97" s="798"/>
      <c r="RSU97" s="798"/>
      <c r="RSV97" s="798"/>
      <c r="RSW97" s="798"/>
      <c r="RSX97" s="798"/>
      <c r="RSY97" s="798"/>
      <c r="RSZ97" s="798"/>
      <c r="RTA97" s="798"/>
      <c r="RTB97" s="798"/>
      <c r="RTC97" s="798"/>
      <c r="RTD97" s="798"/>
      <c r="RTE97" s="798"/>
      <c r="RTF97" s="798"/>
      <c r="RTG97" s="798"/>
      <c r="RTH97" s="798"/>
      <c r="RTI97" s="798"/>
      <c r="RTJ97" s="798"/>
      <c r="RTK97" s="798"/>
      <c r="RTL97" s="798"/>
      <c r="RTM97" s="798"/>
      <c r="RTN97" s="798"/>
      <c r="RTO97" s="798"/>
      <c r="RTP97" s="798"/>
      <c r="RTQ97" s="798"/>
      <c r="RTR97" s="798"/>
      <c r="RTS97" s="798"/>
      <c r="RTT97" s="798"/>
      <c r="RTU97" s="798"/>
      <c r="RTV97" s="798"/>
      <c r="RTW97" s="798"/>
      <c r="RTX97" s="798"/>
      <c r="RTY97" s="798"/>
      <c r="RTZ97" s="798"/>
      <c r="RUA97" s="798"/>
      <c r="RUB97" s="798"/>
      <c r="RUC97" s="798"/>
      <c r="RUD97" s="798"/>
      <c r="RUE97" s="798"/>
      <c r="RUF97" s="798"/>
      <c r="RUG97" s="798"/>
      <c r="RUH97" s="798"/>
      <c r="RUI97" s="798"/>
      <c r="RUJ97" s="798"/>
      <c r="RUK97" s="798"/>
      <c r="RUL97" s="798"/>
      <c r="RUM97" s="798"/>
      <c r="RUN97" s="798"/>
      <c r="RUO97" s="798"/>
      <c r="RUP97" s="798"/>
      <c r="RUQ97" s="798"/>
      <c r="RUR97" s="798"/>
      <c r="RUS97" s="798"/>
      <c r="RUT97" s="798"/>
      <c r="RUU97" s="798"/>
      <c r="RUV97" s="798"/>
      <c r="RUW97" s="798"/>
      <c r="RUX97" s="798"/>
      <c r="RUY97" s="798"/>
      <c r="RUZ97" s="798"/>
      <c r="RVA97" s="798"/>
      <c r="RVB97" s="798"/>
      <c r="RVC97" s="798"/>
      <c r="RVD97" s="798"/>
      <c r="RVE97" s="798"/>
      <c r="RVF97" s="798"/>
      <c r="RVG97" s="798"/>
      <c r="RVH97" s="798"/>
      <c r="RVI97" s="798"/>
      <c r="RVJ97" s="798"/>
      <c r="RVK97" s="798"/>
      <c r="RVL97" s="798"/>
      <c r="RVM97" s="798"/>
      <c r="RVN97" s="798"/>
      <c r="RVO97" s="798"/>
      <c r="RVP97" s="798"/>
      <c r="RVQ97" s="798"/>
      <c r="RVR97" s="798"/>
      <c r="RVS97" s="798"/>
      <c r="RVT97" s="798"/>
      <c r="RVU97" s="798"/>
      <c r="RVV97" s="798"/>
      <c r="RVW97" s="798"/>
      <c r="RVX97" s="798"/>
      <c r="RVY97" s="798"/>
      <c r="RVZ97" s="798"/>
      <c r="RWA97" s="798"/>
      <c r="RWB97" s="798"/>
      <c r="RWC97" s="798"/>
      <c r="RWD97" s="798"/>
      <c r="RWE97" s="798"/>
      <c r="RWF97" s="798"/>
      <c r="RWG97" s="798"/>
      <c r="RWH97" s="798"/>
      <c r="RWI97" s="798"/>
      <c r="RWJ97" s="798"/>
      <c r="RWK97" s="798"/>
      <c r="RWL97" s="798"/>
      <c r="RWM97" s="798"/>
      <c r="RWN97" s="798"/>
      <c r="RWO97" s="798"/>
      <c r="RWP97" s="798"/>
      <c r="RWQ97" s="798"/>
      <c r="RWR97" s="798"/>
      <c r="RWS97" s="798"/>
      <c r="RWT97" s="798"/>
      <c r="RWU97" s="798"/>
      <c r="RWV97" s="798"/>
      <c r="RWW97" s="798"/>
      <c r="RWX97" s="798"/>
      <c r="RWY97" s="798"/>
      <c r="RWZ97" s="798"/>
      <c r="RXA97" s="798"/>
      <c r="RXB97" s="798"/>
      <c r="RXC97" s="798"/>
      <c r="RXD97" s="798"/>
      <c r="RXE97" s="798"/>
      <c r="RXF97" s="798"/>
      <c r="RXG97" s="798"/>
      <c r="RXH97" s="798"/>
      <c r="RXI97" s="798"/>
      <c r="RXJ97" s="798"/>
      <c r="RXK97" s="798"/>
      <c r="RXL97" s="798"/>
      <c r="RXM97" s="798"/>
      <c r="RXN97" s="798"/>
      <c r="RXO97" s="798"/>
      <c r="RXP97" s="798"/>
      <c r="RXQ97" s="798"/>
      <c r="RXR97" s="798"/>
      <c r="RXS97" s="798"/>
      <c r="RXT97" s="798"/>
      <c r="RXU97" s="798"/>
      <c r="RXV97" s="798"/>
      <c r="RXW97" s="798"/>
      <c r="RXX97" s="798"/>
      <c r="RXY97" s="798"/>
      <c r="RXZ97" s="798"/>
      <c r="RYA97" s="798"/>
      <c r="RYB97" s="798"/>
      <c r="RYC97" s="798"/>
      <c r="RYD97" s="798"/>
      <c r="RYE97" s="798"/>
      <c r="RYF97" s="798"/>
      <c r="RYG97" s="798"/>
      <c r="RYH97" s="798"/>
      <c r="RYI97" s="798"/>
      <c r="RYJ97" s="798"/>
      <c r="RYK97" s="798"/>
      <c r="RYL97" s="798"/>
      <c r="RYM97" s="798"/>
      <c r="RYN97" s="798"/>
      <c r="RYO97" s="798"/>
      <c r="RYP97" s="798"/>
      <c r="RYQ97" s="798"/>
      <c r="RYR97" s="798"/>
      <c r="RYS97" s="798"/>
      <c r="RYT97" s="798"/>
      <c r="RYU97" s="798"/>
      <c r="RYV97" s="798"/>
      <c r="RYW97" s="798"/>
      <c r="RYX97" s="798"/>
      <c r="RYY97" s="798"/>
      <c r="RYZ97" s="798"/>
      <c r="RZA97" s="798"/>
      <c r="RZB97" s="798"/>
      <c r="RZC97" s="798"/>
      <c r="RZD97" s="798"/>
      <c r="RZE97" s="798"/>
      <c r="RZF97" s="798"/>
      <c r="RZG97" s="798"/>
      <c r="RZH97" s="798"/>
      <c r="RZI97" s="798"/>
      <c r="RZJ97" s="798"/>
      <c r="RZK97" s="798"/>
      <c r="RZL97" s="798"/>
      <c r="RZM97" s="798"/>
      <c r="RZN97" s="798"/>
      <c r="RZO97" s="798"/>
      <c r="RZP97" s="798"/>
      <c r="RZQ97" s="798"/>
      <c r="RZR97" s="798"/>
      <c r="RZS97" s="798"/>
      <c r="RZT97" s="798"/>
      <c r="RZU97" s="798"/>
      <c r="RZV97" s="798"/>
      <c r="RZW97" s="798"/>
      <c r="RZX97" s="798"/>
      <c r="RZY97" s="798"/>
      <c r="RZZ97" s="798"/>
      <c r="SAA97" s="798"/>
      <c r="SAB97" s="798"/>
      <c r="SAC97" s="798"/>
      <c r="SAD97" s="798"/>
      <c r="SAE97" s="798"/>
      <c r="SAF97" s="798"/>
      <c r="SAG97" s="798"/>
      <c r="SAH97" s="798"/>
      <c r="SAI97" s="798"/>
      <c r="SAJ97" s="798"/>
      <c r="SAK97" s="798"/>
      <c r="SAL97" s="798"/>
      <c r="SAM97" s="798"/>
      <c r="SAN97" s="798"/>
      <c r="SAO97" s="798"/>
      <c r="SAP97" s="798"/>
      <c r="SAQ97" s="798"/>
      <c r="SAR97" s="798"/>
      <c r="SAS97" s="798"/>
      <c r="SAT97" s="798"/>
      <c r="SAU97" s="798"/>
      <c r="SAV97" s="798"/>
      <c r="SAW97" s="798"/>
      <c r="SAX97" s="798"/>
      <c r="SAY97" s="798"/>
      <c r="SAZ97" s="798"/>
      <c r="SBA97" s="798"/>
      <c r="SBB97" s="798"/>
      <c r="SBC97" s="798"/>
      <c r="SBD97" s="798"/>
      <c r="SBE97" s="798"/>
      <c r="SBF97" s="798"/>
      <c r="SBG97" s="798"/>
      <c r="SBH97" s="798"/>
      <c r="SBI97" s="798"/>
      <c r="SBJ97" s="798"/>
      <c r="SBK97" s="798"/>
      <c r="SBL97" s="798"/>
      <c r="SBM97" s="798"/>
      <c r="SBN97" s="798"/>
      <c r="SBO97" s="798"/>
      <c r="SBP97" s="798"/>
      <c r="SBQ97" s="798"/>
      <c r="SBR97" s="798"/>
      <c r="SBS97" s="798"/>
      <c r="SBT97" s="798"/>
      <c r="SBU97" s="798"/>
      <c r="SBV97" s="798"/>
      <c r="SBW97" s="798"/>
      <c r="SBX97" s="798"/>
      <c r="SBY97" s="798"/>
      <c r="SBZ97" s="798"/>
      <c r="SCA97" s="798"/>
      <c r="SCB97" s="798"/>
      <c r="SCC97" s="798"/>
      <c r="SCD97" s="798"/>
      <c r="SCE97" s="798"/>
      <c r="SCF97" s="798"/>
      <c r="SCG97" s="798"/>
      <c r="SCH97" s="798"/>
      <c r="SCI97" s="798"/>
      <c r="SCJ97" s="798"/>
      <c r="SCK97" s="798"/>
      <c r="SCL97" s="798"/>
      <c r="SCM97" s="798"/>
      <c r="SCN97" s="798"/>
      <c r="SCO97" s="798"/>
      <c r="SCP97" s="798"/>
      <c r="SCQ97" s="798"/>
      <c r="SCR97" s="798"/>
      <c r="SCS97" s="798"/>
      <c r="SCT97" s="798"/>
      <c r="SCU97" s="798"/>
      <c r="SCV97" s="798"/>
      <c r="SCW97" s="798"/>
      <c r="SCX97" s="798"/>
      <c r="SCY97" s="798"/>
      <c r="SCZ97" s="798"/>
      <c r="SDA97" s="798"/>
      <c r="SDB97" s="798"/>
      <c r="SDC97" s="798"/>
      <c r="SDD97" s="798"/>
      <c r="SDE97" s="798"/>
      <c r="SDF97" s="798"/>
      <c r="SDG97" s="798"/>
      <c r="SDH97" s="798"/>
      <c r="SDI97" s="798"/>
      <c r="SDJ97" s="798"/>
      <c r="SDK97" s="798"/>
      <c r="SDL97" s="798"/>
      <c r="SDM97" s="798"/>
      <c r="SDN97" s="798"/>
      <c r="SDO97" s="798"/>
      <c r="SDP97" s="798"/>
      <c r="SDQ97" s="798"/>
      <c r="SDR97" s="798"/>
      <c r="SDS97" s="798"/>
      <c r="SDT97" s="798"/>
      <c r="SDU97" s="798"/>
      <c r="SDV97" s="798"/>
      <c r="SDW97" s="798"/>
      <c r="SDX97" s="798"/>
      <c r="SDY97" s="798"/>
      <c r="SDZ97" s="798"/>
      <c r="SEA97" s="798"/>
      <c r="SEB97" s="798"/>
      <c r="SEC97" s="798"/>
      <c r="SED97" s="798"/>
      <c r="SEE97" s="798"/>
      <c r="SEF97" s="798"/>
      <c r="SEG97" s="798"/>
      <c r="SEH97" s="798"/>
      <c r="SEI97" s="798"/>
      <c r="SEJ97" s="798"/>
      <c r="SEK97" s="798"/>
      <c r="SEL97" s="798"/>
      <c r="SEM97" s="798"/>
      <c r="SEN97" s="798"/>
      <c r="SEO97" s="798"/>
      <c r="SEP97" s="798"/>
      <c r="SEQ97" s="798"/>
      <c r="SER97" s="798"/>
      <c r="SES97" s="798"/>
      <c r="SET97" s="798"/>
      <c r="SEU97" s="798"/>
      <c r="SEV97" s="798"/>
      <c r="SEW97" s="798"/>
      <c r="SEX97" s="798"/>
      <c r="SEY97" s="798"/>
      <c r="SEZ97" s="798"/>
      <c r="SFA97" s="798"/>
      <c r="SFB97" s="798"/>
      <c r="SFC97" s="798"/>
      <c r="SFD97" s="798"/>
      <c r="SFE97" s="798"/>
      <c r="SFF97" s="798"/>
      <c r="SFG97" s="798"/>
      <c r="SFH97" s="798"/>
      <c r="SFI97" s="798"/>
      <c r="SFJ97" s="798"/>
      <c r="SFK97" s="798"/>
      <c r="SFL97" s="798"/>
      <c r="SFM97" s="798"/>
      <c r="SFN97" s="798"/>
      <c r="SFO97" s="798"/>
      <c r="SFP97" s="798"/>
      <c r="SFQ97" s="798"/>
      <c r="SFR97" s="798"/>
      <c r="SFS97" s="798"/>
      <c r="SFT97" s="798"/>
      <c r="SFU97" s="798"/>
      <c r="SFV97" s="798"/>
      <c r="SFW97" s="798"/>
      <c r="SFX97" s="798"/>
      <c r="SFY97" s="798"/>
      <c r="SFZ97" s="798"/>
      <c r="SGA97" s="798"/>
      <c r="SGB97" s="798"/>
      <c r="SGC97" s="798"/>
      <c r="SGD97" s="798"/>
      <c r="SGE97" s="798"/>
      <c r="SGF97" s="798"/>
      <c r="SGG97" s="798"/>
      <c r="SGH97" s="798"/>
      <c r="SGI97" s="798"/>
      <c r="SGJ97" s="798"/>
      <c r="SGK97" s="798"/>
      <c r="SGL97" s="798"/>
      <c r="SGM97" s="798"/>
      <c r="SGN97" s="798"/>
      <c r="SGO97" s="798"/>
      <c r="SGP97" s="798"/>
      <c r="SGQ97" s="798"/>
      <c r="SGR97" s="798"/>
      <c r="SGS97" s="798"/>
      <c r="SGT97" s="798"/>
      <c r="SGU97" s="798"/>
      <c r="SGV97" s="798"/>
      <c r="SGW97" s="798"/>
      <c r="SGX97" s="798"/>
      <c r="SGY97" s="798"/>
      <c r="SGZ97" s="798"/>
      <c r="SHA97" s="798"/>
      <c r="SHB97" s="798"/>
      <c r="SHC97" s="798"/>
      <c r="SHD97" s="798"/>
      <c r="SHE97" s="798"/>
      <c r="SHF97" s="798"/>
      <c r="SHG97" s="798"/>
      <c r="SHH97" s="798"/>
      <c r="SHI97" s="798"/>
      <c r="SHJ97" s="798"/>
      <c r="SHK97" s="798"/>
      <c r="SHL97" s="798"/>
      <c r="SHM97" s="798"/>
      <c r="SHN97" s="798"/>
      <c r="SHO97" s="798"/>
      <c r="SHP97" s="798"/>
      <c r="SHQ97" s="798"/>
      <c r="SHR97" s="798"/>
      <c r="SHS97" s="798"/>
      <c r="SHT97" s="798"/>
      <c r="SHU97" s="798"/>
      <c r="SHV97" s="798"/>
      <c r="SHW97" s="798"/>
      <c r="SHX97" s="798"/>
      <c r="SHY97" s="798"/>
      <c r="SHZ97" s="798"/>
      <c r="SIA97" s="798"/>
      <c r="SIB97" s="798"/>
      <c r="SIC97" s="798"/>
      <c r="SID97" s="798"/>
      <c r="SIE97" s="798"/>
      <c r="SIF97" s="798"/>
      <c r="SIG97" s="798"/>
      <c r="SIH97" s="798"/>
      <c r="SII97" s="798"/>
      <c r="SIJ97" s="798"/>
      <c r="SIK97" s="798"/>
      <c r="SIL97" s="798"/>
      <c r="SIM97" s="798"/>
      <c r="SIN97" s="798"/>
      <c r="SIO97" s="798"/>
      <c r="SIP97" s="798"/>
      <c r="SIQ97" s="798"/>
      <c r="SIR97" s="798"/>
      <c r="SIS97" s="798"/>
      <c r="SIT97" s="798"/>
      <c r="SIU97" s="798"/>
      <c r="SIV97" s="798"/>
      <c r="SIW97" s="798"/>
      <c r="SIX97" s="798"/>
      <c r="SIY97" s="798"/>
      <c r="SIZ97" s="798"/>
      <c r="SJA97" s="798"/>
      <c r="SJB97" s="798"/>
      <c r="SJC97" s="798"/>
      <c r="SJD97" s="798"/>
      <c r="SJE97" s="798"/>
      <c r="SJF97" s="798"/>
      <c r="SJG97" s="798"/>
      <c r="SJH97" s="798"/>
      <c r="SJI97" s="798"/>
      <c r="SJJ97" s="798"/>
      <c r="SJK97" s="798"/>
      <c r="SJL97" s="798"/>
      <c r="SJM97" s="798"/>
      <c r="SJN97" s="798"/>
      <c r="SJO97" s="798"/>
      <c r="SJP97" s="798"/>
      <c r="SJQ97" s="798"/>
      <c r="SJR97" s="798"/>
      <c r="SJS97" s="798"/>
      <c r="SJT97" s="798"/>
      <c r="SJU97" s="798"/>
      <c r="SJV97" s="798"/>
      <c r="SJW97" s="798"/>
      <c r="SJX97" s="798"/>
      <c r="SJY97" s="798"/>
      <c r="SJZ97" s="798"/>
      <c r="SKA97" s="798"/>
      <c r="SKB97" s="798"/>
      <c r="SKC97" s="798"/>
      <c r="SKD97" s="798"/>
      <c r="SKE97" s="798"/>
      <c r="SKF97" s="798"/>
      <c r="SKG97" s="798"/>
      <c r="SKH97" s="798"/>
      <c r="SKI97" s="798"/>
      <c r="SKJ97" s="798"/>
      <c r="SKK97" s="798"/>
      <c r="SKL97" s="798"/>
      <c r="SKM97" s="798"/>
      <c r="SKN97" s="798"/>
      <c r="SKO97" s="798"/>
      <c r="SKP97" s="798"/>
      <c r="SKQ97" s="798"/>
      <c r="SKR97" s="798"/>
      <c r="SKS97" s="798"/>
      <c r="SKT97" s="798"/>
      <c r="SKU97" s="798"/>
      <c r="SKV97" s="798"/>
      <c r="SKW97" s="798"/>
      <c r="SKX97" s="798"/>
      <c r="SKY97" s="798"/>
      <c r="SKZ97" s="798"/>
      <c r="SLA97" s="798"/>
      <c r="SLB97" s="798"/>
      <c r="SLC97" s="798"/>
      <c r="SLD97" s="798"/>
      <c r="SLE97" s="798"/>
      <c r="SLF97" s="798"/>
      <c r="SLG97" s="798"/>
      <c r="SLH97" s="798"/>
      <c r="SLI97" s="798"/>
      <c r="SLJ97" s="798"/>
      <c r="SLK97" s="798"/>
      <c r="SLL97" s="798"/>
      <c r="SLM97" s="798"/>
      <c r="SLN97" s="798"/>
      <c r="SLO97" s="798"/>
      <c r="SLP97" s="798"/>
      <c r="SLQ97" s="798"/>
      <c r="SLR97" s="798"/>
      <c r="SLS97" s="798"/>
      <c r="SLT97" s="798"/>
      <c r="SLU97" s="798"/>
      <c r="SLV97" s="798"/>
      <c r="SLW97" s="798"/>
      <c r="SLX97" s="798"/>
      <c r="SLY97" s="798"/>
      <c r="SLZ97" s="798"/>
      <c r="SMA97" s="798"/>
      <c r="SMB97" s="798"/>
      <c r="SMC97" s="798"/>
      <c r="SMD97" s="798"/>
      <c r="SME97" s="798"/>
      <c r="SMF97" s="798"/>
      <c r="SMG97" s="798"/>
      <c r="SMH97" s="798"/>
      <c r="SMI97" s="798"/>
      <c r="SMJ97" s="798"/>
      <c r="SMK97" s="798"/>
      <c r="SML97" s="798"/>
      <c r="SMM97" s="798"/>
      <c r="SMN97" s="798"/>
      <c r="SMO97" s="798"/>
      <c r="SMP97" s="798"/>
      <c r="SMQ97" s="798"/>
      <c r="SMR97" s="798"/>
      <c r="SMS97" s="798"/>
      <c r="SMT97" s="798"/>
      <c r="SMU97" s="798"/>
      <c r="SMV97" s="798"/>
      <c r="SMW97" s="798"/>
      <c r="SMX97" s="798"/>
      <c r="SMY97" s="798"/>
      <c r="SMZ97" s="798"/>
      <c r="SNA97" s="798"/>
      <c r="SNB97" s="798"/>
      <c r="SNC97" s="798"/>
      <c r="SND97" s="798"/>
      <c r="SNE97" s="798"/>
      <c r="SNF97" s="798"/>
      <c r="SNG97" s="798"/>
      <c r="SNH97" s="798"/>
      <c r="SNI97" s="798"/>
      <c r="SNJ97" s="798"/>
      <c r="SNK97" s="798"/>
      <c r="SNL97" s="798"/>
      <c r="SNM97" s="798"/>
      <c r="SNN97" s="798"/>
      <c r="SNO97" s="798"/>
      <c r="SNP97" s="798"/>
      <c r="SNQ97" s="798"/>
      <c r="SNR97" s="798"/>
      <c r="SNS97" s="798"/>
      <c r="SNT97" s="798"/>
      <c r="SNU97" s="798"/>
      <c r="SNV97" s="798"/>
      <c r="SNW97" s="798"/>
      <c r="SNX97" s="798"/>
      <c r="SNY97" s="798"/>
      <c r="SNZ97" s="798"/>
      <c r="SOA97" s="798"/>
      <c r="SOB97" s="798"/>
      <c r="SOC97" s="798"/>
      <c r="SOD97" s="798"/>
      <c r="SOE97" s="798"/>
      <c r="SOF97" s="798"/>
      <c r="SOG97" s="798"/>
      <c r="SOH97" s="798"/>
      <c r="SOI97" s="798"/>
      <c r="SOJ97" s="798"/>
      <c r="SOK97" s="798"/>
      <c r="SOL97" s="798"/>
      <c r="SOM97" s="798"/>
      <c r="SON97" s="798"/>
      <c r="SOO97" s="798"/>
      <c r="SOP97" s="798"/>
      <c r="SOQ97" s="798"/>
      <c r="SOR97" s="798"/>
      <c r="SOS97" s="798"/>
      <c r="SOT97" s="798"/>
      <c r="SOU97" s="798"/>
      <c r="SOV97" s="798"/>
      <c r="SOW97" s="798"/>
      <c r="SOX97" s="798"/>
      <c r="SOY97" s="798"/>
      <c r="SOZ97" s="798"/>
      <c r="SPA97" s="798"/>
      <c r="SPB97" s="798"/>
      <c r="SPC97" s="798"/>
      <c r="SPD97" s="798"/>
      <c r="SPE97" s="798"/>
      <c r="SPF97" s="798"/>
      <c r="SPG97" s="798"/>
      <c r="SPH97" s="798"/>
      <c r="SPI97" s="798"/>
      <c r="SPJ97" s="798"/>
      <c r="SPK97" s="798"/>
      <c r="SPL97" s="798"/>
      <c r="SPM97" s="798"/>
      <c r="SPN97" s="798"/>
      <c r="SPO97" s="798"/>
      <c r="SPP97" s="798"/>
      <c r="SPQ97" s="798"/>
      <c r="SPR97" s="798"/>
      <c r="SPS97" s="798"/>
      <c r="SPT97" s="798"/>
      <c r="SPU97" s="798"/>
      <c r="SPV97" s="798"/>
      <c r="SPW97" s="798"/>
      <c r="SPX97" s="798"/>
      <c r="SPY97" s="798"/>
      <c r="SPZ97" s="798"/>
      <c r="SQA97" s="798"/>
      <c r="SQB97" s="798"/>
      <c r="SQC97" s="798"/>
      <c r="SQD97" s="798"/>
      <c r="SQE97" s="798"/>
      <c r="SQF97" s="798"/>
      <c r="SQG97" s="798"/>
      <c r="SQH97" s="798"/>
      <c r="SQI97" s="798"/>
      <c r="SQJ97" s="798"/>
      <c r="SQK97" s="798"/>
      <c r="SQL97" s="798"/>
      <c r="SQM97" s="798"/>
      <c r="SQN97" s="798"/>
      <c r="SQO97" s="798"/>
      <c r="SQP97" s="798"/>
      <c r="SQQ97" s="798"/>
      <c r="SQR97" s="798"/>
      <c r="SQS97" s="798"/>
      <c r="SQT97" s="798"/>
      <c r="SQU97" s="798"/>
      <c r="SQV97" s="798"/>
      <c r="SQW97" s="798"/>
      <c r="SQX97" s="798"/>
      <c r="SQY97" s="798"/>
      <c r="SQZ97" s="798"/>
      <c r="SRA97" s="798"/>
      <c r="SRB97" s="798"/>
      <c r="SRC97" s="798"/>
      <c r="SRD97" s="798"/>
      <c r="SRE97" s="798"/>
      <c r="SRF97" s="798"/>
      <c r="SRG97" s="798"/>
      <c r="SRH97" s="798"/>
      <c r="SRI97" s="798"/>
      <c r="SRJ97" s="798"/>
      <c r="SRK97" s="798"/>
      <c r="SRL97" s="798"/>
      <c r="SRM97" s="798"/>
      <c r="SRN97" s="798"/>
      <c r="SRO97" s="798"/>
      <c r="SRP97" s="798"/>
      <c r="SRQ97" s="798"/>
      <c r="SRR97" s="798"/>
      <c r="SRS97" s="798"/>
      <c r="SRT97" s="798"/>
      <c r="SRU97" s="798"/>
      <c r="SRV97" s="798"/>
      <c r="SRW97" s="798"/>
      <c r="SRX97" s="798"/>
      <c r="SRY97" s="798"/>
      <c r="SRZ97" s="798"/>
      <c r="SSA97" s="798"/>
      <c r="SSB97" s="798"/>
      <c r="SSC97" s="798"/>
      <c r="SSD97" s="798"/>
      <c r="SSE97" s="798"/>
      <c r="SSF97" s="798"/>
      <c r="SSG97" s="798"/>
      <c r="SSH97" s="798"/>
      <c r="SSI97" s="798"/>
      <c r="SSJ97" s="798"/>
      <c r="SSK97" s="798"/>
      <c r="SSL97" s="798"/>
      <c r="SSM97" s="798"/>
      <c r="SSN97" s="798"/>
      <c r="SSO97" s="798"/>
      <c r="SSP97" s="798"/>
      <c r="SSQ97" s="798"/>
      <c r="SSR97" s="798"/>
      <c r="SSS97" s="798"/>
      <c r="SST97" s="798"/>
      <c r="SSU97" s="798"/>
      <c r="SSV97" s="798"/>
      <c r="SSW97" s="798"/>
      <c r="SSX97" s="798"/>
      <c r="SSY97" s="798"/>
      <c r="SSZ97" s="798"/>
      <c r="STA97" s="798"/>
      <c r="STB97" s="798"/>
      <c r="STC97" s="798"/>
      <c r="STD97" s="798"/>
      <c r="STE97" s="798"/>
      <c r="STF97" s="798"/>
      <c r="STG97" s="798"/>
      <c r="STH97" s="798"/>
      <c r="STI97" s="798"/>
      <c r="STJ97" s="798"/>
      <c r="STK97" s="798"/>
      <c r="STL97" s="798"/>
      <c r="STM97" s="798"/>
      <c r="STN97" s="798"/>
      <c r="STO97" s="798"/>
      <c r="STP97" s="798"/>
      <c r="STQ97" s="798"/>
      <c r="STR97" s="798"/>
      <c r="STS97" s="798"/>
      <c r="STT97" s="798"/>
      <c r="STU97" s="798"/>
      <c r="STV97" s="798"/>
      <c r="STW97" s="798"/>
      <c r="STX97" s="798"/>
      <c r="STY97" s="798"/>
      <c r="STZ97" s="798"/>
      <c r="SUA97" s="798"/>
      <c r="SUB97" s="798"/>
      <c r="SUC97" s="798"/>
      <c r="SUD97" s="798"/>
      <c r="SUE97" s="798"/>
      <c r="SUF97" s="798"/>
      <c r="SUG97" s="798"/>
      <c r="SUH97" s="798"/>
      <c r="SUI97" s="798"/>
      <c r="SUJ97" s="798"/>
      <c r="SUK97" s="798"/>
      <c r="SUL97" s="798"/>
      <c r="SUM97" s="798"/>
      <c r="SUN97" s="798"/>
      <c r="SUO97" s="798"/>
      <c r="SUP97" s="798"/>
      <c r="SUQ97" s="798"/>
      <c r="SUR97" s="798"/>
      <c r="SUS97" s="798"/>
      <c r="SUT97" s="798"/>
      <c r="SUU97" s="798"/>
      <c r="SUV97" s="798"/>
      <c r="SUW97" s="798"/>
      <c r="SUX97" s="798"/>
      <c r="SUY97" s="798"/>
      <c r="SUZ97" s="798"/>
      <c r="SVA97" s="798"/>
      <c r="SVB97" s="798"/>
      <c r="SVC97" s="798"/>
      <c r="SVD97" s="798"/>
      <c r="SVE97" s="798"/>
      <c r="SVF97" s="798"/>
      <c r="SVG97" s="798"/>
      <c r="SVH97" s="798"/>
      <c r="SVI97" s="798"/>
      <c r="SVJ97" s="798"/>
      <c r="SVK97" s="798"/>
      <c r="SVL97" s="798"/>
      <c r="SVM97" s="798"/>
      <c r="SVN97" s="798"/>
      <c r="SVO97" s="798"/>
      <c r="SVP97" s="798"/>
      <c r="SVQ97" s="798"/>
      <c r="SVR97" s="798"/>
      <c r="SVS97" s="798"/>
      <c r="SVT97" s="798"/>
      <c r="SVU97" s="798"/>
      <c r="SVV97" s="798"/>
      <c r="SVW97" s="798"/>
      <c r="SVX97" s="798"/>
      <c r="SVY97" s="798"/>
      <c r="SVZ97" s="798"/>
      <c r="SWA97" s="798"/>
      <c r="SWB97" s="798"/>
      <c r="SWC97" s="798"/>
      <c r="SWD97" s="798"/>
      <c r="SWE97" s="798"/>
      <c r="SWF97" s="798"/>
      <c r="SWG97" s="798"/>
      <c r="SWH97" s="798"/>
      <c r="SWI97" s="798"/>
      <c r="SWJ97" s="798"/>
      <c r="SWK97" s="798"/>
      <c r="SWL97" s="798"/>
      <c r="SWM97" s="798"/>
      <c r="SWN97" s="798"/>
      <c r="SWO97" s="798"/>
      <c r="SWP97" s="798"/>
      <c r="SWQ97" s="798"/>
      <c r="SWR97" s="798"/>
      <c r="SWS97" s="798"/>
      <c r="SWT97" s="798"/>
      <c r="SWU97" s="798"/>
      <c r="SWV97" s="798"/>
      <c r="SWW97" s="798"/>
      <c r="SWX97" s="798"/>
      <c r="SWY97" s="798"/>
      <c r="SWZ97" s="798"/>
      <c r="SXA97" s="798"/>
      <c r="SXB97" s="798"/>
      <c r="SXC97" s="798"/>
      <c r="SXD97" s="798"/>
      <c r="SXE97" s="798"/>
      <c r="SXF97" s="798"/>
      <c r="SXG97" s="798"/>
      <c r="SXH97" s="798"/>
      <c r="SXI97" s="798"/>
      <c r="SXJ97" s="798"/>
      <c r="SXK97" s="798"/>
      <c r="SXL97" s="798"/>
      <c r="SXM97" s="798"/>
      <c r="SXN97" s="798"/>
      <c r="SXO97" s="798"/>
      <c r="SXP97" s="798"/>
      <c r="SXQ97" s="798"/>
      <c r="SXR97" s="798"/>
      <c r="SXS97" s="798"/>
      <c r="SXT97" s="798"/>
      <c r="SXU97" s="798"/>
      <c r="SXV97" s="798"/>
      <c r="SXW97" s="798"/>
      <c r="SXX97" s="798"/>
      <c r="SXY97" s="798"/>
      <c r="SXZ97" s="798"/>
      <c r="SYA97" s="798"/>
      <c r="SYB97" s="798"/>
      <c r="SYC97" s="798"/>
      <c r="SYD97" s="798"/>
      <c r="SYE97" s="798"/>
      <c r="SYF97" s="798"/>
      <c r="SYG97" s="798"/>
      <c r="SYH97" s="798"/>
      <c r="SYI97" s="798"/>
      <c r="SYJ97" s="798"/>
      <c r="SYK97" s="798"/>
      <c r="SYL97" s="798"/>
      <c r="SYM97" s="798"/>
      <c r="SYN97" s="798"/>
      <c r="SYO97" s="798"/>
      <c r="SYP97" s="798"/>
      <c r="SYQ97" s="798"/>
      <c r="SYR97" s="798"/>
      <c r="SYS97" s="798"/>
      <c r="SYT97" s="798"/>
      <c r="SYU97" s="798"/>
      <c r="SYV97" s="798"/>
      <c r="SYW97" s="798"/>
      <c r="SYX97" s="798"/>
      <c r="SYY97" s="798"/>
      <c r="SYZ97" s="798"/>
      <c r="SZA97" s="798"/>
      <c r="SZB97" s="798"/>
      <c r="SZC97" s="798"/>
      <c r="SZD97" s="798"/>
      <c r="SZE97" s="798"/>
      <c r="SZF97" s="798"/>
      <c r="SZG97" s="798"/>
      <c r="SZH97" s="798"/>
      <c r="SZI97" s="798"/>
      <c r="SZJ97" s="798"/>
      <c r="SZK97" s="798"/>
      <c r="SZL97" s="798"/>
      <c r="SZM97" s="798"/>
      <c r="SZN97" s="798"/>
      <c r="SZO97" s="798"/>
      <c r="SZP97" s="798"/>
      <c r="SZQ97" s="798"/>
      <c r="SZR97" s="798"/>
      <c r="SZS97" s="798"/>
      <c r="SZT97" s="798"/>
      <c r="SZU97" s="798"/>
      <c r="SZV97" s="798"/>
      <c r="SZW97" s="798"/>
      <c r="SZX97" s="798"/>
      <c r="SZY97" s="798"/>
      <c r="SZZ97" s="798"/>
      <c r="TAA97" s="798"/>
      <c r="TAB97" s="798"/>
      <c r="TAC97" s="798"/>
      <c r="TAD97" s="798"/>
      <c r="TAE97" s="798"/>
      <c r="TAF97" s="798"/>
      <c r="TAG97" s="798"/>
      <c r="TAH97" s="798"/>
      <c r="TAI97" s="798"/>
      <c r="TAJ97" s="798"/>
      <c r="TAK97" s="798"/>
      <c r="TAL97" s="798"/>
      <c r="TAM97" s="798"/>
      <c r="TAN97" s="798"/>
      <c r="TAO97" s="798"/>
      <c r="TAP97" s="798"/>
      <c r="TAQ97" s="798"/>
      <c r="TAR97" s="798"/>
      <c r="TAS97" s="798"/>
      <c r="TAT97" s="798"/>
      <c r="TAU97" s="798"/>
      <c r="TAV97" s="798"/>
      <c r="TAW97" s="798"/>
      <c r="TAX97" s="798"/>
      <c r="TAY97" s="798"/>
      <c r="TAZ97" s="798"/>
      <c r="TBA97" s="798"/>
      <c r="TBB97" s="798"/>
      <c r="TBC97" s="798"/>
      <c r="TBD97" s="798"/>
      <c r="TBE97" s="798"/>
      <c r="TBF97" s="798"/>
      <c r="TBG97" s="798"/>
      <c r="TBH97" s="798"/>
      <c r="TBI97" s="798"/>
      <c r="TBJ97" s="798"/>
      <c r="TBK97" s="798"/>
      <c r="TBL97" s="798"/>
      <c r="TBM97" s="798"/>
      <c r="TBN97" s="798"/>
      <c r="TBO97" s="798"/>
      <c r="TBP97" s="798"/>
      <c r="TBQ97" s="798"/>
      <c r="TBR97" s="798"/>
      <c r="TBS97" s="798"/>
      <c r="TBT97" s="798"/>
      <c r="TBU97" s="798"/>
      <c r="TBV97" s="798"/>
      <c r="TBW97" s="798"/>
      <c r="TBX97" s="798"/>
      <c r="TBY97" s="798"/>
      <c r="TBZ97" s="798"/>
      <c r="TCA97" s="798"/>
      <c r="TCB97" s="798"/>
      <c r="TCC97" s="798"/>
      <c r="TCD97" s="798"/>
      <c r="TCE97" s="798"/>
      <c r="TCF97" s="798"/>
      <c r="TCG97" s="798"/>
      <c r="TCH97" s="798"/>
      <c r="TCI97" s="798"/>
      <c r="TCJ97" s="798"/>
      <c r="TCK97" s="798"/>
      <c r="TCL97" s="798"/>
      <c r="TCM97" s="798"/>
      <c r="TCN97" s="798"/>
      <c r="TCO97" s="798"/>
      <c r="TCP97" s="798"/>
      <c r="TCQ97" s="798"/>
      <c r="TCR97" s="798"/>
      <c r="TCS97" s="798"/>
      <c r="TCT97" s="798"/>
      <c r="TCU97" s="798"/>
      <c r="TCV97" s="798"/>
      <c r="TCW97" s="798"/>
      <c r="TCX97" s="798"/>
      <c r="TCY97" s="798"/>
      <c r="TCZ97" s="798"/>
      <c r="TDA97" s="798"/>
      <c r="TDB97" s="798"/>
      <c r="TDC97" s="798"/>
      <c r="TDD97" s="798"/>
      <c r="TDE97" s="798"/>
      <c r="TDF97" s="798"/>
      <c r="TDG97" s="798"/>
      <c r="TDH97" s="798"/>
      <c r="TDI97" s="798"/>
      <c r="TDJ97" s="798"/>
      <c r="TDK97" s="798"/>
      <c r="TDL97" s="798"/>
      <c r="TDM97" s="798"/>
      <c r="TDN97" s="798"/>
      <c r="TDO97" s="798"/>
      <c r="TDP97" s="798"/>
      <c r="TDQ97" s="798"/>
      <c r="TDR97" s="798"/>
      <c r="TDS97" s="798"/>
      <c r="TDT97" s="798"/>
      <c r="TDU97" s="798"/>
      <c r="TDV97" s="798"/>
      <c r="TDW97" s="798"/>
      <c r="TDX97" s="798"/>
      <c r="TDY97" s="798"/>
      <c r="TDZ97" s="798"/>
      <c r="TEA97" s="798"/>
      <c r="TEB97" s="798"/>
      <c r="TEC97" s="798"/>
      <c r="TED97" s="798"/>
      <c r="TEE97" s="798"/>
      <c r="TEF97" s="798"/>
      <c r="TEG97" s="798"/>
      <c r="TEH97" s="798"/>
      <c r="TEI97" s="798"/>
      <c r="TEJ97" s="798"/>
      <c r="TEK97" s="798"/>
      <c r="TEL97" s="798"/>
      <c r="TEM97" s="798"/>
      <c r="TEN97" s="798"/>
      <c r="TEO97" s="798"/>
      <c r="TEP97" s="798"/>
      <c r="TEQ97" s="798"/>
      <c r="TER97" s="798"/>
      <c r="TES97" s="798"/>
      <c r="TET97" s="798"/>
      <c r="TEU97" s="798"/>
      <c r="TEV97" s="798"/>
      <c r="TEW97" s="798"/>
      <c r="TEX97" s="798"/>
      <c r="TEY97" s="798"/>
      <c r="TEZ97" s="798"/>
      <c r="TFA97" s="798"/>
      <c r="TFB97" s="798"/>
      <c r="TFC97" s="798"/>
      <c r="TFD97" s="798"/>
      <c r="TFE97" s="798"/>
      <c r="TFF97" s="798"/>
      <c r="TFG97" s="798"/>
      <c r="TFH97" s="798"/>
      <c r="TFI97" s="798"/>
      <c r="TFJ97" s="798"/>
      <c r="TFK97" s="798"/>
      <c r="TFL97" s="798"/>
      <c r="TFM97" s="798"/>
      <c r="TFN97" s="798"/>
      <c r="TFO97" s="798"/>
      <c r="TFP97" s="798"/>
      <c r="TFQ97" s="798"/>
      <c r="TFR97" s="798"/>
      <c r="TFS97" s="798"/>
      <c r="TFT97" s="798"/>
      <c r="TFU97" s="798"/>
      <c r="TFV97" s="798"/>
      <c r="TFW97" s="798"/>
      <c r="TFX97" s="798"/>
      <c r="TFY97" s="798"/>
      <c r="TFZ97" s="798"/>
      <c r="TGA97" s="798"/>
      <c r="TGB97" s="798"/>
      <c r="TGC97" s="798"/>
      <c r="TGD97" s="798"/>
      <c r="TGE97" s="798"/>
      <c r="TGF97" s="798"/>
      <c r="TGG97" s="798"/>
      <c r="TGH97" s="798"/>
      <c r="TGI97" s="798"/>
      <c r="TGJ97" s="798"/>
      <c r="TGK97" s="798"/>
      <c r="TGL97" s="798"/>
      <c r="TGM97" s="798"/>
      <c r="TGN97" s="798"/>
      <c r="TGO97" s="798"/>
      <c r="TGP97" s="798"/>
      <c r="TGQ97" s="798"/>
      <c r="TGR97" s="798"/>
      <c r="TGS97" s="798"/>
      <c r="TGT97" s="798"/>
      <c r="TGU97" s="798"/>
      <c r="TGV97" s="798"/>
      <c r="TGW97" s="798"/>
      <c r="TGX97" s="798"/>
      <c r="TGY97" s="798"/>
      <c r="TGZ97" s="798"/>
      <c r="THA97" s="798"/>
      <c r="THB97" s="798"/>
      <c r="THC97" s="798"/>
      <c r="THD97" s="798"/>
      <c r="THE97" s="798"/>
      <c r="THF97" s="798"/>
      <c r="THG97" s="798"/>
      <c r="THH97" s="798"/>
      <c r="THI97" s="798"/>
      <c r="THJ97" s="798"/>
      <c r="THK97" s="798"/>
      <c r="THL97" s="798"/>
      <c r="THM97" s="798"/>
      <c r="THN97" s="798"/>
      <c r="THO97" s="798"/>
      <c r="THP97" s="798"/>
      <c r="THQ97" s="798"/>
      <c r="THR97" s="798"/>
      <c r="THS97" s="798"/>
      <c r="THT97" s="798"/>
      <c r="THU97" s="798"/>
      <c r="THV97" s="798"/>
      <c r="THW97" s="798"/>
      <c r="THX97" s="798"/>
      <c r="THY97" s="798"/>
      <c r="THZ97" s="798"/>
      <c r="TIA97" s="798"/>
      <c r="TIB97" s="798"/>
      <c r="TIC97" s="798"/>
      <c r="TID97" s="798"/>
      <c r="TIE97" s="798"/>
      <c r="TIF97" s="798"/>
      <c r="TIG97" s="798"/>
      <c r="TIH97" s="798"/>
      <c r="TII97" s="798"/>
      <c r="TIJ97" s="798"/>
      <c r="TIK97" s="798"/>
      <c r="TIL97" s="798"/>
      <c r="TIM97" s="798"/>
      <c r="TIN97" s="798"/>
      <c r="TIO97" s="798"/>
      <c r="TIP97" s="798"/>
      <c r="TIQ97" s="798"/>
      <c r="TIR97" s="798"/>
      <c r="TIS97" s="798"/>
      <c r="TIT97" s="798"/>
      <c r="TIU97" s="798"/>
      <c r="TIV97" s="798"/>
      <c r="TIW97" s="798"/>
      <c r="TIX97" s="798"/>
      <c r="TIY97" s="798"/>
      <c r="TIZ97" s="798"/>
      <c r="TJA97" s="798"/>
      <c r="TJB97" s="798"/>
      <c r="TJC97" s="798"/>
      <c r="TJD97" s="798"/>
      <c r="TJE97" s="798"/>
      <c r="TJF97" s="798"/>
      <c r="TJG97" s="798"/>
      <c r="TJH97" s="798"/>
      <c r="TJI97" s="798"/>
      <c r="TJJ97" s="798"/>
      <c r="TJK97" s="798"/>
      <c r="TJL97" s="798"/>
      <c r="TJM97" s="798"/>
      <c r="TJN97" s="798"/>
      <c r="TJO97" s="798"/>
      <c r="TJP97" s="798"/>
      <c r="TJQ97" s="798"/>
      <c r="TJR97" s="798"/>
      <c r="TJS97" s="798"/>
      <c r="TJT97" s="798"/>
      <c r="TJU97" s="798"/>
      <c r="TJV97" s="798"/>
      <c r="TJW97" s="798"/>
      <c r="TJX97" s="798"/>
      <c r="TJY97" s="798"/>
      <c r="TJZ97" s="798"/>
      <c r="TKA97" s="798"/>
      <c r="TKB97" s="798"/>
      <c r="TKC97" s="798"/>
      <c r="TKD97" s="798"/>
      <c r="TKE97" s="798"/>
      <c r="TKF97" s="798"/>
      <c r="TKG97" s="798"/>
      <c r="TKH97" s="798"/>
      <c r="TKI97" s="798"/>
      <c r="TKJ97" s="798"/>
      <c r="TKK97" s="798"/>
      <c r="TKL97" s="798"/>
      <c r="TKM97" s="798"/>
      <c r="TKN97" s="798"/>
      <c r="TKO97" s="798"/>
      <c r="TKP97" s="798"/>
      <c r="TKQ97" s="798"/>
      <c r="TKR97" s="798"/>
      <c r="TKS97" s="798"/>
      <c r="TKT97" s="798"/>
      <c r="TKU97" s="798"/>
      <c r="TKV97" s="798"/>
      <c r="TKW97" s="798"/>
      <c r="TKX97" s="798"/>
      <c r="TKY97" s="798"/>
      <c r="TKZ97" s="798"/>
      <c r="TLA97" s="798"/>
      <c r="TLB97" s="798"/>
      <c r="TLC97" s="798"/>
      <c r="TLD97" s="798"/>
      <c r="TLE97" s="798"/>
      <c r="TLF97" s="798"/>
      <c r="TLG97" s="798"/>
      <c r="TLH97" s="798"/>
      <c r="TLI97" s="798"/>
      <c r="TLJ97" s="798"/>
      <c r="TLK97" s="798"/>
      <c r="TLL97" s="798"/>
      <c r="TLM97" s="798"/>
      <c r="TLN97" s="798"/>
      <c r="TLO97" s="798"/>
      <c r="TLP97" s="798"/>
      <c r="TLQ97" s="798"/>
      <c r="TLR97" s="798"/>
      <c r="TLS97" s="798"/>
      <c r="TLT97" s="798"/>
      <c r="TLU97" s="798"/>
      <c r="TLV97" s="798"/>
      <c r="TLW97" s="798"/>
      <c r="TLX97" s="798"/>
      <c r="TLY97" s="798"/>
      <c r="TLZ97" s="798"/>
      <c r="TMA97" s="798"/>
      <c r="TMB97" s="798"/>
      <c r="TMC97" s="798"/>
      <c r="TMD97" s="798"/>
      <c r="TME97" s="798"/>
      <c r="TMF97" s="798"/>
      <c r="TMG97" s="798"/>
      <c r="TMH97" s="798"/>
      <c r="TMI97" s="798"/>
      <c r="TMJ97" s="798"/>
      <c r="TMK97" s="798"/>
      <c r="TML97" s="798"/>
      <c r="TMM97" s="798"/>
      <c r="TMN97" s="798"/>
      <c r="TMO97" s="798"/>
      <c r="TMP97" s="798"/>
      <c r="TMQ97" s="798"/>
      <c r="TMR97" s="798"/>
      <c r="TMS97" s="798"/>
      <c r="TMT97" s="798"/>
      <c r="TMU97" s="798"/>
      <c r="TMV97" s="798"/>
      <c r="TMW97" s="798"/>
      <c r="TMX97" s="798"/>
      <c r="TMY97" s="798"/>
      <c r="TMZ97" s="798"/>
      <c r="TNA97" s="798"/>
      <c r="TNB97" s="798"/>
      <c r="TNC97" s="798"/>
      <c r="TND97" s="798"/>
      <c r="TNE97" s="798"/>
      <c r="TNF97" s="798"/>
      <c r="TNG97" s="798"/>
      <c r="TNH97" s="798"/>
      <c r="TNI97" s="798"/>
      <c r="TNJ97" s="798"/>
      <c r="TNK97" s="798"/>
      <c r="TNL97" s="798"/>
      <c r="TNM97" s="798"/>
      <c r="TNN97" s="798"/>
      <c r="TNO97" s="798"/>
      <c r="TNP97" s="798"/>
      <c r="TNQ97" s="798"/>
      <c r="TNR97" s="798"/>
      <c r="TNS97" s="798"/>
      <c r="TNT97" s="798"/>
      <c r="TNU97" s="798"/>
      <c r="TNV97" s="798"/>
      <c r="TNW97" s="798"/>
      <c r="TNX97" s="798"/>
      <c r="TNY97" s="798"/>
      <c r="TNZ97" s="798"/>
      <c r="TOA97" s="798"/>
      <c r="TOB97" s="798"/>
      <c r="TOC97" s="798"/>
      <c r="TOD97" s="798"/>
      <c r="TOE97" s="798"/>
      <c r="TOF97" s="798"/>
      <c r="TOG97" s="798"/>
      <c r="TOH97" s="798"/>
      <c r="TOI97" s="798"/>
      <c r="TOJ97" s="798"/>
      <c r="TOK97" s="798"/>
      <c r="TOL97" s="798"/>
      <c r="TOM97" s="798"/>
      <c r="TON97" s="798"/>
      <c r="TOO97" s="798"/>
      <c r="TOP97" s="798"/>
      <c r="TOQ97" s="798"/>
      <c r="TOR97" s="798"/>
      <c r="TOS97" s="798"/>
      <c r="TOT97" s="798"/>
      <c r="TOU97" s="798"/>
      <c r="TOV97" s="798"/>
      <c r="TOW97" s="798"/>
      <c r="TOX97" s="798"/>
      <c r="TOY97" s="798"/>
      <c r="TOZ97" s="798"/>
      <c r="TPA97" s="798"/>
      <c r="TPB97" s="798"/>
      <c r="TPC97" s="798"/>
      <c r="TPD97" s="798"/>
      <c r="TPE97" s="798"/>
      <c r="TPF97" s="798"/>
      <c r="TPG97" s="798"/>
      <c r="TPH97" s="798"/>
      <c r="TPI97" s="798"/>
      <c r="TPJ97" s="798"/>
      <c r="TPK97" s="798"/>
      <c r="TPL97" s="798"/>
      <c r="TPM97" s="798"/>
      <c r="TPN97" s="798"/>
      <c r="TPO97" s="798"/>
      <c r="TPP97" s="798"/>
      <c r="TPQ97" s="798"/>
      <c r="TPR97" s="798"/>
      <c r="TPS97" s="798"/>
      <c r="TPT97" s="798"/>
      <c r="TPU97" s="798"/>
      <c r="TPV97" s="798"/>
      <c r="TPW97" s="798"/>
      <c r="TPX97" s="798"/>
      <c r="TPY97" s="798"/>
      <c r="TPZ97" s="798"/>
      <c r="TQA97" s="798"/>
      <c r="TQB97" s="798"/>
      <c r="TQC97" s="798"/>
      <c r="TQD97" s="798"/>
      <c r="TQE97" s="798"/>
      <c r="TQF97" s="798"/>
      <c r="TQG97" s="798"/>
      <c r="TQH97" s="798"/>
      <c r="TQI97" s="798"/>
      <c r="TQJ97" s="798"/>
      <c r="TQK97" s="798"/>
      <c r="TQL97" s="798"/>
      <c r="TQM97" s="798"/>
      <c r="TQN97" s="798"/>
      <c r="TQO97" s="798"/>
      <c r="TQP97" s="798"/>
      <c r="TQQ97" s="798"/>
      <c r="TQR97" s="798"/>
      <c r="TQS97" s="798"/>
      <c r="TQT97" s="798"/>
      <c r="TQU97" s="798"/>
      <c r="TQV97" s="798"/>
      <c r="TQW97" s="798"/>
      <c r="TQX97" s="798"/>
      <c r="TQY97" s="798"/>
      <c r="TQZ97" s="798"/>
      <c r="TRA97" s="798"/>
      <c r="TRB97" s="798"/>
      <c r="TRC97" s="798"/>
      <c r="TRD97" s="798"/>
      <c r="TRE97" s="798"/>
      <c r="TRF97" s="798"/>
      <c r="TRG97" s="798"/>
      <c r="TRH97" s="798"/>
      <c r="TRI97" s="798"/>
      <c r="TRJ97" s="798"/>
      <c r="TRK97" s="798"/>
      <c r="TRL97" s="798"/>
      <c r="TRM97" s="798"/>
      <c r="TRN97" s="798"/>
      <c r="TRO97" s="798"/>
      <c r="TRP97" s="798"/>
      <c r="TRQ97" s="798"/>
      <c r="TRR97" s="798"/>
      <c r="TRS97" s="798"/>
      <c r="TRT97" s="798"/>
      <c r="TRU97" s="798"/>
      <c r="TRV97" s="798"/>
      <c r="TRW97" s="798"/>
      <c r="TRX97" s="798"/>
      <c r="TRY97" s="798"/>
      <c r="TRZ97" s="798"/>
      <c r="TSA97" s="798"/>
      <c r="TSB97" s="798"/>
      <c r="TSC97" s="798"/>
      <c r="TSD97" s="798"/>
      <c r="TSE97" s="798"/>
      <c r="TSF97" s="798"/>
      <c r="TSG97" s="798"/>
      <c r="TSH97" s="798"/>
      <c r="TSI97" s="798"/>
      <c r="TSJ97" s="798"/>
      <c r="TSK97" s="798"/>
      <c r="TSL97" s="798"/>
      <c r="TSM97" s="798"/>
      <c r="TSN97" s="798"/>
      <c r="TSO97" s="798"/>
      <c r="TSP97" s="798"/>
      <c r="TSQ97" s="798"/>
      <c r="TSR97" s="798"/>
      <c r="TSS97" s="798"/>
      <c r="TST97" s="798"/>
      <c r="TSU97" s="798"/>
      <c r="TSV97" s="798"/>
      <c r="TSW97" s="798"/>
      <c r="TSX97" s="798"/>
      <c r="TSY97" s="798"/>
      <c r="TSZ97" s="798"/>
      <c r="TTA97" s="798"/>
      <c r="TTB97" s="798"/>
      <c r="TTC97" s="798"/>
      <c r="TTD97" s="798"/>
      <c r="TTE97" s="798"/>
      <c r="TTF97" s="798"/>
      <c r="TTG97" s="798"/>
      <c r="TTH97" s="798"/>
      <c r="TTI97" s="798"/>
      <c r="TTJ97" s="798"/>
      <c r="TTK97" s="798"/>
      <c r="TTL97" s="798"/>
      <c r="TTM97" s="798"/>
      <c r="TTN97" s="798"/>
      <c r="TTO97" s="798"/>
      <c r="TTP97" s="798"/>
      <c r="TTQ97" s="798"/>
      <c r="TTR97" s="798"/>
      <c r="TTS97" s="798"/>
      <c r="TTT97" s="798"/>
      <c r="TTU97" s="798"/>
      <c r="TTV97" s="798"/>
      <c r="TTW97" s="798"/>
      <c r="TTX97" s="798"/>
      <c r="TTY97" s="798"/>
      <c r="TTZ97" s="798"/>
      <c r="TUA97" s="798"/>
      <c r="TUB97" s="798"/>
      <c r="TUC97" s="798"/>
      <c r="TUD97" s="798"/>
      <c r="TUE97" s="798"/>
      <c r="TUF97" s="798"/>
      <c r="TUG97" s="798"/>
      <c r="TUH97" s="798"/>
      <c r="TUI97" s="798"/>
      <c r="TUJ97" s="798"/>
      <c r="TUK97" s="798"/>
      <c r="TUL97" s="798"/>
      <c r="TUM97" s="798"/>
      <c r="TUN97" s="798"/>
      <c r="TUO97" s="798"/>
      <c r="TUP97" s="798"/>
      <c r="TUQ97" s="798"/>
      <c r="TUR97" s="798"/>
      <c r="TUS97" s="798"/>
      <c r="TUT97" s="798"/>
      <c r="TUU97" s="798"/>
      <c r="TUV97" s="798"/>
      <c r="TUW97" s="798"/>
      <c r="TUX97" s="798"/>
      <c r="TUY97" s="798"/>
      <c r="TUZ97" s="798"/>
      <c r="TVA97" s="798"/>
      <c r="TVB97" s="798"/>
      <c r="TVC97" s="798"/>
      <c r="TVD97" s="798"/>
      <c r="TVE97" s="798"/>
      <c r="TVF97" s="798"/>
      <c r="TVG97" s="798"/>
      <c r="TVH97" s="798"/>
      <c r="TVI97" s="798"/>
      <c r="TVJ97" s="798"/>
      <c r="TVK97" s="798"/>
      <c r="TVL97" s="798"/>
      <c r="TVM97" s="798"/>
      <c r="TVN97" s="798"/>
      <c r="TVO97" s="798"/>
      <c r="TVP97" s="798"/>
      <c r="TVQ97" s="798"/>
      <c r="TVR97" s="798"/>
      <c r="TVS97" s="798"/>
      <c r="TVT97" s="798"/>
      <c r="TVU97" s="798"/>
      <c r="TVV97" s="798"/>
      <c r="TVW97" s="798"/>
      <c r="TVX97" s="798"/>
      <c r="TVY97" s="798"/>
      <c r="TVZ97" s="798"/>
      <c r="TWA97" s="798"/>
      <c r="TWB97" s="798"/>
      <c r="TWC97" s="798"/>
      <c r="TWD97" s="798"/>
      <c r="TWE97" s="798"/>
      <c r="TWF97" s="798"/>
      <c r="TWG97" s="798"/>
      <c r="TWH97" s="798"/>
      <c r="TWI97" s="798"/>
      <c r="TWJ97" s="798"/>
      <c r="TWK97" s="798"/>
      <c r="TWL97" s="798"/>
      <c r="TWM97" s="798"/>
      <c r="TWN97" s="798"/>
      <c r="TWO97" s="798"/>
      <c r="TWP97" s="798"/>
      <c r="TWQ97" s="798"/>
      <c r="TWR97" s="798"/>
      <c r="TWS97" s="798"/>
      <c r="TWT97" s="798"/>
      <c r="TWU97" s="798"/>
      <c r="TWV97" s="798"/>
      <c r="TWW97" s="798"/>
      <c r="TWX97" s="798"/>
      <c r="TWY97" s="798"/>
      <c r="TWZ97" s="798"/>
      <c r="TXA97" s="798"/>
      <c r="TXB97" s="798"/>
      <c r="TXC97" s="798"/>
      <c r="TXD97" s="798"/>
      <c r="TXE97" s="798"/>
      <c r="TXF97" s="798"/>
      <c r="TXG97" s="798"/>
      <c r="TXH97" s="798"/>
      <c r="TXI97" s="798"/>
      <c r="TXJ97" s="798"/>
      <c r="TXK97" s="798"/>
      <c r="TXL97" s="798"/>
      <c r="TXM97" s="798"/>
      <c r="TXN97" s="798"/>
      <c r="TXO97" s="798"/>
      <c r="TXP97" s="798"/>
      <c r="TXQ97" s="798"/>
      <c r="TXR97" s="798"/>
      <c r="TXS97" s="798"/>
      <c r="TXT97" s="798"/>
      <c r="TXU97" s="798"/>
      <c r="TXV97" s="798"/>
      <c r="TXW97" s="798"/>
      <c r="TXX97" s="798"/>
      <c r="TXY97" s="798"/>
      <c r="TXZ97" s="798"/>
      <c r="TYA97" s="798"/>
      <c r="TYB97" s="798"/>
      <c r="TYC97" s="798"/>
      <c r="TYD97" s="798"/>
      <c r="TYE97" s="798"/>
      <c r="TYF97" s="798"/>
      <c r="TYG97" s="798"/>
      <c r="TYH97" s="798"/>
      <c r="TYI97" s="798"/>
      <c r="TYJ97" s="798"/>
      <c r="TYK97" s="798"/>
      <c r="TYL97" s="798"/>
      <c r="TYM97" s="798"/>
      <c r="TYN97" s="798"/>
      <c r="TYO97" s="798"/>
      <c r="TYP97" s="798"/>
      <c r="TYQ97" s="798"/>
      <c r="TYR97" s="798"/>
      <c r="TYS97" s="798"/>
      <c r="TYT97" s="798"/>
      <c r="TYU97" s="798"/>
      <c r="TYV97" s="798"/>
      <c r="TYW97" s="798"/>
      <c r="TYX97" s="798"/>
      <c r="TYY97" s="798"/>
      <c r="TYZ97" s="798"/>
      <c r="TZA97" s="798"/>
      <c r="TZB97" s="798"/>
      <c r="TZC97" s="798"/>
      <c r="TZD97" s="798"/>
      <c r="TZE97" s="798"/>
      <c r="TZF97" s="798"/>
      <c r="TZG97" s="798"/>
      <c r="TZH97" s="798"/>
      <c r="TZI97" s="798"/>
      <c r="TZJ97" s="798"/>
      <c r="TZK97" s="798"/>
      <c r="TZL97" s="798"/>
      <c r="TZM97" s="798"/>
      <c r="TZN97" s="798"/>
      <c r="TZO97" s="798"/>
      <c r="TZP97" s="798"/>
      <c r="TZQ97" s="798"/>
      <c r="TZR97" s="798"/>
      <c r="TZS97" s="798"/>
      <c r="TZT97" s="798"/>
      <c r="TZU97" s="798"/>
      <c r="TZV97" s="798"/>
      <c r="TZW97" s="798"/>
      <c r="TZX97" s="798"/>
      <c r="TZY97" s="798"/>
      <c r="TZZ97" s="798"/>
      <c r="UAA97" s="798"/>
      <c r="UAB97" s="798"/>
      <c r="UAC97" s="798"/>
      <c r="UAD97" s="798"/>
      <c r="UAE97" s="798"/>
      <c r="UAF97" s="798"/>
      <c r="UAG97" s="798"/>
      <c r="UAH97" s="798"/>
      <c r="UAI97" s="798"/>
      <c r="UAJ97" s="798"/>
      <c r="UAK97" s="798"/>
      <c r="UAL97" s="798"/>
      <c r="UAM97" s="798"/>
      <c r="UAN97" s="798"/>
      <c r="UAO97" s="798"/>
      <c r="UAP97" s="798"/>
      <c r="UAQ97" s="798"/>
      <c r="UAR97" s="798"/>
      <c r="UAS97" s="798"/>
      <c r="UAT97" s="798"/>
      <c r="UAU97" s="798"/>
      <c r="UAV97" s="798"/>
      <c r="UAW97" s="798"/>
      <c r="UAX97" s="798"/>
      <c r="UAY97" s="798"/>
      <c r="UAZ97" s="798"/>
      <c r="UBA97" s="798"/>
      <c r="UBB97" s="798"/>
      <c r="UBC97" s="798"/>
      <c r="UBD97" s="798"/>
      <c r="UBE97" s="798"/>
      <c r="UBF97" s="798"/>
      <c r="UBG97" s="798"/>
      <c r="UBH97" s="798"/>
      <c r="UBI97" s="798"/>
      <c r="UBJ97" s="798"/>
      <c r="UBK97" s="798"/>
      <c r="UBL97" s="798"/>
      <c r="UBM97" s="798"/>
      <c r="UBN97" s="798"/>
      <c r="UBO97" s="798"/>
      <c r="UBP97" s="798"/>
      <c r="UBQ97" s="798"/>
      <c r="UBR97" s="798"/>
      <c r="UBS97" s="798"/>
      <c r="UBT97" s="798"/>
      <c r="UBU97" s="798"/>
      <c r="UBV97" s="798"/>
      <c r="UBW97" s="798"/>
      <c r="UBX97" s="798"/>
      <c r="UBY97" s="798"/>
      <c r="UBZ97" s="798"/>
      <c r="UCA97" s="798"/>
      <c r="UCB97" s="798"/>
      <c r="UCC97" s="798"/>
      <c r="UCD97" s="798"/>
      <c r="UCE97" s="798"/>
      <c r="UCF97" s="798"/>
      <c r="UCG97" s="798"/>
      <c r="UCH97" s="798"/>
      <c r="UCI97" s="798"/>
      <c r="UCJ97" s="798"/>
      <c r="UCK97" s="798"/>
      <c r="UCL97" s="798"/>
      <c r="UCM97" s="798"/>
      <c r="UCN97" s="798"/>
      <c r="UCO97" s="798"/>
      <c r="UCP97" s="798"/>
      <c r="UCQ97" s="798"/>
      <c r="UCR97" s="798"/>
      <c r="UCS97" s="798"/>
      <c r="UCT97" s="798"/>
      <c r="UCU97" s="798"/>
      <c r="UCV97" s="798"/>
      <c r="UCW97" s="798"/>
      <c r="UCX97" s="798"/>
      <c r="UCY97" s="798"/>
      <c r="UCZ97" s="798"/>
      <c r="UDA97" s="798"/>
      <c r="UDB97" s="798"/>
      <c r="UDC97" s="798"/>
      <c r="UDD97" s="798"/>
      <c r="UDE97" s="798"/>
      <c r="UDF97" s="798"/>
      <c r="UDG97" s="798"/>
      <c r="UDH97" s="798"/>
      <c r="UDI97" s="798"/>
      <c r="UDJ97" s="798"/>
      <c r="UDK97" s="798"/>
      <c r="UDL97" s="798"/>
      <c r="UDM97" s="798"/>
      <c r="UDN97" s="798"/>
      <c r="UDO97" s="798"/>
      <c r="UDP97" s="798"/>
      <c r="UDQ97" s="798"/>
      <c r="UDR97" s="798"/>
      <c r="UDS97" s="798"/>
      <c r="UDT97" s="798"/>
      <c r="UDU97" s="798"/>
      <c r="UDV97" s="798"/>
      <c r="UDW97" s="798"/>
      <c r="UDX97" s="798"/>
      <c r="UDY97" s="798"/>
      <c r="UDZ97" s="798"/>
      <c r="UEA97" s="798"/>
      <c r="UEB97" s="798"/>
      <c r="UEC97" s="798"/>
      <c r="UED97" s="798"/>
      <c r="UEE97" s="798"/>
      <c r="UEF97" s="798"/>
      <c r="UEG97" s="798"/>
      <c r="UEH97" s="798"/>
      <c r="UEI97" s="798"/>
      <c r="UEJ97" s="798"/>
      <c r="UEK97" s="798"/>
      <c r="UEL97" s="798"/>
      <c r="UEM97" s="798"/>
      <c r="UEN97" s="798"/>
      <c r="UEO97" s="798"/>
      <c r="UEP97" s="798"/>
      <c r="UEQ97" s="798"/>
      <c r="UER97" s="798"/>
      <c r="UES97" s="798"/>
      <c r="UET97" s="798"/>
      <c r="UEU97" s="798"/>
      <c r="UEV97" s="798"/>
      <c r="UEW97" s="798"/>
      <c r="UEX97" s="798"/>
      <c r="UEY97" s="798"/>
      <c r="UEZ97" s="798"/>
      <c r="UFA97" s="798"/>
      <c r="UFB97" s="798"/>
      <c r="UFC97" s="798"/>
      <c r="UFD97" s="798"/>
      <c r="UFE97" s="798"/>
      <c r="UFF97" s="798"/>
      <c r="UFG97" s="798"/>
      <c r="UFH97" s="798"/>
      <c r="UFI97" s="798"/>
      <c r="UFJ97" s="798"/>
      <c r="UFK97" s="798"/>
      <c r="UFL97" s="798"/>
      <c r="UFM97" s="798"/>
      <c r="UFN97" s="798"/>
      <c r="UFO97" s="798"/>
      <c r="UFP97" s="798"/>
      <c r="UFQ97" s="798"/>
      <c r="UFR97" s="798"/>
      <c r="UFS97" s="798"/>
      <c r="UFT97" s="798"/>
      <c r="UFU97" s="798"/>
      <c r="UFV97" s="798"/>
      <c r="UFW97" s="798"/>
      <c r="UFX97" s="798"/>
      <c r="UFY97" s="798"/>
      <c r="UFZ97" s="798"/>
      <c r="UGA97" s="798"/>
      <c r="UGB97" s="798"/>
      <c r="UGC97" s="798"/>
      <c r="UGD97" s="798"/>
      <c r="UGE97" s="798"/>
      <c r="UGF97" s="798"/>
      <c r="UGG97" s="798"/>
      <c r="UGH97" s="798"/>
      <c r="UGI97" s="798"/>
      <c r="UGJ97" s="798"/>
      <c r="UGK97" s="798"/>
      <c r="UGL97" s="798"/>
      <c r="UGM97" s="798"/>
      <c r="UGN97" s="798"/>
      <c r="UGO97" s="798"/>
      <c r="UGP97" s="798"/>
      <c r="UGQ97" s="798"/>
      <c r="UGR97" s="798"/>
      <c r="UGS97" s="798"/>
      <c r="UGT97" s="798"/>
      <c r="UGU97" s="798"/>
      <c r="UGV97" s="798"/>
      <c r="UGW97" s="798"/>
      <c r="UGX97" s="798"/>
      <c r="UGY97" s="798"/>
      <c r="UGZ97" s="798"/>
      <c r="UHA97" s="798"/>
      <c r="UHB97" s="798"/>
      <c r="UHC97" s="798"/>
      <c r="UHD97" s="798"/>
      <c r="UHE97" s="798"/>
      <c r="UHF97" s="798"/>
      <c r="UHG97" s="798"/>
      <c r="UHH97" s="798"/>
      <c r="UHI97" s="798"/>
      <c r="UHJ97" s="798"/>
      <c r="UHK97" s="798"/>
      <c r="UHL97" s="798"/>
      <c r="UHM97" s="798"/>
      <c r="UHN97" s="798"/>
      <c r="UHO97" s="798"/>
      <c r="UHP97" s="798"/>
      <c r="UHQ97" s="798"/>
      <c r="UHR97" s="798"/>
      <c r="UHS97" s="798"/>
      <c r="UHT97" s="798"/>
      <c r="UHU97" s="798"/>
      <c r="UHV97" s="798"/>
      <c r="UHW97" s="798"/>
      <c r="UHX97" s="798"/>
      <c r="UHY97" s="798"/>
      <c r="UHZ97" s="798"/>
      <c r="UIA97" s="798"/>
      <c r="UIB97" s="798"/>
      <c r="UIC97" s="798"/>
      <c r="UID97" s="798"/>
      <c r="UIE97" s="798"/>
      <c r="UIF97" s="798"/>
      <c r="UIG97" s="798"/>
      <c r="UIH97" s="798"/>
      <c r="UII97" s="798"/>
      <c r="UIJ97" s="798"/>
      <c r="UIK97" s="798"/>
      <c r="UIL97" s="798"/>
      <c r="UIM97" s="798"/>
      <c r="UIN97" s="798"/>
      <c r="UIO97" s="798"/>
      <c r="UIP97" s="798"/>
      <c r="UIQ97" s="798"/>
      <c r="UIR97" s="798"/>
      <c r="UIS97" s="798"/>
      <c r="UIT97" s="798"/>
      <c r="UIU97" s="798"/>
      <c r="UIV97" s="798"/>
      <c r="UIW97" s="798"/>
      <c r="UIX97" s="798"/>
      <c r="UIY97" s="798"/>
      <c r="UIZ97" s="798"/>
      <c r="UJA97" s="798"/>
      <c r="UJB97" s="798"/>
      <c r="UJC97" s="798"/>
      <c r="UJD97" s="798"/>
      <c r="UJE97" s="798"/>
      <c r="UJF97" s="798"/>
      <c r="UJG97" s="798"/>
      <c r="UJH97" s="798"/>
      <c r="UJI97" s="798"/>
      <c r="UJJ97" s="798"/>
      <c r="UJK97" s="798"/>
      <c r="UJL97" s="798"/>
      <c r="UJM97" s="798"/>
      <c r="UJN97" s="798"/>
      <c r="UJO97" s="798"/>
      <c r="UJP97" s="798"/>
      <c r="UJQ97" s="798"/>
      <c r="UJR97" s="798"/>
      <c r="UJS97" s="798"/>
      <c r="UJT97" s="798"/>
      <c r="UJU97" s="798"/>
      <c r="UJV97" s="798"/>
      <c r="UJW97" s="798"/>
      <c r="UJX97" s="798"/>
      <c r="UJY97" s="798"/>
      <c r="UJZ97" s="798"/>
      <c r="UKA97" s="798"/>
      <c r="UKB97" s="798"/>
      <c r="UKC97" s="798"/>
      <c r="UKD97" s="798"/>
      <c r="UKE97" s="798"/>
      <c r="UKF97" s="798"/>
      <c r="UKG97" s="798"/>
      <c r="UKH97" s="798"/>
      <c r="UKI97" s="798"/>
      <c r="UKJ97" s="798"/>
      <c r="UKK97" s="798"/>
      <c r="UKL97" s="798"/>
      <c r="UKM97" s="798"/>
      <c r="UKN97" s="798"/>
      <c r="UKO97" s="798"/>
      <c r="UKP97" s="798"/>
      <c r="UKQ97" s="798"/>
      <c r="UKR97" s="798"/>
      <c r="UKS97" s="798"/>
      <c r="UKT97" s="798"/>
      <c r="UKU97" s="798"/>
      <c r="UKV97" s="798"/>
      <c r="UKW97" s="798"/>
      <c r="UKX97" s="798"/>
      <c r="UKY97" s="798"/>
      <c r="UKZ97" s="798"/>
      <c r="ULA97" s="798"/>
      <c r="ULB97" s="798"/>
      <c r="ULC97" s="798"/>
      <c r="ULD97" s="798"/>
      <c r="ULE97" s="798"/>
      <c r="ULF97" s="798"/>
      <c r="ULG97" s="798"/>
      <c r="ULH97" s="798"/>
      <c r="ULI97" s="798"/>
      <c r="ULJ97" s="798"/>
      <c r="ULK97" s="798"/>
      <c r="ULL97" s="798"/>
      <c r="ULM97" s="798"/>
      <c r="ULN97" s="798"/>
      <c r="ULO97" s="798"/>
      <c r="ULP97" s="798"/>
      <c r="ULQ97" s="798"/>
      <c r="ULR97" s="798"/>
      <c r="ULS97" s="798"/>
      <c r="ULT97" s="798"/>
      <c r="ULU97" s="798"/>
      <c r="ULV97" s="798"/>
      <c r="ULW97" s="798"/>
      <c r="ULX97" s="798"/>
      <c r="ULY97" s="798"/>
      <c r="ULZ97" s="798"/>
      <c r="UMA97" s="798"/>
      <c r="UMB97" s="798"/>
      <c r="UMC97" s="798"/>
      <c r="UMD97" s="798"/>
      <c r="UME97" s="798"/>
      <c r="UMF97" s="798"/>
      <c r="UMG97" s="798"/>
      <c r="UMH97" s="798"/>
      <c r="UMI97" s="798"/>
      <c r="UMJ97" s="798"/>
      <c r="UMK97" s="798"/>
      <c r="UML97" s="798"/>
      <c r="UMM97" s="798"/>
      <c r="UMN97" s="798"/>
      <c r="UMO97" s="798"/>
      <c r="UMP97" s="798"/>
      <c r="UMQ97" s="798"/>
      <c r="UMR97" s="798"/>
      <c r="UMS97" s="798"/>
      <c r="UMT97" s="798"/>
      <c r="UMU97" s="798"/>
      <c r="UMV97" s="798"/>
      <c r="UMW97" s="798"/>
      <c r="UMX97" s="798"/>
      <c r="UMY97" s="798"/>
      <c r="UMZ97" s="798"/>
      <c r="UNA97" s="798"/>
      <c r="UNB97" s="798"/>
      <c r="UNC97" s="798"/>
      <c r="UND97" s="798"/>
      <c r="UNE97" s="798"/>
      <c r="UNF97" s="798"/>
      <c r="UNG97" s="798"/>
      <c r="UNH97" s="798"/>
      <c r="UNI97" s="798"/>
      <c r="UNJ97" s="798"/>
      <c r="UNK97" s="798"/>
      <c r="UNL97" s="798"/>
      <c r="UNM97" s="798"/>
      <c r="UNN97" s="798"/>
      <c r="UNO97" s="798"/>
      <c r="UNP97" s="798"/>
      <c r="UNQ97" s="798"/>
      <c r="UNR97" s="798"/>
      <c r="UNS97" s="798"/>
      <c r="UNT97" s="798"/>
      <c r="UNU97" s="798"/>
      <c r="UNV97" s="798"/>
      <c r="UNW97" s="798"/>
      <c r="UNX97" s="798"/>
      <c r="UNY97" s="798"/>
      <c r="UNZ97" s="798"/>
      <c r="UOA97" s="798"/>
      <c r="UOB97" s="798"/>
      <c r="UOC97" s="798"/>
      <c r="UOD97" s="798"/>
      <c r="UOE97" s="798"/>
      <c r="UOF97" s="798"/>
      <c r="UOG97" s="798"/>
      <c r="UOH97" s="798"/>
      <c r="UOI97" s="798"/>
      <c r="UOJ97" s="798"/>
      <c r="UOK97" s="798"/>
      <c r="UOL97" s="798"/>
      <c r="UOM97" s="798"/>
      <c r="UON97" s="798"/>
      <c r="UOO97" s="798"/>
      <c r="UOP97" s="798"/>
      <c r="UOQ97" s="798"/>
      <c r="UOR97" s="798"/>
      <c r="UOS97" s="798"/>
      <c r="UOT97" s="798"/>
      <c r="UOU97" s="798"/>
      <c r="UOV97" s="798"/>
      <c r="UOW97" s="798"/>
      <c r="UOX97" s="798"/>
      <c r="UOY97" s="798"/>
      <c r="UOZ97" s="798"/>
      <c r="UPA97" s="798"/>
      <c r="UPB97" s="798"/>
      <c r="UPC97" s="798"/>
      <c r="UPD97" s="798"/>
      <c r="UPE97" s="798"/>
      <c r="UPF97" s="798"/>
      <c r="UPG97" s="798"/>
      <c r="UPH97" s="798"/>
      <c r="UPI97" s="798"/>
      <c r="UPJ97" s="798"/>
      <c r="UPK97" s="798"/>
      <c r="UPL97" s="798"/>
      <c r="UPM97" s="798"/>
      <c r="UPN97" s="798"/>
      <c r="UPO97" s="798"/>
      <c r="UPP97" s="798"/>
      <c r="UPQ97" s="798"/>
      <c r="UPR97" s="798"/>
      <c r="UPS97" s="798"/>
      <c r="UPT97" s="798"/>
      <c r="UPU97" s="798"/>
      <c r="UPV97" s="798"/>
      <c r="UPW97" s="798"/>
      <c r="UPX97" s="798"/>
      <c r="UPY97" s="798"/>
      <c r="UPZ97" s="798"/>
      <c r="UQA97" s="798"/>
      <c r="UQB97" s="798"/>
      <c r="UQC97" s="798"/>
      <c r="UQD97" s="798"/>
      <c r="UQE97" s="798"/>
      <c r="UQF97" s="798"/>
      <c r="UQG97" s="798"/>
      <c r="UQH97" s="798"/>
      <c r="UQI97" s="798"/>
      <c r="UQJ97" s="798"/>
      <c r="UQK97" s="798"/>
      <c r="UQL97" s="798"/>
      <c r="UQM97" s="798"/>
      <c r="UQN97" s="798"/>
      <c r="UQO97" s="798"/>
      <c r="UQP97" s="798"/>
      <c r="UQQ97" s="798"/>
      <c r="UQR97" s="798"/>
      <c r="UQS97" s="798"/>
      <c r="UQT97" s="798"/>
      <c r="UQU97" s="798"/>
      <c r="UQV97" s="798"/>
      <c r="UQW97" s="798"/>
      <c r="UQX97" s="798"/>
      <c r="UQY97" s="798"/>
      <c r="UQZ97" s="798"/>
      <c r="URA97" s="798"/>
      <c r="URB97" s="798"/>
      <c r="URC97" s="798"/>
      <c r="URD97" s="798"/>
      <c r="URE97" s="798"/>
      <c r="URF97" s="798"/>
      <c r="URG97" s="798"/>
      <c r="URH97" s="798"/>
      <c r="URI97" s="798"/>
      <c r="URJ97" s="798"/>
      <c r="URK97" s="798"/>
      <c r="URL97" s="798"/>
      <c r="URM97" s="798"/>
      <c r="URN97" s="798"/>
      <c r="URO97" s="798"/>
      <c r="URP97" s="798"/>
      <c r="URQ97" s="798"/>
      <c r="URR97" s="798"/>
      <c r="URS97" s="798"/>
      <c r="URT97" s="798"/>
      <c r="URU97" s="798"/>
      <c r="URV97" s="798"/>
      <c r="URW97" s="798"/>
      <c r="URX97" s="798"/>
      <c r="URY97" s="798"/>
      <c r="URZ97" s="798"/>
      <c r="USA97" s="798"/>
      <c r="USB97" s="798"/>
      <c r="USC97" s="798"/>
      <c r="USD97" s="798"/>
      <c r="USE97" s="798"/>
      <c r="USF97" s="798"/>
      <c r="USG97" s="798"/>
      <c r="USH97" s="798"/>
      <c r="USI97" s="798"/>
      <c r="USJ97" s="798"/>
      <c r="USK97" s="798"/>
      <c r="USL97" s="798"/>
      <c r="USM97" s="798"/>
      <c r="USN97" s="798"/>
      <c r="USO97" s="798"/>
      <c r="USP97" s="798"/>
      <c r="USQ97" s="798"/>
      <c r="USR97" s="798"/>
      <c r="USS97" s="798"/>
      <c r="UST97" s="798"/>
      <c r="USU97" s="798"/>
      <c r="USV97" s="798"/>
      <c r="USW97" s="798"/>
      <c r="USX97" s="798"/>
      <c r="USY97" s="798"/>
      <c r="USZ97" s="798"/>
      <c r="UTA97" s="798"/>
      <c r="UTB97" s="798"/>
      <c r="UTC97" s="798"/>
      <c r="UTD97" s="798"/>
      <c r="UTE97" s="798"/>
      <c r="UTF97" s="798"/>
      <c r="UTG97" s="798"/>
      <c r="UTH97" s="798"/>
      <c r="UTI97" s="798"/>
      <c r="UTJ97" s="798"/>
      <c r="UTK97" s="798"/>
      <c r="UTL97" s="798"/>
      <c r="UTM97" s="798"/>
      <c r="UTN97" s="798"/>
      <c r="UTO97" s="798"/>
      <c r="UTP97" s="798"/>
      <c r="UTQ97" s="798"/>
      <c r="UTR97" s="798"/>
      <c r="UTS97" s="798"/>
      <c r="UTT97" s="798"/>
      <c r="UTU97" s="798"/>
      <c r="UTV97" s="798"/>
      <c r="UTW97" s="798"/>
      <c r="UTX97" s="798"/>
      <c r="UTY97" s="798"/>
      <c r="UTZ97" s="798"/>
      <c r="UUA97" s="798"/>
      <c r="UUB97" s="798"/>
      <c r="UUC97" s="798"/>
      <c r="UUD97" s="798"/>
      <c r="UUE97" s="798"/>
      <c r="UUF97" s="798"/>
      <c r="UUG97" s="798"/>
      <c r="UUH97" s="798"/>
      <c r="UUI97" s="798"/>
      <c r="UUJ97" s="798"/>
      <c r="UUK97" s="798"/>
      <c r="UUL97" s="798"/>
      <c r="UUM97" s="798"/>
      <c r="UUN97" s="798"/>
      <c r="UUO97" s="798"/>
      <c r="UUP97" s="798"/>
      <c r="UUQ97" s="798"/>
      <c r="UUR97" s="798"/>
      <c r="UUS97" s="798"/>
      <c r="UUT97" s="798"/>
      <c r="UUU97" s="798"/>
      <c r="UUV97" s="798"/>
      <c r="UUW97" s="798"/>
      <c r="UUX97" s="798"/>
      <c r="UUY97" s="798"/>
      <c r="UUZ97" s="798"/>
      <c r="UVA97" s="798"/>
      <c r="UVB97" s="798"/>
      <c r="UVC97" s="798"/>
      <c r="UVD97" s="798"/>
      <c r="UVE97" s="798"/>
      <c r="UVF97" s="798"/>
      <c r="UVG97" s="798"/>
      <c r="UVH97" s="798"/>
      <c r="UVI97" s="798"/>
      <c r="UVJ97" s="798"/>
      <c r="UVK97" s="798"/>
      <c r="UVL97" s="798"/>
      <c r="UVM97" s="798"/>
      <c r="UVN97" s="798"/>
      <c r="UVO97" s="798"/>
      <c r="UVP97" s="798"/>
      <c r="UVQ97" s="798"/>
      <c r="UVR97" s="798"/>
      <c r="UVS97" s="798"/>
      <c r="UVT97" s="798"/>
      <c r="UVU97" s="798"/>
      <c r="UVV97" s="798"/>
      <c r="UVW97" s="798"/>
      <c r="UVX97" s="798"/>
      <c r="UVY97" s="798"/>
      <c r="UVZ97" s="798"/>
      <c r="UWA97" s="798"/>
      <c r="UWB97" s="798"/>
      <c r="UWC97" s="798"/>
      <c r="UWD97" s="798"/>
      <c r="UWE97" s="798"/>
      <c r="UWF97" s="798"/>
      <c r="UWG97" s="798"/>
      <c r="UWH97" s="798"/>
      <c r="UWI97" s="798"/>
      <c r="UWJ97" s="798"/>
      <c r="UWK97" s="798"/>
      <c r="UWL97" s="798"/>
      <c r="UWM97" s="798"/>
      <c r="UWN97" s="798"/>
      <c r="UWO97" s="798"/>
      <c r="UWP97" s="798"/>
      <c r="UWQ97" s="798"/>
      <c r="UWR97" s="798"/>
      <c r="UWS97" s="798"/>
      <c r="UWT97" s="798"/>
      <c r="UWU97" s="798"/>
      <c r="UWV97" s="798"/>
      <c r="UWW97" s="798"/>
      <c r="UWX97" s="798"/>
      <c r="UWY97" s="798"/>
      <c r="UWZ97" s="798"/>
      <c r="UXA97" s="798"/>
      <c r="UXB97" s="798"/>
      <c r="UXC97" s="798"/>
      <c r="UXD97" s="798"/>
      <c r="UXE97" s="798"/>
      <c r="UXF97" s="798"/>
      <c r="UXG97" s="798"/>
      <c r="UXH97" s="798"/>
      <c r="UXI97" s="798"/>
      <c r="UXJ97" s="798"/>
      <c r="UXK97" s="798"/>
      <c r="UXL97" s="798"/>
      <c r="UXM97" s="798"/>
      <c r="UXN97" s="798"/>
      <c r="UXO97" s="798"/>
      <c r="UXP97" s="798"/>
      <c r="UXQ97" s="798"/>
      <c r="UXR97" s="798"/>
      <c r="UXS97" s="798"/>
      <c r="UXT97" s="798"/>
      <c r="UXU97" s="798"/>
      <c r="UXV97" s="798"/>
      <c r="UXW97" s="798"/>
      <c r="UXX97" s="798"/>
      <c r="UXY97" s="798"/>
      <c r="UXZ97" s="798"/>
      <c r="UYA97" s="798"/>
      <c r="UYB97" s="798"/>
      <c r="UYC97" s="798"/>
      <c r="UYD97" s="798"/>
      <c r="UYE97" s="798"/>
      <c r="UYF97" s="798"/>
      <c r="UYG97" s="798"/>
      <c r="UYH97" s="798"/>
      <c r="UYI97" s="798"/>
      <c r="UYJ97" s="798"/>
      <c r="UYK97" s="798"/>
      <c r="UYL97" s="798"/>
      <c r="UYM97" s="798"/>
      <c r="UYN97" s="798"/>
      <c r="UYO97" s="798"/>
      <c r="UYP97" s="798"/>
      <c r="UYQ97" s="798"/>
      <c r="UYR97" s="798"/>
      <c r="UYS97" s="798"/>
      <c r="UYT97" s="798"/>
      <c r="UYU97" s="798"/>
      <c r="UYV97" s="798"/>
      <c r="UYW97" s="798"/>
      <c r="UYX97" s="798"/>
      <c r="UYY97" s="798"/>
      <c r="UYZ97" s="798"/>
      <c r="UZA97" s="798"/>
      <c r="UZB97" s="798"/>
      <c r="UZC97" s="798"/>
      <c r="UZD97" s="798"/>
      <c r="UZE97" s="798"/>
      <c r="UZF97" s="798"/>
      <c r="UZG97" s="798"/>
      <c r="UZH97" s="798"/>
      <c r="UZI97" s="798"/>
      <c r="UZJ97" s="798"/>
      <c r="UZK97" s="798"/>
      <c r="UZL97" s="798"/>
      <c r="UZM97" s="798"/>
      <c r="UZN97" s="798"/>
      <c r="UZO97" s="798"/>
      <c r="UZP97" s="798"/>
      <c r="UZQ97" s="798"/>
      <c r="UZR97" s="798"/>
      <c r="UZS97" s="798"/>
      <c r="UZT97" s="798"/>
      <c r="UZU97" s="798"/>
      <c r="UZV97" s="798"/>
      <c r="UZW97" s="798"/>
      <c r="UZX97" s="798"/>
      <c r="UZY97" s="798"/>
      <c r="UZZ97" s="798"/>
      <c r="VAA97" s="798"/>
      <c r="VAB97" s="798"/>
      <c r="VAC97" s="798"/>
      <c r="VAD97" s="798"/>
      <c r="VAE97" s="798"/>
      <c r="VAF97" s="798"/>
      <c r="VAG97" s="798"/>
      <c r="VAH97" s="798"/>
      <c r="VAI97" s="798"/>
      <c r="VAJ97" s="798"/>
      <c r="VAK97" s="798"/>
      <c r="VAL97" s="798"/>
      <c r="VAM97" s="798"/>
      <c r="VAN97" s="798"/>
      <c r="VAO97" s="798"/>
      <c r="VAP97" s="798"/>
      <c r="VAQ97" s="798"/>
      <c r="VAR97" s="798"/>
      <c r="VAS97" s="798"/>
      <c r="VAT97" s="798"/>
      <c r="VAU97" s="798"/>
      <c r="VAV97" s="798"/>
      <c r="VAW97" s="798"/>
      <c r="VAX97" s="798"/>
      <c r="VAY97" s="798"/>
      <c r="VAZ97" s="798"/>
      <c r="VBA97" s="798"/>
      <c r="VBB97" s="798"/>
      <c r="VBC97" s="798"/>
      <c r="VBD97" s="798"/>
      <c r="VBE97" s="798"/>
      <c r="VBF97" s="798"/>
      <c r="VBG97" s="798"/>
      <c r="VBH97" s="798"/>
      <c r="VBI97" s="798"/>
      <c r="VBJ97" s="798"/>
      <c r="VBK97" s="798"/>
      <c r="VBL97" s="798"/>
      <c r="VBM97" s="798"/>
      <c r="VBN97" s="798"/>
      <c r="VBO97" s="798"/>
      <c r="VBP97" s="798"/>
      <c r="VBQ97" s="798"/>
      <c r="VBR97" s="798"/>
      <c r="VBS97" s="798"/>
      <c r="VBT97" s="798"/>
      <c r="VBU97" s="798"/>
      <c r="VBV97" s="798"/>
      <c r="VBW97" s="798"/>
      <c r="VBX97" s="798"/>
      <c r="VBY97" s="798"/>
      <c r="VBZ97" s="798"/>
      <c r="VCA97" s="798"/>
      <c r="VCB97" s="798"/>
      <c r="VCC97" s="798"/>
      <c r="VCD97" s="798"/>
      <c r="VCE97" s="798"/>
      <c r="VCF97" s="798"/>
      <c r="VCG97" s="798"/>
      <c r="VCH97" s="798"/>
      <c r="VCI97" s="798"/>
      <c r="VCJ97" s="798"/>
      <c r="VCK97" s="798"/>
      <c r="VCL97" s="798"/>
      <c r="VCM97" s="798"/>
      <c r="VCN97" s="798"/>
      <c r="VCO97" s="798"/>
      <c r="VCP97" s="798"/>
      <c r="VCQ97" s="798"/>
      <c r="VCR97" s="798"/>
      <c r="VCS97" s="798"/>
      <c r="VCT97" s="798"/>
      <c r="VCU97" s="798"/>
      <c r="VCV97" s="798"/>
      <c r="VCW97" s="798"/>
      <c r="VCX97" s="798"/>
      <c r="VCY97" s="798"/>
      <c r="VCZ97" s="798"/>
      <c r="VDA97" s="798"/>
      <c r="VDB97" s="798"/>
      <c r="VDC97" s="798"/>
      <c r="VDD97" s="798"/>
      <c r="VDE97" s="798"/>
      <c r="VDF97" s="798"/>
      <c r="VDG97" s="798"/>
      <c r="VDH97" s="798"/>
      <c r="VDI97" s="798"/>
      <c r="VDJ97" s="798"/>
      <c r="VDK97" s="798"/>
      <c r="VDL97" s="798"/>
      <c r="VDM97" s="798"/>
      <c r="VDN97" s="798"/>
      <c r="VDO97" s="798"/>
      <c r="VDP97" s="798"/>
      <c r="VDQ97" s="798"/>
      <c r="VDR97" s="798"/>
      <c r="VDS97" s="798"/>
      <c r="VDT97" s="798"/>
      <c r="VDU97" s="798"/>
      <c r="VDV97" s="798"/>
      <c r="VDW97" s="798"/>
      <c r="VDX97" s="798"/>
      <c r="VDY97" s="798"/>
      <c r="VDZ97" s="798"/>
      <c r="VEA97" s="798"/>
      <c r="VEB97" s="798"/>
      <c r="VEC97" s="798"/>
      <c r="VED97" s="798"/>
      <c r="VEE97" s="798"/>
      <c r="VEF97" s="798"/>
      <c r="VEG97" s="798"/>
      <c r="VEH97" s="798"/>
      <c r="VEI97" s="798"/>
      <c r="VEJ97" s="798"/>
      <c r="VEK97" s="798"/>
      <c r="VEL97" s="798"/>
      <c r="VEM97" s="798"/>
      <c r="VEN97" s="798"/>
      <c r="VEO97" s="798"/>
      <c r="VEP97" s="798"/>
      <c r="VEQ97" s="798"/>
      <c r="VER97" s="798"/>
      <c r="VES97" s="798"/>
      <c r="VET97" s="798"/>
      <c r="VEU97" s="798"/>
      <c r="VEV97" s="798"/>
      <c r="VEW97" s="798"/>
      <c r="VEX97" s="798"/>
      <c r="VEY97" s="798"/>
      <c r="VEZ97" s="798"/>
      <c r="VFA97" s="798"/>
      <c r="VFB97" s="798"/>
      <c r="VFC97" s="798"/>
      <c r="VFD97" s="798"/>
      <c r="VFE97" s="798"/>
      <c r="VFF97" s="798"/>
      <c r="VFG97" s="798"/>
      <c r="VFH97" s="798"/>
      <c r="VFI97" s="798"/>
      <c r="VFJ97" s="798"/>
      <c r="VFK97" s="798"/>
      <c r="VFL97" s="798"/>
      <c r="VFM97" s="798"/>
      <c r="VFN97" s="798"/>
      <c r="VFO97" s="798"/>
      <c r="VFP97" s="798"/>
      <c r="VFQ97" s="798"/>
      <c r="VFR97" s="798"/>
      <c r="VFS97" s="798"/>
      <c r="VFT97" s="798"/>
      <c r="VFU97" s="798"/>
      <c r="VFV97" s="798"/>
      <c r="VFW97" s="798"/>
      <c r="VFX97" s="798"/>
      <c r="VFY97" s="798"/>
      <c r="VFZ97" s="798"/>
      <c r="VGA97" s="798"/>
      <c r="VGB97" s="798"/>
      <c r="VGC97" s="798"/>
      <c r="VGD97" s="798"/>
      <c r="VGE97" s="798"/>
      <c r="VGF97" s="798"/>
      <c r="VGG97" s="798"/>
      <c r="VGH97" s="798"/>
      <c r="VGI97" s="798"/>
      <c r="VGJ97" s="798"/>
      <c r="VGK97" s="798"/>
      <c r="VGL97" s="798"/>
      <c r="VGM97" s="798"/>
      <c r="VGN97" s="798"/>
      <c r="VGO97" s="798"/>
      <c r="VGP97" s="798"/>
      <c r="VGQ97" s="798"/>
      <c r="VGR97" s="798"/>
      <c r="VGS97" s="798"/>
      <c r="VGT97" s="798"/>
      <c r="VGU97" s="798"/>
      <c r="VGV97" s="798"/>
      <c r="VGW97" s="798"/>
      <c r="VGX97" s="798"/>
      <c r="VGY97" s="798"/>
      <c r="VGZ97" s="798"/>
      <c r="VHA97" s="798"/>
      <c r="VHB97" s="798"/>
      <c r="VHC97" s="798"/>
      <c r="VHD97" s="798"/>
      <c r="VHE97" s="798"/>
      <c r="VHF97" s="798"/>
      <c r="VHG97" s="798"/>
      <c r="VHH97" s="798"/>
      <c r="VHI97" s="798"/>
      <c r="VHJ97" s="798"/>
      <c r="VHK97" s="798"/>
      <c r="VHL97" s="798"/>
      <c r="VHM97" s="798"/>
      <c r="VHN97" s="798"/>
      <c r="VHO97" s="798"/>
      <c r="VHP97" s="798"/>
      <c r="VHQ97" s="798"/>
      <c r="VHR97" s="798"/>
      <c r="VHS97" s="798"/>
      <c r="VHT97" s="798"/>
      <c r="VHU97" s="798"/>
      <c r="VHV97" s="798"/>
      <c r="VHW97" s="798"/>
      <c r="VHX97" s="798"/>
      <c r="VHY97" s="798"/>
      <c r="VHZ97" s="798"/>
      <c r="VIA97" s="798"/>
      <c r="VIB97" s="798"/>
      <c r="VIC97" s="798"/>
      <c r="VID97" s="798"/>
      <c r="VIE97" s="798"/>
      <c r="VIF97" s="798"/>
      <c r="VIG97" s="798"/>
      <c r="VIH97" s="798"/>
      <c r="VII97" s="798"/>
      <c r="VIJ97" s="798"/>
      <c r="VIK97" s="798"/>
      <c r="VIL97" s="798"/>
      <c r="VIM97" s="798"/>
      <c r="VIN97" s="798"/>
      <c r="VIO97" s="798"/>
      <c r="VIP97" s="798"/>
      <c r="VIQ97" s="798"/>
      <c r="VIR97" s="798"/>
      <c r="VIS97" s="798"/>
      <c r="VIT97" s="798"/>
      <c r="VIU97" s="798"/>
      <c r="VIV97" s="798"/>
      <c r="VIW97" s="798"/>
      <c r="VIX97" s="798"/>
      <c r="VIY97" s="798"/>
      <c r="VIZ97" s="798"/>
      <c r="VJA97" s="798"/>
      <c r="VJB97" s="798"/>
      <c r="VJC97" s="798"/>
      <c r="VJD97" s="798"/>
      <c r="VJE97" s="798"/>
      <c r="VJF97" s="798"/>
      <c r="VJG97" s="798"/>
      <c r="VJH97" s="798"/>
      <c r="VJI97" s="798"/>
      <c r="VJJ97" s="798"/>
      <c r="VJK97" s="798"/>
      <c r="VJL97" s="798"/>
      <c r="VJM97" s="798"/>
      <c r="VJN97" s="798"/>
      <c r="VJO97" s="798"/>
      <c r="VJP97" s="798"/>
      <c r="VJQ97" s="798"/>
      <c r="VJR97" s="798"/>
      <c r="VJS97" s="798"/>
      <c r="VJT97" s="798"/>
      <c r="VJU97" s="798"/>
      <c r="VJV97" s="798"/>
      <c r="VJW97" s="798"/>
      <c r="VJX97" s="798"/>
      <c r="VJY97" s="798"/>
      <c r="VJZ97" s="798"/>
      <c r="VKA97" s="798"/>
      <c r="VKB97" s="798"/>
      <c r="VKC97" s="798"/>
      <c r="VKD97" s="798"/>
      <c r="VKE97" s="798"/>
      <c r="VKF97" s="798"/>
      <c r="VKG97" s="798"/>
      <c r="VKH97" s="798"/>
      <c r="VKI97" s="798"/>
      <c r="VKJ97" s="798"/>
      <c r="VKK97" s="798"/>
      <c r="VKL97" s="798"/>
      <c r="VKM97" s="798"/>
      <c r="VKN97" s="798"/>
      <c r="VKO97" s="798"/>
      <c r="VKP97" s="798"/>
      <c r="VKQ97" s="798"/>
      <c r="VKR97" s="798"/>
      <c r="VKS97" s="798"/>
      <c r="VKT97" s="798"/>
      <c r="VKU97" s="798"/>
      <c r="VKV97" s="798"/>
      <c r="VKW97" s="798"/>
      <c r="VKX97" s="798"/>
      <c r="VKY97" s="798"/>
      <c r="VKZ97" s="798"/>
      <c r="VLA97" s="798"/>
      <c r="VLB97" s="798"/>
      <c r="VLC97" s="798"/>
      <c r="VLD97" s="798"/>
      <c r="VLE97" s="798"/>
      <c r="VLF97" s="798"/>
      <c r="VLG97" s="798"/>
      <c r="VLH97" s="798"/>
      <c r="VLI97" s="798"/>
      <c r="VLJ97" s="798"/>
      <c r="VLK97" s="798"/>
      <c r="VLL97" s="798"/>
      <c r="VLM97" s="798"/>
      <c r="VLN97" s="798"/>
      <c r="VLO97" s="798"/>
      <c r="VLP97" s="798"/>
      <c r="VLQ97" s="798"/>
      <c r="VLR97" s="798"/>
      <c r="VLS97" s="798"/>
      <c r="VLT97" s="798"/>
      <c r="VLU97" s="798"/>
      <c r="VLV97" s="798"/>
      <c r="VLW97" s="798"/>
      <c r="VLX97" s="798"/>
      <c r="VLY97" s="798"/>
      <c r="VLZ97" s="798"/>
      <c r="VMA97" s="798"/>
      <c r="VMB97" s="798"/>
      <c r="VMC97" s="798"/>
      <c r="VMD97" s="798"/>
      <c r="VME97" s="798"/>
      <c r="VMF97" s="798"/>
      <c r="VMG97" s="798"/>
      <c r="VMH97" s="798"/>
      <c r="VMI97" s="798"/>
      <c r="VMJ97" s="798"/>
      <c r="VMK97" s="798"/>
      <c r="VML97" s="798"/>
      <c r="VMM97" s="798"/>
      <c r="VMN97" s="798"/>
      <c r="VMO97" s="798"/>
      <c r="VMP97" s="798"/>
      <c r="VMQ97" s="798"/>
      <c r="VMR97" s="798"/>
      <c r="VMS97" s="798"/>
      <c r="VMT97" s="798"/>
      <c r="VMU97" s="798"/>
      <c r="VMV97" s="798"/>
      <c r="VMW97" s="798"/>
      <c r="VMX97" s="798"/>
      <c r="VMY97" s="798"/>
      <c r="VMZ97" s="798"/>
      <c r="VNA97" s="798"/>
      <c r="VNB97" s="798"/>
      <c r="VNC97" s="798"/>
      <c r="VND97" s="798"/>
      <c r="VNE97" s="798"/>
      <c r="VNF97" s="798"/>
      <c r="VNG97" s="798"/>
      <c r="VNH97" s="798"/>
      <c r="VNI97" s="798"/>
      <c r="VNJ97" s="798"/>
      <c r="VNK97" s="798"/>
      <c r="VNL97" s="798"/>
      <c r="VNM97" s="798"/>
      <c r="VNN97" s="798"/>
      <c r="VNO97" s="798"/>
      <c r="VNP97" s="798"/>
      <c r="VNQ97" s="798"/>
      <c r="VNR97" s="798"/>
      <c r="VNS97" s="798"/>
      <c r="VNT97" s="798"/>
      <c r="VNU97" s="798"/>
      <c r="VNV97" s="798"/>
      <c r="VNW97" s="798"/>
      <c r="VNX97" s="798"/>
      <c r="VNY97" s="798"/>
      <c r="VNZ97" s="798"/>
      <c r="VOA97" s="798"/>
      <c r="VOB97" s="798"/>
      <c r="VOC97" s="798"/>
      <c r="VOD97" s="798"/>
      <c r="VOE97" s="798"/>
      <c r="VOF97" s="798"/>
      <c r="VOG97" s="798"/>
      <c r="VOH97" s="798"/>
      <c r="VOI97" s="798"/>
      <c r="VOJ97" s="798"/>
      <c r="VOK97" s="798"/>
      <c r="VOL97" s="798"/>
      <c r="VOM97" s="798"/>
      <c r="VON97" s="798"/>
      <c r="VOO97" s="798"/>
      <c r="VOP97" s="798"/>
      <c r="VOQ97" s="798"/>
      <c r="VOR97" s="798"/>
      <c r="VOS97" s="798"/>
      <c r="VOT97" s="798"/>
      <c r="VOU97" s="798"/>
      <c r="VOV97" s="798"/>
      <c r="VOW97" s="798"/>
      <c r="VOX97" s="798"/>
      <c r="VOY97" s="798"/>
      <c r="VOZ97" s="798"/>
      <c r="VPA97" s="798"/>
      <c r="VPB97" s="798"/>
      <c r="VPC97" s="798"/>
      <c r="VPD97" s="798"/>
      <c r="VPE97" s="798"/>
      <c r="VPF97" s="798"/>
      <c r="VPG97" s="798"/>
      <c r="VPH97" s="798"/>
      <c r="VPI97" s="798"/>
      <c r="VPJ97" s="798"/>
      <c r="VPK97" s="798"/>
      <c r="VPL97" s="798"/>
      <c r="VPM97" s="798"/>
      <c r="VPN97" s="798"/>
      <c r="VPO97" s="798"/>
      <c r="VPP97" s="798"/>
      <c r="VPQ97" s="798"/>
      <c r="VPR97" s="798"/>
      <c r="VPS97" s="798"/>
      <c r="VPT97" s="798"/>
      <c r="VPU97" s="798"/>
      <c r="VPV97" s="798"/>
      <c r="VPW97" s="798"/>
      <c r="VPX97" s="798"/>
      <c r="VPY97" s="798"/>
      <c r="VPZ97" s="798"/>
      <c r="VQA97" s="798"/>
      <c r="VQB97" s="798"/>
      <c r="VQC97" s="798"/>
      <c r="VQD97" s="798"/>
      <c r="VQE97" s="798"/>
      <c r="VQF97" s="798"/>
      <c r="VQG97" s="798"/>
      <c r="VQH97" s="798"/>
      <c r="VQI97" s="798"/>
      <c r="VQJ97" s="798"/>
      <c r="VQK97" s="798"/>
      <c r="VQL97" s="798"/>
      <c r="VQM97" s="798"/>
      <c r="VQN97" s="798"/>
      <c r="VQO97" s="798"/>
      <c r="VQP97" s="798"/>
      <c r="VQQ97" s="798"/>
      <c r="VQR97" s="798"/>
      <c r="VQS97" s="798"/>
      <c r="VQT97" s="798"/>
      <c r="VQU97" s="798"/>
      <c r="VQV97" s="798"/>
      <c r="VQW97" s="798"/>
      <c r="VQX97" s="798"/>
      <c r="VQY97" s="798"/>
      <c r="VQZ97" s="798"/>
      <c r="VRA97" s="798"/>
      <c r="VRB97" s="798"/>
      <c r="VRC97" s="798"/>
      <c r="VRD97" s="798"/>
      <c r="VRE97" s="798"/>
      <c r="VRF97" s="798"/>
      <c r="VRG97" s="798"/>
      <c r="VRH97" s="798"/>
      <c r="VRI97" s="798"/>
      <c r="VRJ97" s="798"/>
      <c r="VRK97" s="798"/>
      <c r="VRL97" s="798"/>
      <c r="VRM97" s="798"/>
      <c r="VRN97" s="798"/>
      <c r="VRO97" s="798"/>
      <c r="VRP97" s="798"/>
      <c r="VRQ97" s="798"/>
      <c r="VRR97" s="798"/>
      <c r="VRS97" s="798"/>
      <c r="VRT97" s="798"/>
      <c r="VRU97" s="798"/>
      <c r="VRV97" s="798"/>
      <c r="VRW97" s="798"/>
      <c r="VRX97" s="798"/>
      <c r="VRY97" s="798"/>
      <c r="VRZ97" s="798"/>
      <c r="VSA97" s="798"/>
      <c r="VSB97" s="798"/>
      <c r="VSC97" s="798"/>
      <c r="VSD97" s="798"/>
      <c r="VSE97" s="798"/>
      <c r="VSF97" s="798"/>
      <c r="VSG97" s="798"/>
      <c r="VSH97" s="798"/>
      <c r="VSI97" s="798"/>
      <c r="VSJ97" s="798"/>
      <c r="VSK97" s="798"/>
      <c r="VSL97" s="798"/>
      <c r="VSM97" s="798"/>
      <c r="VSN97" s="798"/>
      <c r="VSO97" s="798"/>
      <c r="VSP97" s="798"/>
      <c r="VSQ97" s="798"/>
      <c r="VSR97" s="798"/>
      <c r="VSS97" s="798"/>
      <c r="VST97" s="798"/>
      <c r="VSU97" s="798"/>
      <c r="VSV97" s="798"/>
      <c r="VSW97" s="798"/>
      <c r="VSX97" s="798"/>
      <c r="VSY97" s="798"/>
      <c r="VSZ97" s="798"/>
      <c r="VTA97" s="798"/>
      <c r="VTB97" s="798"/>
      <c r="VTC97" s="798"/>
      <c r="VTD97" s="798"/>
      <c r="VTE97" s="798"/>
      <c r="VTF97" s="798"/>
      <c r="VTG97" s="798"/>
      <c r="VTH97" s="798"/>
      <c r="VTI97" s="798"/>
      <c r="VTJ97" s="798"/>
      <c r="VTK97" s="798"/>
      <c r="VTL97" s="798"/>
      <c r="VTM97" s="798"/>
      <c r="VTN97" s="798"/>
      <c r="VTO97" s="798"/>
      <c r="VTP97" s="798"/>
      <c r="VTQ97" s="798"/>
      <c r="VTR97" s="798"/>
      <c r="VTS97" s="798"/>
      <c r="VTT97" s="798"/>
      <c r="VTU97" s="798"/>
      <c r="VTV97" s="798"/>
      <c r="VTW97" s="798"/>
      <c r="VTX97" s="798"/>
      <c r="VTY97" s="798"/>
      <c r="VTZ97" s="798"/>
      <c r="VUA97" s="798"/>
      <c r="VUB97" s="798"/>
      <c r="VUC97" s="798"/>
      <c r="VUD97" s="798"/>
      <c r="VUE97" s="798"/>
      <c r="VUF97" s="798"/>
      <c r="VUG97" s="798"/>
      <c r="VUH97" s="798"/>
      <c r="VUI97" s="798"/>
      <c r="VUJ97" s="798"/>
      <c r="VUK97" s="798"/>
      <c r="VUL97" s="798"/>
      <c r="VUM97" s="798"/>
      <c r="VUN97" s="798"/>
      <c r="VUO97" s="798"/>
      <c r="VUP97" s="798"/>
      <c r="VUQ97" s="798"/>
      <c r="VUR97" s="798"/>
      <c r="VUS97" s="798"/>
      <c r="VUT97" s="798"/>
      <c r="VUU97" s="798"/>
      <c r="VUV97" s="798"/>
      <c r="VUW97" s="798"/>
      <c r="VUX97" s="798"/>
      <c r="VUY97" s="798"/>
      <c r="VUZ97" s="798"/>
      <c r="VVA97" s="798"/>
      <c r="VVB97" s="798"/>
      <c r="VVC97" s="798"/>
      <c r="VVD97" s="798"/>
      <c r="VVE97" s="798"/>
      <c r="VVF97" s="798"/>
      <c r="VVG97" s="798"/>
      <c r="VVH97" s="798"/>
      <c r="VVI97" s="798"/>
      <c r="VVJ97" s="798"/>
      <c r="VVK97" s="798"/>
      <c r="VVL97" s="798"/>
      <c r="VVM97" s="798"/>
      <c r="VVN97" s="798"/>
      <c r="VVO97" s="798"/>
      <c r="VVP97" s="798"/>
      <c r="VVQ97" s="798"/>
      <c r="VVR97" s="798"/>
      <c r="VVS97" s="798"/>
      <c r="VVT97" s="798"/>
      <c r="VVU97" s="798"/>
      <c r="VVV97" s="798"/>
      <c r="VVW97" s="798"/>
      <c r="VVX97" s="798"/>
      <c r="VVY97" s="798"/>
      <c r="VVZ97" s="798"/>
      <c r="VWA97" s="798"/>
      <c r="VWB97" s="798"/>
      <c r="VWC97" s="798"/>
      <c r="VWD97" s="798"/>
      <c r="VWE97" s="798"/>
      <c r="VWF97" s="798"/>
      <c r="VWG97" s="798"/>
      <c r="VWH97" s="798"/>
      <c r="VWI97" s="798"/>
      <c r="VWJ97" s="798"/>
      <c r="VWK97" s="798"/>
      <c r="VWL97" s="798"/>
      <c r="VWM97" s="798"/>
      <c r="VWN97" s="798"/>
      <c r="VWO97" s="798"/>
      <c r="VWP97" s="798"/>
      <c r="VWQ97" s="798"/>
      <c r="VWR97" s="798"/>
      <c r="VWS97" s="798"/>
      <c r="VWT97" s="798"/>
      <c r="VWU97" s="798"/>
      <c r="VWV97" s="798"/>
      <c r="VWW97" s="798"/>
      <c r="VWX97" s="798"/>
      <c r="VWY97" s="798"/>
      <c r="VWZ97" s="798"/>
      <c r="VXA97" s="798"/>
      <c r="VXB97" s="798"/>
      <c r="VXC97" s="798"/>
      <c r="VXD97" s="798"/>
      <c r="VXE97" s="798"/>
      <c r="VXF97" s="798"/>
      <c r="VXG97" s="798"/>
      <c r="VXH97" s="798"/>
      <c r="VXI97" s="798"/>
      <c r="VXJ97" s="798"/>
      <c r="VXK97" s="798"/>
      <c r="VXL97" s="798"/>
      <c r="VXM97" s="798"/>
      <c r="VXN97" s="798"/>
      <c r="VXO97" s="798"/>
      <c r="VXP97" s="798"/>
      <c r="VXQ97" s="798"/>
      <c r="VXR97" s="798"/>
      <c r="VXS97" s="798"/>
      <c r="VXT97" s="798"/>
      <c r="VXU97" s="798"/>
      <c r="VXV97" s="798"/>
      <c r="VXW97" s="798"/>
      <c r="VXX97" s="798"/>
      <c r="VXY97" s="798"/>
      <c r="VXZ97" s="798"/>
      <c r="VYA97" s="798"/>
      <c r="VYB97" s="798"/>
      <c r="VYC97" s="798"/>
      <c r="VYD97" s="798"/>
      <c r="VYE97" s="798"/>
      <c r="VYF97" s="798"/>
      <c r="VYG97" s="798"/>
      <c r="VYH97" s="798"/>
      <c r="VYI97" s="798"/>
      <c r="VYJ97" s="798"/>
      <c r="VYK97" s="798"/>
      <c r="VYL97" s="798"/>
      <c r="VYM97" s="798"/>
      <c r="VYN97" s="798"/>
      <c r="VYO97" s="798"/>
      <c r="VYP97" s="798"/>
      <c r="VYQ97" s="798"/>
      <c r="VYR97" s="798"/>
      <c r="VYS97" s="798"/>
      <c r="VYT97" s="798"/>
      <c r="VYU97" s="798"/>
      <c r="VYV97" s="798"/>
      <c r="VYW97" s="798"/>
      <c r="VYX97" s="798"/>
      <c r="VYY97" s="798"/>
      <c r="VYZ97" s="798"/>
      <c r="VZA97" s="798"/>
      <c r="VZB97" s="798"/>
      <c r="VZC97" s="798"/>
      <c r="VZD97" s="798"/>
      <c r="VZE97" s="798"/>
      <c r="VZF97" s="798"/>
      <c r="VZG97" s="798"/>
      <c r="VZH97" s="798"/>
      <c r="VZI97" s="798"/>
      <c r="VZJ97" s="798"/>
      <c r="VZK97" s="798"/>
      <c r="VZL97" s="798"/>
      <c r="VZM97" s="798"/>
      <c r="VZN97" s="798"/>
      <c r="VZO97" s="798"/>
      <c r="VZP97" s="798"/>
      <c r="VZQ97" s="798"/>
      <c r="VZR97" s="798"/>
      <c r="VZS97" s="798"/>
      <c r="VZT97" s="798"/>
      <c r="VZU97" s="798"/>
      <c r="VZV97" s="798"/>
      <c r="VZW97" s="798"/>
      <c r="VZX97" s="798"/>
      <c r="VZY97" s="798"/>
      <c r="VZZ97" s="798"/>
      <c r="WAA97" s="798"/>
      <c r="WAB97" s="798"/>
      <c r="WAC97" s="798"/>
      <c r="WAD97" s="798"/>
      <c r="WAE97" s="798"/>
      <c r="WAF97" s="798"/>
      <c r="WAG97" s="798"/>
      <c r="WAH97" s="798"/>
      <c r="WAI97" s="798"/>
      <c r="WAJ97" s="798"/>
      <c r="WAK97" s="798"/>
      <c r="WAL97" s="798"/>
      <c r="WAM97" s="798"/>
      <c r="WAN97" s="798"/>
      <c r="WAO97" s="798"/>
      <c r="WAP97" s="798"/>
      <c r="WAQ97" s="798"/>
      <c r="WAR97" s="798"/>
      <c r="WAS97" s="798"/>
      <c r="WAT97" s="798"/>
      <c r="WAU97" s="798"/>
      <c r="WAV97" s="798"/>
      <c r="WAW97" s="798"/>
      <c r="WAX97" s="798"/>
      <c r="WAY97" s="798"/>
      <c r="WAZ97" s="798"/>
      <c r="WBA97" s="798"/>
      <c r="WBB97" s="798"/>
      <c r="WBC97" s="798"/>
      <c r="WBD97" s="798"/>
      <c r="WBE97" s="798"/>
      <c r="WBF97" s="798"/>
      <c r="WBG97" s="798"/>
      <c r="WBH97" s="798"/>
      <c r="WBI97" s="798"/>
      <c r="WBJ97" s="798"/>
      <c r="WBK97" s="798"/>
      <c r="WBL97" s="798"/>
      <c r="WBM97" s="798"/>
      <c r="WBN97" s="798"/>
      <c r="WBO97" s="798"/>
      <c r="WBP97" s="798"/>
      <c r="WBQ97" s="798"/>
      <c r="WBR97" s="798"/>
      <c r="WBS97" s="798"/>
      <c r="WBT97" s="798"/>
      <c r="WBU97" s="798"/>
      <c r="WBV97" s="798"/>
      <c r="WBW97" s="798"/>
      <c r="WBX97" s="798"/>
      <c r="WBY97" s="798"/>
      <c r="WBZ97" s="798"/>
      <c r="WCA97" s="798"/>
      <c r="WCB97" s="798"/>
      <c r="WCC97" s="798"/>
      <c r="WCD97" s="798"/>
      <c r="WCE97" s="798"/>
      <c r="WCF97" s="798"/>
      <c r="WCG97" s="798"/>
      <c r="WCH97" s="798"/>
      <c r="WCI97" s="798"/>
      <c r="WCJ97" s="798"/>
      <c r="WCK97" s="798"/>
      <c r="WCL97" s="798"/>
      <c r="WCM97" s="798"/>
      <c r="WCN97" s="798"/>
      <c r="WCO97" s="798"/>
      <c r="WCP97" s="798"/>
      <c r="WCQ97" s="798"/>
      <c r="WCR97" s="798"/>
      <c r="WCS97" s="798"/>
      <c r="WCT97" s="798"/>
      <c r="WCU97" s="798"/>
      <c r="WCV97" s="798"/>
      <c r="WCW97" s="798"/>
      <c r="WCX97" s="798"/>
      <c r="WCY97" s="798"/>
      <c r="WCZ97" s="798"/>
      <c r="WDA97" s="798"/>
      <c r="WDB97" s="798"/>
      <c r="WDC97" s="798"/>
      <c r="WDD97" s="798"/>
      <c r="WDE97" s="798"/>
      <c r="WDF97" s="798"/>
      <c r="WDG97" s="798"/>
      <c r="WDH97" s="798"/>
      <c r="WDI97" s="798"/>
      <c r="WDJ97" s="798"/>
      <c r="WDK97" s="798"/>
      <c r="WDL97" s="798"/>
      <c r="WDM97" s="798"/>
      <c r="WDN97" s="798"/>
      <c r="WDO97" s="798"/>
      <c r="WDP97" s="798"/>
      <c r="WDQ97" s="798"/>
      <c r="WDR97" s="798"/>
      <c r="WDS97" s="798"/>
      <c r="WDT97" s="798"/>
      <c r="WDU97" s="798"/>
      <c r="WDV97" s="798"/>
      <c r="WDW97" s="798"/>
      <c r="WDX97" s="798"/>
      <c r="WDY97" s="798"/>
      <c r="WDZ97" s="798"/>
      <c r="WEA97" s="798"/>
      <c r="WEB97" s="798"/>
      <c r="WEC97" s="798"/>
      <c r="WED97" s="798"/>
      <c r="WEE97" s="798"/>
      <c r="WEF97" s="798"/>
      <c r="WEG97" s="798"/>
      <c r="WEH97" s="798"/>
      <c r="WEI97" s="798"/>
      <c r="WEJ97" s="798"/>
      <c r="WEK97" s="798"/>
      <c r="WEL97" s="798"/>
      <c r="WEM97" s="798"/>
      <c r="WEN97" s="798"/>
      <c r="WEO97" s="798"/>
      <c r="WEP97" s="798"/>
      <c r="WEQ97" s="798"/>
      <c r="WER97" s="798"/>
      <c r="WES97" s="798"/>
      <c r="WET97" s="798"/>
      <c r="WEU97" s="798"/>
      <c r="WEV97" s="798"/>
      <c r="WEW97" s="798"/>
      <c r="WEX97" s="798"/>
      <c r="WEY97" s="798"/>
      <c r="WEZ97" s="798"/>
      <c r="WFA97" s="798"/>
      <c r="WFB97" s="798"/>
      <c r="WFC97" s="798"/>
      <c r="WFD97" s="798"/>
      <c r="WFE97" s="798"/>
      <c r="WFF97" s="798"/>
      <c r="WFG97" s="798"/>
      <c r="WFH97" s="798"/>
      <c r="WFI97" s="798"/>
      <c r="WFJ97" s="798"/>
      <c r="WFK97" s="798"/>
      <c r="WFL97" s="798"/>
      <c r="WFM97" s="798"/>
      <c r="WFN97" s="798"/>
      <c r="WFO97" s="798"/>
      <c r="WFP97" s="798"/>
      <c r="WFQ97" s="798"/>
      <c r="WFR97" s="798"/>
      <c r="WFS97" s="798"/>
      <c r="WFT97" s="798"/>
      <c r="WFU97" s="798"/>
      <c r="WFV97" s="798"/>
      <c r="WFW97" s="798"/>
      <c r="WFX97" s="798"/>
      <c r="WFY97" s="798"/>
      <c r="WFZ97" s="798"/>
      <c r="WGA97" s="798"/>
      <c r="WGB97" s="798"/>
      <c r="WGC97" s="798"/>
      <c r="WGD97" s="798"/>
      <c r="WGE97" s="798"/>
      <c r="WGF97" s="798"/>
      <c r="WGG97" s="798"/>
      <c r="WGH97" s="798"/>
      <c r="WGI97" s="798"/>
      <c r="WGJ97" s="798"/>
      <c r="WGK97" s="798"/>
      <c r="WGL97" s="798"/>
      <c r="WGM97" s="798"/>
      <c r="WGN97" s="798"/>
      <c r="WGO97" s="798"/>
      <c r="WGP97" s="798"/>
      <c r="WGQ97" s="798"/>
      <c r="WGR97" s="798"/>
      <c r="WGS97" s="798"/>
      <c r="WGT97" s="798"/>
      <c r="WGU97" s="798"/>
      <c r="WGV97" s="798"/>
      <c r="WGW97" s="798"/>
      <c r="WGX97" s="798"/>
      <c r="WGY97" s="798"/>
      <c r="WGZ97" s="798"/>
      <c r="WHA97" s="798"/>
      <c r="WHB97" s="798"/>
      <c r="WHC97" s="798"/>
      <c r="WHD97" s="798"/>
      <c r="WHE97" s="798"/>
      <c r="WHF97" s="798"/>
      <c r="WHG97" s="798"/>
      <c r="WHH97" s="798"/>
      <c r="WHI97" s="798"/>
      <c r="WHJ97" s="798"/>
      <c r="WHK97" s="798"/>
      <c r="WHL97" s="798"/>
      <c r="WHM97" s="798"/>
      <c r="WHN97" s="798"/>
      <c r="WHO97" s="798"/>
      <c r="WHP97" s="798"/>
      <c r="WHQ97" s="798"/>
      <c r="WHR97" s="798"/>
      <c r="WHS97" s="798"/>
      <c r="WHT97" s="798"/>
      <c r="WHU97" s="798"/>
      <c r="WHV97" s="798"/>
      <c r="WHW97" s="798"/>
      <c r="WHX97" s="798"/>
      <c r="WHY97" s="798"/>
      <c r="WHZ97" s="798"/>
      <c r="WIA97" s="798"/>
      <c r="WIB97" s="798"/>
      <c r="WIC97" s="798"/>
      <c r="WID97" s="798"/>
      <c r="WIE97" s="798"/>
      <c r="WIF97" s="798"/>
      <c r="WIG97" s="798"/>
      <c r="WIH97" s="798"/>
      <c r="WII97" s="798"/>
      <c r="WIJ97" s="798"/>
      <c r="WIK97" s="798"/>
      <c r="WIL97" s="798"/>
      <c r="WIM97" s="798"/>
      <c r="WIN97" s="798"/>
      <c r="WIO97" s="798"/>
      <c r="WIP97" s="798"/>
      <c r="WIQ97" s="798"/>
      <c r="WIR97" s="798"/>
      <c r="WIS97" s="798"/>
      <c r="WIT97" s="798"/>
      <c r="WIU97" s="798"/>
      <c r="WIV97" s="798"/>
      <c r="WIW97" s="798"/>
      <c r="WIX97" s="798"/>
      <c r="WIY97" s="798"/>
      <c r="WIZ97" s="798"/>
      <c r="WJA97" s="798"/>
      <c r="WJB97" s="798"/>
      <c r="WJC97" s="798"/>
      <c r="WJD97" s="798"/>
      <c r="WJE97" s="798"/>
      <c r="WJF97" s="798"/>
      <c r="WJG97" s="798"/>
      <c r="WJH97" s="798"/>
      <c r="WJI97" s="798"/>
      <c r="WJJ97" s="798"/>
      <c r="WJK97" s="798"/>
      <c r="WJL97" s="798"/>
      <c r="WJM97" s="798"/>
      <c r="WJN97" s="798"/>
      <c r="WJO97" s="798"/>
      <c r="WJP97" s="798"/>
      <c r="WJQ97" s="798"/>
      <c r="WJR97" s="798"/>
      <c r="WJS97" s="798"/>
      <c r="WJT97" s="798"/>
      <c r="WJU97" s="798"/>
      <c r="WJV97" s="798"/>
      <c r="WJW97" s="798"/>
      <c r="WJX97" s="798"/>
      <c r="WJY97" s="798"/>
      <c r="WJZ97" s="798"/>
      <c r="WKA97" s="798"/>
      <c r="WKB97" s="798"/>
      <c r="WKC97" s="798"/>
      <c r="WKD97" s="798"/>
      <c r="WKE97" s="798"/>
      <c r="WKF97" s="798"/>
      <c r="WKG97" s="798"/>
      <c r="WKH97" s="798"/>
      <c r="WKI97" s="798"/>
      <c r="WKJ97" s="798"/>
      <c r="WKK97" s="798"/>
      <c r="WKL97" s="798"/>
      <c r="WKM97" s="798"/>
      <c r="WKN97" s="798"/>
      <c r="WKO97" s="798"/>
      <c r="WKP97" s="798"/>
      <c r="WKQ97" s="798"/>
      <c r="WKR97" s="798"/>
      <c r="WKS97" s="798"/>
      <c r="WKT97" s="798"/>
      <c r="WKU97" s="798"/>
      <c r="WKV97" s="798"/>
      <c r="WKW97" s="798"/>
      <c r="WKX97" s="798"/>
      <c r="WKY97" s="798"/>
      <c r="WKZ97" s="798"/>
      <c r="WLA97" s="798"/>
      <c r="WLB97" s="798"/>
      <c r="WLC97" s="798"/>
      <c r="WLD97" s="798"/>
      <c r="WLE97" s="798"/>
      <c r="WLF97" s="798"/>
      <c r="WLG97" s="798"/>
      <c r="WLH97" s="798"/>
      <c r="WLI97" s="798"/>
      <c r="WLJ97" s="798"/>
      <c r="WLK97" s="798"/>
      <c r="WLL97" s="798"/>
      <c r="WLM97" s="798"/>
      <c r="WLN97" s="798"/>
      <c r="WLO97" s="798"/>
      <c r="WLP97" s="798"/>
      <c r="WLQ97" s="798"/>
      <c r="WLR97" s="798"/>
      <c r="WLS97" s="798"/>
      <c r="WLT97" s="798"/>
      <c r="WLU97" s="798"/>
      <c r="WLV97" s="798"/>
      <c r="WLW97" s="798"/>
      <c r="WLX97" s="798"/>
      <c r="WLY97" s="798"/>
      <c r="WLZ97" s="798"/>
      <c r="WMA97" s="798"/>
      <c r="WMB97" s="798"/>
      <c r="WMC97" s="798"/>
      <c r="WMD97" s="798"/>
      <c r="WME97" s="798"/>
      <c r="WMF97" s="798"/>
      <c r="WMG97" s="798"/>
      <c r="WMH97" s="798"/>
      <c r="WMI97" s="798"/>
      <c r="WMJ97" s="798"/>
      <c r="WMK97" s="798"/>
      <c r="WML97" s="798"/>
      <c r="WMM97" s="798"/>
      <c r="WMN97" s="798"/>
      <c r="WMO97" s="798"/>
      <c r="WMP97" s="798"/>
      <c r="WMQ97" s="798"/>
      <c r="WMR97" s="798"/>
      <c r="WMS97" s="798"/>
      <c r="WMT97" s="798"/>
      <c r="WMU97" s="798"/>
      <c r="WMV97" s="798"/>
      <c r="WMW97" s="798"/>
      <c r="WMX97" s="798"/>
      <c r="WMY97" s="798"/>
      <c r="WMZ97" s="798"/>
      <c r="WNA97" s="798"/>
      <c r="WNB97" s="798"/>
      <c r="WNC97" s="798"/>
      <c r="WND97" s="798"/>
      <c r="WNE97" s="798"/>
      <c r="WNF97" s="798"/>
      <c r="WNG97" s="798"/>
      <c r="WNH97" s="798"/>
      <c r="WNI97" s="798"/>
      <c r="WNJ97" s="798"/>
      <c r="WNK97" s="798"/>
      <c r="WNL97" s="798"/>
      <c r="WNM97" s="798"/>
      <c r="WNN97" s="798"/>
      <c r="WNO97" s="798"/>
      <c r="WNP97" s="798"/>
      <c r="WNQ97" s="798"/>
      <c r="WNR97" s="798"/>
      <c r="WNS97" s="798"/>
      <c r="WNT97" s="798"/>
      <c r="WNU97" s="798"/>
      <c r="WNV97" s="798"/>
      <c r="WNW97" s="798"/>
      <c r="WNX97" s="798"/>
      <c r="WNY97" s="798"/>
      <c r="WNZ97" s="798"/>
      <c r="WOA97" s="798"/>
      <c r="WOB97" s="798"/>
      <c r="WOC97" s="798"/>
      <c r="WOD97" s="798"/>
      <c r="WOE97" s="798"/>
      <c r="WOF97" s="798"/>
      <c r="WOG97" s="798"/>
      <c r="WOH97" s="798"/>
      <c r="WOI97" s="798"/>
      <c r="WOJ97" s="798"/>
      <c r="WOK97" s="798"/>
      <c r="WOL97" s="798"/>
      <c r="WOM97" s="798"/>
      <c r="WON97" s="798"/>
      <c r="WOO97" s="798"/>
      <c r="WOP97" s="798"/>
      <c r="WOQ97" s="798"/>
      <c r="WOR97" s="798"/>
      <c r="WOS97" s="798"/>
      <c r="WOT97" s="798"/>
      <c r="WOU97" s="798"/>
      <c r="WOV97" s="798"/>
      <c r="WOW97" s="798"/>
      <c r="WOX97" s="798"/>
      <c r="WOY97" s="798"/>
      <c r="WOZ97" s="798"/>
      <c r="WPA97" s="798"/>
      <c r="WPB97" s="798"/>
      <c r="WPC97" s="798"/>
      <c r="WPD97" s="798"/>
      <c r="WPE97" s="798"/>
      <c r="WPF97" s="798"/>
      <c r="WPG97" s="798"/>
      <c r="WPH97" s="798"/>
      <c r="WPI97" s="798"/>
      <c r="WPJ97" s="798"/>
      <c r="WPK97" s="798"/>
      <c r="WPL97" s="798"/>
      <c r="WPM97" s="798"/>
      <c r="WPN97" s="798"/>
      <c r="WPO97" s="798"/>
      <c r="WPP97" s="798"/>
      <c r="WPQ97" s="798"/>
      <c r="WPR97" s="798"/>
      <c r="WPS97" s="798"/>
      <c r="WPT97" s="798"/>
      <c r="WPU97" s="798"/>
      <c r="WPV97" s="798"/>
      <c r="WPW97" s="798"/>
      <c r="WPX97" s="798"/>
      <c r="WPY97" s="798"/>
      <c r="WPZ97" s="798"/>
      <c r="WQA97" s="798"/>
      <c r="WQB97" s="798"/>
      <c r="WQC97" s="798"/>
      <c r="WQD97" s="798"/>
      <c r="WQE97" s="798"/>
      <c r="WQF97" s="798"/>
      <c r="WQG97" s="798"/>
      <c r="WQH97" s="798"/>
      <c r="WQI97" s="798"/>
      <c r="WQJ97" s="798"/>
      <c r="WQK97" s="798"/>
      <c r="WQL97" s="798"/>
      <c r="WQM97" s="798"/>
      <c r="WQN97" s="798"/>
      <c r="WQO97" s="798"/>
      <c r="WQP97" s="798"/>
      <c r="WQQ97" s="798"/>
      <c r="WQR97" s="798"/>
      <c r="WQS97" s="798"/>
      <c r="WQT97" s="798"/>
      <c r="WQU97" s="798"/>
      <c r="WQV97" s="798"/>
      <c r="WQW97" s="798"/>
      <c r="WQX97" s="798"/>
      <c r="WQY97" s="798"/>
      <c r="WQZ97" s="798"/>
      <c r="WRA97" s="798"/>
      <c r="WRB97" s="798"/>
      <c r="WRC97" s="798"/>
      <c r="WRD97" s="798"/>
      <c r="WRE97" s="798"/>
      <c r="WRF97" s="798"/>
      <c r="WRG97" s="798"/>
      <c r="WRH97" s="798"/>
      <c r="WRI97" s="798"/>
      <c r="WRJ97" s="798"/>
      <c r="WRK97" s="798"/>
      <c r="WRL97" s="798"/>
      <c r="WRM97" s="798"/>
      <c r="WRN97" s="798"/>
      <c r="WRO97" s="798"/>
      <c r="WRP97" s="798"/>
      <c r="WRQ97" s="798"/>
      <c r="WRR97" s="798"/>
      <c r="WRS97" s="798"/>
      <c r="WRT97" s="798"/>
      <c r="WRU97" s="798"/>
      <c r="WRV97" s="798"/>
      <c r="WRW97" s="798"/>
      <c r="WRX97" s="798"/>
      <c r="WRY97" s="798"/>
      <c r="WRZ97" s="798"/>
      <c r="WSA97" s="798"/>
      <c r="WSB97" s="798"/>
      <c r="WSC97" s="798"/>
      <c r="WSD97" s="798"/>
      <c r="WSE97" s="798"/>
      <c r="WSF97" s="798"/>
      <c r="WSG97" s="798"/>
      <c r="WSH97" s="798"/>
      <c r="WSI97" s="798"/>
      <c r="WSJ97" s="798"/>
      <c r="WSK97" s="798"/>
      <c r="WSL97" s="798"/>
      <c r="WSM97" s="798"/>
      <c r="WSN97" s="798"/>
      <c r="WSO97" s="798"/>
      <c r="WSP97" s="798"/>
      <c r="WSQ97" s="798"/>
      <c r="WSR97" s="798"/>
      <c r="WSS97" s="798"/>
      <c r="WST97" s="798"/>
      <c r="WSU97" s="798"/>
      <c r="WSV97" s="798"/>
      <c r="WSW97" s="798"/>
      <c r="WSX97" s="798"/>
      <c r="WSY97" s="798"/>
      <c r="WSZ97" s="798"/>
      <c r="WTA97" s="798"/>
      <c r="WTB97" s="798"/>
      <c r="WTC97" s="798"/>
      <c r="WTD97" s="798"/>
      <c r="WTE97" s="798"/>
      <c r="WTF97" s="798"/>
      <c r="WTG97" s="798"/>
      <c r="WTH97" s="798"/>
      <c r="WTI97" s="798"/>
      <c r="WTJ97" s="798"/>
      <c r="WTK97" s="798"/>
      <c r="WTL97" s="798"/>
      <c r="WTM97" s="798"/>
      <c r="WTN97" s="798"/>
      <c r="WTO97" s="798"/>
      <c r="WTP97" s="798"/>
      <c r="WTQ97" s="798"/>
      <c r="WTR97" s="798"/>
      <c r="WTS97" s="798"/>
      <c r="WTT97" s="798"/>
      <c r="WTU97" s="798"/>
      <c r="WTV97" s="798"/>
      <c r="WTW97" s="798"/>
      <c r="WTX97" s="798"/>
      <c r="WTY97" s="798"/>
      <c r="WTZ97" s="798"/>
      <c r="WUA97" s="798"/>
      <c r="WUB97" s="798"/>
      <c r="WUC97" s="798"/>
      <c r="WUD97" s="798"/>
      <c r="WUE97" s="798"/>
      <c r="WUF97" s="798"/>
      <c r="WUG97" s="798"/>
      <c r="WUH97" s="798"/>
      <c r="WUI97" s="798"/>
      <c r="WUJ97" s="798"/>
      <c r="WUK97" s="798"/>
      <c r="WUL97" s="798"/>
      <c r="WUM97" s="798"/>
      <c r="WUN97" s="798"/>
      <c r="WUO97" s="798"/>
      <c r="WUP97" s="798"/>
      <c r="WUQ97" s="798"/>
      <c r="WUR97" s="798"/>
      <c r="WUS97" s="798"/>
      <c r="WUT97" s="798"/>
      <c r="WUU97" s="798"/>
      <c r="WUV97" s="798"/>
      <c r="WUW97" s="798"/>
      <c r="WUX97" s="798"/>
      <c r="WUY97" s="798"/>
      <c r="WUZ97" s="798"/>
      <c r="WVA97" s="798"/>
      <c r="WVB97" s="798"/>
      <c r="WVC97" s="798"/>
      <c r="WVD97" s="798"/>
      <c r="WVE97" s="798"/>
      <c r="WVF97" s="798"/>
      <c r="WVG97" s="798"/>
      <c r="WVH97" s="798"/>
      <c r="WVI97" s="798"/>
      <c r="WVJ97" s="798"/>
      <c r="WVK97" s="798"/>
      <c r="WVL97" s="798"/>
      <c r="WVM97" s="798"/>
      <c r="WVN97" s="798"/>
      <c r="WVO97" s="798"/>
      <c r="WVP97" s="798"/>
      <c r="WVQ97" s="798"/>
      <c r="WVR97" s="798"/>
      <c r="WVS97" s="798"/>
      <c r="WVT97" s="798"/>
      <c r="WVU97" s="798"/>
      <c r="WVV97" s="798"/>
      <c r="WVW97" s="798"/>
      <c r="WVX97" s="798"/>
      <c r="WVY97" s="798"/>
      <c r="WVZ97" s="798"/>
      <c r="WWA97" s="798"/>
      <c r="WWB97" s="798"/>
      <c r="WWC97" s="798"/>
      <c r="WWD97" s="798"/>
      <c r="WWE97" s="798"/>
      <c r="WWF97" s="798"/>
      <c r="WWG97" s="798"/>
      <c r="WWH97" s="798"/>
      <c r="WWI97" s="798"/>
      <c r="WWJ97" s="798"/>
      <c r="WWK97" s="798"/>
      <c r="WWL97" s="798"/>
      <c r="WWM97" s="798"/>
      <c r="WWN97" s="798"/>
      <c r="WWO97" s="798"/>
      <c r="WWP97" s="798"/>
      <c r="WWQ97" s="798"/>
      <c r="WWR97" s="798"/>
      <c r="WWS97" s="798"/>
      <c r="WWT97" s="798"/>
      <c r="WWU97" s="798"/>
      <c r="WWV97" s="798"/>
      <c r="WWW97" s="798"/>
      <c r="WWX97" s="798"/>
      <c r="WWY97" s="798"/>
      <c r="WWZ97" s="798"/>
      <c r="WXA97" s="798"/>
      <c r="WXB97" s="798"/>
      <c r="WXC97" s="798"/>
      <c r="WXD97" s="798"/>
      <c r="WXE97" s="798"/>
      <c r="WXF97" s="798"/>
      <c r="WXG97" s="798"/>
      <c r="WXH97" s="798"/>
      <c r="WXI97" s="798"/>
      <c r="WXJ97" s="798"/>
      <c r="WXK97" s="798"/>
      <c r="WXL97" s="798"/>
      <c r="WXM97" s="798"/>
      <c r="WXN97" s="798"/>
      <c r="WXO97" s="798"/>
      <c r="WXP97" s="798"/>
      <c r="WXQ97" s="798"/>
      <c r="WXR97" s="798"/>
      <c r="WXS97" s="798"/>
      <c r="WXT97" s="798"/>
      <c r="WXU97" s="798"/>
      <c r="WXV97" s="798"/>
      <c r="WXW97" s="798"/>
      <c r="WXX97" s="798"/>
      <c r="WXY97" s="798"/>
      <c r="WXZ97" s="798"/>
      <c r="WYA97" s="798"/>
      <c r="WYB97" s="798"/>
      <c r="WYC97" s="798"/>
      <c r="WYD97" s="798"/>
      <c r="WYE97" s="798"/>
      <c r="WYF97" s="798"/>
      <c r="WYG97" s="798"/>
      <c r="WYH97" s="798"/>
      <c r="WYI97" s="798"/>
      <c r="WYJ97" s="798"/>
      <c r="WYK97" s="798"/>
      <c r="WYL97" s="798"/>
      <c r="WYM97" s="798"/>
      <c r="WYN97" s="798"/>
      <c r="WYO97" s="798"/>
      <c r="WYP97" s="798"/>
      <c r="WYQ97" s="798"/>
      <c r="WYR97" s="798"/>
      <c r="WYS97" s="798"/>
      <c r="WYT97" s="798"/>
      <c r="WYU97" s="798"/>
      <c r="WYV97" s="798"/>
      <c r="WYW97" s="798"/>
      <c r="WYX97" s="798"/>
      <c r="WYY97" s="798"/>
      <c r="WYZ97" s="798"/>
      <c r="WZA97" s="798"/>
      <c r="WZB97" s="798"/>
      <c r="WZC97" s="798"/>
      <c r="WZD97" s="798"/>
      <c r="WZE97" s="798"/>
      <c r="WZF97" s="798"/>
      <c r="WZG97" s="798"/>
      <c r="WZH97" s="798"/>
      <c r="WZI97" s="798"/>
      <c r="WZJ97" s="798"/>
      <c r="WZK97" s="798"/>
      <c r="WZL97" s="798"/>
      <c r="WZM97" s="798"/>
      <c r="WZN97" s="798"/>
      <c r="WZO97" s="798"/>
      <c r="WZP97" s="798"/>
      <c r="WZQ97" s="798"/>
      <c r="WZR97" s="798"/>
      <c r="WZS97" s="798"/>
      <c r="WZT97" s="798"/>
      <c r="WZU97" s="798"/>
      <c r="WZV97" s="798"/>
      <c r="WZW97" s="798"/>
      <c r="WZX97" s="798"/>
      <c r="WZY97" s="798"/>
      <c r="WZZ97" s="798"/>
      <c r="XAA97" s="798"/>
      <c r="XAB97" s="798"/>
      <c r="XAC97" s="798"/>
      <c r="XAD97" s="798"/>
      <c r="XAE97" s="798"/>
      <c r="XAF97" s="798"/>
      <c r="XAG97" s="798"/>
      <c r="XAH97" s="798"/>
      <c r="XAI97" s="798"/>
      <c r="XAJ97" s="798"/>
      <c r="XAK97" s="798"/>
      <c r="XAL97" s="798"/>
      <c r="XAM97" s="798"/>
      <c r="XAN97" s="798"/>
      <c r="XAO97" s="798"/>
      <c r="XAP97" s="798"/>
      <c r="XAQ97" s="798"/>
      <c r="XAR97" s="798"/>
      <c r="XAS97" s="798"/>
      <c r="XAT97" s="798"/>
      <c r="XAU97" s="798"/>
      <c r="XAV97" s="798"/>
      <c r="XAW97" s="798"/>
      <c r="XAX97" s="798"/>
      <c r="XAY97" s="798"/>
      <c r="XAZ97" s="798"/>
      <c r="XBA97" s="798"/>
      <c r="XBB97" s="798"/>
      <c r="XBC97" s="798"/>
      <c r="XBD97" s="798"/>
    </row>
    <row r="98" spans="1:16280" ht="43.2" x14ac:dyDescent="0.3">
      <c r="A98" s="422">
        <v>95</v>
      </c>
      <c r="B98" s="373"/>
      <c r="C98" s="370" t="s">
        <v>418</v>
      </c>
      <c r="D98" s="279" t="s">
        <v>639</v>
      </c>
      <c r="E98" s="371" t="s">
        <v>677</v>
      </c>
      <c r="F98" s="372" t="s">
        <v>973</v>
      </c>
      <c r="G98" s="371" t="s">
        <v>941</v>
      </c>
      <c r="H98" s="276" t="s">
        <v>35</v>
      </c>
      <c r="I98" s="276" t="s">
        <v>414</v>
      </c>
      <c r="J98" s="276" t="s">
        <v>615</v>
      </c>
      <c r="K98" s="277" t="s">
        <v>642</v>
      </c>
      <c r="L98" s="277"/>
      <c r="M98" s="277"/>
      <c r="N98" s="374" t="s">
        <v>635</v>
      </c>
      <c r="O98" s="281"/>
      <c r="P98" s="277" t="s">
        <v>757</v>
      </c>
      <c r="Q98" s="192"/>
      <c r="R98" s="192"/>
      <c r="S98" s="192"/>
      <c r="T98" s="190"/>
      <c r="U98" s="190"/>
      <c r="V98" s="190"/>
      <c r="W98" s="190"/>
      <c r="X98" s="190"/>
      <c r="Y98" s="190"/>
      <c r="Z98" s="190"/>
      <c r="AA98" s="190"/>
      <c r="AB98" s="190"/>
      <c r="AC98" s="798"/>
      <c r="AD98" s="798"/>
      <c r="AE98" s="798"/>
      <c r="AF98" s="798"/>
      <c r="AG98" s="798"/>
      <c r="AH98" s="798"/>
      <c r="AI98" s="798"/>
      <c r="AJ98" s="798"/>
      <c r="AK98" s="798"/>
      <c r="AL98" s="798"/>
      <c r="AM98" s="798"/>
      <c r="AN98" s="798"/>
      <c r="AO98" s="798"/>
      <c r="AP98" s="798"/>
      <c r="AQ98" s="798"/>
      <c r="AR98" s="798"/>
      <c r="AS98" s="798"/>
      <c r="AT98" s="798"/>
      <c r="AU98" s="798"/>
      <c r="AV98" s="798"/>
      <c r="AW98" s="798"/>
      <c r="AX98" s="798"/>
      <c r="AY98" s="798"/>
      <c r="AZ98" s="798"/>
      <c r="BA98" s="798"/>
      <c r="BB98" s="798"/>
      <c r="BC98" s="798"/>
      <c r="BD98" s="798"/>
      <c r="BE98" s="798"/>
      <c r="BF98" s="798"/>
      <c r="BG98" s="798"/>
      <c r="BH98" s="798"/>
      <c r="BI98" s="798"/>
      <c r="BJ98" s="798"/>
      <c r="BK98" s="798"/>
      <c r="BL98" s="798"/>
      <c r="BM98" s="798"/>
      <c r="BN98" s="798"/>
      <c r="BO98" s="798"/>
      <c r="BP98" s="798"/>
      <c r="BQ98" s="798"/>
      <c r="BR98" s="798"/>
      <c r="BS98" s="798"/>
      <c r="BT98" s="798"/>
      <c r="BU98" s="798"/>
      <c r="BV98" s="798"/>
      <c r="BW98" s="798"/>
      <c r="BX98" s="798"/>
      <c r="BY98" s="798"/>
      <c r="BZ98" s="798"/>
      <c r="CA98" s="798"/>
      <c r="CB98" s="798"/>
      <c r="CC98" s="798"/>
      <c r="CD98" s="798"/>
      <c r="CE98" s="798"/>
      <c r="CF98" s="798"/>
      <c r="CG98" s="798"/>
      <c r="CH98" s="798"/>
      <c r="CI98" s="798"/>
      <c r="CJ98" s="798"/>
      <c r="CK98" s="798"/>
      <c r="CL98" s="798"/>
      <c r="CM98" s="798"/>
      <c r="CN98" s="798"/>
      <c r="CO98" s="798"/>
      <c r="CP98" s="798"/>
      <c r="CQ98" s="798"/>
      <c r="CR98" s="798"/>
      <c r="CS98" s="798"/>
      <c r="CT98" s="798"/>
      <c r="CU98" s="798"/>
      <c r="CV98" s="798"/>
      <c r="CW98" s="798"/>
      <c r="CX98" s="798"/>
      <c r="CY98" s="798"/>
      <c r="CZ98" s="798"/>
      <c r="DA98" s="798"/>
      <c r="DB98" s="798"/>
      <c r="DC98" s="798"/>
      <c r="DD98" s="798"/>
      <c r="DE98" s="798"/>
      <c r="DF98" s="798"/>
      <c r="DG98" s="798"/>
      <c r="DH98" s="798"/>
      <c r="DI98" s="798"/>
      <c r="DJ98" s="798"/>
      <c r="DK98" s="798"/>
      <c r="DL98" s="798"/>
      <c r="DM98" s="798"/>
      <c r="DN98" s="798"/>
      <c r="DO98" s="798"/>
      <c r="DP98" s="798"/>
      <c r="DQ98" s="798"/>
      <c r="DR98" s="798"/>
      <c r="DS98" s="798"/>
      <c r="DT98" s="798"/>
      <c r="DU98" s="798"/>
      <c r="DV98" s="798"/>
      <c r="DW98" s="798"/>
      <c r="DX98" s="798"/>
      <c r="DY98" s="798"/>
      <c r="DZ98" s="798"/>
      <c r="EA98" s="798"/>
      <c r="EB98" s="798"/>
      <c r="EC98" s="798"/>
      <c r="ED98" s="798"/>
      <c r="EE98" s="798"/>
      <c r="EF98" s="798"/>
      <c r="EG98" s="798"/>
      <c r="EH98" s="798"/>
      <c r="EI98" s="798"/>
      <c r="EJ98" s="798"/>
      <c r="EK98" s="798"/>
      <c r="EL98" s="798"/>
      <c r="EM98" s="798"/>
      <c r="EN98" s="798"/>
      <c r="EO98" s="798"/>
      <c r="EP98" s="798"/>
      <c r="EQ98" s="798"/>
      <c r="ER98" s="798"/>
      <c r="ES98" s="798"/>
      <c r="ET98" s="798"/>
      <c r="EU98" s="798"/>
      <c r="EV98" s="798"/>
      <c r="EW98" s="798"/>
      <c r="EX98" s="798"/>
      <c r="EY98" s="798"/>
      <c r="EZ98" s="798"/>
      <c r="FA98" s="798"/>
      <c r="FB98" s="798"/>
      <c r="FC98" s="798"/>
      <c r="FD98" s="798"/>
      <c r="FE98" s="798"/>
      <c r="FF98" s="798"/>
      <c r="FG98" s="798"/>
      <c r="FH98" s="798"/>
      <c r="FI98" s="798"/>
      <c r="FJ98" s="798"/>
      <c r="FK98" s="798"/>
      <c r="FL98" s="798"/>
      <c r="FM98" s="798"/>
      <c r="FN98" s="798"/>
      <c r="FO98" s="798"/>
      <c r="FP98" s="798"/>
      <c r="FQ98" s="798"/>
      <c r="FR98" s="798"/>
      <c r="FS98" s="798"/>
      <c r="FT98" s="798"/>
      <c r="FU98" s="798"/>
      <c r="FV98" s="798"/>
      <c r="FW98" s="798"/>
      <c r="FX98" s="798"/>
      <c r="FY98" s="798"/>
      <c r="FZ98" s="798"/>
      <c r="GA98" s="798"/>
      <c r="GB98" s="798"/>
      <c r="GC98" s="798"/>
      <c r="GD98" s="798"/>
      <c r="GE98" s="798"/>
      <c r="GF98" s="798"/>
      <c r="GG98" s="798"/>
      <c r="GH98" s="798"/>
      <c r="GI98" s="798"/>
      <c r="GJ98" s="798"/>
      <c r="GK98" s="798"/>
      <c r="GL98" s="798"/>
      <c r="GM98" s="798"/>
      <c r="GN98" s="798"/>
      <c r="GO98" s="798"/>
      <c r="GP98" s="798"/>
      <c r="GQ98" s="798"/>
      <c r="GR98" s="798"/>
      <c r="GS98" s="798"/>
      <c r="GT98" s="798"/>
      <c r="GU98" s="798"/>
      <c r="GV98" s="798"/>
      <c r="GW98" s="798"/>
      <c r="GX98" s="798"/>
      <c r="GY98" s="798"/>
      <c r="GZ98" s="798"/>
      <c r="HA98" s="798"/>
      <c r="HB98" s="798"/>
      <c r="HC98" s="798"/>
      <c r="HD98" s="798"/>
      <c r="HE98" s="798"/>
      <c r="HF98" s="798"/>
      <c r="HG98" s="798"/>
      <c r="HH98" s="798"/>
      <c r="HI98" s="798"/>
      <c r="HJ98" s="798"/>
      <c r="HK98" s="798"/>
      <c r="HL98" s="798"/>
      <c r="HM98" s="798"/>
      <c r="HN98" s="798"/>
      <c r="HO98" s="798"/>
      <c r="HP98" s="798"/>
      <c r="HQ98" s="798"/>
      <c r="HR98" s="798"/>
      <c r="HS98" s="798"/>
      <c r="HT98" s="798"/>
      <c r="HU98" s="798"/>
      <c r="HV98" s="798"/>
      <c r="HW98" s="798"/>
      <c r="HX98" s="798"/>
      <c r="HY98" s="798"/>
      <c r="HZ98" s="798"/>
      <c r="IA98" s="798"/>
      <c r="IB98" s="798"/>
      <c r="IC98" s="798"/>
      <c r="ID98" s="798"/>
      <c r="IE98" s="798"/>
      <c r="IF98" s="798"/>
      <c r="IG98" s="798"/>
      <c r="IH98" s="798"/>
      <c r="II98" s="798"/>
      <c r="IJ98" s="798"/>
      <c r="IK98" s="798"/>
      <c r="IL98" s="798"/>
      <c r="IM98" s="798"/>
      <c r="IN98" s="798"/>
      <c r="IO98" s="798"/>
      <c r="IP98" s="798"/>
      <c r="IQ98" s="798"/>
      <c r="IR98" s="798"/>
      <c r="IS98" s="798"/>
      <c r="IT98" s="798"/>
      <c r="IU98" s="798"/>
      <c r="IV98" s="798"/>
      <c r="IW98" s="798"/>
      <c r="IX98" s="798"/>
      <c r="IY98" s="798"/>
      <c r="IZ98" s="798"/>
      <c r="JA98" s="798"/>
      <c r="JB98" s="798"/>
      <c r="JC98" s="798"/>
      <c r="JD98" s="798"/>
      <c r="JE98" s="798"/>
      <c r="JF98" s="798"/>
      <c r="JG98" s="798"/>
      <c r="JH98" s="798"/>
      <c r="JI98" s="798"/>
      <c r="JJ98" s="798"/>
      <c r="JK98" s="798"/>
      <c r="JL98" s="798"/>
      <c r="JM98" s="798"/>
      <c r="JN98" s="798"/>
      <c r="JO98" s="798"/>
      <c r="JP98" s="798"/>
      <c r="JQ98" s="798"/>
      <c r="JR98" s="798"/>
      <c r="JS98" s="798"/>
      <c r="JT98" s="798"/>
      <c r="JU98" s="798"/>
      <c r="JV98" s="798"/>
      <c r="JW98" s="798"/>
      <c r="JX98" s="798"/>
      <c r="JY98" s="798"/>
      <c r="JZ98" s="798"/>
      <c r="KA98" s="798"/>
      <c r="KB98" s="798"/>
      <c r="KC98" s="798"/>
      <c r="KD98" s="798"/>
      <c r="KE98" s="798"/>
      <c r="KF98" s="798"/>
      <c r="KG98" s="798"/>
      <c r="KH98" s="798"/>
      <c r="KI98" s="798"/>
      <c r="KJ98" s="798"/>
      <c r="KK98" s="798"/>
      <c r="KL98" s="798"/>
      <c r="KM98" s="798"/>
      <c r="KN98" s="798"/>
      <c r="KO98" s="798"/>
      <c r="KP98" s="798"/>
      <c r="KQ98" s="798"/>
      <c r="KR98" s="798"/>
      <c r="KS98" s="798"/>
      <c r="KT98" s="798"/>
      <c r="KU98" s="798"/>
      <c r="KV98" s="798"/>
      <c r="KW98" s="798"/>
      <c r="KX98" s="798"/>
      <c r="KY98" s="798"/>
      <c r="KZ98" s="798"/>
      <c r="LA98" s="798"/>
      <c r="LB98" s="798"/>
      <c r="LC98" s="798"/>
      <c r="LD98" s="798"/>
      <c r="LE98" s="798"/>
      <c r="LF98" s="798"/>
      <c r="LG98" s="798"/>
      <c r="LH98" s="798"/>
      <c r="LI98" s="798"/>
      <c r="LJ98" s="798"/>
      <c r="LK98" s="798"/>
      <c r="LL98" s="798"/>
      <c r="LM98" s="798"/>
      <c r="LN98" s="798"/>
      <c r="LO98" s="798"/>
      <c r="LP98" s="798"/>
      <c r="LQ98" s="798"/>
      <c r="LR98" s="798"/>
      <c r="LS98" s="798"/>
      <c r="LT98" s="798"/>
      <c r="LU98" s="798"/>
      <c r="LV98" s="798"/>
      <c r="LW98" s="798"/>
      <c r="LX98" s="798"/>
      <c r="LY98" s="798"/>
      <c r="LZ98" s="798"/>
      <c r="MA98" s="798"/>
      <c r="MB98" s="798"/>
      <c r="MC98" s="798"/>
      <c r="MD98" s="798"/>
      <c r="ME98" s="798"/>
      <c r="MF98" s="798"/>
      <c r="MG98" s="798"/>
      <c r="MH98" s="798"/>
      <c r="MI98" s="798"/>
      <c r="MJ98" s="798"/>
      <c r="MK98" s="798"/>
      <c r="ML98" s="798"/>
      <c r="MM98" s="798"/>
      <c r="MN98" s="798"/>
      <c r="MO98" s="798"/>
      <c r="MP98" s="798"/>
      <c r="MQ98" s="798"/>
      <c r="MR98" s="798"/>
      <c r="MS98" s="798"/>
      <c r="MT98" s="798"/>
      <c r="MU98" s="798"/>
      <c r="MV98" s="798"/>
      <c r="MW98" s="798"/>
      <c r="MX98" s="798"/>
      <c r="MY98" s="798"/>
      <c r="MZ98" s="798"/>
      <c r="NA98" s="798"/>
      <c r="NB98" s="798"/>
      <c r="NC98" s="798"/>
      <c r="ND98" s="798"/>
      <c r="NE98" s="798"/>
      <c r="NF98" s="798"/>
      <c r="NG98" s="798"/>
      <c r="NH98" s="798"/>
      <c r="NI98" s="798"/>
      <c r="NJ98" s="798"/>
      <c r="NK98" s="798"/>
      <c r="NL98" s="798"/>
      <c r="NM98" s="798"/>
      <c r="NN98" s="798"/>
      <c r="NO98" s="798"/>
      <c r="NP98" s="798"/>
      <c r="NQ98" s="798"/>
      <c r="NR98" s="798"/>
      <c r="NS98" s="798"/>
      <c r="NT98" s="798"/>
      <c r="NU98" s="798"/>
      <c r="NV98" s="798"/>
      <c r="NW98" s="798"/>
      <c r="NX98" s="798"/>
      <c r="NY98" s="798"/>
      <c r="NZ98" s="798"/>
      <c r="OA98" s="798"/>
      <c r="OB98" s="798"/>
      <c r="OC98" s="798"/>
      <c r="OD98" s="798"/>
      <c r="OE98" s="798"/>
      <c r="OF98" s="798"/>
      <c r="OG98" s="798"/>
      <c r="OH98" s="798"/>
      <c r="OI98" s="798"/>
      <c r="OJ98" s="798"/>
      <c r="OK98" s="798"/>
      <c r="OL98" s="798"/>
      <c r="OM98" s="798"/>
      <c r="ON98" s="798"/>
      <c r="OO98" s="798"/>
      <c r="OP98" s="798"/>
      <c r="OQ98" s="798"/>
      <c r="OR98" s="798"/>
      <c r="OS98" s="798"/>
      <c r="OT98" s="798"/>
      <c r="OU98" s="798"/>
      <c r="OV98" s="798"/>
      <c r="OW98" s="798"/>
      <c r="OX98" s="798"/>
      <c r="OY98" s="798"/>
      <c r="OZ98" s="798"/>
      <c r="PA98" s="798"/>
      <c r="PB98" s="798"/>
      <c r="PC98" s="798"/>
      <c r="PD98" s="798"/>
      <c r="PE98" s="798"/>
      <c r="PF98" s="798"/>
      <c r="PG98" s="798"/>
      <c r="PH98" s="798"/>
      <c r="PI98" s="798"/>
      <c r="PJ98" s="798"/>
      <c r="PK98" s="798"/>
      <c r="PL98" s="798"/>
      <c r="PM98" s="798"/>
      <c r="PN98" s="798"/>
      <c r="PO98" s="798"/>
      <c r="PP98" s="798"/>
      <c r="PQ98" s="798"/>
      <c r="PR98" s="798"/>
      <c r="PS98" s="798"/>
      <c r="PT98" s="798"/>
      <c r="PU98" s="798"/>
      <c r="PV98" s="798"/>
      <c r="PW98" s="798"/>
      <c r="PX98" s="798"/>
      <c r="PY98" s="798"/>
      <c r="PZ98" s="798"/>
      <c r="QA98" s="798"/>
      <c r="QB98" s="798"/>
      <c r="QC98" s="798"/>
      <c r="QD98" s="798"/>
      <c r="QE98" s="798"/>
      <c r="QF98" s="798"/>
      <c r="QG98" s="798"/>
      <c r="QH98" s="798"/>
      <c r="QI98" s="798"/>
      <c r="QJ98" s="798"/>
      <c r="QK98" s="798"/>
      <c r="QL98" s="798"/>
      <c r="QM98" s="798"/>
      <c r="QN98" s="798"/>
      <c r="QO98" s="798"/>
      <c r="QP98" s="798"/>
      <c r="QQ98" s="798"/>
      <c r="QR98" s="798"/>
      <c r="QS98" s="798"/>
      <c r="QT98" s="798"/>
      <c r="QU98" s="798"/>
      <c r="QV98" s="798"/>
      <c r="QW98" s="798"/>
      <c r="QX98" s="798"/>
      <c r="QY98" s="798"/>
      <c r="QZ98" s="798"/>
      <c r="RA98" s="798"/>
      <c r="RB98" s="798"/>
      <c r="RC98" s="798"/>
      <c r="RD98" s="798"/>
      <c r="RE98" s="798"/>
      <c r="RF98" s="798"/>
      <c r="RG98" s="798"/>
      <c r="RH98" s="798"/>
      <c r="RI98" s="798"/>
      <c r="RJ98" s="798"/>
      <c r="RK98" s="798"/>
      <c r="RL98" s="798"/>
      <c r="RM98" s="798"/>
      <c r="RN98" s="798"/>
      <c r="RO98" s="798"/>
      <c r="RP98" s="798"/>
      <c r="RQ98" s="798"/>
      <c r="RR98" s="798"/>
      <c r="RS98" s="798"/>
      <c r="RT98" s="798"/>
      <c r="RU98" s="798"/>
      <c r="RV98" s="798"/>
      <c r="RW98" s="798"/>
      <c r="RX98" s="798"/>
      <c r="RY98" s="798"/>
      <c r="RZ98" s="798"/>
      <c r="SA98" s="798"/>
      <c r="SB98" s="798"/>
      <c r="SC98" s="798"/>
      <c r="SD98" s="798"/>
      <c r="SE98" s="798"/>
      <c r="SF98" s="798"/>
      <c r="SG98" s="798"/>
      <c r="SH98" s="798"/>
      <c r="SI98" s="798"/>
      <c r="SJ98" s="798"/>
      <c r="SK98" s="798"/>
      <c r="SL98" s="798"/>
      <c r="SM98" s="798"/>
      <c r="SN98" s="798"/>
      <c r="SO98" s="798"/>
      <c r="SP98" s="798"/>
      <c r="SQ98" s="798"/>
      <c r="SR98" s="798"/>
      <c r="SS98" s="798"/>
      <c r="ST98" s="798"/>
      <c r="SU98" s="798"/>
      <c r="SV98" s="798"/>
      <c r="SW98" s="798"/>
      <c r="SX98" s="798"/>
      <c r="SY98" s="798"/>
      <c r="SZ98" s="798"/>
      <c r="TA98" s="798"/>
      <c r="TB98" s="798"/>
      <c r="TC98" s="798"/>
      <c r="TD98" s="798"/>
      <c r="TE98" s="798"/>
      <c r="TF98" s="798"/>
      <c r="TG98" s="798"/>
      <c r="TH98" s="798"/>
      <c r="TI98" s="798"/>
      <c r="TJ98" s="798"/>
      <c r="TK98" s="798"/>
      <c r="TL98" s="798"/>
      <c r="TM98" s="798"/>
      <c r="TN98" s="798"/>
      <c r="TO98" s="798"/>
      <c r="TP98" s="798"/>
      <c r="TQ98" s="798"/>
      <c r="TR98" s="798"/>
      <c r="TS98" s="798"/>
      <c r="TT98" s="798"/>
      <c r="TU98" s="798"/>
      <c r="TV98" s="798"/>
      <c r="TW98" s="798"/>
      <c r="TX98" s="798"/>
      <c r="TY98" s="798"/>
      <c r="TZ98" s="798"/>
      <c r="UA98" s="798"/>
      <c r="UB98" s="798"/>
      <c r="UC98" s="798"/>
      <c r="UD98" s="798"/>
      <c r="UE98" s="798"/>
      <c r="UF98" s="798"/>
      <c r="UG98" s="798"/>
      <c r="UH98" s="798"/>
      <c r="UI98" s="798"/>
      <c r="UJ98" s="798"/>
      <c r="UK98" s="798"/>
      <c r="UL98" s="798"/>
      <c r="UM98" s="798"/>
      <c r="UN98" s="798"/>
      <c r="UO98" s="798"/>
      <c r="UP98" s="798"/>
      <c r="UQ98" s="798"/>
      <c r="UR98" s="798"/>
      <c r="US98" s="798"/>
      <c r="UT98" s="798"/>
      <c r="UU98" s="798"/>
      <c r="UV98" s="798"/>
      <c r="UW98" s="798"/>
      <c r="UX98" s="798"/>
      <c r="UY98" s="798"/>
      <c r="UZ98" s="798"/>
      <c r="VA98" s="798"/>
      <c r="VB98" s="798"/>
      <c r="VC98" s="798"/>
      <c r="VD98" s="798"/>
      <c r="VE98" s="798"/>
      <c r="VF98" s="798"/>
      <c r="VG98" s="798"/>
      <c r="VH98" s="798"/>
      <c r="VI98" s="798"/>
      <c r="VJ98" s="798"/>
      <c r="VK98" s="798"/>
      <c r="VL98" s="798"/>
      <c r="VM98" s="798"/>
      <c r="VN98" s="798"/>
      <c r="VO98" s="798"/>
      <c r="VP98" s="798"/>
      <c r="VQ98" s="798"/>
      <c r="VR98" s="798"/>
      <c r="VS98" s="798"/>
      <c r="VT98" s="798"/>
      <c r="VU98" s="798"/>
      <c r="VV98" s="798"/>
      <c r="VW98" s="798"/>
      <c r="VX98" s="798"/>
      <c r="VY98" s="798"/>
      <c r="VZ98" s="798"/>
      <c r="WA98" s="798"/>
      <c r="WB98" s="798"/>
      <c r="WC98" s="798"/>
      <c r="WD98" s="798"/>
      <c r="WE98" s="798"/>
      <c r="WF98" s="798"/>
      <c r="WG98" s="798"/>
      <c r="WH98" s="798"/>
      <c r="WI98" s="798"/>
      <c r="WJ98" s="798"/>
      <c r="WK98" s="798"/>
      <c r="WL98" s="798"/>
      <c r="WM98" s="798"/>
      <c r="WN98" s="798"/>
      <c r="WO98" s="798"/>
      <c r="WP98" s="798"/>
      <c r="WQ98" s="798"/>
      <c r="WR98" s="798"/>
      <c r="WS98" s="798"/>
      <c r="WT98" s="798"/>
      <c r="WU98" s="798"/>
      <c r="WV98" s="798"/>
      <c r="WW98" s="798"/>
      <c r="WX98" s="798"/>
      <c r="WY98" s="798"/>
      <c r="WZ98" s="798"/>
      <c r="XA98" s="798"/>
      <c r="XB98" s="798"/>
      <c r="XC98" s="798"/>
      <c r="XD98" s="798"/>
      <c r="XE98" s="798"/>
      <c r="XF98" s="798"/>
      <c r="XG98" s="798"/>
      <c r="XH98" s="798"/>
      <c r="XI98" s="798"/>
      <c r="XJ98" s="798"/>
      <c r="XK98" s="798"/>
      <c r="XL98" s="798"/>
      <c r="XM98" s="798"/>
      <c r="XN98" s="798"/>
      <c r="XO98" s="798"/>
      <c r="XP98" s="798"/>
      <c r="XQ98" s="798"/>
      <c r="XR98" s="798"/>
      <c r="XS98" s="798"/>
      <c r="XT98" s="798"/>
      <c r="XU98" s="798"/>
      <c r="XV98" s="798"/>
      <c r="XW98" s="798"/>
      <c r="XX98" s="798"/>
      <c r="XY98" s="798"/>
      <c r="XZ98" s="798"/>
      <c r="YA98" s="798"/>
      <c r="YB98" s="798"/>
      <c r="YC98" s="798"/>
      <c r="YD98" s="798"/>
      <c r="YE98" s="798"/>
      <c r="YF98" s="798"/>
      <c r="YG98" s="798"/>
      <c r="YH98" s="798"/>
      <c r="YI98" s="798"/>
      <c r="YJ98" s="798"/>
      <c r="YK98" s="798"/>
      <c r="YL98" s="798"/>
      <c r="YM98" s="798"/>
      <c r="YN98" s="798"/>
      <c r="YO98" s="798"/>
      <c r="YP98" s="798"/>
      <c r="YQ98" s="798"/>
      <c r="YR98" s="798"/>
      <c r="YS98" s="798"/>
      <c r="YT98" s="798"/>
      <c r="YU98" s="798"/>
      <c r="YV98" s="798"/>
      <c r="YW98" s="798"/>
      <c r="YX98" s="798"/>
      <c r="YY98" s="798"/>
      <c r="YZ98" s="798"/>
      <c r="ZA98" s="798"/>
      <c r="ZB98" s="798"/>
      <c r="ZC98" s="798"/>
      <c r="ZD98" s="798"/>
      <c r="ZE98" s="798"/>
      <c r="ZF98" s="798"/>
      <c r="ZG98" s="798"/>
      <c r="ZH98" s="798"/>
      <c r="ZI98" s="798"/>
      <c r="ZJ98" s="798"/>
      <c r="ZK98" s="798"/>
      <c r="ZL98" s="798"/>
      <c r="ZM98" s="798"/>
      <c r="ZN98" s="798"/>
      <c r="ZO98" s="798"/>
      <c r="ZP98" s="798"/>
      <c r="ZQ98" s="798"/>
      <c r="ZR98" s="798"/>
      <c r="ZS98" s="798"/>
      <c r="ZT98" s="798"/>
      <c r="ZU98" s="798"/>
      <c r="ZV98" s="798"/>
      <c r="ZW98" s="798"/>
      <c r="ZX98" s="798"/>
      <c r="ZY98" s="798"/>
      <c r="ZZ98" s="798"/>
      <c r="AAA98" s="798"/>
      <c r="AAB98" s="798"/>
      <c r="AAC98" s="798"/>
      <c r="AAD98" s="798"/>
      <c r="AAE98" s="798"/>
      <c r="AAF98" s="798"/>
      <c r="AAG98" s="798"/>
      <c r="AAH98" s="798"/>
      <c r="AAI98" s="798"/>
      <c r="AAJ98" s="798"/>
      <c r="AAK98" s="798"/>
      <c r="AAL98" s="798"/>
      <c r="AAM98" s="798"/>
      <c r="AAN98" s="798"/>
      <c r="AAO98" s="798"/>
      <c r="AAP98" s="798"/>
      <c r="AAQ98" s="798"/>
      <c r="AAR98" s="798"/>
      <c r="AAS98" s="798"/>
      <c r="AAT98" s="798"/>
      <c r="AAU98" s="798"/>
      <c r="AAV98" s="798"/>
      <c r="AAW98" s="798"/>
      <c r="AAX98" s="798"/>
      <c r="AAY98" s="798"/>
      <c r="AAZ98" s="798"/>
      <c r="ABA98" s="798"/>
      <c r="ABB98" s="798"/>
      <c r="ABC98" s="798"/>
      <c r="ABD98" s="798"/>
      <c r="ABE98" s="798"/>
      <c r="ABF98" s="798"/>
      <c r="ABG98" s="798"/>
      <c r="ABH98" s="798"/>
      <c r="ABI98" s="798"/>
      <c r="ABJ98" s="798"/>
      <c r="ABK98" s="798"/>
      <c r="ABL98" s="798"/>
      <c r="ABM98" s="798"/>
      <c r="ABN98" s="798"/>
      <c r="ABO98" s="798"/>
      <c r="ABP98" s="798"/>
      <c r="ABQ98" s="798"/>
      <c r="ABR98" s="798"/>
      <c r="ABS98" s="798"/>
      <c r="ABT98" s="798"/>
      <c r="ABU98" s="798"/>
      <c r="ABV98" s="798"/>
      <c r="ABW98" s="798"/>
      <c r="ABX98" s="798"/>
      <c r="ABY98" s="798"/>
      <c r="ABZ98" s="798"/>
      <c r="ACA98" s="798"/>
      <c r="ACB98" s="798"/>
      <c r="ACC98" s="798"/>
      <c r="ACD98" s="798"/>
      <c r="ACE98" s="798"/>
      <c r="ACF98" s="798"/>
      <c r="ACG98" s="798"/>
      <c r="ACH98" s="798"/>
      <c r="ACI98" s="798"/>
      <c r="ACJ98" s="798"/>
      <c r="ACK98" s="798"/>
      <c r="ACL98" s="798"/>
      <c r="ACM98" s="798"/>
      <c r="ACN98" s="798"/>
      <c r="ACO98" s="798"/>
      <c r="ACP98" s="798"/>
      <c r="ACQ98" s="798"/>
      <c r="ACR98" s="798"/>
      <c r="ACS98" s="798"/>
      <c r="ACT98" s="798"/>
      <c r="ACU98" s="798"/>
      <c r="ACV98" s="798"/>
      <c r="ACW98" s="798"/>
      <c r="ACX98" s="798"/>
      <c r="ACY98" s="798"/>
      <c r="ACZ98" s="798"/>
      <c r="ADA98" s="798"/>
      <c r="ADB98" s="798"/>
      <c r="ADC98" s="798"/>
      <c r="ADD98" s="798"/>
      <c r="ADE98" s="798"/>
      <c r="ADF98" s="798"/>
      <c r="ADG98" s="798"/>
      <c r="ADH98" s="798"/>
      <c r="ADI98" s="798"/>
      <c r="ADJ98" s="798"/>
      <c r="ADK98" s="798"/>
      <c r="ADL98" s="798"/>
      <c r="ADM98" s="798"/>
      <c r="ADN98" s="798"/>
      <c r="ADO98" s="798"/>
      <c r="ADP98" s="798"/>
      <c r="ADQ98" s="798"/>
      <c r="ADR98" s="798"/>
      <c r="ADS98" s="798"/>
      <c r="ADT98" s="798"/>
      <c r="ADU98" s="798"/>
      <c r="ADV98" s="798"/>
      <c r="ADW98" s="798"/>
      <c r="ADX98" s="798"/>
      <c r="ADY98" s="798"/>
      <c r="ADZ98" s="798"/>
      <c r="AEA98" s="798"/>
      <c r="AEB98" s="798"/>
      <c r="AEC98" s="798"/>
      <c r="AED98" s="798"/>
      <c r="AEE98" s="798"/>
      <c r="AEF98" s="798"/>
      <c r="AEG98" s="798"/>
      <c r="AEH98" s="798"/>
      <c r="AEI98" s="798"/>
      <c r="AEJ98" s="798"/>
      <c r="AEK98" s="798"/>
      <c r="AEL98" s="798"/>
      <c r="AEM98" s="798"/>
      <c r="AEN98" s="798"/>
      <c r="AEO98" s="798"/>
      <c r="AEP98" s="798"/>
      <c r="AEQ98" s="798"/>
      <c r="AER98" s="798"/>
      <c r="AES98" s="798"/>
      <c r="AET98" s="798"/>
      <c r="AEU98" s="798"/>
      <c r="AEV98" s="798"/>
      <c r="AEW98" s="798"/>
      <c r="AEX98" s="798"/>
      <c r="AEY98" s="798"/>
      <c r="AEZ98" s="798"/>
      <c r="AFA98" s="798"/>
      <c r="AFB98" s="798"/>
      <c r="AFC98" s="798"/>
      <c r="AFD98" s="798"/>
      <c r="AFE98" s="798"/>
      <c r="AFF98" s="798"/>
      <c r="AFG98" s="798"/>
      <c r="AFH98" s="798"/>
      <c r="AFI98" s="798"/>
      <c r="AFJ98" s="798"/>
      <c r="AFK98" s="798"/>
      <c r="AFL98" s="798"/>
      <c r="AFM98" s="798"/>
      <c r="AFN98" s="798"/>
      <c r="AFO98" s="798"/>
      <c r="AFP98" s="798"/>
      <c r="AFQ98" s="798"/>
      <c r="AFR98" s="798"/>
      <c r="AFS98" s="798"/>
      <c r="AFT98" s="798"/>
      <c r="AFU98" s="798"/>
      <c r="AFV98" s="798"/>
      <c r="AFW98" s="798"/>
      <c r="AFX98" s="798"/>
      <c r="AFY98" s="798"/>
      <c r="AFZ98" s="798"/>
      <c r="AGA98" s="798"/>
      <c r="AGB98" s="798"/>
      <c r="AGC98" s="798"/>
      <c r="AGD98" s="798"/>
      <c r="AGE98" s="798"/>
      <c r="AGF98" s="798"/>
      <c r="AGG98" s="798"/>
      <c r="AGH98" s="798"/>
      <c r="AGI98" s="798"/>
      <c r="AGJ98" s="798"/>
      <c r="AGK98" s="798"/>
      <c r="AGL98" s="798"/>
      <c r="AGM98" s="798"/>
      <c r="AGN98" s="798"/>
      <c r="AGO98" s="798"/>
      <c r="AGP98" s="798"/>
      <c r="AGQ98" s="798"/>
      <c r="AGR98" s="798"/>
      <c r="AGS98" s="798"/>
      <c r="AGT98" s="798"/>
      <c r="AGU98" s="798"/>
      <c r="AGV98" s="798"/>
      <c r="AGW98" s="798"/>
      <c r="AGX98" s="798"/>
      <c r="AGY98" s="798"/>
      <c r="AGZ98" s="798"/>
      <c r="AHA98" s="798"/>
      <c r="AHB98" s="798"/>
      <c r="AHC98" s="798"/>
      <c r="AHD98" s="798"/>
      <c r="AHE98" s="798"/>
      <c r="AHF98" s="798"/>
      <c r="AHG98" s="798"/>
      <c r="AHH98" s="798"/>
      <c r="AHI98" s="798"/>
      <c r="AHJ98" s="798"/>
      <c r="AHK98" s="798"/>
      <c r="AHL98" s="798"/>
      <c r="AHM98" s="798"/>
      <c r="AHN98" s="798"/>
      <c r="AHO98" s="798"/>
      <c r="AHP98" s="798"/>
      <c r="AHQ98" s="798"/>
      <c r="AHR98" s="798"/>
      <c r="AHS98" s="798"/>
      <c r="AHT98" s="798"/>
      <c r="AHU98" s="798"/>
      <c r="AHV98" s="798"/>
      <c r="AHW98" s="798"/>
      <c r="AHX98" s="798"/>
      <c r="AHY98" s="798"/>
      <c r="AHZ98" s="798"/>
      <c r="AIA98" s="798"/>
      <c r="AIB98" s="798"/>
      <c r="AIC98" s="798"/>
      <c r="AID98" s="798"/>
      <c r="AIE98" s="798"/>
      <c r="AIF98" s="798"/>
      <c r="AIG98" s="798"/>
      <c r="AIH98" s="798"/>
      <c r="AII98" s="798"/>
      <c r="AIJ98" s="798"/>
      <c r="AIK98" s="798"/>
      <c r="AIL98" s="798"/>
      <c r="AIM98" s="798"/>
      <c r="AIN98" s="798"/>
      <c r="AIO98" s="798"/>
      <c r="AIP98" s="798"/>
      <c r="AIQ98" s="798"/>
      <c r="AIR98" s="798"/>
      <c r="AIS98" s="798"/>
      <c r="AIT98" s="798"/>
      <c r="AIU98" s="798"/>
      <c r="AIV98" s="798"/>
      <c r="AIW98" s="798"/>
      <c r="AIX98" s="798"/>
      <c r="AIY98" s="798"/>
      <c r="AIZ98" s="798"/>
      <c r="AJA98" s="798"/>
      <c r="AJB98" s="798"/>
      <c r="AJC98" s="798"/>
      <c r="AJD98" s="798"/>
      <c r="AJE98" s="798"/>
      <c r="AJF98" s="798"/>
      <c r="AJG98" s="798"/>
      <c r="AJH98" s="798"/>
      <c r="AJI98" s="798"/>
      <c r="AJJ98" s="798"/>
      <c r="AJK98" s="798"/>
      <c r="AJL98" s="798"/>
      <c r="AJM98" s="798"/>
      <c r="AJN98" s="798"/>
      <c r="AJO98" s="798"/>
      <c r="AJP98" s="798"/>
      <c r="AJQ98" s="798"/>
      <c r="AJR98" s="798"/>
      <c r="AJS98" s="798"/>
      <c r="AJT98" s="798"/>
      <c r="AJU98" s="798"/>
      <c r="AJV98" s="798"/>
      <c r="AJW98" s="798"/>
      <c r="AJX98" s="798"/>
      <c r="AJY98" s="798"/>
      <c r="AJZ98" s="798"/>
      <c r="AKA98" s="798"/>
      <c r="AKB98" s="798"/>
      <c r="AKC98" s="798"/>
      <c r="AKD98" s="798"/>
      <c r="AKE98" s="798"/>
      <c r="AKF98" s="798"/>
      <c r="AKG98" s="798"/>
      <c r="AKH98" s="798"/>
      <c r="AKI98" s="798"/>
      <c r="AKJ98" s="798"/>
      <c r="AKK98" s="798"/>
      <c r="AKL98" s="798"/>
      <c r="AKM98" s="798"/>
      <c r="AKN98" s="798"/>
      <c r="AKO98" s="798"/>
      <c r="AKP98" s="798"/>
      <c r="AKQ98" s="798"/>
      <c r="AKR98" s="798"/>
      <c r="AKS98" s="798"/>
      <c r="AKT98" s="798"/>
      <c r="AKU98" s="798"/>
      <c r="AKV98" s="798"/>
      <c r="AKW98" s="798"/>
      <c r="AKX98" s="798"/>
      <c r="AKY98" s="798"/>
      <c r="AKZ98" s="798"/>
      <c r="ALA98" s="798"/>
      <c r="ALB98" s="798"/>
      <c r="ALC98" s="798"/>
      <c r="ALD98" s="798"/>
      <c r="ALE98" s="798"/>
      <c r="ALF98" s="798"/>
      <c r="ALG98" s="798"/>
      <c r="ALH98" s="798"/>
      <c r="ALI98" s="798"/>
      <c r="ALJ98" s="798"/>
      <c r="ALK98" s="798"/>
      <c r="ALL98" s="798"/>
      <c r="ALM98" s="798"/>
      <c r="ALN98" s="798"/>
      <c r="ALO98" s="798"/>
      <c r="ALP98" s="798"/>
      <c r="ALQ98" s="798"/>
      <c r="ALR98" s="798"/>
      <c r="ALS98" s="798"/>
      <c r="ALT98" s="798"/>
      <c r="ALU98" s="798"/>
      <c r="ALV98" s="798"/>
      <c r="ALW98" s="798"/>
      <c r="ALX98" s="798"/>
      <c r="ALY98" s="798"/>
      <c r="ALZ98" s="798"/>
      <c r="AMA98" s="798"/>
      <c r="AMB98" s="798"/>
      <c r="AMC98" s="798"/>
      <c r="AMD98" s="798"/>
      <c r="AME98" s="798"/>
      <c r="AMF98" s="798"/>
      <c r="AMG98" s="798"/>
      <c r="AMH98" s="798"/>
      <c r="AMI98" s="798"/>
      <c r="AMJ98" s="798"/>
      <c r="AMK98" s="798"/>
      <c r="AML98" s="798"/>
      <c r="AMM98" s="798"/>
      <c r="AMN98" s="798"/>
      <c r="AMO98" s="798"/>
      <c r="AMP98" s="798"/>
      <c r="AMQ98" s="798"/>
      <c r="AMR98" s="798"/>
      <c r="AMS98" s="798"/>
      <c r="AMT98" s="798"/>
      <c r="AMU98" s="798"/>
      <c r="AMV98" s="798"/>
      <c r="AMW98" s="798"/>
      <c r="AMX98" s="798"/>
      <c r="AMY98" s="798"/>
      <c r="AMZ98" s="798"/>
      <c r="ANA98" s="798"/>
      <c r="ANB98" s="798"/>
      <c r="ANC98" s="798"/>
      <c r="AND98" s="798"/>
      <c r="ANE98" s="798"/>
      <c r="ANF98" s="798"/>
      <c r="ANG98" s="798"/>
      <c r="ANH98" s="798"/>
      <c r="ANI98" s="798"/>
      <c r="ANJ98" s="798"/>
      <c r="ANK98" s="798"/>
      <c r="ANL98" s="798"/>
      <c r="ANM98" s="798"/>
      <c r="ANN98" s="798"/>
      <c r="ANO98" s="798"/>
      <c r="ANP98" s="798"/>
      <c r="ANQ98" s="798"/>
      <c r="ANR98" s="798"/>
      <c r="ANS98" s="798"/>
      <c r="ANT98" s="798"/>
      <c r="ANU98" s="798"/>
      <c r="ANV98" s="798"/>
      <c r="ANW98" s="798"/>
      <c r="ANX98" s="798"/>
      <c r="ANY98" s="798"/>
      <c r="ANZ98" s="798"/>
      <c r="AOA98" s="798"/>
      <c r="AOB98" s="798"/>
      <c r="AOC98" s="798"/>
      <c r="AOD98" s="798"/>
      <c r="AOE98" s="798"/>
      <c r="AOF98" s="798"/>
      <c r="AOG98" s="798"/>
      <c r="AOH98" s="798"/>
      <c r="AOI98" s="798"/>
      <c r="AOJ98" s="798"/>
      <c r="AOK98" s="798"/>
      <c r="AOL98" s="798"/>
      <c r="AOM98" s="798"/>
      <c r="AON98" s="798"/>
      <c r="AOO98" s="798"/>
      <c r="AOP98" s="798"/>
      <c r="AOQ98" s="798"/>
      <c r="AOR98" s="798"/>
      <c r="AOS98" s="798"/>
      <c r="AOT98" s="798"/>
      <c r="AOU98" s="798"/>
      <c r="AOV98" s="798"/>
      <c r="AOW98" s="798"/>
      <c r="AOX98" s="798"/>
      <c r="AOY98" s="798"/>
      <c r="AOZ98" s="798"/>
      <c r="APA98" s="798"/>
      <c r="APB98" s="798"/>
      <c r="APC98" s="798"/>
      <c r="APD98" s="798"/>
      <c r="APE98" s="798"/>
      <c r="APF98" s="798"/>
      <c r="APG98" s="798"/>
      <c r="APH98" s="798"/>
      <c r="API98" s="798"/>
      <c r="APJ98" s="798"/>
      <c r="APK98" s="798"/>
      <c r="APL98" s="798"/>
      <c r="APM98" s="798"/>
      <c r="APN98" s="798"/>
      <c r="APO98" s="798"/>
      <c r="APP98" s="798"/>
      <c r="APQ98" s="798"/>
      <c r="APR98" s="798"/>
      <c r="APS98" s="798"/>
      <c r="APT98" s="798"/>
      <c r="APU98" s="798"/>
      <c r="APV98" s="798"/>
      <c r="APW98" s="798"/>
      <c r="APX98" s="798"/>
      <c r="APY98" s="798"/>
      <c r="APZ98" s="798"/>
      <c r="AQA98" s="798"/>
      <c r="AQB98" s="798"/>
      <c r="AQC98" s="798"/>
      <c r="AQD98" s="798"/>
      <c r="AQE98" s="798"/>
      <c r="AQF98" s="798"/>
      <c r="AQG98" s="798"/>
      <c r="AQH98" s="798"/>
      <c r="AQI98" s="798"/>
      <c r="AQJ98" s="798"/>
      <c r="AQK98" s="798"/>
      <c r="AQL98" s="798"/>
      <c r="AQM98" s="798"/>
      <c r="AQN98" s="798"/>
      <c r="AQO98" s="798"/>
      <c r="AQP98" s="798"/>
      <c r="AQQ98" s="798"/>
      <c r="AQR98" s="798"/>
      <c r="AQS98" s="798"/>
      <c r="AQT98" s="798"/>
      <c r="AQU98" s="798"/>
      <c r="AQV98" s="798"/>
      <c r="AQW98" s="798"/>
      <c r="AQX98" s="798"/>
      <c r="AQY98" s="798"/>
      <c r="AQZ98" s="798"/>
      <c r="ARA98" s="798"/>
      <c r="ARB98" s="798"/>
      <c r="ARC98" s="798"/>
      <c r="ARD98" s="798"/>
      <c r="ARE98" s="798"/>
      <c r="ARF98" s="798"/>
      <c r="ARG98" s="798"/>
      <c r="ARH98" s="798"/>
      <c r="ARI98" s="798"/>
      <c r="ARJ98" s="798"/>
      <c r="ARK98" s="798"/>
      <c r="ARL98" s="798"/>
      <c r="ARM98" s="798"/>
      <c r="ARN98" s="798"/>
      <c r="ARO98" s="798"/>
      <c r="ARP98" s="798"/>
      <c r="ARQ98" s="798"/>
      <c r="ARR98" s="798"/>
      <c r="ARS98" s="798"/>
      <c r="ART98" s="798"/>
      <c r="ARU98" s="798"/>
      <c r="ARV98" s="798"/>
      <c r="ARW98" s="798"/>
      <c r="ARX98" s="798"/>
      <c r="ARY98" s="798"/>
      <c r="ARZ98" s="798"/>
      <c r="ASA98" s="798"/>
      <c r="ASB98" s="798"/>
      <c r="ASC98" s="798"/>
      <c r="ASD98" s="798"/>
      <c r="ASE98" s="798"/>
      <c r="ASF98" s="798"/>
      <c r="ASG98" s="798"/>
      <c r="ASH98" s="798"/>
      <c r="ASI98" s="798"/>
      <c r="ASJ98" s="798"/>
      <c r="ASK98" s="798"/>
      <c r="ASL98" s="798"/>
      <c r="ASM98" s="798"/>
      <c r="ASN98" s="798"/>
      <c r="ASO98" s="798"/>
      <c r="ASP98" s="798"/>
      <c r="ASQ98" s="798"/>
      <c r="ASR98" s="798"/>
      <c r="ASS98" s="798"/>
      <c r="AST98" s="798"/>
      <c r="ASU98" s="798"/>
      <c r="ASV98" s="798"/>
      <c r="ASW98" s="798"/>
      <c r="ASX98" s="798"/>
      <c r="ASY98" s="798"/>
      <c r="ASZ98" s="798"/>
      <c r="ATA98" s="798"/>
      <c r="ATB98" s="798"/>
      <c r="ATC98" s="798"/>
      <c r="ATD98" s="798"/>
      <c r="ATE98" s="798"/>
      <c r="ATF98" s="798"/>
      <c r="ATG98" s="798"/>
      <c r="ATH98" s="798"/>
      <c r="ATI98" s="798"/>
      <c r="ATJ98" s="798"/>
      <c r="ATK98" s="798"/>
      <c r="ATL98" s="798"/>
      <c r="ATM98" s="798"/>
      <c r="ATN98" s="798"/>
      <c r="ATO98" s="798"/>
      <c r="ATP98" s="798"/>
      <c r="ATQ98" s="798"/>
      <c r="ATR98" s="798"/>
      <c r="ATS98" s="798"/>
      <c r="ATT98" s="798"/>
      <c r="ATU98" s="798"/>
      <c r="ATV98" s="798"/>
      <c r="ATW98" s="798"/>
      <c r="ATX98" s="798"/>
      <c r="ATY98" s="798"/>
      <c r="ATZ98" s="798"/>
      <c r="AUA98" s="798"/>
      <c r="AUB98" s="798"/>
      <c r="AUC98" s="798"/>
      <c r="AUD98" s="798"/>
      <c r="AUE98" s="798"/>
      <c r="AUF98" s="798"/>
      <c r="AUG98" s="798"/>
      <c r="AUH98" s="798"/>
      <c r="AUI98" s="798"/>
      <c r="AUJ98" s="798"/>
      <c r="AUK98" s="798"/>
      <c r="AUL98" s="798"/>
      <c r="AUM98" s="798"/>
      <c r="AUN98" s="798"/>
      <c r="AUO98" s="798"/>
      <c r="AUP98" s="798"/>
      <c r="AUQ98" s="798"/>
      <c r="AUR98" s="798"/>
      <c r="AUS98" s="798"/>
      <c r="AUT98" s="798"/>
      <c r="AUU98" s="798"/>
      <c r="AUV98" s="798"/>
      <c r="AUW98" s="798"/>
      <c r="AUX98" s="798"/>
      <c r="AUY98" s="798"/>
      <c r="AUZ98" s="798"/>
      <c r="AVA98" s="798"/>
      <c r="AVB98" s="798"/>
      <c r="AVC98" s="798"/>
      <c r="AVD98" s="798"/>
      <c r="AVE98" s="798"/>
      <c r="AVF98" s="798"/>
      <c r="AVG98" s="798"/>
      <c r="AVH98" s="798"/>
      <c r="AVI98" s="798"/>
      <c r="AVJ98" s="798"/>
      <c r="AVK98" s="798"/>
      <c r="AVL98" s="798"/>
      <c r="AVM98" s="798"/>
      <c r="AVN98" s="798"/>
      <c r="AVO98" s="798"/>
      <c r="AVP98" s="798"/>
      <c r="AVQ98" s="798"/>
      <c r="AVR98" s="798"/>
      <c r="AVS98" s="798"/>
      <c r="AVT98" s="798"/>
      <c r="AVU98" s="798"/>
      <c r="AVV98" s="798"/>
      <c r="AVW98" s="798"/>
      <c r="AVX98" s="798"/>
      <c r="AVY98" s="798"/>
      <c r="AVZ98" s="798"/>
      <c r="AWA98" s="798"/>
      <c r="AWB98" s="798"/>
      <c r="AWC98" s="798"/>
      <c r="AWD98" s="798"/>
      <c r="AWE98" s="798"/>
      <c r="AWF98" s="798"/>
      <c r="AWG98" s="798"/>
      <c r="AWH98" s="798"/>
      <c r="AWI98" s="798"/>
      <c r="AWJ98" s="798"/>
      <c r="AWK98" s="798"/>
      <c r="AWL98" s="798"/>
      <c r="AWM98" s="798"/>
      <c r="AWN98" s="798"/>
      <c r="AWO98" s="798"/>
      <c r="AWP98" s="798"/>
      <c r="AWQ98" s="798"/>
      <c r="AWR98" s="798"/>
      <c r="AWS98" s="798"/>
      <c r="AWT98" s="798"/>
      <c r="AWU98" s="798"/>
      <c r="AWV98" s="798"/>
      <c r="AWW98" s="798"/>
      <c r="AWX98" s="798"/>
      <c r="AWY98" s="798"/>
      <c r="AWZ98" s="798"/>
      <c r="AXA98" s="798"/>
      <c r="AXB98" s="798"/>
      <c r="AXC98" s="798"/>
      <c r="AXD98" s="798"/>
      <c r="AXE98" s="798"/>
      <c r="AXF98" s="798"/>
      <c r="AXG98" s="798"/>
      <c r="AXH98" s="798"/>
      <c r="AXI98" s="798"/>
      <c r="AXJ98" s="798"/>
      <c r="AXK98" s="798"/>
      <c r="AXL98" s="798"/>
      <c r="AXM98" s="798"/>
      <c r="AXN98" s="798"/>
      <c r="AXO98" s="798"/>
      <c r="AXP98" s="798"/>
      <c r="AXQ98" s="798"/>
      <c r="AXR98" s="798"/>
      <c r="AXS98" s="798"/>
      <c r="AXT98" s="798"/>
      <c r="AXU98" s="798"/>
      <c r="AXV98" s="798"/>
      <c r="AXW98" s="798"/>
      <c r="AXX98" s="798"/>
      <c r="AXY98" s="798"/>
      <c r="AXZ98" s="798"/>
      <c r="AYA98" s="798"/>
      <c r="AYB98" s="798"/>
      <c r="AYC98" s="798"/>
      <c r="AYD98" s="798"/>
      <c r="AYE98" s="798"/>
      <c r="AYF98" s="798"/>
      <c r="AYG98" s="798"/>
      <c r="AYH98" s="798"/>
      <c r="AYI98" s="798"/>
      <c r="AYJ98" s="798"/>
      <c r="AYK98" s="798"/>
      <c r="AYL98" s="798"/>
      <c r="AYM98" s="798"/>
      <c r="AYN98" s="798"/>
      <c r="AYO98" s="798"/>
      <c r="AYP98" s="798"/>
      <c r="AYQ98" s="798"/>
      <c r="AYR98" s="798"/>
      <c r="AYS98" s="798"/>
      <c r="AYT98" s="798"/>
      <c r="AYU98" s="798"/>
      <c r="AYV98" s="798"/>
      <c r="AYW98" s="798"/>
      <c r="AYX98" s="798"/>
      <c r="AYY98" s="798"/>
      <c r="AYZ98" s="798"/>
      <c r="AZA98" s="798"/>
      <c r="AZB98" s="798"/>
      <c r="AZC98" s="798"/>
      <c r="AZD98" s="798"/>
      <c r="AZE98" s="798"/>
      <c r="AZF98" s="798"/>
      <c r="AZG98" s="798"/>
      <c r="AZH98" s="798"/>
      <c r="AZI98" s="798"/>
      <c r="AZJ98" s="798"/>
      <c r="AZK98" s="798"/>
      <c r="AZL98" s="798"/>
      <c r="AZM98" s="798"/>
      <c r="AZN98" s="798"/>
      <c r="AZO98" s="798"/>
      <c r="AZP98" s="798"/>
      <c r="AZQ98" s="798"/>
      <c r="AZR98" s="798"/>
      <c r="AZS98" s="798"/>
      <c r="AZT98" s="798"/>
      <c r="AZU98" s="798"/>
      <c r="AZV98" s="798"/>
      <c r="AZW98" s="798"/>
      <c r="AZX98" s="798"/>
      <c r="AZY98" s="798"/>
      <c r="AZZ98" s="798"/>
      <c r="BAA98" s="798"/>
      <c r="BAB98" s="798"/>
      <c r="BAC98" s="798"/>
      <c r="BAD98" s="798"/>
      <c r="BAE98" s="798"/>
      <c r="BAF98" s="798"/>
      <c r="BAG98" s="798"/>
      <c r="BAH98" s="798"/>
      <c r="BAI98" s="798"/>
      <c r="BAJ98" s="798"/>
      <c r="BAK98" s="798"/>
      <c r="BAL98" s="798"/>
      <c r="BAM98" s="798"/>
      <c r="BAN98" s="798"/>
      <c r="BAO98" s="798"/>
      <c r="BAP98" s="798"/>
      <c r="BAQ98" s="798"/>
      <c r="BAR98" s="798"/>
      <c r="BAS98" s="798"/>
      <c r="BAT98" s="798"/>
      <c r="BAU98" s="798"/>
      <c r="BAV98" s="798"/>
      <c r="BAW98" s="798"/>
      <c r="BAX98" s="798"/>
      <c r="BAY98" s="798"/>
      <c r="BAZ98" s="798"/>
      <c r="BBA98" s="798"/>
      <c r="BBB98" s="798"/>
      <c r="BBC98" s="798"/>
      <c r="BBD98" s="798"/>
      <c r="BBE98" s="798"/>
      <c r="BBF98" s="798"/>
      <c r="BBG98" s="798"/>
      <c r="BBH98" s="798"/>
      <c r="BBI98" s="798"/>
      <c r="BBJ98" s="798"/>
      <c r="BBK98" s="798"/>
      <c r="BBL98" s="798"/>
      <c r="BBM98" s="798"/>
      <c r="BBN98" s="798"/>
      <c r="BBO98" s="798"/>
      <c r="BBP98" s="798"/>
      <c r="BBQ98" s="798"/>
      <c r="BBR98" s="798"/>
      <c r="BBS98" s="798"/>
      <c r="BBT98" s="798"/>
      <c r="BBU98" s="798"/>
      <c r="BBV98" s="798"/>
      <c r="BBW98" s="798"/>
      <c r="BBX98" s="798"/>
      <c r="BBY98" s="798"/>
      <c r="BBZ98" s="798"/>
      <c r="BCA98" s="798"/>
      <c r="BCB98" s="798"/>
      <c r="BCC98" s="798"/>
      <c r="BCD98" s="798"/>
      <c r="BCE98" s="798"/>
      <c r="BCF98" s="798"/>
      <c r="BCG98" s="798"/>
      <c r="BCH98" s="798"/>
      <c r="BCI98" s="798"/>
      <c r="BCJ98" s="798"/>
      <c r="BCK98" s="798"/>
      <c r="BCL98" s="798"/>
      <c r="BCM98" s="798"/>
      <c r="BCN98" s="798"/>
      <c r="BCO98" s="798"/>
      <c r="BCP98" s="798"/>
      <c r="BCQ98" s="798"/>
      <c r="BCR98" s="798"/>
      <c r="BCS98" s="798"/>
      <c r="BCT98" s="798"/>
      <c r="BCU98" s="798"/>
      <c r="BCV98" s="798"/>
      <c r="BCW98" s="798"/>
      <c r="BCX98" s="798"/>
      <c r="BCY98" s="798"/>
      <c r="BCZ98" s="798"/>
      <c r="BDA98" s="798"/>
      <c r="BDB98" s="798"/>
      <c r="BDC98" s="798"/>
      <c r="BDD98" s="798"/>
      <c r="BDE98" s="798"/>
      <c r="BDF98" s="798"/>
      <c r="BDG98" s="798"/>
      <c r="BDH98" s="798"/>
      <c r="BDI98" s="798"/>
      <c r="BDJ98" s="798"/>
      <c r="BDK98" s="798"/>
      <c r="BDL98" s="798"/>
      <c r="BDM98" s="798"/>
      <c r="BDN98" s="798"/>
      <c r="BDO98" s="798"/>
      <c r="BDP98" s="798"/>
      <c r="BDQ98" s="798"/>
      <c r="BDR98" s="798"/>
      <c r="BDS98" s="798"/>
      <c r="BDT98" s="798"/>
      <c r="BDU98" s="798"/>
      <c r="BDV98" s="798"/>
      <c r="BDW98" s="798"/>
      <c r="BDX98" s="798"/>
      <c r="BDY98" s="798"/>
      <c r="BDZ98" s="798"/>
      <c r="BEA98" s="798"/>
      <c r="BEB98" s="798"/>
      <c r="BEC98" s="798"/>
      <c r="BED98" s="798"/>
      <c r="BEE98" s="798"/>
      <c r="BEF98" s="798"/>
      <c r="BEG98" s="798"/>
      <c r="BEH98" s="798"/>
      <c r="BEI98" s="798"/>
      <c r="BEJ98" s="798"/>
      <c r="BEK98" s="798"/>
      <c r="BEL98" s="798"/>
      <c r="BEM98" s="798"/>
      <c r="BEN98" s="798"/>
      <c r="BEO98" s="798"/>
      <c r="BEP98" s="798"/>
      <c r="BEQ98" s="798"/>
      <c r="BER98" s="798"/>
      <c r="BES98" s="798"/>
      <c r="BET98" s="798"/>
      <c r="BEU98" s="798"/>
      <c r="BEV98" s="798"/>
      <c r="BEW98" s="798"/>
      <c r="BEX98" s="798"/>
      <c r="BEY98" s="798"/>
      <c r="BEZ98" s="798"/>
      <c r="BFA98" s="798"/>
      <c r="BFB98" s="798"/>
      <c r="BFC98" s="798"/>
      <c r="BFD98" s="798"/>
      <c r="BFE98" s="798"/>
      <c r="BFF98" s="798"/>
      <c r="BFG98" s="798"/>
      <c r="BFH98" s="798"/>
      <c r="BFI98" s="798"/>
      <c r="BFJ98" s="798"/>
      <c r="BFK98" s="798"/>
      <c r="BFL98" s="798"/>
      <c r="BFM98" s="798"/>
      <c r="BFN98" s="798"/>
      <c r="BFO98" s="798"/>
      <c r="BFP98" s="798"/>
      <c r="BFQ98" s="798"/>
      <c r="BFR98" s="798"/>
      <c r="BFS98" s="798"/>
      <c r="BFT98" s="798"/>
      <c r="BFU98" s="798"/>
      <c r="BFV98" s="798"/>
      <c r="BFW98" s="798"/>
      <c r="BFX98" s="798"/>
      <c r="BFY98" s="798"/>
      <c r="BFZ98" s="798"/>
      <c r="BGA98" s="798"/>
      <c r="BGB98" s="798"/>
      <c r="BGC98" s="798"/>
      <c r="BGD98" s="798"/>
      <c r="BGE98" s="798"/>
      <c r="BGF98" s="798"/>
      <c r="BGG98" s="798"/>
      <c r="BGH98" s="798"/>
      <c r="BGI98" s="798"/>
      <c r="BGJ98" s="798"/>
      <c r="BGK98" s="798"/>
      <c r="BGL98" s="798"/>
      <c r="BGM98" s="798"/>
      <c r="BGN98" s="798"/>
      <c r="BGO98" s="798"/>
      <c r="BGP98" s="798"/>
      <c r="BGQ98" s="798"/>
      <c r="BGR98" s="798"/>
      <c r="BGS98" s="798"/>
      <c r="BGT98" s="798"/>
      <c r="BGU98" s="798"/>
      <c r="BGV98" s="798"/>
      <c r="BGW98" s="798"/>
      <c r="BGX98" s="798"/>
      <c r="BGY98" s="798"/>
      <c r="BGZ98" s="798"/>
      <c r="BHA98" s="798"/>
      <c r="BHB98" s="798"/>
      <c r="BHC98" s="798"/>
      <c r="BHD98" s="798"/>
      <c r="BHE98" s="798"/>
      <c r="BHF98" s="798"/>
      <c r="BHG98" s="798"/>
      <c r="BHH98" s="798"/>
      <c r="BHI98" s="798"/>
      <c r="BHJ98" s="798"/>
      <c r="BHK98" s="798"/>
      <c r="BHL98" s="798"/>
      <c r="BHM98" s="798"/>
      <c r="BHN98" s="798"/>
      <c r="BHO98" s="798"/>
      <c r="BHP98" s="798"/>
      <c r="BHQ98" s="798"/>
      <c r="BHR98" s="798"/>
      <c r="BHS98" s="798"/>
      <c r="BHT98" s="798"/>
      <c r="BHU98" s="798"/>
      <c r="BHV98" s="798"/>
      <c r="BHW98" s="798"/>
      <c r="BHX98" s="798"/>
      <c r="BHY98" s="798"/>
      <c r="BHZ98" s="798"/>
      <c r="BIA98" s="798"/>
      <c r="BIB98" s="798"/>
      <c r="BIC98" s="798"/>
      <c r="BID98" s="798"/>
      <c r="BIE98" s="798"/>
      <c r="BIF98" s="798"/>
      <c r="BIG98" s="798"/>
      <c r="BIH98" s="798"/>
      <c r="BII98" s="798"/>
      <c r="BIJ98" s="798"/>
      <c r="BIK98" s="798"/>
      <c r="BIL98" s="798"/>
      <c r="BIM98" s="798"/>
      <c r="BIN98" s="798"/>
      <c r="BIO98" s="798"/>
      <c r="BIP98" s="798"/>
      <c r="BIQ98" s="798"/>
      <c r="BIR98" s="798"/>
      <c r="BIS98" s="798"/>
      <c r="BIT98" s="798"/>
      <c r="BIU98" s="798"/>
      <c r="BIV98" s="798"/>
      <c r="BIW98" s="798"/>
      <c r="BIX98" s="798"/>
      <c r="BIY98" s="798"/>
      <c r="BIZ98" s="798"/>
      <c r="BJA98" s="798"/>
      <c r="BJB98" s="798"/>
      <c r="BJC98" s="798"/>
      <c r="BJD98" s="798"/>
      <c r="BJE98" s="798"/>
      <c r="BJF98" s="798"/>
      <c r="BJG98" s="798"/>
      <c r="BJH98" s="798"/>
      <c r="BJI98" s="798"/>
      <c r="BJJ98" s="798"/>
      <c r="BJK98" s="798"/>
      <c r="BJL98" s="798"/>
      <c r="BJM98" s="798"/>
      <c r="BJN98" s="798"/>
      <c r="BJO98" s="798"/>
      <c r="BJP98" s="798"/>
      <c r="BJQ98" s="798"/>
      <c r="BJR98" s="798"/>
      <c r="BJS98" s="798"/>
      <c r="BJT98" s="798"/>
      <c r="BJU98" s="798"/>
      <c r="BJV98" s="798"/>
      <c r="BJW98" s="798"/>
      <c r="BJX98" s="798"/>
      <c r="BJY98" s="798"/>
      <c r="BJZ98" s="798"/>
      <c r="BKA98" s="798"/>
      <c r="BKB98" s="798"/>
      <c r="BKC98" s="798"/>
      <c r="BKD98" s="798"/>
      <c r="BKE98" s="798"/>
      <c r="BKF98" s="798"/>
      <c r="BKG98" s="798"/>
      <c r="BKH98" s="798"/>
      <c r="BKI98" s="798"/>
      <c r="BKJ98" s="798"/>
      <c r="BKK98" s="798"/>
      <c r="BKL98" s="798"/>
      <c r="BKM98" s="798"/>
      <c r="BKN98" s="798"/>
      <c r="BKO98" s="798"/>
      <c r="BKP98" s="798"/>
      <c r="BKQ98" s="798"/>
      <c r="BKR98" s="798"/>
      <c r="BKS98" s="798"/>
      <c r="BKT98" s="798"/>
      <c r="BKU98" s="798"/>
      <c r="BKV98" s="798"/>
      <c r="BKW98" s="798"/>
      <c r="BKX98" s="798"/>
      <c r="BKY98" s="798"/>
      <c r="BKZ98" s="798"/>
      <c r="BLA98" s="798"/>
      <c r="BLB98" s="798"/>
      <c r="BLC98" s="798"/>
      <c r="BLD98" s="798"/>
      <c r="BLE98" s="798"/>
      <c r="BLF98" s="798"/>
      <c r="BLG98" s="798"/>
      <c r="BLH98" s="798"/>
      <c r="BLI98" s="798"/>
      <c r="BLJ98" s="798"/>
      <c r="BLK98" s="798"/>
      <c r="BLL98" s="798"/>
      <c r="BLM98" s="798"/>
      <c r="BLN98" s="798"/>
      <c r="BLO98" s="798"/>
      <c r="BLP98" s="798"/>
      <c r="BLQ98" s="798"/>
      <c r="BLR98" s="798"/>
      <c r="BLS98" s="798"/>
      <c r="BLT98" s="798"/>
      <c r="BLU98" s="798"/>
      <c r="BLV98" s="798"/>
      <c r="BLW98" s="798"/>
      <c r="BLX98" s="798"/>
      <c r="BLY98" s="798"/>
      <c r="BLZ98" s="798"/>
      <c r="BMA98" s="798"/>
      <c r="BMB98" s="798"/>
      <c r="BMC98" s="798"/>
      <c r="BMD98" s="798"/>
      <c r="BME98" s="798"/>
      <c r="BMF98" s="798"/>
      <c r="BMG98" s="798"/>
      <c r="BMH98" s="798"/>
      <c r="BMI98" s="798"/>
      <c r="BMJ98" s="798"/>
      <c r="BMK98" s="798"/>
      <c r="BML98" s="798"/>
      <c r="BMM98" s="798"/>
      <c r="BMN98" s="798"/>
      <c r="BMO98" s="798"/>
      <c r="BMP98" s="798"/>
      <c r="BMQ98" s="798"/>
      <c r="BMR98" s="798"/>
      <c r="BMS98" s="798"/>
      <c r="BMT98" s="798"/>
      <c r="BMU98" s="798"/>
      <c r="BMV98" s="798"/>
      <c r="BMW98" s="798"/>
      <c r="BMX98" s="798"/>
      <c r="BMY98" s="798"/>
      <c r="BMZ98" s="798"/>
      <c r="BNA98" s="798"/>
      <c r="BNB98" s="798"/>
      <c r="BNC98" s="798"/>
      <c r="BND98" s="798"/>
      <c r="BNE98" s="798"/>
      <c r="BNF98" s="798"/>
      <c r="BNG98" s="798"/>
      <c r="BNH98" s="798"/>
      <c r="BNI98" s="798"/>
      <c r="BNJ98" s="798"/>
      <c r="BNK98" s="798"/>
      <c r="BNL98" s="798"/>
      <c r="BNM98" s="798"/>
      <c r="BNN98" s="798"/>
      <c r="BNO98" s="798"/>
      <c r="BNP98" s="798"/>
      <c r="BNQ98" s="798"/>
      <c r="BNR98" s="798"/>
      <c r="BNS98" s="798"/>
      <c r="BNT98" s="798"/>
      <c r="BNU98" s="798"/>
      <c r="BNV98" s="798"/>
      <c r="BNW98" s="798"/>
      <c r="BNX98" s="798"/>
      <c r="BNY98" s="798"/>
      <c r="BNZ98" s="798"/>
      <c r="BOA98" s="798"/>
      <c r="BOB98" s="798"/>
      <c r="BOC98" s="798"/>
      <c r="BOD98" s="798"/>
      <c r="BOE98" s="798"/>
      <c r="BOF98" s="798"/>
      <c r="BOG98" s="798"/>
      <c r="BOH98" s="798"/>
      <c r="BOI98" s="798"/>
      <c r="BOJ98" s="798"/>
      <c r="BOK98" s="798"/>
      <c r="BOL98" s="798"/>
      <c r="BOM98" s="798"/>
      <c r="BON98" s="798"/>
      <c r="BOO98" s="798"/>
      <c r="BOP98" s="798"/>
      <c r="BOQ98" s="798"/>
      <c r="BOR98" s="798"/>
      <c r="BOS98" s="798"/>
      <c r="BOT98" s="798"/>
      <c r="BOU98" s="798"/>
      <c r="BOV98" s="798"/>
      <c r="BOW98" s="798"/>
      <c r="BOX98" s="798"/>
      <c r="BOY98" s="798"/>
      <c r="BOZ98" s="798"/>
      <c r="BPA98" s="798"/>
      <c r="BPB98" s="798"/>
      <c r="BPC98" s="798"/>
      <c r="BPD98" s="798"/>
      <c r="BPE98" s="798"/>
      <c r="BPF98" s="798"/>
      <c r="BPG98" s="798"/>
      <c r="BPH98" s="798"/>
      <c r="BPI98" s="798"/>
      <c r="BPJ98" s="798"/>
      <c r="BPK98" s="798"/>
      <c r="BPL98" s="798"/>
      <c r="BPM98" s="798"/>
      <c r="BPN98" s="798"/>
      <c r="BPO98" s="798"/>
      <c r="BPP98" s="798"/>
      <c r="BPQ98" s="798"/>
      <c r="BPR98" s="798"/>
      <c r="BPS98" s="798"/>
      <c r="BPT98" s="798"/>
      <c r="BPU98" s="798"/>
      <c r="BPV98" s="798"/>
      <c r="BPW98" s="798"/>
      <c r="BPX98" s="798"/>
      <c r="BPY98" s="798"/>
      <c r="BPZ98" s="798"/>
      <c r="BQA98" s="798"/>
      <c r="BQB98" s="798"/>
      <c r="BQC98" s="798"/>
      <c r="BQD98" s="798"/>
      <c r="BQE98" s="798"/>
      <c r="BQF98" s="798"/>
      <c r="BQG98" s="798"/>
      <c r="BQH98" s="798"/>
      <c r="BQI98" s="798"/>
      <c r="BQJ98" s="798"/>
      <c r="BQK98" s="798"/>
      <c r="BQL98" s="798"/>
      <c r="BQM98" s="798"/>
      <c r="BQN98" s="798"/>
      <c r="BQO98" s="798"/>
      <c r="BQP98" s="798"/>
      <c r="BQQ98" s="798"/>
      <c r="BQR98" s="798"/>
      <c r="BQS98" s="798"/>
      <c r="BQT98" s="798"/>
      <c r="BQU98" s="798"/>
      <c r="BQV98" s="798"/>
      <c r="BQW98" s="798"/>
      <c r="BQX98" s="798"/>
      <c r="BQY98" s="798"/>
      <c r="BQZ98" s="798"/>
      <c r="BRA98" s="798"/>
      <c r="BRB98" s="798"/>
      <c r="BRC98" s="798"/>
      <c r="BRD98" s="798"/>
      <c r="BRE98" s="798"/>
      <c r="BRF98" s="798"/>
      <c r="BRG98" s="798"/>
      <c r="BRH98" s="798"/>
      <c r="BRI98" s="798"/>
      <c r="BRJ98" s="798"/>
      <c r="BRK98" s="798"/>
      <c r="BRL98" s="798"/>
      <c r="BRM98" s="798"/>
      <c r="BRN98" s="798"/>
      <c r="BRO98" s="798"/>
      <c r="BRP98" s="798"/>
      <c r="BRQ98" s="798"/>
      <c r="BRR98" s="798"/>
      <c r="BRS98" s="798"/>
      <c r="BRT98" s="798"/>
      <c r="BRU98" s="798"/>
      <c r="BRV98" s="798"/>
      <c r="BRW98" s="798"/>
      <c r="BRX98" s="798"/>
      <c r="BRY98" s="798"/>
      <c r="BRZ98" s="798"/>
      <c r="BSA98" s="798"/>
      <c r="BSB98" s="798"/>
      <c r="BSC98" s="798"/>
      <c r="BSD98" s="798"/>
      <c r="BSE98" s="798"/>
      <c r="BSF98" s="798"/>
      <c r="BSG98" s="798"/>
      <c r="BSH98" s="798"/>
      <c r="BSI98" s="798"/>
      <c r="BSJ98" s="798"/>
      <c r="BSK98" s="798"/>
      <c r="BSL98" s="798"/>
      <c r="BSM98" s="798"/>
      <c r="BSN98" s="798"/>
      <c r="BSO98" s="798"/>
      <c r="BSP98" s="798"/>
      <c r="BSQ98" s="798"/>
      <c r="BSR98" s="798"/>
      <c r="BSS98" s="798"/>
      <c r="BST98" s="798"/>
      <c r="BSU98" s="798"/>
      <c r="BSV98" s="798"/>
      <c r="BSW98" s="798"/>
      <c r="BSX98" s="798"/>
      <c r="BSY98" s="798"/>
      <c r="BSZ98" s="798"/>
      <c r="BTA98" s="798"/>
      <c r="BTB98" s="798"/>
      <c r="BTC98" s="798"/>
      <c r="BTD98" s="798"/>
      <c r="BTE98" s="798"/>
      <c r="BTF98" s="798"/>
      <c r="BTG98" s="798"/>
      <c r="BTH98" s="798"/>
      <c r="BTI98" s="798"/>
      <c r="BTJ98" s="798"/>
      <c r="BTK98" s="798"/>
      <c r="BTL98" s="798"/>
      <c r="BTM98" s="798"/>
      <c r="BTN98" s="798"/>
      <c r="BTO98" s="798"/>
      <c r="BTP98" s="798"/>
      <c r="BTQ98" s="798"/>
      <c r="BTR98" s="798"/>
      <c r="BTS98" s="798"/>
      <c r="BTT98" s="798"/>
      <c r="BTU98" s="798"/>
      <c r="BTV98" s="798"/>
      <c r="BTW98" s="798"/>
      <c r="BTX98" s="798"/>
      <c r="BTY98" s="798"/>
      <c r="BTZ98" s="798"/>
      <c r="BUA98" s="798"/>
      <c r="BUB98" s="798"/>
      <c r="BUC98" s="798"/>
      <c r="BUD98" s="798"/>
      <c r="BUE98" s="798"/>
      <c r="BUF98" s="798"/>
      <c r="BUG98" s="798"/>
      <c r="BUH98" s="798"/>
      <c r="BUI98" s="798"/>
      <c r="BUJ98" s="798"/>
      <c r="BUK98" s="798"/>
      <c r="BUL98" s="798"/>
      <c r="BUM98" s="798"/>
      <c r="BUN98" s="798"/>
      <c r="BUO98" s="798"/>
      <c r="BUP98" s="798"/>
      <c r="BUQ98" s="798"/>
      <c r="BUR98" s="798"/>
      <c r="BUS98" s="798"/>
      <c r="BUT98" s="798"/>
      <c r="BUU98" s="798"/>
      <c r="BUV98" s="798"/>
      <c r="BUW98" s="798"/>
      <c r="BUX98" s="798"/>
      <c r="BUY98" s="798"/>
      <c r="BUZ98" s="798"/>
      <c r="BVA98" s="798"/>
      <c r="BVB98" s="798"/>
      <c r="BVC98" s="798"/>
      <c r="BVD98" s="798"/>
      <c r="BVE98" s="798"/>
      <c r="BVF98" s="798"/>
      <c r="BVG98" s="798"/>
      <c r="BVH98" s="798"/>
      <c r="BVI98" s="798"/>
      <c r="BVJ98" s="798"/>
      <c r="BVK98" s="798"/>
      <c r="BVL98" s="798"/>
      <c r="BVM98" s="798"/>
      <c r="BVN98" s="798"/>
      <c r="BVO98" s="798"/>
      <c r="BVP98" s="798"/>
      <c r="BVQ98" s="798"/>
      <c r="BVR98" s="798"/>
      <c r="BVS98" s="798"/>
      <c r="BVT98" s="798"/>
      <c r="BVU98" s="798"/>
      <c r="BVV98" s="798"/>
      <c r="BVW98" s="798"/>
      <c r="BVX98" s="798"/>
      <c r="BVY98" s="798"/>
      <c r="BVZ98" s="798"/>
      <c r="BWA98" s="798"/>
      <c r="BWB98" s="798"/>
      <c r="BWC98" s="798"/>
      <c r="BWD98" s="798"/>
      <c r="BWE98" s="798"/>
      <c r="BWF98" s="798"/>
      <c r="BWG98" s="798"/>
      <c r="BWH98" s="798"/>
      <c r="BWI98" s="798"/>
      <c r="BWJ98" s="798"/>
      <c r="BWK98" s="798"/>
      <c r="BWL98" s="798"/>
      <c r="BWM98" s="798"/>
      <c r="BWN98" s="798"/>
      <c r="BWO98" s="798"/>
      <c r="BWP98" s="798"/>
      <c r="BWQ98" s="798"/>
      <c r="BWR98" s="798"/>
      <c r="BWS98" s="798"/>
      <c r="BWT98" s="798"/>
      <c r="BWU98" s="798"/>
      <c r="BWV98" s="798"/>
      <c r="BWW98" s="798"/>
      <c r="BWX98" s="798"/>
      <c r="BWY98" s="798"/>
      <c r="BWZ98" s="798"/>
      <c r="BXA98" s="798"/>
      <c r="BXB98" s="798"/>
      <c r="BXC98" s="798"/>
      <c r="BXD98" s="798"/>
      <c r="BXE98" s="798"/>
      <c r="BXF98" s="798"/>
      <c r="BXG98" s="798"/>
      <c r="BXH98" s="798"/>
      <c r="BXI98" s="798"/>
      <c r="BXJ98" s="798"/>
      <c r="BXK98" s="798"/>
      <c r="BXL98" s="798"/>
      <c r="BXM98" s="798"/>
      <c r="BXN98" s="798"/>
      <c r="BXO98" s="798"/>
      <c r="BXP98" s="798"/>
      <c r="BXQ98" s="798"/>
      <c r="BXR98" s="798"/>
      <c r="BXS98" s="798"/>
      <c r="BXT98" s="798"/>
      <c r="BXU98" s="798"/>
      <c r="BXV98" s="798"/>
      <c r="BXW98" s="798"/>
      <c r="BXX98" s="798"/>
      <c r="BXY98" s="798"/>
      <c r="BXZ98" s="798"/>
      <c r="BYA98" s="798"/>
      <c r="BYB98" s="798"/>
      <c r="BYC98" s="798"/>
      <c r="BYD98" s="798"/>
      <c r="BYE98" s="798"/>
      <c r="BYF98" s="798"/>
      <c r="BYG98" s="798"/>
      <c r="BYH98" s="798"/>
      <c r="BYI98" s="798"/>
      <c r="BYJ98" s="798"/>
      <c r="BYK98" s="798"/>
      <c r="BYL98" s="798"/>
      <c r="BYM98" s="798"/>
      <c r="BYN98" s="798"/>
      <c r="BYO98" s="798"/>
      <c r="BYP98" s="798"/>
      <c r="BYQ98" s="798"/>
      <c r="BYR98" s="798"/>
      <c r="BYS98" s="798"/>
      <c r="BYT98" s="798"/>
      <c r="BYU98" s="798"/>
      <c r="BYV98" s="798"/>
      <c r="BYW98" s="798"/>
      <c r="BYX98" s="798"/>
      <c r="BYY98" s="798"/>
      <c r="BYZ98" s="798"/>
      <c r="BZA98" s="798"/>
      <c r="BZB98" s="798"/>
      <c r="BZC98" s="798"/>
      <c r="BZD98" s="798"/>
      <c r="BZE98" s="798"/>
      <c r="BZF98" s="798"/>
      <c r="BZG98" s="798"/>
      <c r="BZH98" s="798"/>
      <c r="BZI98" s="798"/>
      <c r="BZJ98" s="798"/>
      <c r="BZK98" s="798"/>
      <c r="BZL98" s="798"/>
      <c r="BZM98" s="798"/>
      <c r="BZN98" s="798"/>
      <c r="BZO98" s="798"/>
      <c r="BZP98" s="798"/>
      <c r="BZQ98" s="798"/>
      <c r="BZR98" s="798"/>
      <c r="BZS98" s="798"/>
      <c r="BZT98" s="798"/>
      <c r="BZU98" s="798"/>
      <c r="BZV98" s="798"/>
      <c r="BZW98" s="798"/>
      <c r="BZX98" s="798"/>
      <c r="BZY98" s="798"/>
      <c r="BZZ98" s="798"/>
      <c r="CAA98" s="798"/>
      <c r="CAB98" s="798"/>
      <c r="CAC98" s="798"/>
      <c r="CAD98" s="798"/>
      <c r="CAE98" s="798"/>
      <c r="CAF98" s="798"/>
      <c r="CAG98" s="798"/>
      <c r="CAH98" s="798"/>
      <c r="CAI98" s="798"/>
      <c r="CAJ98" s="798"/>
      <c r="CAK98" s="798"/>
      <c r="CAL98" s="798"/>
      <c r="CAM98" s="798"/>
      <c r="CAN98" s="798"/>
      <c r="CAO98" s="798"/>
      <c r="CAP98" s="798"/>
      <c r="CAQ98" s="798"/>
      <c r="CAR98" s="798"/>
      <c r="CAS98" s="798"/>
      <c r="CAT98" s="798"/>
      <c r="CAU98" s="798"/>
      <c r="CAV98" s="798"/>
      <c r="CAW98" s="798"/>
      <c r="CAX98" s="798"/>
      <c r="CAY98" s="798"/>
      <c r="CAZ98" s="798"/>
      <c r="CBA98" s="798"/>
      <c r="CBB98" s="798"/>
      <c r="CBC98" s="798"/>
      <c r="CBD98" s="798"/>
      <c r="CBE98" s="798"/>
      <c r="CBF98" s="798"/>
      <c r="CBG98" s="798"/>
      <c r="CBH98" s="798"/>
      <c r="CBI98" s="798"/>
      <c r="CBJ98" s="798"/>
      <c r="CBK98" s="798"/>
      <c r="CBL98" s="798"/>
      <c r="CBM98" s="798"/>
      <c r="CBN98" s="798"/>
      <c r="CBO98" s="798"/>
      <c r="CBP98" s="798"/>
      <c r="CBQ98" s="798"/>
      <c r="CBR98" s="798"/>
      <c r="CBS98" s="798"/>
      <c r="CBT98" s="798"/>
      <c r="CBU98" s="798"/>
      <c r="CBV98" s="798"/>
      <c r="CBW98" s="798"/>
      <c r="CBX98" s="798"/>
      <c r="CBY98" s="798"/>
      <c r="CBZ98" s="798"/>
      <c r="CCA98" s="798"/>
      <c r="CCB98" s="798"/>
      <c r="CCC98" s="798"/>
      <c r="CCD98" s="798"/>
      <c r="CCE98" s="798"/>
      <c r="CCF98" s="798"/>
      <c r="CCG98" s="798"/>
      <c r="CCH98" s="798"/>
      <c r="CCI98" s="798"/>
      <c r="CCJ98" s="798"/>
      <c r="CCK98" s="798"/>
      <c r="CCL98" s="798"/>
      <c r="CCM98" s="798"/>
      <c r="CCN98" s="798"/>
      <c r="CCO98" s="798"/>
      <c r="CCP98" s="798"/>
      <c r="CCQ98" s="798"/>
      <c r="CCR98" s="798"/>
      <c r="CCS98" s="798"/>
      <c r="CCT98" s="798"/>
      <c r="CCU98" s="798"/>
      <c r="CCV98" s="798"/>
      <c r="CCW98" s="798"/>
      <c r="CCX98" s="798"/>
      <c r="CCY98" s="798"/>
      <c r="CCZ98" s="798"/>
      <c r="CDA98" s="798"/>
      <c r="CDB98" s="798"/>
      <c r="CDC98" s="798"/>
      <c r="CDD98" s="798"/>
      <c r="CDE98" s="798"/>
      <c r="CDF98" s="798"/>
      <c r="CDG98" s="798"/>
      <c r="CDH98" s="798"/>
      <c r="CDI98" s="798"/>
      <c r="CDJ98" s="798"/>
      <c r="CDK98" s="798"/>
      <c r="CDL98" s="798"/>
      <c r="CDM98" s="798"/>
      <c r="CDN98" s="798"/>
      <c r="CDO98" s="798"/>
      <c r="CDP98" s="798"/>
      <c r="CDQ98" s="798"/>
      <c r="CDR98" s="798"/>
      <c r="CDS98" s="798"/>
      <c r="CDT98" s="798"/>
      <c r="CDU98" s="798"/>
      <c r="CDV98" s="798"/>
      <c r="CDW98" s="798"/>
      <c r="CDX98" s="798"/>
      <c r="CDY98" s="798"/>
      <c r="CDZ98" s="798"/>
      <c r="CEA98" s="798"/>
      <c r="CEB98" s="798"/>
      <c r="CEC98" s="798"/>
      <c r="CED98" s="798"/>
      <c r="CEE98" s="798"/>
      <c r="CEF98" s="798"/>
      <c r="CEG98" s="798"/>
      <c r="CEH98" s="798"/>
      <c r="CEI98" s="798"/>
      <c r="CEJ98" s="798"/>
      <c r="CEK98" s="798"/>
      <c r="CEL98" s="798"/>
      <c r="CEM98" s="798"/>
      <c r="CEN98" s="798"/>
      <c r="CEO98" s="798"/>
      <c r="CEP98" s="798"/>
      <c r="CEQ98" s="798"/>
      <c r="CER98" s="798"/>
      <c r="CES98" s="798"/>
      <c r="CET98" s="798"/>
      <c r="CEU98" s="798"/>
      <c r="CEV98" s="798"/>
      <c r="CEW98" s="798"/>
      <c r="CEX98" s="798"/>
      <c r="CEY98" s="798"/>
      <c r="CEZ98" s="798"/>
      <c r="CFA98" s="798"/>
      <c r="CFB98" s="798"/>
      <c r="CFC98" s="798"/>
      <c r="CFD98" s="798"/>
      <c r="CFE98" s="798"/>
      <c r="CFF98" s="798"/>
      <c r="CFG98" s="798"/>
      <c r="CFH98" s="798"/>
      <c r="CFI98" s="798"/>
      <c r="CFJ98" s="798"/>
      <c r="CFK98" s="798"/>
      <c r="CFL98" s="798"/>
      <c r="CFM98" s="798"/>
      <c r="CFN98" s="798"/>
      <c r="CFO98" s="798"/>
      <c r="CFP98" s="798"/>
      <c r="CFQ98" s="798"/>
      <c r="CFR98" s="798"/>
      <c r="CFS98" s="798"/>
      <c r="CFT98" s="798"/>
      <c r="CFU98" s="798"/>
      <c r="CFV98" s="798"/>
      <c r="CFW98" s="798"/>
      <c r="CFX98" s="798"/>
      <c r="CFY98" s="798"/>
      <c r="CFZ98" s="798"/>
      <c r="CGA98" s="798"/>
      <c r="CGB98" s="798"/>
      <c r="CGC98" s="798"/>
      <c r="CGD98" s="798"/>
      <c r="CGE98" s="798"/>
      <c r="CGF98" s="798"/>
      <c r="CGG98" s="798"/>
      <c r="CGH98" s="798"/>
      <c r="CGI98" s="798"/>
      <c r="CGJ98" s="798"/>
      <c r="CGK98" s="798"/>
      <c r="CGL98" s="798"/>
      <c r="CGM98" s="798"/>
      <c r="CGN98" s="798"/>
      <c r="CGO98" s="798"/>
      <c r="CGP98" s="798"/>
      <c r="CGQ98" s="798"/>
      <c r="CGR98" s="798"/>
      <c r="CGS98" s="798"/>
      <c r="CGT98" s="798"/>
      <c r="CGU98" s="798"/>
      <c r="CGV98" s="798"/>
      <c r="CGW98" s="798"/>
      <c r="CGX98" s="798"/>
      <c r="CGY98" s="798"/>
      <c r="CGZ98" s="798"/>
      <c r="CHA98" s="798"/>
      <c r="CHB98" s="798"/>
      <c r="CHC98" s="798"/>
      <c r="CHD98" s="798"/>
      <c r="CHE98" s="798"/>
      <c r="CHF98" s="798"/>
      <c r="CHG98" s="798"/>
      <c r="CHH98" s="798"/>
      <c r="CHI98" s="798"/>
      <c r="CHJ98" s="798"/>
      <c r="CHK98" s="798"/>
      <c r="CHL98" s="798"/>
      <c r="CHM98" s="798"/>
      <c r="CHN98" s="798"/>
      <c r="CHO98" s="798"/>
      <c r="CHP98" s="798"/>
      <c r="CHQ98" s="798"/>
      <c r="CHR98" s="798"/>
      <c r="CHS98" s="798"/>
      <c r="CHT98" s="798"/>
      <c r="CHU98" s="798"/>
      <c r="CHV98" s="798"/>
      <c r="CHW98" s="798"/>
      <c r="CHX98" s="798"/>
      <c r="CHY98" s="798"/>
      <c r="CHZ98" s="798"/>
      <c r="CIA98" s="798"/>
      <c r="CIB98" s="798"/>
      <c r="CIC98" s="798"/>
      <c r="CID98" s="798"/>
      <c r="CIE98" s="798"/>
      <c r="CIF98" s="798"/>
      <c r="CIG98" s="798"/>
      <c r="CIH98" s="798"/>
      <c r="CII98" s="798"/>
      <c r="CIJ98" s="798"/>
      <c r="CIK98" s="798"/>
      <c r="CIL98" s="798"/>
      <c r="CIM98" s="798"/>
      <c r="CIN98" s="798"/>
      <c r="CIO98" s="798"/>
      <c r="CIP98" s="798"/>
      <c r="CIQ98" s="798"/>
      <c r="CIR98" s="798"/>
      <c r="CIS98" s="798"/>
      <c r="CIT98" s="798"/>
      <c r="CIU98" s="798"/>
      <c r="CIV98" s="798"/>
      <c r="CIW98" s="798"/>
      <c r="CIX98" s="798"/>
      <c r="CIY98" s="798"/>
      <c r="CIZ98" s="798"/>
      <c r="CJA98" s="798"/>
      <c r="CJB98" s="798"/>
      <c r="CJC98" s="798"/>
      <c r="CJD98" s="798"/>
      <c r="CJE98" s="798"/>
      <c r="CJF98" s="798"/>
      <c r="CJG98" s="798"/>
      <c r="CJH98" s="798"/>
      <c r="CJI98" s="798"/>
      <c r="CJJ98" s="798"/>
      <c r="CJK98" s="798"/>
      <c r="CJL98" s="798"/>
      <c r="CJM98" s="798"/>
      <c r="CJN98" s="798"/>
      <c r="CJO98" s="798"/>
      <c r="CJP98" s="798"/>
      <c r="CJQ98" s="798"/>
      <c r="CJR98" s="798"/>
      <c r="CJS98" s="798"/>
      <c r="CJT98" s="798"/>
      <c r="CJU98" s="798"/>
      <c r="CJV98" s="798"/>
      <c r="CJW98" s="798"/>
      <c r="CJX98" s="798"/>
      <c r="CJY98" s="798"/>
      <c r="CJZ98" s="798"/>
      <c r="CKA98" s="798"/>
      <c r="CKB98" s="798"/>
      <c r="CKC98" s="798"/>
      <c r="CKD98" s="798"/>
      <c r="CKE98" s="798"/>
      <c r="CKF98" s="798"/>
      <c r="CKG98" s="798"/>
      <c r="CKH98" s="798"/>
      <c r="CKI98" s="798"/>
      <c r="CKJ98" s="798"/>
      <c r="CKK98" s="798"/>
      <c r="CKL98" s="798"/>
      <c r="CKM98" s="798"/>
      <c r="CKN98" s="798"/>
      <c r="CKO98" s="798"/>
      <c r="CKP98" s="798"/>
      <c r="CKQ98" s="798"/>
      <c r="CKR98" s="798"/>
      <c r="CKS98" s="798"/>
      <c r="CKT98" s="798"/>
      <c r="CKU98" s="798"/>
      <c r="CKV98" s="798"/>
      <c r="CKW98" s="798"/>
      <c r="CKX98" s="798"/>
      <c r="CKY98" s="798"/>
      <c r="CKZ98" s="798"/>
      <c r="CLA98" s="798"/>
      <c r="CLB98" s="798"/>
      <c r="CLC98" s="798"/>
      <c r="CLD98" s="798"/>
      <c r="CLE98" s="798"/>
      <c r="CLF98" s="798"/>
      <c r="CLG98" s="798"/>
      <c r="CLH98" s="798"/>
      <c r="CLI98" s="798"/>
      <c r="CLJ98" s="798"/>
      <c r="CLK98" s="798"/>
      <c r="CLL98" s="798"/>
      <c r="CLM98" s="798"/>
      <c r="CLN98" s="798"/>
      <c r="CLO98" s="798"/>
      <c r="CLP98" s="798"/>
      <c r="CLQ98" s="798"/>
      <c r="CLR98" s="798"/>
      <c r="CLS98" s="798"/>
      <c r="CLT98" s="798"/>
      <c r="CLU98" s="798"/>
      <c r="CLV98" s="798"/>
      <c r="CLW98" s="798"/>
      <c r="CLX98" s="798"/>
      <c r="CLY98" s="798"/>
      <c r="CLZ98" s="798"/>
      <c r="CMA98" s="798"/>
      <c r="CMB98" s="798"/>
      <c r="CMC98" s="798"/>
      <c r="CMD98" s="798"/>
      <c r="CME98" s="798"/>
      <c r="CMF98" s="798"/>
      <c r="CMG98" s="798"/>
      <c r="CMH98" s="798"/>
      <c r="CMI98" s="798"/>
      <c r="CMJ98" s="798"/>
      <c r="CMK98" s="798"/>
      <c r="CML98" s="798"/>
      <c r="CMM98" s="798"/>
      <c r="CMN98" s="798"/>
      <c r="CMO98" s="798"/>
      <c r="CMP98" s="798"/>
      <c r="CMQ98" s="798"/>
      <c r="CMR98" s="798"/>
      <c r="CMS98" s="798"/>
      <c r="CMT98" s="798"/>
      <c r="CMU98" s="798"/>
      <c r="CMV98" s="798"/>
      <c r="CMW98" s="798"/>
      <c r="CMX98" s="798"/>
      <c r="CMY98" s="798"/>
      <c r="CMZ98" s="798"/>
      <c r="CNA98" s="798"/>
      <c r="CNB98" s="798"/>
      <c r="CNC98" s="798"/>
      <c r="CND98" s="798"/>
      <c r="CNE98" s="798"/>
      <c r="CNF98" s="798"/>
      <c r="CNG98" s="798"/>
      <c r="CNH98" s="798"/>
      <c r="CNI98" s="798"/>
      <c r="CNJ98" s="798"/>
      <c r="CNK98" s="798"/>
      <c r="CNL98" s="798"/>
      <c r="CNM98" s="798"/>
      <c r="CNN98" s="798"/>
      <c r="CNO98" s="798"/>
      <c r="CNP98" s="798"/>
      <c r="CNQ98" s="798"/>
      <c r="CNR98" s="798"/>
      <c r="CNS98" s="798"/>
      <c r="CNT98" s="798"/>
      <c r="CNU98" s="798"/>
      <c r="CNV98" s="798"/>
      <c r="CNW98" s="798"/>
      <c r="CNX98" s="798"/>
      <c r="CNY98" s="798"/>
      <c r="CNZ98" s="798"/>
      <c r="COA98" s="798"/>
      <c r="COB98" s="798"/>
      <c r="COC98" s="798"/>
      <c r="COD98" s="798"/>
      <c r="COE98" s="798"/>
      <c r="COF98" s="798"/>
      <c r="COG98" s="798"/>
      <c r="COH98" s="798"/>
      <c r="COI98" s="798"/>
      <c r="COJ98" s="798"/>
      <c r="COK98" s="798"/>
      <c r="COL98" s="798"/>
      <c r="COM98" s="798"/>
      <c r="CON98" s="798"/>
      <c r="COO98" s="798"/>
      <c r="COP98" s="798"/>
      <c r="COQ98" s="798"/>
      <c r="COR98" s="798"/>
      <c r="COS98" s="798"/>
      <c r="COT98" s="798"/>
      <c r="COU98" s="798"/>
      <c r="COV98" s="798"/>
      <c r="COW98" s="798"/>
      <c r="COX98" s="798"/>
      <c r="COY98" s="798"/>
      <c r="COZ98" s="798"/>
      <c r="CPA98" s="798"/>
      <c r="CPB98" s="798"/>
      <c r="CPC98" s="798"/>
      <c r="CPD98" s="798"/>
      <c r="CPE98" s="798"/>
      <c r="CPF98" s="798"/>
      <c r="CPG98" s="798"/>
      <c r="CPH98" s="798"/>
      <c r="CPI98" s="798"/>
      <c r="CPJ98" s="798"/>
      <c r="CPK98" s="798"/>
      <c r="CPL98" s="798"/>
      <c r="CPM98" s="798"/>
      <c r="CPN98" s="798"/>
      <c r="CPO98" s="798"/>
      <c r="CPP98" s="798"/>
      <c r="CPQ98" s="798"/>
      <c r="CPR98" s="798"/>
      <c r="CPS98" s="798"/>
      <c r="CPT98" s="798"/>
      <c r="CPU98" s="798"/>
      <c r="CPV98" s="798"/>
      <c r="CPW98" s="798"/>
      <c r="CPX98" s="798"/>
      <c r="CPY98" s="798"/>
      <c r="CPZ98" s="798"/>
      <c r="CQA98" s="798"/>
      <c r="CQB98" s="798"/>
      <c r="CQC98" s="798"/>
      <c r="CQD98" s="798"/>
      <c r="CQE98" s="798"/>
      <c r="CQF98" s="798"/>
      <c r="CQG98" s="798"/>
      <c r="CQH98" s="798"/>
      <c r="CQI98" s="798"/>
      <c r="CQJ98" s="798"/>
      <c r="CQK98" s="798"/>
      <c r="CQL98" s="798"/>
      <c r="CQM98" s="798"/>
      <c r="CQN98" s="798"/>
      <c r="CQO98" s="798"/>
      <c r="CQP98" s="798"/>
      <c r="CQQ98" s="798"/>
      <c r="CQR98" s="798"/>
      <c r="CQS98" s="798"/>
      <c r="CQT98" s="798"/>
      <c r="CQU98" s="798"/>
      <c r="CQV98" s="798"/>
      <c r="CQW98" s="798"/>
      <c r="CQX98" s="798"/>
      <c r="CQY98" s="798"/>
      <c r="CQZ98" s="798"/>
      <c r="CRA98" s="798"/>
      <c r="CRB98" s="798"/>
      <c r="CRC98" s="798"/>
      <c r="CRD98" s="798"/>
      <c r="CRE98" s="798"/>
      <c r="CRF98" s="798"/>
      <c r="CRG98" s="798"/>
      <c r="CRH98" s="798"/>
      <c r="CRI98" s="798"/>
      <c r="CRJ98" s="798"/>
      <c r="CRK98" s="798"/>
      <c r="CRL98" s="798"/>
      <c r="CRM98" s="798"/>
      <c r="CRN98" s="798"/>
      <c r="CRO98" s="798"/>
      <c r="CRP98" s="798"/>
      <c r="CRQ98" s="798"/>
      <c r="CRR98" s="798"/>
      <c r="CRS98" s="798"/>
      <c r="CRT98" s="798"/>
      <c r="CRU98" s="798"/>
      <c r="CRV98" s="798"/>
      <c r="CRW98" s="798"/>
      <c r="CRX98" s="798"/>
      <c r="CRY98" s="798"/>
      <c r="CRZ98" s="798"/>
      <c r="CSA98" s="798"/>
      <c r="CSB98" s="798"/>
      <c r="CSC98" s="798"/>
      <c r="CSD98" s="798"/>
      <c r="CSE98" s="798"/>
      <c r="CSF98" s="798"/>
      <c r="CSG98" s="798"/>
      <c r="CSH98" s="798"/>
      <c r="CSI98" s="798"/>
      <c r="CSJ98" s="798"/>
      <c r="CSK98" s="798"/>
      <c r="CSL98" s="798"/>
      <c r="CSM98" s="798"/>
      <c r="CSN98" s="798"/>
      <c r="CSO98" s="798"/>
      <c r="CSP98" s="798"/>
      <c r="CSQ98" s="798"/>
      <c r="CSR98" s="798"/>
      <c r="CSS98" s="798"/>
      <c r="CST98" s="798"/>
      <c r="CSU98" s="798"/>
      <c r="CSV98" s="798"/>
      <c r="CSW98" s="798"/>
      <c r="CSX98" s="798"/>
      <c r="CSY98" s="798"/>
      <c r="CSZ98" s="798"/>
      <c r="CTA98" s="798"/>
      <c r="CTB98" s="798"/>
      <c r="CTC98" s="798"/>
      <c r="CTD98" s="798"/>
      <c r="CTE98" s="798"/>
      <c r="CTF98" s="798"/>
      <c r="CTG98" s="798"/>
      <c r="CTH98" s="798"/>
      <c r="CTI98" s="798"/>
      <c r="CTJ98" s="798"/>
      <c r="CTK98" s="798"/>
      <c r="CTL98" s="798"/>
      <c r="CTM98" s="798"/>
      <c r="CTN98" s="798"/>
      <c r="CTO98" s="798"/>
      <c r="CTP98" s="798"/>
      <c r="CTQ98" s="798"/>
      <c r="CTR98" s="798"/>
      <c r="CTS98" s="798"/>
      <c r="CTT98" s="798"/>
      <c r="CTU98" s="798"/>
      <c r="CTV98" s="798"/>
      <c r="CTW98" s="798"/>
      <c r="CTX98" s="798"/>
      <c r="CTY98" s="798"/>
      <c r="CTZ98" s="798"/>
      <c r="CUA98" s="798"/>
      <c r="CUB98" s="798"/>
      <c r="CUC98" s="798"/>
      <c r="CUD98" s="798"/>
      <c r="CUE98" s="798"/>
      <c r="CUF98" s="798"/>
      <c r="CUG98" s="798"/>
      <c r="CUH98" s="798"/>
      <c r="CUI98" s="798"/>
      <c r="CUJ98" s="798"/>
      <c r="CUK98" s="798"/>
      <c r="CUL98" s="798"/>
      <c r="CUM98" s="798"/>
      <c r="CUN98" s="798"/>
      <c r="CUO98" s="798"/>
      <c r="CUP98" s="798"/>
      <c r="CUQ98" s="798"/>
      <c r="CUR98" s="798"/>
      <c r="CUS98" s="798"/>
      <c r="CUT98" s="798"/>
      <c r="CUU98" s="798"/>
      <c r="CUV98" s="798"/>
      <c r="CUW98" s="798"/>
      <c r="CUX98" s="798"/>
      <c r="CUY98" s="798"/>
      <c r="CUZ98" s="798"/>
      <c r="CVA98" s="798"/>
      <c r="CVB98" s="798"/>
      <c r="CVC98" s="798"/>
      <c r="CVD98" s="798"/>
      <c r="CVE98" s="798"/>
      <c r="CVF98" s="798"/>
      <c r="CVG98" s="798"/>
      <c r="CVH98" s="798"/>
      <c r="CVI98" s="798"/>
      <c r="CVJ98" s="798"/>
      <c r="CVK98" s="798"/>
      <c r="CVL98" s="798"/>
      <c r="CVM98" s="798"/>
      <c r="CVN98" s="798"/>
      <c r="CVO98" s="798"/>
      <c r="CVP98" s="798"/>
      <c r="CVQ98" s="798"/>
      <c r="CVR98" s="798"/>
      <c r="CVS98" s="798"/>
      <c r="CVT98" s="798"/>
      <c r="CVU98" s="798"/>
      <c r="CVV98" s="798"/>
      <c r="CVW98" s="798"/>
      <c r="CVX98" s="798"/>
      <c r="CVY98" s="798"/>
      <c r="CVZ98" s="798"/>
      <c r="CWA98" s="798"/>
      <c r="CWB98" s="798"/>
      <c r="CWC98" s="798"/>
      <c r="CWD98" s="798"/>
      <c r="CWE98" s="798"/>
      <c r="CWF98" s="798"/>
      <c r="CWG98" s="798"/>
      <c r="CWH98" s="798"/>
      <c r="CWI98" s="798"/>
      <c r="CWJ98" s="798"/>
      <c r="CWK98" s="798"/>
      <c r="CWL98" s="798"/>
      <c r="CWM98" s="798"/>
      <c r="CWN98" s="798"/>
      <c r="CWO98" s="798"/>
      <c r="CWP98" s="798"/>
      <c r="CWQ98" s="798"/>
      <c r="CWR98" s="798"/>
      <c r="CWS98" s="798"/>
      <c r="CWT98" s="798"/>
      <c r="CWU98" s="798"/>
      <c r="CWV98" s="798"/>
      <c r="CWW98" s="798"/>
      <c r="CWX98" s="798"/>
      <c r="CWY98" s="798"/>
      <c r="CWZ98" s="798"/>
      <c r="CXA98" s="798"/>
      <c r="CXB98" s="798"/>
      <c r="CXC98" s="798"/>
      <c r="CXD98" s="798"/>
      <c r="CXE98" s="798"/>
      <c r="CXF98" s="798"/>
      <c r="CXG98" s="798"/>
      <c r="CXH98" s="798"/>
      <c r="CXI98" s="798"/>
      <c r="CXJ98" s="798"/>
      <c r="CXK98" s="798"/>
      <c r="CXL98" s="798"/>
      <c r="CXM98" s="798"/>
      <c r="CXN98" s="798"/>
      <c r="CXO98" s="798"/>
      <c r="CXP98" s="798"/>
      <c r="CXQ98" s="798"/>
      <c r="CXR98" s="798"/>
      <c r="CXS98" s="798"/>
      <c r="CXT98" s="798"/>
      <c r="CXU98" s="798"/>
      <c r="CXV98" s="798"/>
      <c r="CXW98" s="798"/>
      <c r="CXX98" s="798"/>
      <c r="CXY98" s="798"/>
      <c r="CXZ98" s="798"/>
      <c r="CYA98" s="798"/>
      <c r="CYB98" s="798"/>
      <c r="CYC98" s="798"/>
      <c r="CYD98" s="798"/>
      <c r="CYE98" s="798"/>
      <c r="CYF98" s="798"/>
      <c r="CYG98" s="798"/>
      <c r="CYH98" s="798"/>
      <c r="CYI98" s="798"/>
      <c r="CYJ98" s="798"/>
      <c r="CYK98" s="798"/>
      <c r="CYL98" s="798"/>
      <c r="CYM98" s="798"/>
      <c r="CYN98" s="798"/>
      <c r="CYO98" s="798"/>
      <c r="CYP98" s="798"/>
      <c r="CYQ98" s="798"/>
      <c r="CYR98" s="798"/>
      <c r="CYS98" s="798"/>
      <c r="CYT98" s="798"/>
      <c r="CYU98" s="798"/>
      <c r="CYV98" s="798"/>
      <c r="CYW98" s="798"/>
      <c r="CYX98" s="798"/>
      <c r="CYY98" s="798"/>
      <c r="CYZ98" s="798"/>
      <c r="CZA98" s="798"/>
      <c r="CZB98" s="798"/>
      <c r="CZC98" s="798"/>
      <c r="CZD98" s="798"/>
      <c r="CZE98" s="798"/>
      <c r="CZF98" s="798"/>
      <c r="CZG98" s="798"/>
      <c r="CZH98" s="798"/>
      <c r="CZI98" s="798"/>
      <c r="CZJ98" s="798"/>
      <c r="CZK98" s="798"/>
      <c r="CZL98" s="798"/>
      <c r="CZM98" s="798"/>
      <c r="CZN98" s="798"/>
      <c r="CZO98" s="798"/>
      <c r="CZP98" s="798"/>
      <c r="CZQ98" s="798"/>
      <c r="CZR98" s="798"/>
      <c r="CZS98" s="798"/>
      <c r="CZT98" s="798"/>
      <c r="CZU98" s="798"/>
      <c r="CZV98" s="798"/>
      <c r="CZW98" s="798"/>
      <c r="CZX98" s="798"/>
      <c r="CZY98" s="798"/>
      <c r="CZZ98" s="798"/>
      <c r="DAA98" s="798"/>
      <c r="DAB98" s="798"/>
      <c r="DAC98" s="798"/>
      <c r="DAD98" s="798"/>
      <c r="DAE98" s="798"/>
      <c r="DAF98" s="798"/>
      <c r="DAG98" s="798"/>
      <c r="DAH98" s="798"/>
      <c r="DAI98" s="798"/>
      <c r="DAJ98" s="798"/>
      <c r="DAK98" s="798"/>
      <c r="DAL98" s="798"/>
      <c r="DAM98" s="798"/>
      <c r="DAN98" s="798"/>
      <c r="DAO98" s="798"/>
      <c r="DAP98" s="798"/>
      <c r="DAQ98" s="798"/>
      <c r="DAR98" s="798"/>
      <c r="DAS98" s="798"/>
      <c r="DAT98" s="798"/>
      <c r="DAU98" s="798"/>
      <c r="DAV98" s="798"/>
      <c r="DAW98" s="798"/>
      <c r="DAX98" s="798"/>
      <c r="DAY98" s="798"/>
      <c r="DAZ98" s="798"/>
      <c r="DBA98" s="798"/>
      <c r="DBB98" s="798"/>
      <c r="DBC98" s="798"/>
      <c r="DBD98" s="798"/>
      <c r="DBE98" s="798"/>
      <c r="DBF98" s="798"/>
      <c r="DBG98" s="798"/>
      <c r="DBH98" s="798"/>
      <c r="DBI98" s="798"/>
      <c r="DBJ98" s="798"/>
      <c r="DBK98" s="798"/>
      <c r="DBL98" s="798"/>
      <c r="DBM98" s="798"/>
      <c r="DBN98" s="798"/>
      <c r="DBO98" s="798"/>
      <c r="DBP98" s="798"/>
      <c r="DBQ98" s="798"/>
      <c r="DBR98" s="798"/>
      <c r="DBS98" s="798"/>
      <c r="DBT98" s="798"/>
      <c r="DBU98" s="798"/>
      <c r="DBV98" s="798"/>
      <c r="DBW98" s="798"/>
      <c r="DBX98" s="798"/>
      <c r="DBY98" s="798"/>
      <c r="DBZ98" s="798"/>
      <c r="DCA98" s="798"/>
      <c r="DCB98" s="798"/>
      <c r="DCC98" s="798"/>
      <c r="DCD98" s="798"/>
      <c r="DCE98" s="798"/>
      <c r="DCF98" s="798"/>
      <c r="DCG98" s="798"/>
      <c r="DCH98" s="798"/>
      <c r="DCI98" s="798"/>
      <c r="DCJ98" s="798"/>
      <c r="DCK98" s="798"/>
      <c r="DCL98" s="798"/>
      <c r="DCM98" s="798"/>
      <c r="DCN98" s="798"/>
      <c r="DCO98" s="798"/>
      <c r="DCP98" s="798"/>
      <c r="DCQ98" s="798"/>
      <c r="DCR98" s="798"/>
      <c r="DCS98" s="798"/>
      <c r="DCT98" s="798"/>
      <c r="DCU98" s="798"/>
      <c r="DCV98" s="798"/>
      <c r="DCW98" s="798"/>
      <c r="DCX98" s="798"/>
      <c r="DCY98" s="798"/>
      <c r="DCZ98" s="798"/>
      <c r="DDA98" s="798"/>
      <c r="DDB98" s="798"/>
      <c r="DDC98" s="798"/>
      <c r="DDD98" s="798"/>
      <c r="DDE98" s="798"/>
      <c r="DDF98" s="798"/>
      <c r="DDG98" s="798"/>
      <c r="DDH98" s="798"/>
      <c r="DDI98" s="798"/>
      <c r="DDJ98" s="798"/>
      <c r="DDK98" s="798"/>
      <c r="DDL98" s="798"/>
      <c r="DDM98" s="798"/>
      <c r="DDN98" s="798"/>
      <c r="DDO98" s="798"/>
      <c r="DDP98" s="798"/>
      <c r="DDQ98" s="798"/>
      <c r="DDR98" s="798"/>
      <c r="DDS98" s="798"/>
      <c r="DDT98" s="798"/>
      <c r="DDU98" s="798"/>
      <c r="DDV98" s="798"/>
      <c r="DDW98" s="798"/>
      <c r="DDX98" s="798"/>
      <c r="DDY98" s="798"/>
      <c r="DDZ98" s="798"/>
      <c r="DEA98" s="798"/>
      <c r="DEB98" s="798"/>
      <c r="DEC98" s="798"/>
      <c r="DED98" s="798"/>
      <c r="DEE98" s="798"/>
      <c r="DEF98" s="798"/>
      <c r="DEG98" s="798"/>
      <c r="DEH98" s="798"/>
      <c r="DEI98" s="798"/>
      <c r="DEJ98" s="798"/>
      <c r="DEK98" s="798"/>
      <c r="DEL98" s="798"/>
      <c r="DEM98" s="798"/>
      <c r="DEN98" s="798"/>
      <c r="DEO98" s="798"/>
      <c r="DEP98" s="798"/>
      <c r="DEQ98" s="798"/>
      <c r="DER98" s="798"/>
      <c r="DES98" s="798"/>
      <c r="DET98" s="798"/>
      <c r="DEU98" s="798"/>
      <c r="DEV98" s="798"/>
      <c r="DEW98" s="798"/>
      <c r="DEX98" s="798"/>
      <c r="DEY98" s="798"/>
      <c r="DEZ98" s="798"/>
      <c r="DFA98" s="798"/>
      <c r="DFB98" s="798"/>
      <c r="DFC98" s="798"/>
      <c r="DFD98" s="798"/>
      <c r="DFE98" s="798"/>
      <c r="DFF98" s="798"/>
      <c r="DFG98" s="798"/>
      <c r="DFH98" s="798"/>
      <c r="DFI98" s="798"/>
      <c r="DFJ98" s="798"/>
      <c r="DFK98" s="798"/>
      <c r="DFL98" s="798"/>
      <c r="DFM98" s="798"/>
      <c r="DFN98" s="798"/>
      <c r="DFO98" s="798"/>
      <c r="DFP98" s="798"/>
      <c r="DFQ98" s="798"/>
      <c r="DFR98" s="798"/>
      <c r="DFS98" s="798"/>
      <c r="DFT98" s="798"/>
      <c r="DFU98" s="798"/>
      <c r="DFV98" s="798"/>
      <c r="DFW98" s="798"/>
      <c r="DFX98" s="798"/>
      <c r="DFY98" s="798"/>
      <c r="DFZ98" s="798"/>
      <c r="DGA98" s="798"/>
      <c r="DGB98" s="798"/>
      <c r="DGC98" s="798"/>
      <c r="DGD98" s="798"/>
      <c r="DGE98" s="798"/>
      <c r="DGF98" s="798"/>
      <c r="DGG98" s="798"/>
      <c r="DGH98" s="798"/>
      <c r="DGI98" s="798"/>
      <c r="DGJ98" s="798"/>
      <c r="DGK98" s="798"/>
      <c r="DGL98" s="798"/>
      <c r="DGM98" s="798"/>
      <c r="DGN98" s="798"/>
      <c r="DGO98" s="798"/>
      <c r="DGP98" s="798"/>
      <c r="DGQ98" s="798"/>
      <c r="DGR98" s="798"/>
      <c r="DGS98" s="798"/>
      <c r="DGT98" s="798"/>
      <c r="DGU98" s="798"/>
      <c r="DGV98" s="798"/>
      <c r="DGW98" s="798"/>
      <c r="DGX98" s="798"/>
      <c r="DGY98" s="798"/>
      <c r="DGZ98" s="798"/>
      <c r="DHA98" s="798"/>
      <c r="DHB98" s="798"/>
      <c r="DHC98" s="798"/>
      <c r="DHD98" s="798"/>
      <c r="DHE98" s="798"/>
      <c r="DHF98" s="798"/>
      <c r="DHG98" s="798"/>
      <c r="DHH98" s="798"/>
      <c r="DHI98" s="798"/>
      <c r="DHJ98" s="798"/>
      <c r="DHK98" s="798"/>
      <c r="DHL98" s="798"/>
      <c r="DHM98" s="798"/>
      <c r="DHN98" s="798"/>
      <c r="DHO98" s="798"/>
      <c r="DHP98" s="798"/>
      <c r="DHQ98" s="798"/>
      <c r="DHR98" s="798"/>
      <c r="DHS98" s="798"/>
      <c r="DHT98" s="798"/>
      <c r="DHU98" s="798"/>
      <c r="DHV98" s="798"/>
      <c r="DHW98" s="798"/>
      <c r="DHX98" s="798"/>
      <c r="DHY98" s="798"/>
      <c r="DHZ98" s="798"/>
      <c r="DIA98" s="798"/>
      <c r="DIB98" s="798"/>
      <c r="DIC98" s="798"/>
      <c r="DID98" s="798"/>
      <c r="DIE98" s="798"/>
      <c r="DIF98" s="798"/>
      <c r="DIG98" s="798"/>
      <c r="DIH98" s="798"/>
      <c r="DII98" s="798"/>
      <c r="DIJ98" s="798"/>
      <c r="DIK98" s="798"/>
      <c r="DIL98" s="798"/>
      <c r="DIM98" s="798"/>
      <c r="DIN98" s="798"/>
      <c r="DIO98" s="798"/>
      <c r="DIP98" s="798"/>
      <c r="DIQ98" s="798"/>
      <c r="DIR98" s="798"/>
      <c r="DIS98" s="798"/>
      <c r="DIT98" s="798"/>
      <c r="DIU98" s="798"/>
      <c r="DIV98" s="798"/>
      <c r="DIW98" s="798"/>
      <c r="DIX98" s="798"/>
      <c r="DIY98" s="798"/>
      <c r="DIZ98" s="798"/>
      <c r="DJA98" s="798"/>
      <c r="DJB98" s="798"/>
      <c r="DJC98" s="798"/>
      <c r="DJD98" s="798"/>
      <c r="DJE98" s="798"/>
      <c r="DJF98" s="798"/>
      <c r="DJG98" s="798"/>
      <c r="DJH98" s="798"/>
      <c r="DJI98" s="798"/>
      <c r="DJJ98" s="798"/>
      <c r="DJK98" s="798"/>
      <c r="DJL98" s="798"/>
      <c r="DJM98" s="798"/>
      <c r="DJN98" s="798"/>
      <c r="DJO98" s="798"/>
      <c r="DJP98" s="798"/>
      <c r="DJQ98" s="798"/>
      <c r="DJR98" s="798"/>
      <c r="DJS98" s="798"/>
      <c r="DJT98" s="798"/>
      <c r="DJU98" s="798"/>
      <c r="DJV98" s="798"/>
      <c r="DJW98" s="798"/>
      <c r="DJX98" s="798"/>
      <c r="DJY98" s="798"/>
      <c r="DJZ98" s="798"/>
      <c r="DKA98" s="798"/>
      <c r="DKB98" s="798"/>
      <c r="DKC98" s="798"/>
      <c r="DKD98" s="798"/>
      <c r="DKE98" s="798"/>
      <c r="DKF98" s="798"/>
      <c r="DKG98" s="798"/>
      <c r="DKH98" s="798"/>
      <c r="DKI98" s="798"/>
      <c r="DKJ98" s="798"/>
      <c r="DKK98" s="798"/>
      <c r="DKL98" s="798"/>
      <c r="DKM98" s="798"/>
      <c r="DKN98" s="798"/>
      <c r="DKO98" s="798"/>
      <c r="DKP98" s="798"/>
      <c r="DKQ98" s="798"/>
      <c r="DKR98" s="798"/>
      <c r="DKS98" s="798"/>
      <c r="DKT98" s="798"/>
      <c r="DKU98" s="798"/>
      <c r="DKV98" s="798"/>
      <c r="DKW98" s="798"/>
      <c r="DKX98" s="798"/>
      <c r="DKY98" s="798"/>
      <c r="DKZ98" s="798"/>
      <c r="DLA98" s="798"/>
      <c r="DLB98" s="798"/>
      <c r="DLC98" s="798"/>
      <c r="DLD98" s="798"/>
      <c r="DLE98" s="798"/>
      <c r="DLF98" s="798"/>
      <c r="DLG98" s="798"/>
      <c r="DLH98" s="798"/>
      <c r="DLI98" s="798"/>
      <c r="DLJ98" s="798"/>
      <c r="DLK98" s="798"/>
      <c r="DLL98" s="798"/>
      <c r="DLM98" s="798"/>
      <c r="DLN98" s="798"/>
      <c r="DLO98" s="798"/>
      <c r="DLP98" s="798"/>
      <c r="DLQ98" s="798"/>
      <c r="DLR98" s="798"/>
      <c r="DLS98" s="798"/>
      <c r="DLT98" s="798"/>
      <c r="DLU98" s="798"/>
      <c r="DLV98" s="798"/>
      <c r="DLW98" s="798"/>
      <c r="DLX98" s="798"/>
      <c r="DLY98" s="798"/>
      <c r="DLZ98" s="798"/>
      <c r="DMA98" s="798"/>
      <c r="DMB98" s="798"/>
      <c r="DMC98" s="798"/>
      <c r="DMD98" s="798"/>
      <c r="DME98" s="798"/>
      <c r="DMF98" s="798"/>
      <c r="DMG98" s="798"/>
      <c r="DMH98" s="798"/>
      <c r="DMI98" s="798"/>
      <c r="DMJ98" s="798"/>
      <c r="DMK98" s="798"/>
      <c r="DML98" s="798"/>
      <c r="DMM98" s="798"/>
      <c r="DMN98" s="798"/>
      <c r="DMO98" s="798"/>
      <c r="DMP98" s="798"/>
      <c r="DMQ98" s="798"/>
      <c r="DMR98" s="798"/>
      <c r="DMS98" s="798"/>
      <c r="DMT98" s="798"/>
      <c r="DMU98" s="798"/>
      <c r="DMV98" s="798"/>
      <c r="DMW98" s="798"/>
      <c r="DMX98" s="798"/>
      <c r="DMY98" s="798"/>
      <c r="DMZ98" s="798"/>
      <c r="DNA98" s="798"/>
      <c r="DNB98" s="798"/>
      <c r="DNC98" s="798"/>
      <c r="DND98" s="798"/>
      <c r="DNE98" s="798"/>
      <c r="DNF98" s="798"/>
      <c r="DNG98" s="798"/>
      <c r="DNH98" s="798"/>
      <c r="DNI98" s="798"/>
      <c r="DNJ98" s="798"/>
      <c r="DNK98" s="798"/>
      <c r="DNL98" s="798"/>
      <c r="DNM98" s="798"/>
      <c r="DNN98" s="798"/>
      <c r="DNO98" s="798"/>
      <c r="DNP98" s="798"/>
      <c r="DNQ98" s="798"/>
      <c r="DNR98" s="798"/>
      <c r="DNS98" s="798"/>
      <c r="DNT98" s="798"/>
      <c r="DNU98" s="798"/>
      <c r="DNV98" s="798"/>
      <c r="DNW98" s="798"/>
      <c r="DNX98" s="798"/>
      <c r="DNY98" s="798"/>
      <c r="DNZ98" s="798"/>
      <c r="DOA98" s="798"/>
      <c r="DOB98" s="798"/>
      <c r="DOC98" s="798"/>
      <c r="DOD98" s="798"/>
      <c r="DOE98" s="798"/>
      <c r="DOF98" s="798"/>
      <c r="DOG98" s="798"/>
      <c r="DOH98" s="798"/>
      <c r="DOI98" s="798"/>
      <c r="DOJ98" s="798"/>
      <c r="DOK98" s="798"/>
      <c r="DOL98" s="798"/>
      <c r="DOM98" s="798"/>
      <c r="DON98" s="798"/>
      <c r="DOO98" s="798"/>
      <c r="DOP98" s="798"/>
      <c r="DOQ98" s="798"/>
      <c r="DOR98" s="798"/>
      <c r="DOS98" s="798"/>
      <c r="DOT98" s="798"/>
      <c r="DOU98" s="798"/>
      <c r="DOV98" s="798"/>
      <c r="DOW98" s="798"/>
      <c r="DOX98" s="798"/>
      <c r="DOY98" s="798"/>
      <c r="DOZ98" s="798"/>
      <c r="DPA98" s="798"/>
      <c r="DPB98" s="798"/>
      <c r="DPC98" s="798"/>
      <c r="DPD98" s="798"/>
      <c r="DPE98" s="798"/>
      <c r="DPF98" s="798"/>
      <c r="DPG98" s="798"/>
      <c r="DPH98" s="798"/>
      <c r="DPI98" s="798"/>
      <c r="DPJ98" s="798"/>
      <c r="DPK98" s="798"/>
      <c r="DPL98" s="798"/>
      <c r="DPM98" s="798"/>
      <c r="DPN98" s="798"/>
      <c r="DPO98" s="798"/>
      <c r="DPP98" s="798"/>
      <c r="DPQ98" s="798"/>
      <c r="DPR98" s="798"/>
      <c r="DPS98" s="798"/>
      <c r="DPT98" s="798"/>
      <c r="DPU98" s="798"/>
      <c r="DPV98" s="798"/>
      <c r="DPW98" s="798"/>
      <c r="DPX98" s="798"/>
      <c r="DPY98" s="798"/>
      <c r="DPZ98" s="798"/>
      <c r="DQA98" s="798"/>
      <c r="DQB98" s="798"/>
      <c r="DQC98" s="798"/>
      <c r="DQD98" s="798"/>
      <c r="DQE98" s="798"/>
      <c r="DQF98" s="798"/>
      <c r="DQG98" s="798"/>
      <c r="DQH98" s="798"/>
      <c r="DQI98" s="798"/>
      <c r="DQJ98" s="798"/>
      <c r="DQK98" s="798"/>
      <c r="DQL98" s="798"/>
      <c r="DQM98" s="798"/>
      <c r="DQN98" s="798"/>
      <c r="DQO98" s="798"/>
      <c r="DQP98" s="798"/>
      <c r="DQQ98" s="798"/>
      <c r="DQR98" s="798"/>
      <c r="DQS98" s="798"/>
      <c r="DQT98" s="798"/>
      <c r="DQU98" s="798"/>
      <c r="DQV98" s="798"/>
      <c r="DQW98" s="798"/>
      <c r="DQX98" s="798"/>
      <c r="DQY98" s="798"/>
      <c r="DQZ98" s="798"/>
      <c r="DRA98" s="798"/>
      <c r="DRB98" s="798"/>
      <c r="DRC98" s="798"/>
      <c r="DRD98" s="798"/>
      <c r="DRE98" s="798"/>
      <c r="DRF98" s="798"/>
      <c r="DRG98" s="798"/>
      <c r="DRH98" s="798"/>
      <c r="DRI98" s="798"/>
      <c r="DRJ98" s="798"/>
      <c r="DRK98" s="798"/>
      <c r="DRL98" s="798"/>
      <c r="DRM98" s="798"/>
      <c r="DRN98" s="798"/>
      <c r="DRO98" s="798"/>
      <c r="DRP98" s="798"/>
      <c r="DRQ98" s="798"/>
      <c r="DRR98" s="798"/>
      <c r="DRS98" s="798"/>
      <c r="DRT98" s="798"/>
      <c r="DRU98" s="798"/>
      <c r="DRV98" s="798"/>
      <c r="DRW98" s="798"/>
      <c r="DRX98" s="798"/>
      <c r="DRY98" s="798"/>
      <c r="DRZ98" s="798"/>
      <c r="DSA98" s="798"/>
      <c r="DSB98" s="798"/>
      <c r="DSC98" s="798"/>
      <c r="DSD98" s="798"/>
      <c r="DSE98" s="798"/>
      <c r="DSF98" s="798"/>
      <c r="DSG98" s="798"/>
      <c r="DSH98" s="798"/>
      <c r="DSI98" s="798"/>
      <c r="DSJ98" s="798"/>
      <c r="DSK98" s="798"/>
      <c r="DSL98" s="798"/>
      <c r="DSM98" s="798"/>
      <c r="DSN98" s="798"/>
      <c r="DSO98" s="798"/>
      <c r="DSP98" s="798"/>
      <c r="DSQ98" s="798"/>
      <c r="DSR98" s="798"/>
      <c r="DSS98" s="798"/>
      <c r="DST98" s="798"/>
      <c r="DSU98" s="798"/>
      <c r="DSV98" s="798"/>
      <c r="DSW98" s="798"/>
      <c r="DSX98" s="798"/>
      <c r="DSY98" s="798"/>
      <c r="DSZ98" s="798"/>
      <c r="DTA98" s="798"/>
      <c r="DTB98" s="798"/>
      <c r="DTC98" s="798"/>
      <c r="DTD98" s="798"/>
      <c r="DTE98" s="798"/>
      <c r="DTF98" s="798"/>
      <c r="DTG98" s="798"/>
      <c r="DTH98" s="798"/>
      <c r="DTI98" s="798"/>
      <c r="DTJ98" s="798"/>
      <c r="DTK98" s="798"/>
      <c r="DTL98" s="798"/>
      <c r="DTM98" s="798"/>
      <c r="DTN98" s="798"/>
      <c r="DTO98" s="798"/>
      <c r="DTP98" s="798"/>
      <c r="DTQ98" s="798"/>
      <c r="DTR98" s="798"/>
      <c r="DTS98" s="798"/>
      <c r="DTT98" s="798"/>
      <c r="DTU98" s="798"/>
      <c r="DTV98" s="798"/>
      <c r="DTW98" s="798"/>
      <c r="DTX98" s="798"/>
      <c r="DTY98" s="798"/>
      <c r="DTZ98" s="798"/>
      <c r="DUA98" s="798"/>
      <c r="DUB98" s="798"/>
      <c r="DUC98" s="798"/>
      <c r="DUD98" s="798"/>
      <c r="DUE98" s="798"/>
      <c r="DUF98" s="798"/>
      <c r="DUG98" s="798"/>
      <c r="DUH98" s="798"/>
      <c r="DUI98" s="798"/>
      <c r="DUJ98" s="798"/>
      <c r="DUK98" s="798"/>
      <c r="DUL98" s="798"/>
      <c r="DUM98" s="798"/>
      <c r="DUN98" s="798"/>
      <c r="DUO98" s="798"/>
      <c r="DUP98" s="798"/>
      <c r="DUQ98" s="798"/>
      <c r="DUR98" s="798"/>
      <c r="DUS98" s="798"/>
      <c r="DUT98" s="798"/>
      <c r="DUU98" s="798"/>
      <c r="DUV98" s="798"/>
      <c r="DUW98" s="798"/>
      <c r="DUX98" s="798"/>
      <c r="DUY98" s="798"/>
      <c r="DUZ98" s="798"/>
      <c r="DVA98" s="798"/>
      <c r="DVB98" s="798"/>
      <c r="DVC98" s="798"/>
      <c r="DVD98" s="798"/>
      <c r="DVE98" s="798"/>
      <c r="DVF98" s="798"/>
      <c r="DVG98" s="798"/>
      <c r="DVH98" s="798"/>
      <c r="DVI98" s="798"/>
      <c r="DVJ98" s="798"/>
      <c r="DVK98" s="798"/>
      <c r="DVL98" s="798"/>
      <c r="DVM98" s="798"/>
      <c r="DVN98" s="798"/>
      <c r="DVO98" s="798"/>
      <c r="DVP98" s="798"/>
      <c r="DVQ98" s="798"/>
      <c r="DVR98" s="798"/>
      <c r="DVS98" s="798"/>
      <c r="DVT98" s="798"/>
      <c r="DVU98" s="798"/>
      <c r="DVV98" s="798"/>
      <c r="DVW98" s="798"/>
      <c r="DVX98" s="798"/>
      <c r="DVY98" s="798"/>
      <c r="DVZ98" s="798"/>
      <c r="DWA98" s="798"/>
      <c r="DWB98" s="798"/>
      <c r="DWC98" s="798"/>
      <c r="DWD98" s="798"/>
      <c r="DWE98" s="798"/>
      <c r="DWF98" s="798"/>
      <c r="DWG98" s="798"/>
      <c r="DWH98" s="798"/>
      <c r="DWI98" s="798"/>
      <c r="DWJ98" s="798"/>
      <c r="DWK98" s="798"/>
      <c r="DWL98" s="798"/>
      <c r="DWM98" s="798"/>
      <c r="DWN98" s="798"/>
      <c r="DWO98" s="798"/>
      <c r="DWP98" s="798"/>
      <c r="DWQ98" s="798"/>
      <c r="DWR98" s="798"/>
      <c r="DWS98" s="798"/>
      <c r="DWT98" s="798"/>
      <c r="DWU98" s="798"/>
      <c r="DWV98" s="798"/>
      <c r="DWW98" s="798"/>
      <c r="DWX98" s="798"/>
      <c r="DWY98" s="798"/>
      <c r="DWZ98" s="798"/>
      <c r="DXA98" s="798"/>
      <c r="DXB98" s="798"/>
      <c r="DXC98" s="798"/>
      <c r="DXD98" s="798"/>
      <c r="DXE98" s="798"/>
      <c r="DXF98" s="798"/>
      <c r="DXG98" s="798"/>
      <c r="DXH98" s="798"/>
      <c r="DXI98" s="798"/>
      <c r="DXJ98" s="798"/>
      <c r="DXK98" s="798"/>
      <c r="DXL98" s="798"/>
      <c r="DXM98" s="798"/>
      <c r="DXN98" s="798"/>
      <c r="DXO98" s="798"/>
      <c r="DXP98" s="798"/>
      <c r="DXQ98" s="798"/>
      <c r="DXR98" s="798"/>
      <c r="DXS98" s="798"/>
      <c r="DXT98" s="798"/>
      <c r="DXU98" s="798"/>
      <c r="DXV98" s="798"/>
      <c r="DXW98" s="798"/>
      <c r="DXX98" s="798"/>
      <c r="DXY98" s="798"/>
      <c r="DXZ98" s="798"/>
      <c r="DYA98" s="798"/>
      <c r="DYB98" s="798"/>
      <c r="DYC98" s="798"/>
      <c r="DYD98" s="798"/>
      <c r="DYE98" s="798"/>
      <c r="DYF98" s="798"/>
      <c r="DYG98" s="798"/>
      <c r="DYH98" s="798"/>
      <c r="DYI98" s="798"/>
      <c r="DYJ98" s="798"/>
      <c r="DYK98" s="798"/>
      <c r="DYL98" s="798"/>
      <c r="DYM98" s="798"/>
      <c r="DYN98" s="798"/>
      <c r="DYO98" s="798"/>
      <c r="DYP98" s="798"/>
      <c r="DYQ98" s="798"/>
      <c r="DYR98" s="798"/>
      <c r="DYS98" s="798"/>
      <c r="DYT98" s="798"/>
      <c r="DYU98" s="798"/>
      <c r="DYV98" s="798"/>
      <c r="DYW98" s="798"/>
      <c r="DYX98" s="798"/>
      <c r="DYY98" s="798"/>
      <c r="DYZ98" s="798"/>
      <c r="DZA98" s="798"/>
      <c r="DZB98" s="798"/>
      <c r="DZC98" s="798"/>
      <c r="DZD98" s="798"/>
      <c r="DZE98" s="798"/>
      <c r="DZF98" s="798"/>
      <c r="DZG98" s="798"/>
      <c r="DZH98" s="798"/>
      <c r="DZI98" s="798"/>
      <c r="DZJ98" s="798"/>
      <c r="DZK98" s="798"/>
      <c r="DZL98" s="798"/>
      <c r="DZM98" s="798"/>
      <c r="DZN98" s="798"/>
      <c r="DZO98" s="798"/>
      <c r="DZP98" s="798"/>
      <c r="DZQ98" s="798"/>
      <c r="DZR98" s="798"/>
      <c r="DZS98" s="798"/>
      <c r="DZT98" s="798"/>
      <c r="DZU98" s="798"/>
      <c r="DZV98" s="798"/>
      <c r="DZW98" s="798"/>
      <c r="DZX98" s="798"/>
      <c r="DZY98" s="798"/>
      <c r="DZZ98" s="798"/>
      <c r="EAA98" s="798"/>
      <c r="EAB98" s="798"/>
      <c r="EAC98" s="798"/>
      <c r="EAD98" s="798"/>
      <c r="EAE98" s="798"/>
      <c r="EAF98" s="798"/>
      <c r="EAG98" s="798"/>
      <c r="EAH98" s="798"/>
      <c r="EAI98" s="798"/>
      <c r="EAJ98" s="798"/>
      <c r="EAK98" s="798"/>
      <c r="EAL98" s="798"/>
      <c r="EAM98" s="798"/>
      <c r="EAN98" s="798"/>
      <c r="EAO98" s="798"/>
      <c r="EAP98" s="798"/>
      <c r="EAQ98" s="798"/>
      <c r="EAR98" s="798"/>
      <c r="EAS98" s="798"/>
      <c r="EAT98" s="798"/>
      <c r="EAU98" s="798"/>
      <c r="EAV98" s="798"/>
      <c r="EAW98" s="798"/>
      <c r="EAX98" s="798"/>
      <c r="EAY98" s="798"/>
      <c r="EAZ98" s="798"/>
      <c r="EBA98" s="798"/>
      <c r="EBB98" s="798"/>
      <c r="EBC98" s="798"/>
      <c r="EBD98" s="798"/>
      <c r="EBE98" s="798"/>
      <c r="EBF98" s="798"/>
      <c r="EBG98" s="798"/>
      <c r="EBH98" s="798"/>
      <c r="EBI98" s="798"/>
      <c r="EBJ98" s="798"/>
      <c r="EBK98" s="798"/>
      <c r="EBL98" s="798"/>
      <c r="EBM98" s="798"/>
      <c r="EBN98" s="798"/>
      <c r="EBO98" s="798"/>
      <c r="EBP98" s="798"/>
      <c r="EBQ98" s="798"/>
      <c r="EBR98" s="798"/>
      <c r="EBS98" s="798"/>
      <c r="EBT98" s="798"/>
      <c r="EBU98" s="798"/>
      <c r="EBV98" s="798"/>
      <c r="EBW98" s="798"/>
      <c r="EBX98" s="798"/>
      <c r="EBY98" s="798"/>
      <c r="EBZ98" s="798"/>
      <c r="ECA98" s="798"/>
      <c r="ECB98" s="798"/>
      <c r="ECC98" s="798"/>
      <c r="ECD98" s="798"/>
      <c r="ECE98" s="798"/>
      <c r="ECF98" s="798"/>
      <c r="ECG98" s="798"/>
      <c r="ECH98" s="798"/>
      <c r="ECI98" s="798"/>
      <c r="ECJ98" s="798"/>
      <c r="ECK98" s="798"/>
      <c r="ECL98" s="798"/>
      <c r="ECM98" s="798"/>
      <c r="ECN98" s="798"/>
      <c r="ECO98" s="798"/>
      <c r="ECP98" s="798"/>
      <c r="ECQ98" s="798"/>
      <c r="ECR98" s="798"/>
      <c r="ECS98" s="798"/>
      <c r="ECT98" s="798"/>
      <c r="ECU98" s="798"/>
      <c r="ECV98" s="798"/>
      <c r="ECW98" s="798"/>
      <c r="ECX98" s="798"/>
      <c r="ECY98" s="798"/>
      <c r="ECZ98" s="798"/>
      <c r="EDA98" s="798"/>
      <c r="EDB98" s="798"/>
      <c r="EDC98" s="798"/>
      <c r="EDD98" s="798"/>
      <c r="EDE98" s="798"/>
      <c r="EDF98" s="798"/>
      <c r="EDG98" s="798"/>
      <c r="EDH98" s="798"/>
      <c r="EDI98" s="798"/>
      <c r="EDJ98" s="798"/>
      <c r="EDK98" s="798"/>
      <c r="EDL98" s="798"/>
      <c r="EDM98" s="798"/>
      <c r="EDN98" s="798"/>
      <c r="EDO98" s="798"/>
      <c r="EDP98" s="798"/>
      <c r="EDQ98" s="798"/>
      <c r="EDR98" s="798"/>
      <c r="EDS98" s="798"/>
      <c r="EDT98" s="798"/>
      <c r="EDU98" s="798"/>
      <c r="EDV98" s="798"/>
      <c r="EDW98" s="798"/>
      <c r="EDX98" s="798"/>
      <c r="EDY98" s="798"/>
      <c r="EDZ98" s="798"/>
      <c r="EEA98" s="798"/>
      <c r="EEB98" s="798"/>
      <c r="EEC98" s="798"/>
      <c r="EED98" s="798"/>
      <c r="EEE98" s="798"/>
      <c r="EEF98" s="798"/>
      <c r="EEG98" s="798"/>
      <c r="EEH98" s="798"/>
      <c r="EEI98" s="798"/>
      <c r="EEJ98" s="798"/>
      <c r="EEK98" s="798"/>
      <c r="EEL98" s="798"/>
      <c r="EEM98" s="798"/>
      <c r="EEN98" s="798"/>
      <c r="EEO98" s="798"/>
      <c r="EEP98" s="798"/>
      <c r="EEQ98" s="798"/>
      <c r="EER98" s="798"/>
      <c r="EES98" s="798"/>
      <c r="EET98" s="798"/>
      <c r="EEU98" s="798"/>
      <c r="EEV98" s="798"/>
      <c r="EEW98" s="798"/>
      <c r="EEX98" s="798"/>
      <c r="EEY98" s="798"/>
      <c r="EEZ98" s="798"/>
      <c r="EFA98" s="798"/>
      <c r="EFB98" s="798"/>
      <c r="EFC98" s="798"/>
      <c r="EFD98" s="798"/>
      <c r="EFE98" s="798"/>
      <c r="EFF98" s="798"/>
      <c r="EFG98" s="798"/>
      <c r="EFH98" s="798"/>
      <c r="EFI98" s="798"/>
      <c r="EFJ98" s="798"/>
      <c r="EFK98" s="798"/>
      <c r="EFL98" s="798"/>
      <c r="EFM98" s="798"/>
      <c r="EFN98" s="798"/>
      <c r="EFO98" s="798"/>
      <c r="EFP98" s="798"/>
      <c r="EFQ98" s="798"/>
      <c r="EFR98" s="798"/>
      <c r="EFS98" s="798"/>
      <c r="EFT98" s="798"/>
      <c r="EFU98" s="798"/>
      <c r="EFV98" s="798"/>
      <c r="EFW98" s="798"/>
      <c r="EFX98" s="798"/>
      <c r="EFY98" s="798"/>
      <c r="EFZ98" s="798"/>
      <c r="EGA98" s="798"/>
      <c r="EGB98" s="798"/>
      <c r="EGC98" s="798"/>
      <c r="EGD98" s="798"/>
      <c r="EGE98" s="798"/>
      <c r="EGF98" s="798"/>
      <c r="EGG98" s="798"/>
      <c r="EGH98" s="798"/>
      <c r="EGI98" s="798"/>
      <c r="EGJ98" s="798"/>
      <c r="EGK98" s="798"/>
      <c r="EGL98" s="798"/>
      <c r="EGM98" s="798"/>
      <c r="EGN98" s="798"/>
      <c r="EGO98" s="798"/>
      <c r="EGP98" s="798"/>
      <c r="EGQ98" s="798"/>
      <c r="EGR98" s="798"/>
      <c r="EGS98" s="798"/>
      <c r="EGT98" s="798"/>
      <c r="EGU98" s="798"/>
      <c r="EGV98" s="798"/>
      <c r="EGW98" s="798"/>
      <c r="EGX98" s="798"/>
      <c r="EGY98" s="798"/>
      <c r="EGZ98" s="798"/>
      <c r="EHA98" s="798"/>
      <c r="EHB98" s="798"/>
      <c r="EHC98" s="798"/>
      <c r="EHD98" s="798"/>
      <c r="EHE98" s="798"/>
      <c r="EHF98" s="798"/>
      <c r="EHG98" s="798"/>
      <c r="EHH98" s="798"/>
      <c r="EHI98" s="798"/>
      <c r="EHJ98" s="798"/>
      <c r="EHK98" s="798"/>
      <c r="EHL98" s="798"/>
      <c r="EHM98" s="798"/>
      <c r="EHN98" s="798"/>
      <c r="EHO98" s="798"/>
      <c r="EHP98" s="798"/>
      <c r="EHQ98" s="798"/>
      <c r="EHR98" s="798"/>
      <c r="EHS98" s="798"/>
      <c r="EHT98" s="798"/>
      <c r="EHU98" s="798"/>
      <c r="EHV98" s="798"/>
      <c r="EHW98" s="798"/>
      <c r="EHX98" s="798"/>
      <c r="EHY98" s="798"/>
      <c r="EHZ98" s="798"/>
      <c r="EIA98" s="798"/>
      <c r="EIB98" s="798"/>
      <c r="EIC98" s="798"/>
      <c r="EID98" s="798"/>
      <c r="EIE98" s="798"/>
      <c r="EIF98" s="798"/>
      <c r="EIG98" s="798"/>
      <c r="EIH98" s="798"/>
      <c r="EII98" s="798"/>
      <c r="EIJ98" s="798"/>
      <c r="EIK98" s="798"/>
      <c r="EIL98" s="798"/>
      <c r="EIM98" s="798"/>
      <c r="EIN98" s="798"/>
      <c r="EIO98" s="798"/>
      <c r="EIP98" s="798"/>
      <c r="EIQ98" s="798"/>
      <c r="EIR98" s="798"/>
      <c r="EIS98" s="798"/>
      <c r="EIT98" s="798"/>
      <c r="EIU98" s="798"/>
      <c r="EIV98" s="798"/>
      <c r="EIW98" s="798"/>
      <c r="EIX98" s="798"/>
      <c r="EIY98" s="798"/>
      <c r="EIZ98" s="798"/>
      <c r="EJA98" s="798"/>
      <c r="EJB98" s="798"/>
      <c r="EJC98" s="798"/>
      <c r="EJD98" s="798"/>
      <c r="EJE98" s="798"/>
      <c r="EJF98" s="798"/>
      <c r="EJG98" s="798"/>
      <c r="EJH98" s="798"/>
      <c r="EJI98" s="798"/>
      <c r="EJJ98" s="798"/>
      <c r="EJK98" s="798"/>
      <c r="EJL98" s="798"/>
      <c r="EJM98" s="798"/>
      <c r="EJN98" s="798"/>
      <c r="EJO98" s="798"/>
      <c r="EJP98" s="798"/>
      <c r="EJQ98" s="798"/>
      <c r="EJR98" s="798"/>
      <c r="EJS98" s="798"/>
      <c r="EJT98" s="798"/>
      <c r="EJU98" s="798"/>
      <c r="EJV98" s="798"/>
      <c r="EJW98" s="798"/>
      <c r="EJX98" s="798"/>
      <c r="EJY98" s="798"/>
      <c r="EJZ98" s="798"/>
      <c r="EKA98" s="798"/>
      <c r="EKB98" s="798"/>
      <c r="EKC98" s="798"/>
      <c r="EKD98" s="798"/>
      <c r="EKE98" s="798"/>
      <c r="EKF98" s="798"/>
      <c r="EKG98" s="798"/>
      <c r="EKH98" s="798"/>
      <c r="EKI98" s="798"/>
      <c r="EKJ98" s="798"/>
      <c r="EKK98" s="798"/>
      <c r="EKL98" s="798"/>
      <c r="EKM98" s="798"/>
      <c r="EKN98" s="798"/>
      <c r="EKO98" s="798"/>
      <c r="EKP98" s="798"/>
      <c r="EKQ98" s="798"/>
      <c r="EKR98" s="798"/>
      <c r="EKS98" s="798"/>
      <c r="EKT98" s="798"/>
      <c r="EKU98" s="798"/>
      <c r="EKV98" s="798"/>
      <c r="EKW98" s="798"/>
      <c r="EKX98" s="798"/>
      <c r="EKY98" s="798"/>
      <c r="EKZ98" s="798"/>
      <c r="ELA98" s="798"/>
      <c r="ELB98" s="798"/>
      <c r="ELC98" s="798"/>
      <c r="ELD98" s="798"/>
      <c r="ELE98" s="798"/>
      <c r="ELF98" s="798"/>
      <c r="ELG98" s="798"/>
      <c r="ELH98" s="798"/>
      <c r="ELI98" s="798"/>
      <c r="ELJ98" s="798"/>
      <c r="ELK98" s="798"/>
      <c r="ELL98" s="798"/>
      <c r="ELM98" s="798"/>
      <c r="ELN98" s="798"/>
      <c r="ELO98" s="798"/>
      <c r="ELP98" s="798"/>
      <c r="ELQ98" s="798"/>
      <c r="ELR98" s="798"/>
      <c r="ELS98" s="798"/>
      <c r="ELT98" s="798"/>
      <c r="ELU98" s="798"/>
      <c r="ELV98" s="798"/>
      <c r="ELW98" s="798"/>
      <c r="ELX98" s="798"/>
      <c r="ELY98" s="798"/>
      <c r="ELZ98" s="798"/>
      <c r="EMA98" s="798"/>
      <c r="EMB98" s="798"/>
      <c r="EMC98" s="798"/>
      <c r="EMD98" s="798"/>
      <c r="EME98" s="798"/>
      <c r="EMF98" s="798"/>
      <c r="EMG98" s="798"/>
      <c r="EMH98" s="798"/>
      <c r="EMI98" s="798"/>
      <c r="EMJ98" s="798"/>
      <c r="EMK98" s="798"/>
      <c r="EML98" s="798"/>
      <c r="EMM98" s="798"/>
      <c r="EMN98" s="798"/>
      <c r="EMO98" s="798"/>
      <c r="EMP98" s="798"/>
      <c r="EMQ98" s="798"/>
      <c r="EMR98" s="798"/>
      <c r="EMS98" s="798"/>
      <c r="EMT98" s="798"/>
      <c r="EMU98" s="798"/>
      <c r="EMV98" s="798"/>
      <c r="EMW98" s="798"/>
      <c r="EMX98" s="798"/>
      <c r="EMY98" s="798"/>
      <c r="EMZ98" s="798"/>
      <c r="ENA98" s="798"/>
      <c r="ENB98" s="798"/>
      <c r="ENC98" s="798"/>
      <c r="END98" s="798"/>
      <c r="ENE98" s="798"/>
      <c r="ENF98" s="798"/>
      <c r="ENG98" s="798"/>
      <c r="ENH98" s="798"/>
      <c r="ENI98" s="798"/>
      <c r="ENJ98" s="798"/>
      <c r="ENK98" s="798"/>
      <c r="ENL98" s="798"/>
      <c r="ENM98" s="798"/>
      <c r="ENN98" s="798"/>
      <c r="ENO98" s="798"/>
      <c r="ENP98" s="798"/>
      <c r="ENQ98" s="798"/>
      <c r="ENR98" s="798"/>
      <c r="ENS98" s="798"/>
      <c r="ENT98" s="798"/>
      <c r="ENU98" s="798"/>
      <c r="ENV98" s="798"/>
      <c r="ENW98" s="798"/>
      <c r="ENX98" s="798"/>
      <c r="ENY98" s="798"/>
      <c r="ENZ98" s="798"/>
      <c r="EOA98" s="798"/>
      <c r="EOB98" s="798"/>
      <c r="EOC98" s="798"/>
      <c r="EOD98" s="798"/>
      <c r="EOE98" s="798"/>
      <c r="EOF98" s="798"/>
      <c r="EOG98" s="798"/>
      <c r="EOH98" s="798"/>
      <c r="EOI98" s="798"/>
      <c r="EOJ98" s="798"/>
      <c r="EOK98" s="798"/>
      <c r="EOL98" s="798"/>
      <c r="EOM98" s="798"/>
      <c r="EON98" s="798"/>
      <c r="EOO98" s="798"/>
      <c r="EOP98" s="798"/>
      <c r="EOQ98" s="798"/>
      <c r="EOR98" s="798"/>
      <c r="EOS98" s="798"/>
      <c r="EOT98" s="798"/>
      <c r="EOU98" s="798"/>
      <c r="EOV98" s="798"/>
      <c r="EOW98" s="798"/>
      <c r="EOX98" s="798"/>
      <c r="EOY98" s="798"/>
      <c r="EOZ98" s="798"/>
      <c r="EPA98" s="798"/>
      <c r="EPB98" s="798"/>
      <c r="EPC98" s="798"/>
      <c r="EPD98" s="798"/>
      <c r="EPE98" s="798"/>
      <c r="EPF98" s="798"/>
      <c r="EPG98" s="798"/>
      <c r="EPH98" s="798"/>
      <c r="EPI98" s="798"/>
      <c r="EPJ98" s="798"/>
      <c r="EPK98" s="798"/>
      <c r="EPL98" s="798"/>
      <c r="EPM98" s="798"/>
      <c r="EPN98" s="798"/>
      <c r="EPO98" s="798"/>
      <c r="EPP98" s="798"/>
      <c r="EPQ98" s="798"/>
      <c r="EPR98" s="798"/>
      <c r="EPS98" s="798"/>
      <c r="EPT98" s="798"/>
      <c r="EPU98" s="798"/>
      <c r="EPV98" s="798"/>
      <c r="EPW98" s="798"/>
      <c r="EPX98" s="798"/>
      <c r="EPY98" s="798"/>
      <c r="EPZ98" s="798"/>
      <c r="EQA98" s="798"/>
      <c r="EQB98" s="798"/>
      <c r="EQC98" s="798"/>
      <c r="EQD98" s="798"/>
      <c r="EQE98" s="798"/>
      <c r="EQF98" s="798"/>
      <c r="EQG98" s="798"/>
      <c r="EQH98" s="798"/>
      <c r="EQI98" s="798"/>
      <c r="EQJ98" s="798"/>
      <c r="EQK98" s="798"/>
      <c r="EQL98" s="798"/>
      <c r="EQM98" s="798"/>
      <c r="EQN98" s="798"/>
      <c r="EQO98" s="798"/>
      <c r="EQP98" s="798"/>
      <c r="EQQ98" s="798"/>
      <c r="EQR98" s="798"/>
      <c r="EQS98" s="798"/>
      <c r="EQT98" s="798"/>
      <c r="EQU98" s="798"/>
      <c r="EQV98" s="798"/>
      <c r="EQW98" s="798"/>
      <c r="EQX98" s="798"/>
      <c r="EQY98" s="798"/>
      <c r="EQZ98" s="798"/>
      <c r="ERA98" s="798"/>
      <c r="ERB98" s="798"/>
      <c r="ERC98" s="798"/>
      <c r="ERD98" s="798"/>
      <c r="ERE98" s="798"/>
      <c r="ERF98" s="798"/>
      <c r="ERG98" s="798"/>
      <c r="ERH98" s="798"/>
      <c r="ERI98" s="798"/>
      <c r="ERJ98" s="798"/>
      <c r="ERK98" s="798"/>
      <c r="ERL98" s="798"/>
      <c r="ERM98" s="798"/>
      <c r="ERN98" s="798"/>
      <c r="ERO98" s="798"/>
      <c r="ERP98" s="798"/>
      <c r="ERQ98" s="798"/>
      <c r="ERR98" s="798"/>
      <c r="ERS98" s="798"/>
      <c r="ERT98" s="798"/>
      <c r="ERU98" s="798"/>
      <c r="ERV98" s="798"/>
      <c r="ERW98" s="798"/>
      <c r="ERX98" s="798"/>
      <c r="ERY98" s="798"/>
      <c r="ERZ98" s="798"/>
      <c r="ESA98" s="798"/>
      <c r="ESB98" s="798"/>
      <c r="ESC98" s="798"/>
      <c r="ESD98" s="798"/>
      <c r="ESE98" s="798"/>
      <c r="ESF98" s="798"/>
      <c r="ESG98" s="798"/>
      <c r="ESH98" s="798"/>
      <c r="ESI98" s="798"/>
      <c r="ESJ98" s="798"/>
      <c r="ESK98" s="798"/>
      <c r="ESL98" s="798"/>
      <c r="ESM98" s="798"/>
      <c r="ESN98" s="798"/>
      <c r="ESO98" s="798"/>
      <c r="ESP98" s="798"/>
      <c r="ESQ98" s="798"/>
      <c r="ESR98" s="798"/>
      <c r="ESS98" s="798"/>
      <c r="EST98" s="798"/>
      <c r="ESU98" s="798"/>
      <c r="ESV98" s="798"/>
      <c r="ESW98" s="798"/>
      <c r="ESX98" s="798"/>
      <c r="ESY98" s="798"/>
      <c r="ESZ98" s="798"/>
      <c r="ETA98" s="798"/>
      <c r="ETB98" s="798"/>
      <c r="ETC98" s="798"/>
      <c r="ETD98" s="798"/>
      <c r="ETE98" s="798"/>
      <c r="ETF98" s="798"/>
      <c r="ETG98" s="798"/>
      <c r="ETH98" s="798"/>
      <c r="ETI98" s="798"/>
      <c r="ETJ98" s="798"/>
      <c r="ETK98" s="798"/>
      <c r="ETL98" s="798"/>
      <c r="ETM98" s="798"/>
      <c r="ETN98" s="798"/>
      <c r="ETO98" s="798"/>
      <c r="ETP98" s="798"/>
      <c r="ETQ98" s="798"/>
      <c r="ETR98" s="798"/>
      <c r="ETS98" s="798"/>
      <c r="ETT98" s="798"/>
      <c r="ETU98" s="798"/>
      <c r="ETV98" s="798"/>
      <c r="ETW98" s="798"/>
      <c r="ETX98" s="798"/>
      <c r="ETY98" s="798"/>
      <c r="ETZ98" s="798"/>
      <c r="EUA98" s="798"/>
      <c r="EUB98" s="798"/>
      <c r="EUC98" s="798"/>
      <c r="EUD98" s="798"/>
      <c r="EUE98" s="798"/>
      <c r="EUF98" s="798"/>
      <c r="EUG98" s="798"/>
      <c r="EUH98" s="798"/>
      <c r="EUI98" s="798"/>
      <c r="EUJ98" s="798"/>
      <c r="EUK98" s="798"/>
      <c r="EUL98" s="798"/>
      <c r="EUM98" s="798"/>
      <c r="EUN98" s="798"/>
      <c r="EUO98" s="798"/>
      <c r="EUP98" s="798"/>
      <c r="EUQ98" s="798"/>
      <c r="EUR98" s="798"/>
      <c r="EUS98" s="798"/>
      <c r="EUT98" s="798"/>
      <c r="EUU98" s="798"/>
      <c r="EUV98" s="798"/>
      <c r="EUW98" s="798"/>
      <c r="EUX98" s="798"/>
      <c r="EUY98" s="798"/>
      <c r="EUZ98" s="798"/>
      <c r="EVA98" s="798"/>
      <c r="EVB98" s="798"/>
      <c r="EVC98" s="798"/>
      <c r="EVD98" s="798"/>
      <c r="EVE98" s="798"/>
      <c r="EVF98" s="798"/>
      <c r="EVG98" s="798"/>
      <c r="EVH98" s="798"/>
      <c r="EVI98" s="798"/>
      <c r="EVJ98" s="798"/>
      <c r="EVK98" s="798"/>
      <c r="EVL98" s="798"/>
      <c r="EVM98" s="798"/>
      <c r="EVN98" s="798"/>
      <c r="EVO98" s="798"/>
      <c r="EVP98" s="798"/>
      <c r="EVQ98" s="798"/>
      <c r="EVR98" s="798"/>
      <c r="EVS98" s="798"/>
      <c r="EVT98" s="798"/>
      <c r="EVU98" s="798"/>
      <c r="EVV98" s="798"/>
      <c r="EVW98" s="798"/>
      <c r="EVX98" s="798"/>
      <c r="EVY98" s="798"/>
      <c r="EVZ98" s="798"/>
      <c r="EWA98" s="798"/>
      <c r="EWB98" s="798"/>
      <c r="EWC98" s="798"/>
      <c r="EWD98" s="798"/>
      <c r="EWE98" s="798"/>
      <c r="EWF98" s="798"/>
      <c r="EWG98" s="798"/>
      <c r="EWH98" s="798"/>
      <c r="EWI98" s="798"/>
      <c r="EWJ98" s="798"/>
      <c r="EWK98" s="798"/>
      <c r="EWL98" s="798"/>
      <c r="EWM98" s="798"/>
      <c r="EWN98" s="798"/>
      <c r="EWO98" s="798"/>
      <c r="EWP98" s="798"/>
      <c r="EWQ98" s="798"/>
      <c r="EWR98" s="798"/>
      <c r="EWS98" s="798"/>
      <c r="EWT98" s="798"/>
      <c r="EWU98" s="798"/>
      <c r="EWV98" s="798"/>
      <c r="EWW98" s="798"/>
      <c r="EWX98" s="798"/>
      <c r="EWY98" s="798"/>
      <c r="EWZ98" s="798"/>
      <c r="EXA98" s="798"/>
      <c r="EXB98" s="798"/>
      <c r="EXC98" s="798"/>
      <c r="EXD98" s="798"/>
      <c r="EXE98" s="798"/>
      <c r="EXF98" s="798"/>
      <c r="EXG98" s="798"/>
      <c r="EXH98" s="798"/>
      <c r="EXI98" s="798"/>
      <c r="EXJ98" s="798"/>
      <c r="EXK98" s="798"/>
      <c r="EXL98" s="798"/>
      <c r="EXM98" s="798"/>
      <c r="EXN98" s="798"/>
      <c r="EXO98" s="798"/>
      <c r="EXP98" s="798"/>
      <c r="EXQ98" s="798"/>
      <c r="EXR98" s="798"/>
      <c r="EXS98" s="798"/>
      <c r="EXT98" s="798"/>
      <c r="EXU98" s="798"/>
      <c r="EXV98" s="798"/>
      <c r="EXW98" s="798"/>
      <c r="EXX98" s="798"/>
      <c r="EXY98" s="798"/>
      <c r="EXZ98" s="798"/>
      <c r="EYA98" s="798"/>
      <c r="EYB98" s="798"/>
      <c r="EYC98" s="798"/>
      <c r="EYD98" s="798"/>
      <c r="EYE98" s="798"/>
      <c r="EYF98" s="798"/>
      <c r="EYG98" s="798"/>
      <c r="EYH98" s="798"/>
      <c r="EYI98" s="798"/>
      <c r="EYJ98" s="798"/>
      <c r="EYK98" s="798"/>
      <c r="EYL98" s="798"/>
      <c r="EYM98" s="798"/>
      <c r="EYN98" s="798"/>
      <c r="EYO98" s="798"/>
      <c r="EYP98" s="798"/>
      <c r="EYQ98" s="798"/>
      <c r="EYR98" s="798"/>
      <c r="EYS98" s="798"/>
      <c r="EYT98" s="798"/>
      <c r="EYU98" s="798"/>
      <c r="EYV98" s="798"/>
      <c r="EYW98" s="798"/>
      <c r="EYX98" s="798"/>
      <c r="EYY98" s="798"/>
      <c r="EYZ98" s="798"/>
      <c r="EZA98" s="798"/>
      <c r="EZB98" s="798"/>
      <c r="EZC98" s="798"/>
      <c r="EZD98" s="798"/>
      <c r="EZE98" s="798"/>
      <c r="EZF98" s="798"/>
      <c r="EZG98" s="798"/>
      <c r="EZH98" s="798"/>
      <c r="EZI98" s="798"/>
      <c r="EZJ98" s="798"/>
      <c r="EZK98" s="798"/>
      <c r="EZL98" s="798"/>
      <c r="EZM98" s="798"/>
      <c r="EZN98" s="798"/>
      <c r="EZO98" s="798"/>
      <c r="EZP98" s="798"/>
      <c r="EZQ98" s="798"/>
      <c r="EZR98" s="798"/>
      <c r="EZS98" s="798"/>
      <c r="EZT98" s="798"/>
      <c r="EZU98" s="798"/>
      <c r="EZV98" s="798"/>
      <c r="EZW98" s="798"/>
      <c r="EZX98" s="798"/>
      <c r="EZY98" s="798"/>
      <c r="EZZ98" s="798"/>
      <c r="FAA98" s="798"/>
      <c r="FAB98" s="798"/>
      <c r="FAC98" s="798"/>
      <c r="FAD98" s="798"/>
      <c r="FAE98" s="798"/>
      <c r="FAF98" s="798"/>
      <c r="FAG98" s="798"/>
      <c r="FAH98" s="798"/>
      <c r="FAI98" s="798"/>
      <c r="FAJ98" s="798"/>
      <c r="FAK98" s="798"/>
      <c r="FAL98" s="798"/>
      <c r="FAM98" s="798"/>
      <c r="FAN98" s="798"/>
      <c r="FAO98" s="798"/>
      <c r="FAP98" s="798"/>
      <c r="FAQ98" s="798"/>
      <c r="FAR98" s="798"/>
      <c r="FAS98" s="798"/>
      <c r="FAT98" s="798"/>
      <c r="FAU98" s="798"/>
      <c r="FAV98" s="798"/>
      <c r="FAW98" s="798"/>
      <c r="FAX98" s="798"/>
      <c r="FAY98" s="798"/>
      <c r="FAZ98" s="798"/>
      <c r="FBA98" s="798"/>
      <c r="FBB98" s="798"/>
      <c r="FBC98" s="798"/>
      <c r="FBD98" s="798"/>
      <c r="FBE98" s="798"/>
      <c r="FBF98" s="798"/>
      <c r="FBG98" s="798"/>
      <c r="FBH98" s="798"/>
      <c r="FBI98" s="798"/>
      <c r="FBJ98" s="798"/>
      <c r="FBK98" s="798"/>
      <c r="FBL98" s="798"/>
      <c r="FBM98" s="798"/>
      <c r="FBN98" s="798"/>
      <c r="FBO98" s="798"/>
      <c r="FBP98" s="798"/>
      <c r="FBQ98" s="798"/>
      <c r="FBR98" s="798"/>
      <c r="FBS98" s="798"/>
      <c r="FBT98" s="798"/>
      <c r="FBU98" s="798"/>
      <c r="FBV98" s="798"/>
      <c r="FBW98" s="798"/>
      <c r="FBX98" s="798"/>
      <c r="FBY98" s="798"/>
      <c r="FBZ98" s="798"/>
      <c r="FCA98" s="798"/>
      <c r="FCB98" s="798"/>
      <c r="FCC98" s="798"/>
      <c r="FCD98" s="798"/>
      <c r="FCE98" s="798"/>
      <c r="FCF98" s="798"/>
      <c r="FCG98" s="798"/>
      <c r="FCH98" s="798"/>
      <c r="FCI98" s="798"/>
      <c r="FCJ98" s="798"/>
      <c r="FCK98" s="798"/>
      <c r="FCL98" s="798"/>
      <c r="FCM98" s="798"/>
      <c r="FCN98" s="798"/>
      <c r="FCO98" s="798"/>
      <c r="FCP98" s="798"/>
      <c r="FCQ98" s="798"/>
      <c r="FCR98" s="798"/>
      <c r="FCS98" s="798"/>
      <c r="FCT98" s="798"/>
      <c r="FCU98" s="798"/>
      <c r="FCV98" s="798"/>
      <c r="FCW98" s="798"/>
      <c r="FCX98" s="798"/>
      <c r="FCY98" s="798"/>
      <c r="FCZ98" s="798"/>
      <c r="FDA98" s="798"/>
      <c r="FDB98" s="798"/>
      <c r="FDC98" s="798"/>
      <c r="FDD98" s="798"/>
      <c r="FDE98" s="798"/>
      <c r="FDF98" s="798"/>
      <c r="FDG98" s="798"/>
      <c r="FDH98" s="798"/>
      <c r="FDI98" s="798"/>
      <c r="FDJ98" s="798"/>
      <c r="FDK98" s="798"/>
      <c r="FDL98" s="798"/>
      <c r="FDM98" s="798"/>
      <c r="FDN98" s="798"/>
      <c r="FDO98" s="798"/>
      <c r="FDP98" s="798"/>
      <c r="FDQ98" s="798"/>
      <c r="FDR98" s="798"/>
      <c r="FDS98" s="798"/>
      <c r="FDT98" s="798"/>
      <c r="FDU98" s="798"/>
      <c r="FDV98" s="798"/>
      <c r="FDW98" s="798"/>
      <c r="FDX98" s="798"/>
      <c r="FDY98" s="798"/>
      <c r="FDZ98" s="798"/>
      <c r="FEA98" s="798"/>
      <c r="FEB98" s="798"/>
      <c r="FEC98" s="798"/>
      <c r="FED98" s="798"/>
      <c r="FEE98" s="798"/>
      <c r="FEF98" s="798"/>
      <c r="FEG98" s="798"/>
      <c r="FEH98" s="798"/>
      <c r="FEI98" s="798"/>
      <c r="FEJ98" s="798"/>
      <c r="FEK98" s="798"/>
      <c r="FEL98" s="798"/>
      <c r="FEM98" s="798"/>
      <c r="FEN98" s="798"/>
      <c r="FEO98" s="798"/>
      <c r="FEP98" s="798"/>
      <c r="FEQ98" s="798"/>
      <c r="FER98" s="798"/>
      <c r="FES98" s="798"/>
      <c r="FET98" s="798"/>
      <c r="FEU98" s="798"/>
      <c r="FEV98" s="798"/>
      <c r="FEW98" s="798"/>
      <c r="FEX98" s="798"/>
      <c r="FEY98" s="798"/>
      <c r="FEZ98" s="798"/>
      <c r="FFA98" s="798"/>
      <c r="FFB98" s="798"/>
      <c r="FFC98" s="798"/>
      <c r="FFD98" s="798"/>
      <c r="FFE98" s="798"/>
      <c r="FFF98" s="798"/>
      <c r="FFG98" s="798"/>
      <c r="FFH98" s="798"/>
      <c r="FFI98" s="798"/>
      <c r="FFJ98" s="798"/>
      <c r="FFK98" s="798"/>
      <c r="FFL98" s="798"/>
      <c r="FFM98" s="798"/>
      <c r="FFN98" s="798"/>
      <c r="FFO98" s="798"/>
      <c r="FFP98" s="798"/>
      <c r="FFQ98" s="798"/>
      <c r="FFR98" s="798"/>
      <c r="FFS98" s="798"/>
      <c r="FFT98" s="798"/>
      <c r="FFU98" s="798"/>
      <c r="FFV98" s="798"/>
      <c r="FFW98" s="798"/>
      <c r="FFX98" s="798"/>
      <c r="FFY98" s="798"/>
      <c r="FFZ98" s="798"/>
      <c r="FGA98" s="798"/>
      <c r="FGB98" s="798"/>
      <c r="FGC98" s="798"/>
      <c r="FGD98" s="798"/>
      <c r="FGE98" s="798"/>
      <c r="FGF98" s="798"/>
      <c r="FGG98" s="798"/>
      <c r="FGH98" s="798"/>
      <c r="FGI98" s="798"/>
      <c r="FGJ98" s="798"/>
      <c r="FGK98" s="798"/>
      <c r="FGL98" s="798"/>
      <c r="FGM98" s="798"/>
      <c r="FGN98" s="798"/>
      <c r="FGO98" s="798"/>
      <c r="FGP98" s="798"/>
      <c r="FGQ98" s="798"/>
      <c r="FGR98" s="798"/>
      <c r="FGS98" s="798"/>
      <c r="FGT98" s="798"/>
      <c r="FGU98" s="798"/>
      <c r="FGV98" s="798"/>
      <c r="FGW98" s="798"/>
      <c r="FGX98" s="798"/>
      <c r="FGY98" s="798"/>
      <c r="FGZ98" s="798"/>
      <c r="FHA98" s="798"/>
      <c r="FHB98" s="798"/>
      <c r="FHC98" s="798"/>
      <c r="FHD98" s="798"/>
      <c r="FHE98" s="798"/>
      <c r="FHF98" s="798"/>
      <c r="FHG98" s="798"/>
      <c r="FHH98" s="798"/>
      <c r="FHI98" s="798"/>
      <c r="FHJ98" s="798"/>
      <c r="FHK98" s="798"/>
      <c r="FHL98" s="798"/>
      <c r="FHM98" s="798"/>
      <c r="FHN98" s="798"/>
      <c r="FHO98" s="798"/>
      <c r="FHP98" s="798"/>
      <c r="FHQ98" s="798"/>
      <c r="FHR98" s="798"/>
      <c r="FHS98" s="798"/>
      <c r="FHT98" s="798"/>
      <c r="FHU98" s="798"/>
      <c r="FHV98" s="798"/>
      <c r="FHW98" s="798"/>
      <c r="FHX98" s="798"/>
      <c r="FHY98" s="798"/>
      <c r="FHZ98" s="798"/>
      <c r="FIA98" s="798"/>
      <c r="FIB98" s="798"/>
      <c r="FIC98" s="798"/>
      <c r="FID98" s="798"/>
      <c r="FIE98" s="798"/>
      <c r="FIF98" s="798"/>
      <c r="FIG98" s="798"/>
      <c r="FIH98" s="798"/>
      <c r="FII98" s="798"/>
      <c r="FIJ98" s="798"/>
      <c r="FIK98" s="798"/>
      <c r="FIL98" s="798"/>
      <c r="FIM98" s="798"/>
      <c r="FIN98" s="798"/>
      <c r="FIO98" s="798"/>
      <c r="FIP98" s="798"/>
      <c r="FIQ98" s="798"/>
      <c r="FIR98" s="798"/>
      <c r="FIS98" s="798"/>
      <c r="FIT98" s="798"/>
      <c r="FIU98" s="798"/>
      <c r="FIV98" s="798"/>
      <c r="FIW98" s="798"/>
      <c r="FIX98" s="798"/>
      <c r="FIY98" s="798"/>
      <c r="FIZ98" s="798"/>
      <c r="FJA98" s="798"/>
      <c r="FJB98" s="798"/>
      <c r="FJC98" s="798"/>
      <c r="FJD98" s="798"/>
      <c r="FJE98" s="798"/>
      <c r="FJF98" s="798"/>
      <c r="FJG98" s="798"/>
      <c r="FJH98" s="798"/>
      <c r="FJI98" s="798"/>
      <c r="FJJ98" s="798"/>
      <c r="FJK98" s="798"/>
      <c r="FJL98" s="798"/>
      <c r="FJM98" s="798"/>
      <c r="FJN98" s="798"/>
      <c r="FJO98" s="798"/>
      <c r="FJP98" s="798"/>
      <c r="FJQ98" s="798"/>
      <c r="FJR98" s="798"/>
      <c r="FJS98" s="798"/>
      <c r="FJT98" s="798"/>
      <c r="FJU98" s="798"/>
      <c r="FJV98" s="798"/>
      <c r="FJW98" s="798"/>
      <c r="FJX98" s="798"/>
      <c r="FJY98" s="798"/>
      <c r="FJZ98" s="798"/>
      <c r="FKA98" s="798"/>
      <c r="FKB98" s="798"/>
      <c r="FKC98" s="798"/>
      <c r="FKD98" s="798"/>
      <c r="FKE98" s="798"/>
      <c r="FKF98" s="798"/>
      <c r="FKG98" s="798"/>
      <c r="FKH98" s="798"/>
      <c r="FKI98" s="798"/>
      <c r="FKJ98" s="798"/>
      <c r="FKK98" s="798"/>
      <c r="FKL98" s="798"/>
      <c r="FKM98" s="798"/>
      <c r="FKN98" s="798"/>
      <c r="FKO98" s="798"/>
      <c r="FKP98" s="798"/>
      <c r="FKQ98" s="798"/>
      <c r="FKR98" s="798"/>
      <c r="FKS98" s="798"/>
      <c r="FKT98" s="798"/>
      <c r="FKU98" s="798"/>
      <c r="FKV98" s="798"/>
      <c r="FKW98" s="798"/>
      <c r="FKX98" s="798"/>
      <c r="FKY98" s="798"/>
      <c r="FKZ98" s="798"/>
      <c r="FLA98" s="798"/>
      <c r="FLB98" s="798"/>
      <c r="FLC98" s="798"/>
      <c r="FLD98" s="798"/>
      <c r="FLE98" s="798"/>
      <c r="FLF98" s="798"/>
      <c r="FLG98" s="798"/>
      <c r="FLH98" s="798"/>
      <c r="FLI98" s="798"/>
      <c r="FLJ98" s="798"/>
      <c r="FLK98" s="798"/>
      <c r="FLL98" s="798"/>
      <c r="FLM98" s="798"/>
      <c r="FLN98" s="798"/>
      <c r="FLO98" s="798"/>
      <c r="FLP98" s="798"/>
      <c r="FLQ98" s="798"/>
      <c r="FLR98" s="798"/>
      <c r="FLS98" s="798"/>
      <c r="FLT98" s="798"/>
      <c r="FLU98" s="798"/>
      <c r="FLV98" s="798"/>
      <c r="FLW98" s="798"/>
      <c r="FLX98" s="798"/>
      <c r="FLY98" s="798"/>
      <c r="FLZ98" s="798"/>
      <c r="FMA98" s="798"/>
      <c r="FMB98" s="798"/>
      <c r="FMC98" s="798"/>
      <c r="FMD98" s="798"/>
      <c r="FME98" s="798"/>
      <c r="FMF98" s="798"/>
      <c r="FMG98" s="798"/>
      <c r="FMH98" s="798"/>
      <c r="FMI98" s="798"/>
      <c r="FMJ98" s="798"/>
      <c r="FMK98" s="798"/>
      <c r="FML98" s="798"/>
      <c r="FMM98" s="798"/>
      <c r="FMN98" s="798"/>
      <c r="FMO98" s="798"/>
      <c r="FMP98" s="798"/>
      <c r="FMQ98" s="798"/>
      <c r="FMR98" s="798"/>
      <c r="FMS98" s="798"/>
      <c r="FMT98" s="798"/>
      <c r="FMU98" s="798"/>
      <c r="FMV98" s="798"/>
      <c r="FMW98" s="798"/>
      <c r="FMX98" s="798"/>
      <c r="FMY98" s="798"/>
      <c r="FMZ98" s="798"/>
      <c r="FNA98" s="798"/>
      <c r="FNB98" s="798"/>
      <c r="FNC98" s="798"/>
      <c r="FND98" s="798"/>
      <c r="FNE98" s="798"/>
      <c r="FNF98" s="798"/>
      <c r="FNG98" s="798"/>
      <c r="FNH98" s="798"/>
      <c r="FNI98" s="798"/>
      <c r="FNJ98" s="798"/>
      <c r="FNK98" s="798"/>
      <c r="FNL98" s="798"/>
      <c r="FNM98" s="798"/>
      <c r="FNN98" s="798"/>
      <c r="FNO98" s="798"/>
      <c r="FNP98" s="798"/>
      <c r="FNQ98" s="798"/>
      <c r="FNR98" s="798"/>
      <c r="FNS98" s="798"/>
      <c r="FNT98" s="798"/>
      <c r="FNU98" s="798"/>
      <c r="FNV98" s="798"/>
      <c r="FNW98" s="798"/>
      <c r="FNX98" s="798"/>
      <c r="FNY98" s="798"/>
      <c r="FNZ98" s="798"/>
      <c r="FOA98" s="798"/>
      <c r="FOB98" s="798"/>
      <c r="FOC98" s="798"/>
      <c r="FOD98" s="798"/>
      <c r="FOE98" s="798"/>
      <c r="FOF98" s="798"/>
      <c r="FOG98" s="798"/>
      <c r="FOH98" s="798"/>
      <c r="FOI98" s="798"/>
      <c r="FOJ98" s="798"/>
      <c r="FOK98" s="798"/>
      <c r="FOL98" s="798"/>
      <c r="FOM98" s="798"/>
      <c r="FON98" s="798"/>
      <c r="FOO98" s="798"/>
      <c r="FOP98" s="798"/>
      <c r="FOQ98" s="798"/>
      <c r="FOR98" s="798"/>
      <c r="FOS98" s="798"/>
      <c r="FOT98" s="798"/>
      <c r="FOU98" s="798"/>
      <c r="FOV98" s="798"/>
      <c r="FOW98" s="798"/>
      <c r="FOX98" s="798"/>
      <c r="FOY98" s="798"/>
      <c r="FOZ98" s="798"/>
      <c r="FPA98" s="798"/>
      <c r="FPB98" s="798"/>
      <c r="FPC98" s="798"/>
      <c r="FPD98" s="798"/>
      <c r="FPE98" s="798"/>
      <c r="FPF98" s="798"/>
      <c r="FPG98" s="798"/>
      <c r="FPH98" s="798"/>
      <c r="FPI98" s="798"/>
      <c r="FPJ98" s="798"/>
      <c r="FPK98" s="798"/>
      <c r="FPL98" s="798"/>
      <c r="FPM98" s="798"/>
      <c r="FPN98" s="798"/>
      <c r="FPO98" s="798"/>
      <c r="FPP98" s="798"/>
      <c r="FPQ98" s="798"/>
      <c r="FPR98" s="798"/>
      <c r="FPS98" s="798"/>
      <c r="FPT98" s="798"/>
      <c r="FPU98" s="798"/>
      <c r="FPV98" s="798"/>
      <c r="FPW98" s="798"/>
      <c r="FPX98" s="798"/>
      <c r="FPY98" s="798"/>
      <c r="FPZ98" s="798"/>
      <c r="FQA98" s="798"/>
      <c r="FQB98" s="798"/>
      <c r="FQC98" s="798"/>
      <c r="FQD98" s="798"/>
      <c r="FQE98" s="798"/>
      <c r="FQF98" s="798"/>
      <c r="FQG98" s="798"/>
      <c r="FQH98" s="798"/>
      <c r="FQI98" s="798"/>
      <c r="FQJ98" s="798"/>
      <c r="FQK98" s="798"/>
      <c r="FQL98" s="798"/>
      <c r="FQM98" s="798"/>
      <c r="FQN98" s="798"/>
      <c r="FQO98" s="798"/>
      <c r="FQP98" s="798"/>
      <c r="FQQ98" s="798"/>
      <c r="FQR98" s="798"/>
      <c r="FQS98" s="798"/>
      <c r="FQT98" s="798"/>
      <c r="FQU98" s="798"/>
      <c r="FQV98" s="798"/>
      <c r="FQW98" s="798"/>
      <c r="FQX98" s="798"/>
      <c r="FQY98" s="798"/>
      <c r="FQZ98" s="798"/>
      <c r="FRA98" s="798"/>
      <c r="FRB98" s="798"/>
      <c r="FRC98" s="798"/>
      <c r="FRD98" s="798"/>
      <c r="FRE98" s="798"/>
      <c r="FRF98" s="798"/>
      <c r="FRG98" s="798"/>
      <c r="FRH98" s="798"/>
      <c r="FRI98" s="798"/>
      <c r="FRJ98" s="798"/>
      <c r="FRK98" s="798"/>
      <c r="FRL98" s="798"/>
      <c r="FRM98" s="798"/>
      <c r="FRN98" s="798"/>
      <c r="FRO98" s="798"/>
      <c r="FRP98" s="798"/>
      <c r="FRQ98" s="798"/>
      <c r="FRR98" s="798"/>
      <c r="FRS98" s="798"/>
      <c r="FRT98" s="798"/>
      <c r="FRU98" s="798"/>
      <c r="FRV98" s="798"/>
      <c r="FRW98" s="798"/>
      <c r="FRX98" s="798"/>
      <c r="FRY98" s="798"/>
      <c r="FRZ98" s="798"/>
      <c r="FSA98" s="798"/>
      <c r="FSB98" s="798"/>
      <c r="FSC98" s="798"/>
      <c r="FSD98" s="798"/>
      <c r="FSE98" s="798"/>
      <c r="FSF98" s="798"/>
      <c r="FSG98" s="798"/>
      <c r="FSH98" s="798"/>
      <c r="FSI98" s="798"/>
      <c r="FSJ98" s="798"/>
      <c r="FSK98" s="798"/>
      <c r="FSL98" s="798"/>
      <c r="FSM98" s="798"/>
      <c r="FSN98" s="798"/>
      <c r="FSO98" s="798"/>
      <c r="FSP98" s="798"/>
      <c r="FSQ98" s="798"/>
      <c r="FSR98" s="798"/>
      <c r="FSS98" s="798"/>
      <c r="FST98" s="798"/>
      <c r="FSU98" s="798"/>
      <c r="FSV98" s="798"/>
      <c r="FSW98" s="798"/>
      <c r="FSX98" s="798"/>
      <c r="FSY98" s="798"/>
      <c r="FSZ98" s="798"/>
      <c r="FTA98" s="798"/>
      <c r="FTB98" s="798"/>
      <c r="FTC98" s="798"/>
      <c r="FTD98" s="798"/>
      <c r="FTE98" s="798"/>
      <c r="FTF98" s="798"/>
      <c r="FTG98" s="798"/>
      <c r="FTH98" s="798"/>
      <c r="FTI98" s="798"/>
      <c r="FTJ98" s="798"/>
      <c r="FTK98" s="798"/>
      <c r="FTL98" s="798"/>
      <c r="FTM98" s="798"/>
      <c r="FTN98" s="798"/>
      <c r="FTO98" s="798"/>
      <c r="FTP98" s="798"/>
      <c r="FTQ98" s="798"/>
      <c r="FTR98" s="798"/>
      <c r="FTS98" s="798"/>
      <c r="FTT98" s="798"/>
      <c r="FTU98" s="798"/>
      <c r="FTV98" s="798"/>
      <c r="FTW98" s="798"/>
      <c r="FTX98" s="798"/>
      <c r="FTY98" s="798"/>
      <c r="FTZ98" s="798"/>
      <c r="FUA98" s="798"/>
      <c r="FUB98" s="798"/>
      <c r="FUC98" s="798"/>
      <c r="FUD98" s="798"/>
      <c r="FUE98" s="798"/>
      <c r="FUF98" s="798"/>
      <c r="FUG98" s="798"/>
      <c r="FUH98" s="798"/>
      <c r="FUI98" s="798"/>
      <c r="FUJ98" s="798"/>
      <c r="FUK98" s="798"/>
      <c r="FUL98" s="798"/>
      <c r="FUM98" s="798"/>
      <c r="FUN98" s="798"/>
      <c r="FUO98" s="798"/>
      <c r="FUP98" s="798"/>
      <c r="FUQ98" s="798"/>
      <c r="FUR98" s="798"/>
      <c r="FUS98" s="798"/>
      <c r="FUT98" s="798"/>
      <c r="FUU98" s="798"/>
      <c r="FUV98" s="798"/>
      <c r="FUW98" s="798"/>
      <c r="FUX98" s="798"/>
      <c r="FUY98" s="798"/>
      <c r="FUZ98" s="798"/>
      <c r="FVA98" s="798"/>
      <c r="FVB98" s="798"/>
      <c r="FVC98" s="798"/>
      <c r="FVD98" s="798"/>
      <c r="FVE98" s="798"/>
      <c r="FVF98" s="798"/>
      <c r="FVG98" s="798"/>
      <c r="FVH98" s="798"/>
      <c r="FVI98" s="798"/>
      <c r="FVJ98" s="798"/>
      <c r="FVK98" s="798"/>
      <c r="FVL98" s="798"/>
      <c r="FVM98" s="798"/>
      <c r="FVN98" s="798"/>
      <c r="FVO98" s="798"/>
      <c r="FVP98" s="798"/>
      <c r="FVQ98" s="798"/>
      <c r="FVR98" s="798"/>
      <c r="FVS98" s="798"/>
      <c r="FVT98" s="798"/>
      <c r="FVU98" s="798"/>
      <c r="FVV98" s="798"/>
      <c r="FVW98" s="798"/>
      <c r="FVX98" s="798"/>
      <c r="FVY98" s="798"/>
      <c r="FVZ98" s="798"/>
      <c r="FWA98" s="798"/>
      <c r="FWB98" s="798"/>
      <c r="FWC98" s="798"/>
      <c r="FWD98" s="798"/>
      <c r="FWE98" s="798"/>
      <c r="FWF98" s="798"/>
      <c r="FWG98" s="798"/>
      <c r="FWH98" s="798"/>
      <c r="FWI98" s="798"/>
      <c r="FWJ98" s="798"/>
      <c r="FWK98" s="798"/>
      <c r="FWL98" s="798"/>
      <c r="FWM98" s="798"/>
      <c r="FWN98" s="798"/>
      <c r="FWO98" s="798"/>
      <c r="FWP98" s="798"/>
      <c r="FWQ98" s="798"/>
      <c r="FWR98" s="798"/>
      <c r="FWS98" s="798"/>
      <c r="FWT98" s="798"/>
      <c r="FWU98" s="798"/>
      <c r="FWV98" s="798"/>
      <c r="FWW98" s="798"/>
      <c r="FWX98" s="798"/>
      <c r="FWY98" s="798"/>
      <c r="FWZ98" s="798"/>
      <c r="FXA98" s="798"/>
      <c r="FXB98" s="798"/>
      <c r="FXC98" s="798"/>
      <c r="FXD98" s="798"/>
      <c r="FXE98" s="798"/>
      <c r="FXF98" s="798"/>
      <c r="FXG98" s="798"/>
      <c r="FXH98" s="798"/>
      <c r="FXI98" s="798"/>
      <c r="FXJ98" s="798"/>
      <c r="FXK98" s="798"/>
      <c r="FXL98" s="798"/>
      <c r="FXM98" s="798"/>
      <c r="FXN98" s="798"/>
      <c r="FXO98" s="798"/>
      <c r="FXP98" s="798"/>
      <c r="FXQ98" s="798"/>
      <c r="FXR98" s="798"/>
      <c r="FXS98" s="798"/>
      <c r="FXT98" s="798"/>
      <c r="FXU98" s="798"/>
      <c r="FXV98" s="798"/>
      <c r="FXW98" s="798"/>
      <c r="FXX98" s="798"/>
      <c r="FXY98" s="798"/>
      <c r="FXZ98" s="798"/>
      <c r="FYA98" s="798"/>
      <c r="FYB98" s="798"/>
      <c r="FYC98" s="798"/>
      <c r="FYD98" s="798"/>
      <c r="FYE98" s="798"/>
      <c r="FYF98" s="798"/>
      <c r="FYG98" s="798"/>
      <c r="FYH98" s="798"/>
      <c r="FYI98" s="798"/>
      <c r="FYJ98" s="798"/>
      <c r="FYK98" s="798"/>
      <c r="FYL98" s="798"/>
      <c r="FYM98" s="798"/>
      <c r="FYN98" s="798"/>
      <c r="FYO98" s="798"/>
      <c r="FYP98" s="798"/>
      <c r="FYQ98" s="798"/>
      <c r="FYR98" s="798"/>
      <c r="FYS98" s="798"/>
      <c r="FYT98" s="798"/>
      <c r="FYU98" s="798"/>
      <c r="FYV98" s="798"/>
      <c r="FYW98" s="798"/>
      <c r="FYX98" s="798"/>
      <c r="FYY98" s="798"/>
      <c r="FYZ98" s="798"/>
      <c r="FZA98" s="798"/>
      <c r="FZB98" s="798"/>
      <c r="FZC98" s="798"/>
      <c r="FZD98" s="798"/>
      <c r="FZE98" s="798"/>
      <c r="FZF98" s="798"/>
      <c r="FZG98" s="798"/>
      <c r="FZH98" s="798"/>
      <c r="FZI98" s="798"/>
      <c r="FZJ98" s="798"/>
      <c r="FZK98" s="798"/>
      <c r="FZL98" s="798"/>
      <c r="FZM98" s="798"/>
      <c r="FZN98" s="798"/>
      <c r="FZO98" s="798"/>
      <c r="FZP98" s="798"/>
      <c r="FZQ98" s="798"/>
      <c r="FZR98" s="798"/>
      <c r="FZS98" s="798"/>
      <c r="FZT98" s="798"/>
      <c r="FZU98" s="798"/>
      <c r="FZV98" s="798"/>
      <c r="FZW98" s="798"/>
      <c r="FZX98" s="798"/>
      <c r="FZY98" s="798"/>
      <c r="FZZ98" s="798"/>
      <c r="GAA98" s="798"/>
      <c r="GAB98" s="798"/>
      <c r="GAC98" s="798"/>
      <c r="GAD98" s="798"/>
      <c r="GAE98" s="798"/>
      <c r="GAF98" s="798"/>
      <c r="GAG98" s="798"/>
      <c r="GAH98" s="798"/>
      <c r="GAI98" s="798"/>
      <c r="GAJ98" s="798"/>
      <c r="GAK98" s="798"/>
      <c r="GAL98" s="798"/>
      <c r="GAM98" s="798"/>
      <c r="GAN98" s="798"/>
      <c r="GAO98" s="798"/>
      <c r="GAP98" s="798"/>
      <c r="GAQ98" s="798"/>
      <c r="GAR98" s="798"/>
      <c r="GAS98" s="798"/>
      <c r="GAT98" s="798"/>
      <c r="GAU98" s="798"/>
      <c r="GAV98" s="798"/>
      <c r="GAW98" s="798"/>
      <c r="GAX98" s="798"/>
      <c r="GAY98" s="798"/>
      <c r="GAZ98" s="798"/>
      <c r="GBA98" s="798"/>
      <c r="GBB98" s="798"/>
      <c r="GBC98" s="798"/>
      <c r="GBD98" s="798"/>
      <c r="GBE98" s="798"/>
      <c r="GBF98" s="798"/>
      <c r="GBG98" s="798"/>
      <c r="GBH98" s="798"/>
      <c r="GBI98" s="798"/>
      <c r="GBJ98" s="798"/>
      <c r="GBK98" s="798"/>
      <c r="GBL98" s="798"/>
      <c r="GBM98" s="798"/>
      <c r="GBN98" s="798"/>
      <c r="GBO98" s="798"/>
      <c r="GBP98" s="798"/>
      <c r="GBQ98" s="798"/>
      <c r="GBR98" s="798"/>
      <c r="GBS98" s="798"/>
      <c r="GBT98" s="798"/>
      <c r="GBU98" s="798"/>
      <c r="GBV98" s="798"/>
      <c r="GBW98" s="798"/>
      <c r="GBX98" s="798"/>
      <c r="GBY98" s="798"/>
      <c r="GBZ98" s="798"/>
      <c r="GCA98" s="798"/>
      <c r="GCB98" s="798"/>
      <c r="GCC98" s="798"/>
      <c r="GCD98" s="798"/>
      <c r="GCE98" s="798"/>
      <c r="GCF98" s="798"/>
      <c r="GCG98" s="798"/>
      <c r="GCH98" s="798"/>
      <c r="GCI98" s="798"/>
      <c r="GCJ98" s="798"/>
      <c r="GCK98" s="798"/>
      <c r="GCL98" s="798"/>
      <c r="GCM98" s="798"/>
      <c r="GCN98" s="798"/>
      <c r="GCO98" s="798"/>
      <c r="GCP98" s="798"/>
      <c r="GCQ98" s="798"/>
      <c r="GCR98" s="798"/>
      <c r="GCS98" s="798"/>
      <c r="GCT98" s="798"/>
      <c r="GCU98" s="798"/>
      <c r="GCV98" s="798"/>
      <c r="GCW98" s="798"/>
      <c r="GCX98" s="798"/>
      <c r="GCY98" s="798"/>
      <c r="GCZ98" s="798"/>
      <c r="GDA98" s="798"/>
      <c r="GDB98" s="798"/>
      <c r="GDC98" s="798"/>
      <c r="GDD98" s="798"/>
      <c r="GDE98" s="798"/>
      <c r="GDF98" s="798"/>
      <c r="GDG98" s="798"/>
      <c r="GDH98" s="798"/>
      <c r="GDI98" s="798"/>
      <c r="GDJ98" s="798"/>
      <c r="GDK98" s="798"/>
      <c r="GDL98" s="798"/>
      <c r="GDM98" s="798"/>
      <c r="GDN98" s="798"/>
      <c r="GDO98" s="798"/>
      <c r="GDP98" s="798"/>
      <c r="GDQ98" s="798"/>
      <c r="GDR98" s="798"/>
      <c r="GDS98" s="798"/>
      <c r="GDT98" s="798"/>
      <c r="GDU98" s="798"/>
      <c r="GDV98" s="798"/>
      <c r="GDW98" s="798"/>
      <c r="GDX98" s="798"/>
      <c r="GDY98" s="798"/>
      <c r="GDZ98" s="798"/>
      <c r="GEA98" s="798"/>
      <c r="GEB98" s="798"/>
      <c r="GEC98" s="798"/>
      <c r="GED98" s="798"/>
      <c r="GEE98" s="798"/>
      <c r="GEF98" s="798"/>
      <c r="GEG98" s="798"/>
      <c r="GEH98" s="798"/>
      <c r="GEI98" s="798"/>
      <c r="GEJ98" s="798"/>
      <c r="GEK98" s="798"/>
      <c r="GEL98" s="798"/>
      <c r="GEM98" s="798"/>
      <c r="GEN98" s="798"/>
      <c r="GEO98" s="798"/>
      <c r="GEP98" s="798"/>
      <c r="GEQ98" s="798"/>
      <c r="GER98" s="798"/>
      <c r="GES98" s="798"/>
      <c r="GET98" s="798"/>
      <c r="GEU98" s="798"/>
      <c r="GEV98" s="798"/>
      <c r="GEW98" s="798"/>
      <c r="GEX98" s="798"/>
      <c r="GEY98" s="798"/>
      <c r="GEZ98" s="798"/>
      <c r="GFA98" s="798"/>
      <c r="GFB98" s="798"/>
      <c r="GFC98" s="798"/>
      <c r="GFD98" s="798"/>
      <c r="GFE98" s="798"/>
      <c r="GFF98" s="798"/>
      <c r="GFG98" s="798"/>
      <c r="GFH98" s="798"/>
      <c r="GFI98" s="798"/>
      <c r="GFJ98" s="798"/>
      <c r="GFK98" s="798"/>
      <c r="GFL98" s="798"/>
      <c r="GFM98" s="798"/>
      <c r="GFN98" s="798"/>
      <c r="GFO98" s="798"/>
      <c r="GFP98" s="798"/>
      <c r="GFQ98" s="798"/>
      <c r="GFR98" s="798"/>
      <c r="GFS98" s="798"/>
      <c r="GFT98" s="798"/>
      <c r="GFU98" s="798"/>
      <c r="GFV98" s="798"/>
      <c r="GFW98" s="798"/>
      <c r="GFX98" s="798"/>
      <c r="GFY98" s="798"/>
      <c r="GFZ98" s="798"/>
      <c r="GGA98" s="798"/>
      <c r="GGB98" s="798"/>
      <c r="GGC98" s="798"/>
      <c r="GGD98" s="798"/>
      <c r="GGE98" s="798"/>
      <c r="GGF98" s="798"/>
      <c r="GGG98" s="798"/>
      <c r="GGH98" s="798"/>
      <c r="GGI98" s="798"/>
      <c r="GGJ98" s="798"/>
      <c r="GGK98" s="798"/>
      <c r="GGL98" s="798"/>
      <c r="GGM98" s="798"/>
      <c r="GGN98" s="798"/>
      <c r="GGO98" s="798"/>
      <c r="GGP98" s="798"/>
      <c r="GGQ98" s="798"/>
      <c r="GGR98" s="798"/>
      <c r="GGS98" s="798"/>
      <c r="GGT98" s="798"/>
      <c r="GGU98" s="798"/>
      <c r="GGV98" s="798"/>
      <c r="GGW98" s="798"/>
      <c r="GGX98" s="798"/>
      <c r="GGY98" s="798"/>
      <c r="GGZ98" s="798"/>
      <c r="GHA98" s="798"/>
      <c r="GHB98" s="798"/>
      <c r="GHC98" s="798"/>
      <c r="GHD98" s="798"/>
      <c r="GHE98" s="798"/>
      <c r="GHF98" s="798"/>
      <c r="GHG98" s="798"/>
      <c r="GHH98" s="798"/>
      <c r="GHI98" s="798"/>
      <c r="GHJ98" s="798"/>
      <c r="GHK98" s="798"/>
      <c r="GHL98" s="798"/>
      <c r="GHM98" s="798"/>
      <c r="GHN98" s="798"/>
      <c r="GHO98" s="798"/>
      <c r="GHP98" s="798"/>
      <c r="GHQ98" s="798"/>
      <c r="GHR98" s="798"/>
      <c r="GHS98" s="798"/>
      <c r="GHT98" s="798"/>
      <c r="GHU98" s="798"/>
      <c r="GHV98" s="798"/>
      <c r="GHW98" s="798"/>
      <c r="GHX98" s="798"/>
      <c r="GHY98" s="798"/>
      <c r="GHZ98" s="798"/>
      <c r="GIA98" s="798"/>
      <c r="GIB98" s="798"/>
      <c r="GIC98" s="798"/>
      <c r="GID98" s="798"/>
      <c r="GIE98" s="798"/>
      <c r="GIF98" s="798"/>
      <c r="GIG98" s="798"/>
      <c r="GIH98" s="798"/>
      <c r="GII98" s="798"/>
      <c r="GIJ98" s="798"/>
      <c r="GIK98" s="798"/>
      <c r="GIL98" s="798"/>
      <c r="GIM98" s="798"/>
      <c r="GIN98" s="798"/>
      <c r="GIO98" s="798"/>
      <c r="GIP98" s="798"/>
      <c r="GIQ98" s="798"/>
      <c r="GIR98" s="798"/>
      <c r="GIS98" s="798"/>
      <c r="GIT98" s="798"/>
      <c r="GIU98" s="798"/>
      <c r="GIV98" s="798"/>
      <c r="GIW98" s="798"/>
      <c r="GIX98" s="798"/>
      <c r="GIY98" s="798"/>
      <c r="GIZ98" s="798"/>
      <c r="GJA98" s="798"/>
      <c r="GJB98" s="798"/>
      <c r="GJC98" s="798"/>
      <c r="GJD98" s="798"/>
      <c r="GJE98" s="798"/>
      <c r="GJF98" s="798"/>
      <c r="GJG98" s="798"/>
      <c r="GJH98" s="798"/>
      <c r="GJI98" s="798"/>
      <c r="GJJ98" s="798"/>
      <c r="GJK98" s="798"/>
      <c r="GJL98" s="798"/>
      <c r="GJM98" s="798"/>
      <c r="GJN98" s="798"/>
      <c r="GJO98" s="798"/>
      <c r="GJP98" s="798"/>
      <c r="GJQ98" s="798"/>
      <c r="GJR98" s="798"/>
      <c r="GJS98" s="798"/>
      <c r="GJT98" s="798"/>
      <c r="GJU98" s="798"/>
      <c r="GJV98" s="798"/>
      <c r="GJW98" s="798"/>
      <c r="GJX98" s="798"/>
      <c r="GJY98" s="798"/>
      <c r="GJZ98" s="798"/>
      <c r="GKA98" s="798"/>
      <c r="GKB98" s="798"/>
      <c r="GKC98" s="798"/>
      <c r="GKD98" s="798"/>
      <c r="GKE98" s="798"/>
      <c r="GKF98" s="798"/>
      <c r="GKG98" s="798"/>
      <c r="GKH98" s="798"/>
      <c r="GKI98" s="798"/>
      <c r="GKJ98" s="798"/>
      <c r="GKK98" s="798"/>
      <c r="GKL98" s="798"/>
      <c r="GKM98" s="798"/>
      <c r="GKN98" s="798"/>
      <c r="GKO98" s="798"/>
      <c r="GKP98" s="798"/>
      <c r="GKQ98" s="798"/>
      <c r="GKR98" s="798"/>
      <c r="GKS98" s="798"/>
      <c r="GKT98" s="798"/>
      <c r="GKU98" s="798"/>
      <c r="GKV98" s="798"/>
      <c r="GKW98" s="798"/>
      <c r="GKX98" s="798"/>
      <c r="GKY98" s="798"/>
      <c r="GKZ98" s="798"/>
      <c r="GLA98" s="798"/>
      <c r="GLB98" s="798"/>
      <c r="GLC98" s="798"/>
      <c r="GLD98" s="798"/>
      <c r="GLE98" s="798"/>
      <c r="GLF98" s="798"/>
      <c r="GLG98" s="798"/>
      <c r="GLH98" s="798"/>
      <c r="GLI98" s="798"/>
      <c r="GLJ98" s="798"/>
      <c r="GLK98" s="798"/>
      <c r="GLL98" s="798"/>
      <c r="GLM98" s="798"/>
      <c r="GLN98" s="798"/>
      <c r="GLO98" s="798"/>
      <c r="GLP98" s="798"/>
      <c r="GLQ98" s="798"/>
      <c r="GLR98" s="798"/>
      <c r="GLS98" s="798"/>
      <c r="GLT98" s="798"/>
      <c r="GLU98" s="798"/>
      <c r="GLV98" s="798"/>
      <c r="GLW98" s="798"/>
      <c r="GLX98" s="798"/>
      <c r="GLY98" s="798"/>
      <c r="GLZ98" s="798"/>
      <c r="GMA98" s="798"/>
      <c r="GMB98" s="798"/>
      <c r="GMC98" s="798"/>
      <c r="GMD98" s="798"/>
      <c r="GME98" s="798"/>
      <c r="GMF98" s="798"/>
      <c r="GMG98" s="798"/>
      <c r="GMH98" s="798"/>
      <c r="GMI98" s="798"/>
      <c r="GMJ98" s="798"/>
      <c r="GMK98" s="798"/>
      <c r="GML98" s="798"/>
      <c r="GMM98" s="798"/>
      <c r="GMN98" s="798"/>
      <c r="GMO98" s="798"/>
      <c r="GMP98" s="798"/>
      <c r="GMQ98" s="798"/>
      <c r="GMR98" s="798"/>
      <c r="GMS98" s="798"/>
      <c r="GMT98" s="798"/>
      <c r="GMU98" s="798"/>
      <c r="GMV98" s="798"/>
      <c r="GMW98" s="798"/>
      <c r="GMX98" s="798"/>
      <c r="GMY98" s="798"/>
      <c r="GMZ98" s="798"/>
      <c r="GNA98" s="798"/>
      <c r="GNB98" s="798"/>
      <c r="GNC98" s="798"/>
      <c r="GND98" s="798"/>
      <c r="GNE98" s="798"/>
      <c r="GNF98" s="798"/>
      <c r="GNG98" s="798"/>
      <c r="GNH98" s="798"/>
      <c r="GNI98" s="798"/>
      <c r="GNJ98" s="798"/>
      <c r="GNK98" s="798"/>
      <c r="GNL98" s="798"/>
      <c r="GNM98" s="798"/>
      <c r="GNN98" s="798"/>
      <c r="GNO98" s="798"/>
      <c r="GNP98" s="798"/>
      <c r="GNQ98" s="798"/>
      <c r="GNR98" s="798"/>
      <c r="GNS98" s="798"/>
      <c r="GNT98" s="798"/>
      <c r="GNU98" s="798"/>
      <c r="GNV98" s="798"/>
      <c r="GNW98" s="798"/>
      <c r="GNX98" s="798"/>
      <c r="GNY98" s="798"/>
      <c r="GNZ98" s="798"/>
      <c r="GOA98" s="798"/>
      <c r="GOB98" s="798"/>
      <c r="GOC98" s="798"/>
      <c r="GOD98" s="798"/>
      <c r="GOE98" s="798"/>
      <c r="GOF98" s="798"/>
      <c r="GOG98" s="798"/>
      <c r="GOH98" s="798"/>
      <c r="GOI98" s="798"/>
      <c r="GOJ98" s="798"/>
      <c r="GOK98" s="798"/>
      <c r="GOL98" s="798"/>
      <c r="GOM98" s="798"/>
      <c r="GON98" s="798"/>
      <c r="GOO98" s="798"/>
      <c r="GOP98" s="798"/>
      <c r="GOQ98" s="798"/>
      <c r="GOR98" s="798"/>
      <c r="GOS98" s="798"/>
      <c r="GOT98" s="798"/>
      <c r="GOU98" s="798"/>
      <c r="GOV98" s="798"/>
      <c r="GOW98" s="798"/>
      <c r="GOX98" s="798"/>
      <c r="GOY98" s="798"/>
      <c r="GOZ98" s="798"/>
      <c r="GPA98" s="798"/>
      <c r="GPB98" s="798"/>
      <c r="GPC98" s="798"/>
      <c r="GPD98" s="798"/>
      <c r="GPE98" s="798"/>
      <c r="GPF98" s="798"/>
      <c r="GPG98" s="798"/>
      <c r="GPH98" s="798"/>
      <c r="GPI98" s="798"/>
      <c r="GPJ98" s="798"/>
      <c r="GPK98" s="798"/>
      <c r="GPL98" s="798"/>
      <c r="GPM98" s="798"/>
      <c r="GPN98" s="798"/>
      <c r="GPO98" s="798"/>
      <c r="GPP98" s="798"/>
      <c r="GPQ98" s="798"/>
      <c r="GPR98" s="798"/>
      <c r="GPS98" s="798"/>
      <c r="GPT98" s="798"/>
      <c r="GPU98" s="798"/>
      <c r="GPV98" s="798"/>
      <c r="GPW98" s="798"/>
      <c r="GPX98" s="798"/>
      <c r="GPY98" s="798"/>
      <c r="GPZ98" s="798"/>
      <c r="GQA98" s="798"/>
      <c r="GQB98" s="798"/>
      <c r="GQC98" s="798"/>
      <c r="GQD98" s="798"/>
      <c r="GQE98" s="798"/>
      <c r="GQF98" s="798"/>
      <c r="GQG98" s="798"/>
      <c r="GQH98" s="798"/>
      <c r="GQI98" s="798"/>
      <c r="GQJ98" s="798"/>
      <c r="GQK98" s="798"/>
      <c r="GQL98" s="798"/>
      <c r="GQM98" s="798"/>
      <c r="GQN98" s="798"/>
      <c r="GQO98" s="798"/>
      <c r="GQP98" s="798"/>
      <c r="GQQ98" s="798"/>
      <c r="GQR98" s="798"/>
      <c r="GQS98" s="798"/>
      <c r="GQT98" s="798"/>
      <c r="GQU98" s="798"/>
      <c r="GQV98" s="798"/>
      <c r="GQW98" s="798"/>
      <c r="GQX98" s="798"/>
      <c r="GQY98" s="798"/>
      <c r="GQZ98" s="798"/>
      <c r="GRA98" s="798"/>
      <c r="GRB98" s="798"/>
      <c r="GRC98" s="798"/>
      <c r="GRD98" s="798"/>
      <c r="GRE98" s="798"/>
      <c r="GRF98" s="798"/>
      <c r="GRG98" s="798"/>
      <c r="GRH98" s="798"/>
      <c r="GRI98" s="798"/>
      <c r="GRJ98" s="798"/>
      <c r="GRK98" s="798"/>
      <c r="GRL98" s="798"/>
      <c r="GRM98" s="798"/>
      <c r="GRN98" s="798"/>
      <c r="GRO98" s="798"/>
      <c r="GRP98" s="798"/>
      <c r="GRQ98" s="798"/>
      <c r="GRR98" s="798"/>
      <c r="GRS98" s="798"/>
      <c r="GRT98" s="798"/>
      <c r="GRU98" s="798"/>
      <c r="GRV98" s="798"/>
      <c r="GRW98" s="798"/>
      <c r="GRX98" s="798"/>
      <c r="GRY98" s="798"/>
      <c r="GRZ98" s="798"/>
      <c r="GSA98" s="798"/>
      <c r="GSB98" s="798"/>
      <c r="GSC98" s="798"/>
      <c r="GSD98" s="798"/>
      <c r="GSE98" s="798"/>
      <c r="GSF98" s="798"/>
      <c r="GSG98" s="798"/>
      <c r="GSH98" s="798"/>
      <c r="GSI98" s="798"/>
      <c r="GSJ98" s="798"/>
      <c r="GSK98" s="798"/>
      <c r="GSL98" s="798"/>
      <c r="GSM98" s="798"/>
      <c r="GSN98" s="798"/>
      <c r="GSO98" s="798"/>
      <c r="GSP98" s="798"/>
      <c r="GSQ98" s="798"/>
      <c r="GSR98" s="798"/>
      <c r="GSS98" s="798"/>
      <c r="GST98" s="798"/>
      <c r="GSU98" s="798"/>
      <c r="GSV98" s="798"/>
      <c r="GSW98" s="798"/>
      <c r="GSX98" s="798"/>
      <c r="GSY98" s="798"/>
      <c r="GSZ98" s="798"/>
      <c r="GTA98" s="798"/>
      <c r="GTB98" s="798"/>
      <c r="GTC98" s="798"/>
      <c r="GTD98" s="798"/>
      <c r="GTE98" s="798"/>
      <c r="GTF98" s="798"/>
      <c r="GTG98" s="798"/>
      <c r="GTH98" s="798"/>
      <c r="GTI98" s="798"/>
      <c r="GTJ98" s="798"/>
      <c r="GTK98" s="798"/>
      <c r="GTL98" s="798"/>
      <c r="GTM98" s="798"/>
      <c r="GTN98" s="798"/>
      <c r="GTO98" s="798"/>
      <c r="GTP98" s="798"/>
      <c r="GTQ98" s="798"/>
      <c r="GTR98" s="798"/>
      <c r="GTS98" s="798"/>
      <c r="GTT98" s="798"/>
      <c r="GTU98" s="798"/>
      <c r="GTV98" s="798"/>
      <c r="GTW98" s="798"/>
      <c r="GTX98" s="798"/>
      <c r="GTY98" s="798"/>
      <c r="GTZ98" s="798"/>
      <c r="GUA98" s="798"/>
      <c r="GUB98" s="798"/>
      <c r="GUC98" s="798"/>
      <c r="GUD98" s="798"/>
      <c r="GUE98" s="798"/>
      <c r="GUF98" s="798"/>
      <c r="GUG98" s="798"/>
      <c r="GUH98" s="798"/>
      <c r="GUI98" s="798"/>
      <c r="GUJ98" s="798"/>
      <c r="GUK98" s="798"/>
      <c r="GUL98" s="798"/>
      <c r="GUM98" s="798"/>
      <c r="GUN98" s="798"/>
      <c r="GUO98" s="798"/>
      <c r="GUP98" s="798"/>
      <c r="GUQ98" s="798"/>
      <c r="GUR98" s="798"/>
      <c r="GUS98" s="798"/>
      <c r="GUT98" s="798"/>
      <c r="GUU98" s="798"/>
      <c r="GUV98" s="798"/>
      <c r="GUW98" s="798"/>
      <c r="GUX98" s="798"/>
      <c r="GUY98" s="798"/>
      <c r="GUZ98" s="798"/>
      <c r="GVA98" s="798"/>
      <c r="GVB98" s="798"/>
      <c r="GVC98" s="798"/>
      <c r="GVD98" s="798"/>
      <c r="GVE98" s="798"/>
      <c r="GVF98" s="798"/>
      <c r="GVG98" s="798"/>
      <c r="GVH98" s="798"/>
      <c r="GVI98" s="798"/>
      <c r="GVJ98" s="798"/>
      <c r="GVK98" s="798"/>
      <c r="GVL98" s="798"/>
      <c r="GVM98" s="798"/>
      <c r="GVN98" s="798"/>
      <c r="GVO98" s="798"/>
      <c r="GVP98" s="798"/>
      <c r="GVQ98" s="798"/>
      <c r="GVR98" s="798"/>
      <c r="GVS98" s="798"/>
      <c r="GVT98" s="798"/>
      <c r="GVU98" s="798"/>
      <c r="GVV98" s="798"/>
      <c r="GVW98" s="798"/>
      <c r="GVX98" s="798"/>
      <c r="GVY98" s="798"/>
      <c r="GVZ98" s="798"/>
      <c r="GWA98" s="798"/>
      <c r="GWB98" s="798"/>
      <c r="GWC98" s="798"/>
      <c r="GWD98" s="798"/>
      <c r="GWE98" s="798"/>
      <c r="GWF98" s="798"/>
      <c r="GWG98" s="798"/>
      <c r="GWH98" s="798"/>
      <c r="GWI98" s="798"/>
      <c r="GWJ98" s="798"/>
      <c r="GWK98" s="798"/>
      <c r="GWL98" s="798"/>
      <c r="GWM98" s="798"/>
      <c r="GWN98" s="798"/>
      <c r="GWO98" s="798"/>
      <c r="GWP98" s="798"/>
      <c r="GWQ98" s="798"/>
      <c r="GWR98" s="798"/>
      <c r="GWS98" s="798"/>
      <c r="GWT98" s="798"/>
      <c r="GWU98" s="798"/>
      <c r="GWV98" s="798"/>
      <c r="GWW98" s="798"/>
      <c r="GWX98" s="798"/>
      <c r="GWY98" s="798"/>
      <c r="GWZ98" s="798"/>
      <c r="GXA98" s="798"/>
      <c r="GXB98" s="798"/>
      <c r="GXC98" s="798"/>
      <c r="GXD98" s="798"/>
      <c r="GXE98" s="798"/>
      <c r="GXF98" s="798"/>
      <c r="GXG98" s="798"/>
      <c r="GXH98" s="798"/>
      <c r="GXI98" s="798"/>
      <c r="GXJ98" s="798"/>
      <c r="GXK98" s="798"/>
      <c r="GXL98" s="798"/>
      <c r="GXM98" s="798"/>
      <c r="GXN98" s="798"/>
      <c r="GXO98" s="798"/>
      <c r="GXP98" s="798"/>
      <c r="GXQ98" s="798"/>
      <c r="GXR98" s="798"/>
      <c r="GXS98" s="798"/>
      <c r="GXT98" s="798"/>
      <c r="GXU98" s="798"/>
      <c r="GXV98" s="798"/>
      <c r="GXW98" s="798"/>
      <c r="GXX98" s="798"/>
      <c r="GXY98" s="798"/>
      <c r="GXZ98" s="798"/>
      <c r="GYA98" s="798"/>
      <c r="GYB98" s="798"/>
      <c r="GYC98" s="798"/>
      <c r="GYD98" s="798"/>
      <c r="GYE98" s="798"/>
      <c r="GYF98" s="798"/>
      <c r="GYG98" s="798"/>
      <c r="GYH98" s="798"/>
      <c r="GYI98" s="798"/>
      <c r="GYJ98" s="798"/>
      <c r="GYK98" s="798"/>
      <c r="GYL98" s="798"/>
      <c r="GYM98" s="798"/>
      <c r="GYN98" s="798"/>
      <c r="GYO98" s="798"/>
      <c r="GYP98" s="798"/>
      <c r="GYQ98" s="798"/>
      <c r="GYR98" s="798"/>
      <c r="GYS98" s="798"/>
      <c r="GYT98" s="798"/>
      <c r="GYU98" s="798"/>
      <c r="GYV98" s="798"/>
      <c r="GYW98" s="798"/>
      <c r="GYX98" s="798"/>
      <c r="GYY98" s="798"/>
      <c r="GYZ98" s="798"/>
      <c r="GZA98" s="798"/>
      <c r="GZB98" s="798"/>
      <c r="GZC98" s="798"/>
      <c r="GZD98" s="798"/>
      <c r="GZE98" s="798"/>
      <c r="GZF98" s="798"/>
      <c r="GZG98" s="798"/>
      <c r="GZH98" s="798"/>
      <c r="GZI98" s="798"/>
      <c r="GZJ98" s="798"/>
      <c r="GZK98" s="798"/>
      <c r="GZL98" s="798"/>
      <c r="GZM98" s="798"/>
      <c r="GZN98" s="798"/>
      <c r="GZO98" s="798"/>
      <c r="GZP98" s="798"/>
      <c r="GZQ98" s="798"/>
      <c r="GZR98" s="798"/>
      <c r="GZS98" s="798"/>
      <c r="GZT98" s="798"/>
      <c r="GZU98" s="798"/>
      <c r="GZV98" s="798"/>
      <c r="GZW98" s="798"/>
      <c r="GZX98" s="798"/>
      <c r="GZY98" s="798"/>
      <c r="GZZ98" s="798"/>
      <c r="HAA98" s="798"/>
      <c r="HAB98" s="798"/>
      <c r="HAC98" s="798"/>
      <c r="HAD98" s="798"/>
      <c r="HAE98" s="798"/>
      <c r="HAF98" s="798"/>
      <c r="HAG98" s="798"/>
      <c r="HAH98" s="798"/>
      <c r="HAI98" s="798"/>
      <c r="HAJ98" s="798"/>
      <c r="HAK98" s="798"/>
      <c r="HAL98" s="798"/>
      <c r="HAM98" s="798"/>
      <c r="HAN98" s="798"/>
      <c r="HAO98" s="798"/>
      <c r="HAP98" s="798"/>
      <c r="HAQ98" s="798"/>
      <c r="HAR98" s="798"/>
      <c r="HAS98" s="798"/>
      <c r="HAT98" s="798"/>
      <c r="HAU98" s="798"/>
      <c r="HAV98" s="798"/>
      <c r="HAW98" s="798"/>
      <c r="HAX98" s="798"/>
      <c r="HAY98" s="798"/>
      <c r="HAZ98" s="798"/>
      <c r="HBA98" s="798"/>
      <c r="HBB98" s="798"/>
      <c r="HBC98" s="798"/>
      <c r="HBD98" s="798"/>
      <c r="HBE98" s="798"/>
      <c r="HBF98" s="798"/>
      <c r="HBG98" s="798"/>
      <c r="HBH98" s="798"/>
      <c r="HBI98" s="798"/>
      <c r="HBJ98" s="798"/>
      <c r="HBK98" s="798"/>
      <c r="HBL98" s="798"/>
      <c r="HBM98" s="798"/>
      <c r="HBN98" s="798"/>
      <c r="HBO98" s="798"/>
      <c r="HBP98" s="798"/>
      <c r="HBQ98" s="798"/>
      <c r="HBR98" s="798"/>
      <c r="HBS98" s="798"/>
      <c r="HBT98" s="798"/>
      <c r="HBU98" s="798"/>
      <c r="HBV98" s="798"/>
      <c r="HBW98" s="798"/>
      <c r="HBX98" s="798"/>
      <c r="HBY98" s="798"/>
      <c r="HBZ98" s="798"/>
      <c r="HCA98" s="798"/>
      <c r="HCB98" s="798"/>
      <c r="HCC98" s="798"/>
      <c r="HCD98" s="798"/>
      <c r="HCE98" s="798"/>
      <c r="HCF98" s="798"/>
      <c r="HCG98" s="798"/>
      <c r="HCH98" s="798"/>
      <c r="HCI98" s="798"/>
      <c r="HCJ98" s="798"/>
      <c r="HCK98" s="798"/>
      <c r="HCL98" s="798"/>
      <c r="HCM98" s="798"/>
      <c r="HCN98" s="798"/>
      <c r="HCO98" s="798"/>
      <c r="HCP98" s="798"/>
      <c r="HCQ98" s="798"/>
      <c r="HCR98" s="798"/>
      <c r="HCS98" s="798"/>
      <c r="HCT98" s="798"/>
      <c r="HCU98" s="798"/>
      <c r="HCV98" s="798"/>
      <c r="HCW98" s="798"/>
      <c r="HCX98" s="798"/>
      <c r="HCY98" s="798"/>
      <c r="HCZ98" s="798"/>
      <c r="HDA98" s="798"/>
      <c r="HDB98" s="798"/>
      <c r="HDC98" s="798"/>
      <c r="HDD98" s="798"/>
      <c r="HDE98" s="798"/>
      <c r="HDF98" s="798"/>
      <c r="HDG98" s="798"/>
      <c r="HDH98" s="798"/>
      <c r="HDI98" s="798"/>
      <c r="HDJ98" s="798"/>
      <c r="HDK98" s="798"/>
      <c r="HDL98" s="798"/>
      <c r="HDM98" s="798"/>
      <c r="HDN98" s="798"/>
      <c r="HDO98" s="798"/>
      <c r="HDP98" s="798"/>
      <c r="HDQ98" s="798"/>
      <c r="HDR98" s="798"/>
      <c r="HDS98" s="798"/>
      <c r="HDT98" s="798"/>
      <c r="HDU98" s="798"/>
      <c r="HDV98" s="798"/>
      <c r="HDW98" s="798"/>
      <c r="HDX98" s="798"/>
      <c r="HDY98" s="798"/>
      <c r="HDZ98" s="798"/>
      <c r="HEA98" s="798"/>
      <c r="HEB98" s="798"/>
      <c r="HEC98" s="798"/>
      <c r="HED98" s="798"/>
      <c r="HEE98" s="798"/>
      <c r="HEF98" s="798"/>
      <c r="HEG98" s="798"/>
      <c r="HEH98" s="798"/>
      <c r="HEI98" s="798"/>
      <c r="HEJ98" s="798"/>
      <c r="HEK98" s="798"/>
      <c r="HEL98" s="798"/>
      <c r="HEM98" s="798"/>
      <c r="HEN98" s="798"/>
      <c r="HEO98" s="798"/>
      <c r="HEP98" s="798"/>
      <c r="HEQ98" s="798"/>
      <c r="HER98" s="798"/>
      <c r="HES98" s="798"/>
      <c r="HET98" s="798"/>
      <c r="HEU98" s="798"/>
      <c r="HEV98" s="798"/>
      <c r="HEW98" s="798"/>
      <c r="HEX98" s="798"/>
      <c r="HEY98" s="798"/>
      <c r="HEZ98" s="798"/>
      <c r="HFA98" s="798"/>
      <c r="HFB98" s="798"/>
      <c r="HFC98" s="798"/>
      <c r="HFD98" s="798"/>
      <c r="HFE98" s="798"/>
      <c r="HFF98" s="798"/>
      <c r="HFG98" s="798"/>
      <c r="HFH98" s="798"/>
      <c r="HFI98" s="798"/>
      <c r="HFJ98" s="798"/>
      <c r="HFK98" s="798"/>
      <c r="HFL98" s="798"/>
      <c r="HFM98" s="798"/>
      <c r="HFN98" s="798"/>
      <c r="HFO98" s="798"/>
      <c r="HFP98" s="798"/>
      <c r="HFQ98" s="798"/>
      <c r="HFR98" s="798"/>
      <c r="HFS98" s="798"/>
      <c r="HFT98" s="798"/>
      <c r="HFU98" s="798"/>
      <c r="HFV98" s="798"/>
      <c r="HFW98" s="798"/>
      <c r="HFX98" s="798"/>
      <c r="HFY98" s="798"/>
      <c r="HFZ98" s="798"/>
      <c r="HGA98" s="798"/>
      <c r="HGB98" s="798"/>
      <c r="HGC98" s="798"/>
      <c r="HGD98" s="798"/>
      <c r="HGE98" s="798"/>
      <c r="HGF98" s="798"/>
      <c r="HGG98" s="798"/>
      <c r="HGH98" s="798"/>
      <c r="HGI98" s="798"/>
      <c r="HGJ98" s="798"/>
      <c r="HGK98" s="798"/>
      <c r="HGL98" s="798"/>
      <c r="HGM98" s="798"/>
      <c r="HGN98" s="798"/>
      <c r="HGO98" s="798"/>
      <c r="HGP98" s="798"/>
      <c r="HGQ98" s="798"/>
      <c r="HGR98" s="798"/>
      <c r="HGS98" s="798"/>
      <c r="HGT98" s="798"/>
      <c r="HGU98" s="798"/>
      <c r="HGV98" s="798"/>
      <c r="HGW98" s="798"/>
      <c r="HGX98" s="798"/>
      <c r="HGY98" s="798"/>
      <c r="HGZ98" s="798"/>
      <c r="HHA98" s="798"/>
      <c r="HHB98" s="798"/>
      <c r="HHC98" s="798"/>
      <c r="HHD98" s="798"/>
      <c r="HHE98" s="798"/>
      <c r="HHF98" s="798"/>
      <c r="HHG98" s="798"/>
      <c r="HHH98" s="798"/>
      <c r="HHI98" s="798"/>
      <c r="HHJ98" s="798"/>
      <c r="HHK98" s="798"/>
      <c r="HHL98" s="798"/>
      <c r="HHM98" s="798"/>
      <c r="HHN98" s="798"/>
      <c r="HHO98" s="798"/>
      <c r="HHP98" s="798"/>
      <c r="HHQ98" s="798"/>
      <c r="HHR98" s="798"/>
      <c r="HHS98" s="798"/>
      <c r="HHT98" s="798"/>
      <c r="HHU98" s="798"/>
      <c r="HHV98" s="798"/>
      <c r="HHW98" s="798"/>
      <c r="HHX98" s="798"/>
      <c r="HHY98" s="798"/>
      <c r="HHZ98" s="798"/>
      <c r="HIA98" s="798"/>
      <c r="HIB98" s="798"/>
      <c r="HIC98" s="798"/>
      <c r="HID98" s="798"/>
      <c r="HIE98" s="798"/>
      <c r="HIF98" s="798"/>
      <c r="HIG98" s="798"/>
      <c r="HIH98" s="798"/>
      <c r="HII98" s="798"/>
      <c r="HIJ98" s="798"/>
      <c r="HIK98" s="798"/>
      <c r="HIL98" s="798"/>
      <c r="HIM98" s="798"/>
      <c r="HIN98" s="798"/>
      <c r="HIO98" s="798"/>
      <c r="HIP98" s="798"/>
      <c r="HIQ98" s="798"/>
      <c r="HIR98" s="798"/>
      <c r="HIS98" s="798"/>
      <c r="HIT98" s="798"/>
      <c r="HIU98" s="798"/>
      <c r="HIV98" s="798"/>
      <c r="HIW98" s="798"/>
      <c r="HIX98" s="798"/>
      <c r="HIY98" s="798"/>
      <c r="HIZ98" s="798"/>
      <c r="HJA98" s="798"/>
      <c r="HJB98" s="798"/>
      <c r="HJC98" s="798"/>
      <c r="HJD98" s="798"/>
      <c r="HJE98" s="798"/>
      <c r="HJF98" s="798"/>
      <c r="HJG98" s="798"/>
      <c r="HJH98" s="798"/>
      <c r="HJI98" s="798"/>
      <c r="HJJ98" s="798"/>
      <c r="HJK98" s="798"/>
      <c r="HJL98" s="798"/>
      <c r="HJM98" s="798"/>
      <c r="HJN98" s="798"/>
      <c r="HJO98" s="798"/>
      <c r="HJP98" s="798"/>
      <c r="HJQ98" s="798"/>
      <c r="HJR98" s="798"/>
      <c r="HJS98" s="798"/>
      <c r="HJT98" s="798"/>
      <c r="HJU98" s="798"/>
      <c r="HJV98" s="798"/>
      <c r="HJW98" s="798"/>
      <c r="HJX98" s="798"/>
      <c r="HJY98" s="798"/>
      <c r="HJZ98" s="798"/>
      <c r="HKA98" s="798"/>
      <c r="HKB98" s="798"/>
      <c r="HKC98" s="798"/>
      <c r="HKD98" s="798"/>
      <c r="HKE98" s="798"/>
      <c r="HKF98" s="798"/>
      <c r="HKG98" s="798"/>
      <c r="HKH98" s="798"/>
      <c r="HKI98" s="798"/>
      <c r="HKJ98" s="798"/>
      <c r="HKK98" s="798"/>
      <c r="HKL98" s="798"/>
      <c r="HKM98" s="798"/>
      <c r="HKN98" s="798"/>
      <c r="HKO98" s="798"/>
      <c r="HKP98" s="798"/>
      <c r="HKQ98" s="798"/>
      <c r="HKR98" s="798"/>
      <c r="HKS98" s="798"/>
      <c r="HKT98" s="798"/>
      <c r="HKU98" s="798"/>
      <c r="HKV98" s="798"/>
      <c r="HKW98" s="798"/>
      <c r="HKX98" s="798"/>
      <c r="HKY98" s="798"/>
      <c r="HKZ98" s="798"/>
      <c r="HLA98" s="798"/>
      <c r="HLB98" s="798"/>
      <c r="HLC98" s="798"/>
      <c r="HLD98" s="798"/>
      <c r="HLE98" s="798"/>
      <c r="HLF98" s="798"/>
      <c r="HLG98" s="798"/>
      <c r="HLH98" s="798"/>
      <c r="HLI98" s="798"/>
      <c r="HLJ98" s="798"/>
      <c r="HLK98" s="798"/>
      <c r="HLL98" s="798"/>
      <c r="HLM98" s="798"/>
      <c r="HLN98" s="798"/>
      <c r="HLO98" s="798"/>
      <c r="HLP98" s="798"/>
      <c r="HLQ98" s="798"/>
      <c r="HLR98" s="798"/>
      <c r="HLS98" s="798"/>
      <c r="HLT98" s="798"/>
      <c r="HLU98" s="798"/>
      <c r="HLV98" s="798"/>
      <c r="HLW98" s="798"/>
      <c r="HLX98" s="798"/>
      <c r="HLY98" s="798"/>
      <c r="HLZ98" s="798"/>
      <c r="HMA98" s="798"/>
      <c r="HMB98" s="798"/>
      <c r="HMC98" s="798"/>
      <c r="HMD98" s="798"/>
      <c r="HME98" s="798"/>
      <c r="HMF98" s="798"/>
      <c r="HMG98" s="798"/>
      <c r="HMH98" s="798"/>
      <c r="HMI98" s="798"/>
      <c r="HMJ98" s="798"/>
      <c r="HMK98" s="798"/>
      <c r="HML98" s="798"/>
      <c r="HMM98" s="798"/>
      <c r="HMN98" s="798"/>
      <c r="HMO98" s="798"/>
      <c r="HMP98" s="798"/>
      <c r="HMQ98" s="798"/>
      <c r="HMR98" s="798"/>
      <c r="HMS98" s="798"/>
      <c r="HMT98" s="798"/>
      <c r="HMU98" s="798"/>
      <c r="HMV98" s="798"/>
      <c r="HMW98" s="798"/>
      <c r="HMX98" s="798"/>
      <c r="HMY98" s="798"/>
      <c r="HMZ98" s="798"/>
      <c r="HNA98" s="798"/>
      <c r="HNB98" s="798"/>
      <c r="HNC98" s="798"/>
      <c r="HND98" s="798"/>
      <c r="HNE98" s="798"/>
      <c r="HNF98" s="798"/>
      <c r="HNG98" s="798"/>
      <c r="HNH98" s="798"/>
      <c r="HNI98" s="798"/>
      <c r="HNJ98" s="798"/>
      <c r="HNK98" s="798"/>
      <c r="HNL98" s="798"/>
      <c r="HNM98" s="798"/>
      <c r="HNN98" s="798"/>
      <c r="HNO98" s="798"/>
      <c r="HNP98" s="798"/>
      <c r="HNQ98" s="798"/>
      <c r="HNR98" s="798"/>
      <c r="HNS98" s="798"/>
      <c r="HNT98" s="798"/>
      <c r="HNU98" s="798"/>
      <c r="HNV98" s="798"/>
      <c r="HNW98" s="798"/>
      <c r="HNX98" s="798"/>
      <c r="HNY98" s="798"/>
      <c r="HNZ98" s="798"/>
      <c r="HOA98" s="798"/>
      <c r="HOB98" s="798"/>
      <c r="HOC98" s="798"/>
      <c r="HOD98" s="798"/>
      <c r="HOE98" s="798"/>
      <c r="HOF98" s="798"/>
      <c r="HOG98" s="798"/>
      <c r="HOH98" s="798"/>
      <c r="HOI98" s="798"/>
      <c r="HOJ98" s="798"/>
      <c r="HOK98" s="798"/>
      <c r="HOL98" s="798"/>
      <c r="HOM98" s="798"/>
      <c r="HON98" s="798"/>
      <c r="HOO98" s="798"/>
      <c r="HOP98" s="798"/>
      <c r="HOQ98" s="798"/>
      <c r="HOR98" s="798"/>
      <c r="HOS98" s="798"/>
      <c r="HOT98" s="798"/>
      <c r="HOU98" s="798"/>
      <c r="HOV98" s="798"/>
      <c r="HOW98" s="798"/>
      <c r="HOX98" s="798"/>
      <c r="HOY98" s="798"/>
      <c r="HOZ98" s="798"/>
      <c r="HPA98" s="798"/>
      <c r="HPB98" s="798"/>
      <c r="HPC98" s="798"/>
      <c r="HPD98" s="798"/>
      <c r="HPE98" s="798"/>
      <c r="HPF98" s="798"/>
      <c r="HPG98" s="798"/>
      <c r="HPH98" s="798"/>
      <c r="HPI98" s="798"/>
      <c r="HPJ98" s="798"/>
      <c r="HPK98" s="798"/>
      <c r="HPL98" s="798"/>
      <c r="HPM98" s="798"/>
      <c r="HPN98" s="798"/>
      <c r="HPO98" s="798"/>
      <c r="HPP98" s="798"/>
      <c r="HPQ98" s="798"/>
      <c r="HPR98" s="798"/>
      <c r="HPS98" s="798"/>
      <c r="HPT98" s="798"/>
      <c r="HPU98" s="798"/>
      <c r="HPV98" s="798"/>
      <c r="HPW98" s="798"/>
      <c r="HPX98" s="798"/>
      <c r="HPY98" s="798"/>
      <c r="HPZ98" s="798"/>
      <c r="HQA98" s="798"/>
      <c r="HQB98" s="798"/>
      <c r="HQC98" s="798"/>
      <c r="HQD98" s="798"/>
      <c r="HQE98" s="798"/>
      <c r="HQF98" s="798"/>
      <c r="HQG98" s="798"/>
      <c r="HQH98" s="798"/>
      <c r="HQI98" s="798"/>
      <c r="HQJ98" s="798"/>
      <c r="HQK98" s="798"/>
      <c r="HQL98" s="798"/>
      <c r="HQM98" s="798"/>
      <c r="HQN98" s="798"/>
      <c r="HQO98" s="798"/>
      <c r="HQP98" s="798"/>
      <c r="HQQ98" s="798"/>
      <c r="HQR98" s="798"/>
      <c r="HQS98" s="798"/>
      <c r="HQT98" s="798"/>
      <c r="HQU98" s="798"/>
      <c r="HQV98" s="798"/>
      <c r="HQW98" s="798"/>
      <c r="HQX98" s="798"/>
      <c r="HQY98" s="798"/>
      <c r="HQZ98" s="798"/>
      <c r="HRA98" s="798"/>
      <c r="HRB98" s="798"/>
      <c r="HRC98" s="798"/>
      <c r="HRD98" s="798"/>
      <c r="HRE98" s="798"/>
      <c r="HRF98" s="798"/>
      <c r="HRG98" s="798"/>
      <c r="HRH98" s="798"/>
      <c r="HRI98" s="798"/>
      <c r="HRJ98" s="798"/>
      <c r="HRK98" s="798"/>
      <c r="HRL98" s="798"/>
      <c r="HRM98" s="798"/>
      <c r="HRN98" s="798"/>
      <c r="HRO98" s="798"/>
      <c r="HRP98" s="798"/>
      <c r="HRQ98" s="798"/>
      <c r="HRR98" s="798"/>
      <c r="HRS98" s="798"/>
      <c r="HRT98" s="798"/>
      <c r="HRU98" s="798"/>
      <c r="HRV98" s="798"/>
      <c r="HRW98" s="798"/>
      <c r="HRX98" s="798"/>
      <c r="HRY98" s="798"/>
      <c r="HRZ98" s="798"/>
      <c r="HSA98" s="798"/>
      <c r="HSB98" s="798"/>
      <c r="HSC98" s="798"/>
      <c r="HSD98" s="798"/>
      <c r="HSE98" s="798"/>
      <c r="HSF98" s="798"/>
      <c r="HSG98" s="798"/>
      <c r="HSH98" s="798"/>
      <c r="HSI98" s="798"/>
      <c r="HSJ98" s="798"/>
      <c r="HSK98" s="798"/>
      <c r="HSL98" s="798"/>
      <c r="HSM98" s="798"/>
      <c r="HSN98" s="798"/>
      <c r="HSO98" s="798"/>
      <c r="HSP98" s="798"/>
      <c r="HSQ98" s="798"/>
      <c r="HSR98" s="798"/>
      <c r="HSS98" s="798"/>
      <c r="HST98" s="798"/>
      <c r="HSU98" s="798"/>
      <c r="HSV98" s="798"/>
      <c r="HSW98" s="798"/>
      <c r="HSX98" s="798"/>
      <c r="HSY98" s="798"/>
      <c r="HSZ98" s="798"/>
      <c r="HTA98" s="798"/>
      <c r="HTB98" s="798"/>
      <c r="HTC98" s="798"/>
      <c r="HTD98" s="798"/>
      <c r="HTE98" s="798"/>
      <c r="HTF98" s="798"/>
      <c r="HTG98" s="798"/>
      <c r="HTH98" s="798"/>
      <c r="HTI98" s="798"/>
      <c r="HTJ98" s="798"/>
      <c r="HTK98" s="798"/>
      <c r="HTL98" s="798"/>
      <c r="HTM98" s="798"/>
      <c r="HTN98" s="798"/>
      <c r="HTO98" s="798"/>
      <c r="HTP98" s="798"/>
      <c r="HTQ98" s="798"/>
      <c r="HTR98" s="798"/>
      <c r="HTS98" s="798"/>
      <c r="HTT98" s="798"/>
      <c r="HTU98" s="798"/>
      <c r="HTV98" s="798"/>
      <c r="HTW98" s="798"/>
      <c r="HTX98" s="798"/>
      <c r="HTY98" s="798"/>
      <c r="HTZ98" s="798"/>
      <c r="HUA98" s="798"/>
      <c r="HUB98" s="798"/>
      <c r="HUC98" s="798"/>
      <c r="HUD98" s="798"/>
      <c r="HUE98" s="798"/>
      <c r="HUF98" s="798"/>
      <c r="HUG98" s="798"/>
      <c r="HUH98" s="798"/>
      <c r="HUI98" s="798"/>
      <c r="HUJ98" s="798"/>
      <c r="HUK98" s="798"/>
      <c r="HUL98" s="798"/>
      <c r="HUM98" s="798"/>
      <c r="HUN98" s="798"/>
      <c r="HUO98" s="798"/>
      <c r="HUP98" s="798"/>
      <c r="HUQ98" s="798"/>
      <c r="HUR98" s="798"/>
      <c r="HUS98" s="798"/>
      <c r="HUT98" s="798"/>
      <c r="HUU98" s="798"/>
      <c r="HUV98" s="798"/>
      <c r="HUW98" s="798"/>
      <c r="HUX98" s="798"/>
      <c r="HUY98" s="798"/>
      <c r="HUZ98" s="798"/>
      <c r="HVA98" s="798"/>
      <c r="HVB98" s="798"/>
      <c r="HVC98" s="798"/>
      <c r="HVD98" s="798"/>
      <c r="HVE98" s="798"/>
      <c r="HVF98" s="798"/>
      <c r="HVG98" s="798"/>
      <c r="HVH98" s="798"/>
      <c r="HVI98" s="798"/>
      <c r="HVJ98" s="798"/>
      <c r="HVK98" s="798"/>
      <c r="HVL98" s="798"/>
      <c r="HVM98" s="798"/>
      <c r="HVN98" s="798"/>
      <c r="HVO98" s="798"/>
      <c r="HVP98" s="798"/>
      <c r="HVQ98" s="798"/>
      <c r="HVR98" s="798"/>
      <c r="HVS98" s="798"/>
      <c r="HVT98" s="798"/>
      <c r="HVU98" s="798"/>
      <c r="HVV98" s="798"/>
      <c r="HVW98" s="798"/>
      <c r="HVX98" s="798"/>
      <c r="HVY98" s="798"/>
      <c r="HVZ98" s="798"/>
      <c r="HWA98" s="798"/>
      <c r="HWB98" s="798"/>
      <c r="HWC98" s="798"/>
      <c r="HWD98" s="798"/>
      <c r="HWE98" s="798"/>
      <c r="HWF98" s="798"/>
      <c r="HWG98" s="798"/>
      <c r="HWH98" s="798"/>
      <c r="HWI98" s="798"/>
      <c r="HWJ98" s="798"/>
      <c r="HWK98" s="798"/>
      <c r="HWL98" s="798"/>
      <c r="HWM98" s="798"/>
      <c r="HWN98" s="798"/>
      <c r="HWO98" s="798"/>
      <c r="HWP98" s="798"/>
      <c r="HWQ98" s="798"/>
      <c r="HWR98" s="798"/>
      <c r="HWS98" s="798"/>
      <c r="HWT98" s="798"/>
      <c r="HWU98" s="798"/>
      <c r="HWV98" s="798"/>
      <c r="HWW98" s="798"/>
      <c r="HWX98" s="798"/>
      <c r="HWY98" s="798"/>
      <c r="HWZ98" s="798"/>
      <c r="HXA98" s="798"/>
      <c r="HXB98" s="798"/>
      <c r="HXC98" s="798"/>
      <c r="HXD98" s="798"/>
      <c r="HXE98" s="798"/>
      <c r="HXF98" s="798"/>
      <c r="HXG98" s="798"/>
      <c r="HXH98" s="798"/>
      <c r="HXI98" s="798"/>
      <c r="HXJ98" s="798"/>
      <c r="HXK98" s="798"/>
      <c r="HXL98" s="798"/>
      <c r="HXM98" s="798"/>
      <c r="HXN98" s="798"/>
      <c r="HXO98" s="798"/>
      <c r="HXP98" s="798"/>
      <c r="HXQ98" s="798"/>
      <c r="HXR98" s="798"/>
      <c r="HXS98" s="798"/>
      <c r="HXT98" s="798"/>
      <c r="HXU98" s="798"/>
      <c r="HXV98" s="798"/>
      <c r="HXW98" s="798"/>
      <c r="HXX98" s="798"/>
      <c r="HXY98" s="798"/>
      <c r="HXZ98" s="798"/>
      <c r="HYA98" s="798"/>
      <c r="HYB98" s="798"/>
      <c r="HYC98" s="798"/>
      <c r="HYD98" s="798"/>
      <c r="HYE98" s="798"/>
      <c r="HYF98" s="798"/>
      <c r="HYG98" s="798"/>
      <c r="HYH98" s="798"/>
      <c r="HYI98" s="798"/>
      <c r="HYJ98" s="798"/>
      <c r="HYK98" s="798"/>
      <c r="HYL98" s="798"/>
      <c r="HYM98" s="798"/>
      <c r="HYN98" s="798"/>
      <c r="HYO98" s="798"/>
      <c r="HYP98" s="798"/>
      <c r="HYQ98" s="798"/>
      <c r="HYR98" s="798"/>
      <c r="HYS98" s="798"/>
      <c r="HYT98" s="798"/>
      <c r="HYU98" s="798"/>
      <c r="HYV98" s="798"/>
      <c r="HYW98" s="798"/>
      <c r="HYX98" s="798"/>
      <c r="HYY98" s="798"/>
      <c r="HYZ98" s="798"/>
      <c r="HZA98" s="798"/>
      <c r="HZB98" s="798"/>
      <c r="HZC98" s="798"/>
      <c r="HZD98" s="798"/>
      <c r="HZE98" s="798"/>
      <c r="HZF98" s="798"/>
      <c r="HZG98" s="798"/>
      <c r="HZH98" s="798"/>
      <c r="HZI98" s="798"/>
      <c r="HZJ98" s="798"/>
      <c r="HZK98" s="798"/>
      <c r="HZL98" s="798"/>
      <c r="HZM98" s="798"/>
      <c r="HZN98" s="798"/>
      <c r="HZO98" s="798"/>
      <c r="HZP98" s="798"/>
      <c r="HZQ98" s="798"/>
      <c r="HZR98" s="798"/>
      <c r="HZS98" s="798"/>
      <c r="HZT98" s="798"/>
      <c r="HZU98" s="798"/>
      <c r="HZV98" s="798"/>
      <c r="HZW98" s="798"/>
      <c r="HZX98" s="798"/>
      <c r="HZY98" s="798"/>
      <c r="HZZ98" s="798"/>
      <c r="IAA98" s="798"/>
      <c r="IAB98" s="798"/>
      <c r="IAC98" s="798"/>
      <c r="IAD98" s="798"/>
      <c r="IAE98" s="798"/>
      <c r="IAF98" s="798"/>
      <c r="IAG98" s="798"/>
      <c r="IAH98" s="798"/>
      <c r="IAI98" s="798"/>
      <c r="IAJ98" s="798"/>
      <c r="IAK98" s="798"/>
      <c r="IAL98" s="798"/>
      <c r="IAM98" s="798"/>
      <c r="IAN98" s="798"/>
      <c r="IAO98" s="798"/>
      <c r="IAP98" s="798"/>
      <c r="IAQ98" s="798"/>
      <c r="IAR98" s="798"/>
      <c r="IAS98" s="798"/>
      <c r="IAT98" s="798"/>
      <c r="IAU98" s="798"/>
      <c r="IAV98" s="798"/>
      <c r="IAW98" s="798"/>
      <c r="IAX98" s="798"/>
      <c r="IAY98" s="798"/>
      <c r="IAZ98" s="798"/>
      <c r="IBA98" s="798"/>
      <c r="IBB98" s="798"/>
      <c r="IBC98" s="798"/>
      <c r="IBD98" s="798"/>
      <c r="IBE98" s="798"/>
      <c r="IBF98" s="798"/>
      <c r="IBG98" s="798"/>
      <c r="IBH98" s="798"/>
      <c r="IBI98" s="798"/>
      <c r="IBJ98" s="798"/>
      <c r="IBK98" s="798"/>
      <c r="IBL98" s="798"/>
      <c r="IBM98" s="798"/>
      <c r="IBN98" s="798"/>
      <c r="IBO98" s="798"/>
      <c r="IBP98" s="798"/>
      <c r="IBQ98" s="798"/>
      <c r="IBR98" s="798"/>
      <c r="IBS98" s="798"/>
      <c r="IBT98" s="798"/>
      <c r="IBU98" s="798"/>
      <c r="IBV98" s="798"/>
      <c r="IBW98" s="798"/>
      <c r="IBX98" s="798"/>
      <c r="IBY98" s="798"/>
      <c r="IBZ98" s="798"/>
      <c r="ICA98" s="798"/>
      <c r="ICB98" s="798"/>
      <c r="ICC98" s="798"/>
      <c r="ICD98" s="798"/>
      <c r="ICE98" s="798"/>
      <c r="ICF98" s="798"/>
      <c r="ICG98" s="798"/>
      <c r="ICH98" s="798"/>
      <c r="ICI98" s="798"/>
      <c r="ICJ98" s="798"/>
      <c r="ICK98" s="798"/>
      <c r="ICL98" s="798"/>
      <c r="ICM98" s="798"/>
      <c r="ICN98" s="798"/>
      <c r="ICO98" s="798"/>
      <c r="ICP98" s="798"/>
      <c r="ICQ98" s="798"/>
      <c r="ICR98" s="798"/>
      <c r="ICS98" s="798"/>
      <c r="ICT98" s="798"/>
      <c r="ICU98" s="798"/>
      <c r="ICV98" s="798"/>
      <c r="ICW98" s="798"/>
      <c r="ICX98" s="798"/>
      <c r="ICY98" s="798"/>
      <c r="ICZ98" s="798"/>
      <c r="IDA98" s="798"/>
      <c r="IDB98" s="798"/>
      <c r="IDC98" s="798"/>
      <c r="IDD98" s="798"/>
      <c r="IDE98" s="798"/>
      <c r="IDF98" s="798"/>
      <c r="IDG98" s="798"/>
      <c r="IDH98" s="798"/>
      <c r="IDI98" s="798"/>
      <c r="IDJ98" s="798"/>
      <c r="IDK98" s="798"/>
      <c r="IDL98" s="798"/>
      <c r="IDM98" s="798"/>
      <c r="IDN98" s="798"/>
      <c r="IDO98" s="798"/>
      <c r="IDP98" s="798"/>
      <c r="IDQ98" s="798"/>
      <c r="IDR98" s="798"/>
      <c r="IDS98" s="798"/>
      <c r="IDT98" s="798"/>
      <c r="IDU98" s="798"/>
      <c r="IDV98" s="798"/>
      <c r="IDW98" s="798"/>
      <c r="IDX98" s="798"/>
      <c r="IDY98" s="798"/>
      <c r="IDZ98" s="798"/>
      <c r="IEA98" s="798"/>
      <c r="IEB98" s="798"/>
      <c r="IEC98" s="798"/>
      <c r="IED98" s="798"/>
      <c r="IEE98" s="798"/>
      <c r="IEF98" s="798"/>
      <c r="IEG98" s="798"/>
      <c r="IEH98" s="798"/>
      <c r="IEI98" s="798"/>
      <c r="IEJ98" s="798"/>
      <c r="IEK98" s="798"/>
      <c r="IEL98" s="798"/>
      <c r="IEM98" s="798"/>
      <c r="IEN98" s="798"/>
      <c r="IEO98" s="798"/>
      <c r="IEP98" s="798"/>
      <c r="IEQ98" s="798"/>
      <c r="IER98" s="798"/>
      <c r="IES98" s="798"/>
      <c r="IET98" s="798"/>
      <c r="IEU98" s="798"/>
      <c r="IEV98" s="798"/>
      <c r="IEW98" s="798"/>
      <c r="IEX98" s="798"/>
      <c r="IEY98" s="798"/>
      <c r="IEZ98" s="798"/>
      <c r="IFA98" s="798"/>
      <c r="IFB98" s="798"/>
      <c r="IFC98" s="798"/>
      <c r="IFD98" s="798"/>
      <c r="IFE98" s="798"/>
      <c r="IFF98" s="798"/>
      <c r="IFG98" s="798"/>
      <c r="IFH98" s="798"/>
      <c r="IFI98" s="798"/>
      <c r="IFJ98" s="798"/>
      <c r="IFK98" s="798"/>
      <c r="IFL98" s="798"/>
      <c r="IFM98" s="798"/>
      <c r="IFN98" s="798"/>
      <c r="IFO98" s="798"/>
      <c r="IFP98" s="798"/>
      <c r="IFQ98" s="798"/>
      <c r="IFR98" s="798"/>
      <c r="IFS98" s="798"/>
      <c r="IFT98" s="798"/>
      <c r="IFU98" s="798"/>
      <c r="IFV98" s="798"/>
      <c r="IFW98" s="798"/>
      <c r="IFX98" s="798"/>
      <c r="IFY98" s="798"/>
      <c r="IFZ98" s="798"/>
      <c r="IGA98" s="798"/>
      <c r="IGB98" s="798"/>
      <c r="IGC98" s="798"/>
      <c r="IGD98" s="798"/>
      <c r="IGE98" s="798"/>
      <c r="IGF98" s="798"/>
      <c r="IGG98" s="798"/>
      <c r="IGH98" s="798"/>
      <c r="IGI98" s="798"/>
      <c r="IGJ98" s="798"/>
      <c r="IGK98" s="798"/>
      <c r="IGL98" s="798"/>
      <c r="IGM98" s="798"/>
      <c r="IGN98" s="798"/>
      <c r="IGO98" s="798"/>
      <c r="IGP98" s="798"/>
      <c r="IGQ98" s="798"/>
      <c r="IGR98" s="798"/>
      <c r="IGS98" s="798"/>
      <c r="IGT98" s="798"/>
      <c r="IGU98" s="798"/>
      <c r="IGV98" s="798"/>
      <c r="IGW98" s="798"/>
      <c r="IGX98" s="798"/>
      <c r="IGY98" s="798"/>
      <c r="IGZ98" s="798"/>
      <c r="IHA98" s="798"/>
      <c r="IHB98" s="798"/>
      <c r="IHC98" s="798"/>
      <c r="IHD98" s="798"/>
      <c r="IHE98" s="798"/>
      <c r="IHF98" s="798"/>
      <c r="IHG98" s="798"/>
      <c r="IHH98" s="798"/>
      <c r="IHI98" s="798"/>
      <c r="IHJ98" s="798"/>
      <c r="IHK98" s="798"/>
      <c r="IHL98" s="798"/>
      <c r="IHM98" s="798"/>
      <c r="IHN98" s="798"/>
      <c r="IHO98" s="798"/>
      <c r="IHP98" s="798"/>
      <c r="IHQ98" s="798"/>
      <c r="IHR98" s="798"/>
      <c r="IHS98" s="798"/>
      <c r="IHT98" s="798"/>
      <c r="IHU98" s="798"/>
      <c r="IHV98" s="798"/>
      <c r="IHW98" s="798"/>
      <c r="IHX98" s="798"/>
      <c r="IHY98" s="798"/>
      <c r="IHZ98" s="798"/>
      <c r="IIA98" s="798"/>
      <c r="IIB98" s="798"/>
      <c r="IIC98" s="798"/>
      <c r="IID98" s="798"/>
      <c r="IIE98" s="798"/>
      <c r="IIF98" s="798"/>
      <c r="IIG98" s="798"/>
      <c r="IIH98" s="798"/>
      <c r="III98" s="798"/>
      <c r="IIJ98" s="798"/>
      <c r="IIK98" s="798"/>
      <c r="IIL98" s="798"/>
      <c r="IIM98" s="798"/>
      <c r="IIN98" s="798"/>
      <c r="IIO98" s="798"/>
      <c r="IIP98" s="798"/>
      <c r="IIQ98" s="798"/>
      <c r="IIR98" s="798"/>
      <c r="IIS98" s="798"/>
      <c r="IIT98" s="798"/>
      <c r="IIU98" s="798"/>
      <c r="IIV98" s="798"/>
      <c r="IIW98" s="798"/>
      <c r="IIX98" s="798"/>
      <c r="IIY98" s="798"/>
      <c r="IIZ98" s="798"/>
      <c r="IJA98" s="798"/>
      <c r="IJB98" s="798"/>
      <c r="IJC98" s="798"/>
      <c r="IJD98" s="798"/>
      <c r="IJE98" s="798"/>
      <c r="IJF98" s="798"/>
      <c r="IJG98" s="798"/>
      <c r="IJH98" s="798"/>
      <c r="IJI98" s="798"/>
      <c r="IJJ98" s="798"/>
      <c r="IJK98" s="798"/>
      <c r="IJL98" s="798"/>
      <c r="IJM98" s="798"/>
      <c r="IJN98" s="798"/>
      <c r="IJO98" s="798"/>
      <c r="IJP98" s="798"/>
      <c r="IJQ98" s="798"/>
      <c r="IJR98" s="798"/>
      <c r="IJS98" s="798"/>
      <c r="IJT98" s="798"/>
      <c r="IJU98" s="798"/>
      <c r="IJV98" s="798"/>
      <c r="IJW98" s="798"/>
      <c r="IJX98" s="798"/>
      <c r="IJY98" s="798"/>
      <c r="IJZ98" s="798"/>
      <c r="IKA98" s="798"/>
      <c r="IKB98" s="798"/>
      <c r="IKC98" s="798"/>
      <c r="IKD98" s="798"/>
      <c r="IKE98" s="798"/>
      <c r="IKF98" s="798"/>
      <c r="IKG98" s="798"/>
      <c r="IKH98" s="798"/>
      <c r="IKI98" s="798"/>
      <c r="IKJ98" s="798"/>
      <c r="IKK98" s="798"/>
      <c r="IKL98" s="798"/>
      <c r="IKM98" s="798"/>
      <c r="IKN98" s="798"/>
      <c r="IKO98" s="798"/>
      <c r="IKP98" s="798"/>
      <c r="IKQ98" s="798"/>
      <c r="IKR98" s="798"/>
      <c r="IKS98" s="798"/>
      <c r="IKT98" s="798"/>
      <c r="IKU98" s="798"/>
      <c r="IKV98" s="798"/>
      <c r="IKW98" s="798"/>
      <c r="IKX98" s="798"/>
      <c r="IKY98" s="798"/>
      <c r="IKZ98" s="798"/>
      <c r="ILA98" s="798"/>
      <c r="ILB98" s="798"/>
      <c r="ILC98" s="798"/>
      <c r="ILD98" s="798"/>
      <c r="ILE98" s="798"/>
      <c r="ILF98" s="798"/>
      <c r="ILG98" s="798"/>
      <c r="ILH98" s="798"/>
      <c r="ILI98" s="798"/>
      <c r="ILJ98" s="798"/>
      <c r="ILK98" s="798"/>
      <c r="ILL98" s="798"/>
      <c r="ILM98" s="798"/>
      <c r="ILN98" s="798"/>
      <c r="ILO98" s="798"/>
      <c r="ILP98" s="798"/>
      <c r="ILQ98" s="798"/>
      <c r="ILR98" s="798"/>
      <c r="ILS98" s="798"/>
      <c r="ILT98" s="798"/>
      <c r="ILU98" s="798"/>
      <c r="ILV98" s="798"/>
      <c r="ILW98" s="798"/>
      <c r="ILX98" s="798"/>
      <c r="ILY98" s="798"/>
      <c r="ILZ98" s="798"/>
      <c r="IMA98" s="798"/>
      <c r="IMB98" s="798"/>
      <c r="IMC98" s="798"/>
      <c r="IMD98" s="798"/>
      <c r="IME98" s="798"/>
      <c r="IMF98" s="798"/>
      <c r="IMG98" s="798"/>
      <c r="IMH98" s="798"/>
      <c r="IMI98" s="798"/>
      <c r="IMJ98" s="798"/>
      <c r="IMK98" s="798"/>
      <c r="IML98" s="798"/>
      <c r="IMM98" s="798"/>
      <c r="IMN98" s="798"/>
      <c r="IMO98" s="798"/>
      <c r="IMP98" s="798"/>
      <c r="IMQ98" s="798"/>
      <c r="IMR98" s="798"/>
      <c r="IMS98" s="798"/>
      <c r="IMT98" s="798"/>
      <c r="IMU98" s="798"/>
      <c r="IMV98" s="798"/>
      <c r="IMW98" s="798"/>
      <c r="IMX98" s="798"/>
      <c r="IMY98" s="798"/>
      <c r="IMZ98" s="798"/>
      <c r="INA98" s="798"/>
      <c r="INB98" s="798"/>
      <c r="INC98" s="798"/>
      <c r="IND98" s="798"/>
      <c r="INE98" s="798"/>
      <c r="INF98" s="798"/>
      <c r="ING98" s="798"/>
      <c r="INH98" s="798"/>
      <c r="INI98" s="798"/>
      <c r="INJ98" s="798"/>
      <c r="INK98" s="798"/>
      <c r="INL98" s="798"/>
      <c r="INM98" s="798"/>
      <c r="INN98" s="798"/>
      <c r="INO98" s="798"/>
      <c r="INP98" s="798"/>
      <c r="INQ98" s="798"/>
      <c r="INR98" s="798"/>
      <c r="INS98" s="798"/>
      <c r="INT98" s="798"/>
      <c r="INU98" s="798"/>
      <c r="INV98" s="798"/>
      <c r="INW98" s="798"/>
      <c r="INX98" s="798"/>
      <c r="INY98" s="798"/>
      <c r="INZ98" s="798"/>
      <c r="IOA98" s="798"/>
      <c r="IOB98" s="798"/>
      <c r="IOC98" s="798"/>
      <c r="IOD98" s="798"/>
      <c r="IOE98" s="798"/>
      <c r="IOF98" s="798"/>
      <c r="IOG98" s="798"/>
      <c r="IOH98" s="798"/>
      <c r="IOI98" s="798"/>
      <c r="IOJ98" s="798"/>
      <c r="IOK98" s="798"/>
      <c r="IOL98" s="798"/>
      <c r="IOM98" s="798"/>
      <c r="ION98" s="798"/>
      <c r="IOO98" s="798"/>
      <c r="IOP98" s="798"/>
      <c r="IOQ98" s="798"/>
      <c r="IOR98" s="798"/>
      <c r="IOS98" s="798"/>
      <c r="IOT98" s="798"/>
      <c r="IOU98" s="798"/>
      <c r="IOV98" s="798"/>
      <c r="IOW98" s="798"/>
      <c r="IOX98" s="798"/>
      <c r="IOY98" s="798"/>
      <c r="IOZ98" s="798"/>
      <c r="IPA98" s="798"/>
      <c r="IPB98" s="798"/>
      <c r="IPC98" s="798"/>
      <c r="IPD98" s="798"/>
      <c r="IPE98" s="798"/>
      <c r="IPF98" s="798"/>
      <c r="IPG98" s="798"/>
      <c r="IPH98" s="798"/>
      <c r="IPI98" s="798"/>
      <c r="IPJ98" s="798"/>
      <c r="IPK98" s="798"/>
      <c r="IPL98" s="798"/>
      <c r="IPM98" s="798"/>
      <c r="IPN98" s="798"/>
      <c r="IPO98" s="798"/>
      <c r="IPP98" s="798"/>
      <c r="IPQ98" s="798"/>
      <c r="IPR98" s="798"/>
      <c r="IPS98" s="798"/>
      <c r="IPT98" s="798"/>
      <c r="IPU98" s="798"/>
      <c r="IPV98" s="798"/>
      <c r="IPW98" s="798"/>
      <c r="IPX98" s="798"/>
      <c r="IPY98" s="798"/>
      <c r="IPZ98" s="798"/>
      <c r="IQA98" s="798"/>
      <c r="IQB98" s="798"/>
      <c r="IQC98" s="798"/>
      <c r="IQD98" s="798"/>
      <c r="IQE98" s="798"/>
      <c r="IQF98" s="798"/>
      <c r="IQG98" s="798"/>
      <c r="IQH98" s="798"/>
      <c r="IQI98" s="798"/>
      <c r="IQJ98" s="798"/>
      <c r="IQK98" s="798"/>
      <c r="IQL98" s="798"/>
      <c r="IQM98" s="798"/>
      <c r="IQN98" s="798"/>
      <c r="IQO98" s="798"/>
      <c r="IQP98" s="798"/>
      <c r="IQQ98" s="798"/>
      <c r="IQR98" s="798"/>
      <c r="IQS98" s="798"/>
      <c r="IQT98" s="798"/>
      <c r="IQU98" s="798"/>
      <c r="IQV98" s="798"/>
      <c r="IQW98" s="798"/>
      <c r="IQX98" s="798"/>
      <c r="IQY98" s="798"/>
      <c r="IQZ98" s="798"/>
      <c r="IRA98" s="798"/>
      <c r="IRB98" s="798"/>
      <c r="IRC98" s="798"/>
      <c r="IRD98" s="798"/>
      <c r="IRE98" s="798"/>
      <c r="IRF98" s="798"/>
      <c r="IRG98" s="798"/>
      <c r="IRH98" s="798"/>
      <c r="IRI98" s="798"/>
      <c r="IRJ98" s="798"/>
      <c r="IRK98" s="798"/>
      <c r="IRL98" s="798"/>
      <c r="IRM98" s="798"/>
      <c r="IRN98" s="798"/>
      <c r="IRO98" s="798"/>
      <c r="IRP98" s="798"/>
      <c r="IRQ98" s="798"/>
      <c r="IRR98" s="798"/>
      <c r="IRS98" s="798"/>
      <c r="IRT98" s="798"/>
      <c r="IRU98" s="798"/>
      <c r="IRV98" s="798"/>
      <c r="IRW98" s="798"/>
      <c r="IRX98" s="798"/>
      <c r="IRY98" s="798"/>
      <c r="IRZ98" s="798"/>
      <c r="ISA98" s="798"/>
      <c r="ISB98" s="798"/>
      <c r="ISC98" s="798"/>
      <c r="ISD98" s="798"/>
      <c r="ISE98" s="798"/>
      <c r="ISF98" s="798"/>
      <c r="ISG98" s="798"/>
      <c r="ISH98" s="798"/>
      <c r="ISI98" s="798"/>
      <c r="ISJ98" s="798"/>
      <c r="ISK98" s="798"/>
      <c r="ISL98" s="798"/>
      <c r="ISM98" s="798"/>
      <c r="ISN98" s="798"/>
      <c r="ISO98" s="798"/>
      <c r="ISP98" s="798"/>
      <c r="ISQ98" s="798"/>
      <c r="ISR98" s="798"/>
      <c r="ISS98" s="798"/>
      <c r="IST98" s="798"/>
      <c r="ISU98" s="798"/>
      <c r="ISV98" s="798"/>
      <c r="ISW98" s="798"/>
      <c r="ISX98" s="798"/>
      <c r="ISY98" s="798"/>
      <c r="ISZ98" s="798"/>
      <c r="ITA98" s="798"/>
      <c r="ITB98" s="798"/>
      <c r="ITC98" s="798"/>
      <c r="ITD98" s="798"/>
      <c r="ITE98" s="798"/>
      <c r="ITF98" s="798"/>
      <c r="ITG98" s="798"/>
      <c r="ITH98" s="798"/>
      <c r="ITI98" s="798"/>
      <c r="ITJ98" s="798"/>
      <c r="ITK98" s="798"/>
      <c r="ITL98" s="798"/>
      <c r="ITM98" s="798"/>
      <c r="ITN98" s="798"/>
      <c r="ITO98" s="798"/>
      <c r="ITP98" s="798"/>
      <c r="ITQ98" s="798"/>
      <c r="ITR98" s="798"/>
      <c r="ITS98" s="798"/>
      <c r="ITT98" s="798"/>
      <c r="ITU98" s="798"/>
      <c r="ITV98" s="798"/>
      <c r="ITW98" s="798"/>
      <c r="ITX98" s="798"/>
      <c r="ITY98" s="798"/>
      <c r="ITZ98" s="798"/>
      <c r="IUA98" s="798"/>
      <c r="IUB98" s="798"/>
      <c r="IUC98" s="798"/>
      <c r="IUD98" s="798"/>
      <c r="IUE98" s="798"/>
      <c r="IUF98" s="798"/>
      <c r="IUG98" s="798"/>
      <c r="IUH98" s="798"/>
      <c r="IUI98" s="798"/>
      <c r="IUJ98" s="798"/>
      <c r="IUK98" s="798"/>
      <c r="IUL98" s="798"/>
      <c r="IUM98" s="798"/>
      <c r="IUN98" s="798"/>
      <c r="IUO98" s="798"/>
      <c r="IUP98" s="798"/>
      <c r="IUQ98" s="798"/>
      <c r="IUR98" s="798"/>
      <c r="IUS98" s="798"/>
      <c r="IUT98" s="798"/>
      <c r="IUU98" s="798"/>
      <c r="IUV98" s="798"/>
      <c r="IUW98" s="798"/>
      <c r="IUX98" s="798"/>
      <c r="IUY98" s="798"/>
      <c r="IUZ98" s="798"/>
      <c r="IVA98" s="798"/>
      <c r="IVB98" s="798"/>
      <c r="IVC98" s="798"/>
      <c r="IVD98" s="798"/>
      <c r="IVE98" s="798"/>
      <c r="IVF98" s="798"/>
      <c r="IVG98" s="798"/>
      <c r="IVH98" s="798"/>
      <c r="IVI98" s="798"/>
      <c r="IVJ98" s="798"/>
      <c r="IVK98" s="798"/>
      <c r="IVL98" s="798"/>
      <c r="IVM98" s="798"/>
      <c r="IVN98" s="798"/>
      <c r="IVO98" s="798"/>
      <c r="IVP98" s="798"/>
      <c r="IVQ98" s="798"/>
      <c r="IVR98" s="798"/>
      <c r="IVS98" s="798"/>
      <c r="IVT98" s="798"/>
      <c r="IVU98" s="798"/>
      <c r="IVV98" s="798"/>
      <c r="IVW98" s="798"/>
      <c r="IVX98" s="798"/>
      <c r="IVY98" s="798"/>
      <c r="IVZ98" s="798"/>
      <c r="IWA98" s="798"/>
      <c r="IWB98" s="798"/>
      <c r="IWC98" s="798"/>
      <c r="IWD98" s="798"/>
      <c r="IWE98" s="798"/>
      <c r="IWF98" s="798"/>
      <c r="IWG98" s="798"/>
      <c r="IWH98" s="798"/>
      <c r="IWI98" s="798"/>
      <c r="IWJ98" s="798"/>
      <c r="IWK98" s="798"/>
      <c r="IWL98" s="798"/>
      <c r="IWM98" s="798"/>
      <c r="IWN98" s="798"/>
      <c r="IWO98" s="798"/>
      <c r="IWP98" s="798"/>
      <c r="IWQ98" s="798"/>
      <c r="IWR98" s="798"/>
      <c r="IWS98" s="798"/>
      <c r="IWT98" s="798"/>
      <c r="IWU98" s="798"/>
      <c r="IWV98" s="798"/>
      <c r="IWW98" s="798"/>
      <c r="IWX98" s="798"/>
      <c r="IWY98" s="798"/>
      <c r="IWZ98" s="798"/>
      <c r="IXA98" s="798"/>
      <c r="IXB98" s="798"/>
      <c r="IXC98" s="798"/>
      <c r="IXD98" s="798"/>
      <c r="IXE98" s="798"/>
      <c r="IXF98" s="798"/>
      <c r="IXG98" s="798"/>
      <c r="IXH98" s="798"/>
      <c r="IXI98" s="798"/>
      <c r="IXJ98" s="798"/>
      <c r="IXK98" s="798"/>
      <c r="IXL98" s="798"/>
      <c r="IXM98" s="798"/>
      <c r="IXN98" s="798"/>
      <c r="IXO98" s="798"/>
      <c r="IXP98" s="798"/>
      <c r="IXQ98" s="798"/>
      <c r="IXR98" s="798"/>
      <c r="IXS98" s="798"/>
      <c r="IXT98" s="798"/>
      <c r="IXU98" s="798"/>
      <c r="IXV98" s="798"/>
      <c r="IXW98" s="798"/>
      <c r="IXX98" s="798"/>
      <c r="IXY98" s="798"/>
      <c r="IXZ98" s="798"/>
      <c r="IYA98" s="798"/>
      <c r="IYB98" s="798"/>
      <c r="IYC98" s="798"/>
      <c r="IYD98" s="798"/>
      <c r="IYE98" s="798"/>
      <c r="IYF98" s="798"/>
      <c r="IYG98" s="798"/>
      <c r="IYH98" s="798"/>
      <c r="IYI98" s="798"/>
      <c r="IYJ98" s="798"/>
      <c r="IYK98" s="798"/>
      <c r="IYL98" s="798"/>
      <c r="IYM98" s="798"/>
      <c r="IYN98" s="798"/>
      <c r="IYO98" s="798"/>
      <c r="IYP98" s="798"/>
      <c r="IYQ98" s="798"/>
      <c r="IYR98" s="798"/>
      <c r="IYS98" s="798"/>
      <c r="IYT98" s="798"/>
      <c r="IYU98" s="798"/>
      <c r="IYV98" s="798"/>
      <c r="IYW98" s="798"/>
      <c r="IYX98" s="798"/>
      <c r="IYY98" s="798"/>
      <c r="IYZ98" s="798"/>
      <c r="IZA98" s="798"/>
      <c r="IZB98" s="798"/>
      <c r="IZC98" s="798"/>
      <c r="IZD98" s="798"/>
      <c r="IZE98" s="798"/>
      <c r="IZF98" s="798"/>
      <c r="IZG98" s="798"/>
      <c r="IZH98" s="798"/>
      <c r="IZI98" s="798"/>
      <c r="IZJ98" s="798"/>
      <c r="IZK98" s="798"/>
      <c r="IZL98" s="798"/>
      <c r="IZM98" s="798"/>
      <c r="IZN98" s="798"/>
      <c r="IZO98" s="798"/>
      <c r="IZP98" s="798"/>
      <c r="IZQ98" s="798"/>
      <c r="IZR98" s="798"/>
      <c r="IZS98" s="798"/>
      <c r="IZT98" s="798"/>
      <c r="IZU98" s="798"/>
      <c r="IZV98" s="798"/>
      <c r="IZW98" s="798"/>
      <c r="IZX98" s="798"/>
      <c r="IZY98" s="798"/>
      <c r="IZZ98" s="798"/>
      <c r="JAA98" s="798"/>
      <c r="JAB98" s="798"/>
      <c r="JAC98" s="798"/>
      <c r="JAD98" s="798"/>
      <c r="JAE98" s="798"/>
      <c r="JAF98" s="798"/>
      <c r="JAG98" s="798"/>
      <c r="JAH98" s="798"/>
      <c r="JAI98" s="798"/>
      <c r="JAJ98" s="798"/>
      <c r="JAK98" s="798"/>
      <c r="JAL98" s="798"/>
      <c r="JAM98" s="798"/>
      <c r="JAN98" s="798"/>
      <c r="JAO98" s="798"/>
      <c r="JAP98" s="798"/>
      <c r="JAQ98" s="798"/>
      <c r="JAR98" s="798"/>
      <c r="JAS98" s="798"/>
      <c r="JAT98" s="798"/>
      <c r="JAU98" s="798"/>
      <c r="JAV98" s="798"/>
      <c r="JAW98" s="798"/>
      <c r="JAX98" s="798"/>
      <c r="JAY98" s="798"/>
      <c r="JAZ98" s="798"/>
      <c r="JBA98" s="798"/>
      <c r="JBB98" s="798"/>
      <c r="JBC98" s="798"/>
      <c r="JBD98" s="798"/>
      <c r="JBE98" s="798"/>
      <c r="JBF98" s="798"/>
      <c r="JBG98" s="798"/>
      <c r="JBH98" s="798"/>
      <c r="JBI98" s="798"/>
      <c r="JBJ98" s="798"/>
      <c r="JBK98" s="798"/>
      <c r="JBL98" s="798"/>
      <c r="JBM98" s="798"/>
      <c r="JBN98" s="798"/>
      <c r="JBO98" s="798"/>
      <c r="JBP98" s="798"/>
      <c r="JBQ98" s="798"/>
      <c r="JBR98" s="798"/>
      <c r="JBS98" s="798"/>
      <c r="JBT98" s="798"/>
      <c r="JBU98" s="798"/>
      <c r="JBV98" s="798"/>
      <c r="JBW98" s="798"/>
      <c r="JBX98" s="798"/>
      <c r="JBY98" s="798"/>
      <c r="JBZ98" s="798"/>
      <c r="JCA98" s="798"/>
      <c r="JCB98" s="798"/>
      <c r="JCC98" s="798"/>
      <c r="JCD98" s="798"/>
      <c r="JCE98" s="798"/>
      <c r="JCF98" s="798"/>
      <c r="JCG98" s="798"/>
      <c r="JCH98" s="798"/>
      <c r="JCI98" s="798"/>
      <c r="JCJ98" s="798"/>
      <c r="JCK98" s="798"/>
      <c r="JCL98" s="798"/>
      <c r="JCM98" s="798"/>
      <c r="JCN98" s="798"/>
      <c r="JCO98" s="798"/>
      <c r="JCP98" s="798"/>
      <c r="JCQ98" s="798"/>
      <c r="JCR98" s="798"/>
      <c r="JCS98" s="798"/>
      <c r="JCT98" s="798"/>
      <c r="JCU98" s="798"/>
      <c r="JCV98" s="798"/>
      <c r="JCW98" s="798"/>
      <c r="JCX98" s="798"/>
      <c r="JCY98" s="798"/>
      <c r="JCZ98" s="798"/>
      <c r="JDA98" s="798"/>
      <c r="JDB98" s="798"/>
      <c r="JDC98" s="798"/>
      <c r="JDD98" s="798"/>
      <c r="JDE98" s="798"/>
      <c r="JDF98" s="798"/>
      <c r="JDG98" s="798"/>
      <c r="JDH98" s="798"/>
      <c r="JDI98" s="798"/>
      <c r="JDJ98" s="798"/>
      <c r="JDK98" s="798"/>
      <c r="JDL98" s="798"/>
      <c r="JDM98" s="798"/>
      <c r="JDN98" s="798"/>
      <c r="JDO98" s="798"/>
      <c r="JDP98" s="798"/>
      <c r="JDQ98" s="798"/>
      <c r="JDR98" s="798"/>
      <c r="JDS98" s="798"/>
      <c r="JDT98" s="798"/>
      <c r="JDU98" s="798"/>
      <c r="JDV98" s="798"/>
      <c r="JDW98" s="798"/>
      <c r="JDX98" s="798"/>
      <c r="JDY98" s="798"/>
      <c r="JDZ98" s="798"/>
      <c r="JEA98" s="798"/>
      <c r="JEB98" s="798"/>
      <c r="JEC98" s="798"/>
      <c r="JED98" s="798"/>
      <c r="JEE98" s="798"/>
      <c r="JEF98" s="798"/>
      <c r="JEG98" s="798"/>
      <c r="JEH98" s="798"/>
      <c r="JEI98" s="798"/>
      <c r="JEJ98" s="798"/>
      <c r="JEK98" s="798"/>
      <c r="JEL98" s="798"/>
      <c r="JEM98" s="798"/>
      <c r="JEN98" s="798"/>
      <c r="JEO98" s="798"/>
      <c r="JEP98" s="798"/>
      <c r="JEQ98" s="798"/>
      <c r="JER98" s="798"/>
      <c r="JES98" s="798"/>
      <c r="JET98" s="798"/>
      <c r="JEU98" s="798"/>
      <c r="JEV98" s="798"/>
      <c r="JEW98" s="798"/>
      <c r="JEX98" s="798"/>
      <c r="JEY98" s="798"/>
      <c r="JEZ98" s="798"/>
      <c r="JFA98" s="798"/>
      <c r="JFB98" s="798"/>
      <c r="JFC98" s="798"/>
      <c r="JFD98" s="798"/>
      <c r="JFE98" s="798"/>
      <c r="JFF98" s="798"/>
      <c r="JFG98" s="798"/>
      <c r="JFH98" s="798"/>
      <c r="JFI98" s="798"/>
      <c r="JFJ98" s="798"/>
      <c r="JFK98" s="798"/>
      <c r="JFL98" s="798"/>
      <c r="JFM98" s="798"/>
      <c r="JFN98" s="798"/>
      <c r="JFO98" s="798"/>
      <c r="JFP98" s="798"/>
      <c r="JFQ98" s="798"/>
      <c r="JFR98" s="798"/>
      <c r="JFS98" s="798"/>
      <c r="JFT98" s="798"/>
      <c r="JFU98" s="798"/>
      <c r="JFV98" s="798"/>
      <c r="JFW98" s="798"/>
      <c r="JFX98" s="798"/>
      <c r="JFY98" s="798"/>
      <c r="JFZ98" s="798"/>
      <c r="JGA98" s="798"/>
      <c r="JGB98" s="798"/>
      <c r="JGC98" s="798"/>
      <c r="JGD98" s="798"/>
      <c r="JGE98" s="798"/>
      <c r="JGF98" s="798"/>
      <c r="JGG98" s="798"/>
      <c r="JGH98" s="798"/>
      <c r="JGI98" s="798"/>
      <c r="JGJ98" s="798"/>
      <c r="JGK98" s="798"/>
      <c r="JGL98" s="798"/>
      <c r="JGM98" s="798"/>
      <c r="JGN98" s="798"/>
      <c r="JGO98" s="798"/>
      <c r="JGP98" s="798"/>
      <c r="JGQ98" s="798"/>
      <c r="JGR98" s="798"/>
      <c r="JGS98" s="798"/>
      <c r="JGT98" s="798"/>
      <c r="JGU98" s="798"/>
      <c r="JGV98" s="798"/>
      <c r="JGW98" s="798"/>
      <c r="JGX98" s="798"/>
      <c r="JGY98" s="798"/>
      <c r="JGZ98" s="798"/>
      <c r="JHA98" s="798"/>
      <c r="JHB98" s="798"/>
      <c r="JHC98" s="798"/>
      <c r="JHD98" s="798"/>
      <c r="JHE98" s="798"/>
      <c r="JHF98" s="798"/>
      <c r="JHG98" s="798"/>
      <c r="JHH98" s="798"/>
      <c r="JHI98" s="798"/>
      <c r="JHJ98" s="798"/>
      <c r="JHK98" s="798"/>
      <c r="JHL98" s="798"/>
      <c r="JHM98" s="798"/>
      <c r="JHN98" s="798"/>
      <c r="JHO98" s="798"/>
      <c r="JHP98" s="798"/>
      <c r="JHQ98" s="798"/>
      <c r="JHR98" s="798"/>
      <c r="JHS98" s="798"/>
      <c r="JHT98" s="798"/>
      <c r="JHU98" s="798"/>
      <c r="JHV98" s="798"/>
      <c r="JHW98" s="798"/>
      <c r="JHX98" s="798"/>
      <c r="JHY98" s="798"/>
      <c r="JHZ98" s="798"/>
      <c r="JIA98" s="798"/>
      <c r="JIB98" s="798"/>
      <c r="JIC98" s="798"/>
      <c r="JID98" s="798"/>
      <c r="JIE98" s="798"/>
      <c r="JIF98" s="798"/>
      <c r="JIG98" s="798"/>
      <c r="JIH98" s="798"/>
      <c r="JII98" s="798"/>
      <c r="JIJ98" s="798"/>
      <c r="JIK98" s="798"/>
      <c r="JIL98" s="798"/>
      <c r="JIM98" s="798"/>
      <c r="JIN98" s="798"/>
      <c r="JIO98" s="798"/>
      <c r="JIP98" s="798"/>
      <c r="JIQ98" s="798"/>
      <c r="JIR98" s="798"/>
      <c r="JIS98" s="798"/>
      <c r="JIT98" s="798"/>
      <c r="JIU98" s="798"/>
      <c r="JIV98" s="798"/>
      <c r="JIW98" s="798"/>
      <c r="JIX98" s="798"/>
      <c r="JIY98" s="798"/>
      <c r="JIZ98" s="798"/>
      <c r="JJA98" s="798"/>
      <c r="JJB98" s="798"/>
      <c r="JJC98" s="798"/>
      <c r="JJD98" s="798"/>
      <c r="JJE98" s="798"/>
      <c r="JJF98" s="798"/>
      <c r="JJG98" s="798"/>
      <c r="JJH98" s="798"/>
      <c r="JJI98" s="798"/>
      <c r="JJJ98" s="798"/>
      <c r="JJK98" s="798"/>
      <c r="JJL98" s="798"/>
      <c r="JJM98" s="798"/>
      <c r="JJN98" s="798"/>
      <c r="JJO98" s="798"/>
      <c r="JJP98" s="798"/>
      <c r="JJQ98" s="798"/>
      <c r="JJR98" s="798"/>
      <c r="JJS98" s="798"/>
      <c r="JJT98" s="798"/>
      <c r="JJU98" s="798"/>
      <c r="JJV98" s="798"/>
      <c r="JJW98" s="798"/>
      <c r="JJX98" s="798"/>
      <c r="JJY98" s="798"/>
      <c r="JJZ98" s="798"/>
      <c r="JKA98" s="798"/>
      <c r="JKB98" s="798"/>
      <c r="JKC98" s="798"/>
      <c r="JKD98" s="798"/>
      <c r="JKE98" s="798"/>
      <c r="JKF98" s="798"/>
      <c r="JKG98" s="798"/>
      <c r="JKH98" s="798"/>
      <c r="JKI98" s="798"/>
      <c r="JKJ98" s="798"/>
      <c r="JKK98" s="798"/>
      <c r="JKL98" s="798"/>
      <c r="JKM98" s="798"/>
      <c r="JKN98" s="798"/>
      <c r="JKO98" s="798"/>
      <c r="JKP98" s="798"/>
      <c r="JKQ98" s="798"/>
      <c r="JKR98" s="798"/>
      <c r="JKS98" s="798"/>
      <c r="JKT98" s="798"/>
      <c r="JKU98" s="798"/>
      <c r="JKV98" s="798"/>
      <c r="JKW98" s="798"/>
      <c r="JKX98" s="798"/>
      <c r="JKY98" s="798"/>
      <c r="JKZ98" s="798"/>
      <c r="JLA98" s="798"/>
      <c r="JLB98" s="798"/>
      <c r="JLC98" s="798"/>
      <c r="JLD98" s="798"/>
      <c r="JLE98" s="798"/>
      <c r="JLF98" s="798"/>
      <c r="JLG98" s="798"/>
      <c r="JLH98" s="798"/>
      <c r="JLI98" s="798"/>
      <c r="JLJ98" s="798"/>
      <c r="JLK98" s="798"/>
      <c r="JLL98" s="798"/>
      <c r="JLM98" s="798"/>
      <c r="JLN98" s="798"/>
      <c r="JLO98" s="798"/>
      <c r="JLP98" s="798"/>
      <c r="JLQ98" s="798"/>
      <c r="JLR98" s="798"/>
      <c r="JLS98" s="798"/>
      <c r="JLT98" s="798"/>
      <c r="JLU98" s="798"/>
      <c r="JLV98" s="798"/>
      <c r="JLW98" s="798"/>
      <c r="JLX98" s="798"/>
      <c r="JLY98" s="798"/>
      <c r="JLZ98" s="798"/>
      <c r="JMA98" s="798"/>
      <c r="JMB98" s="798"/>
      <c r="JMC98" s="798"/>
      <c r="JMD98" s="798"/>
      <c r="JME98" s="798"/>
      <c r="JMF98" s="798"/>
      <c r="JMG98" s="798"/>
      <c r="JMH98" s="798"/>
      <c r="JMI98" s="798"/>
      <c r="JMJ98" s="798"/>
      <c r="JMK98" s="798"/>
      <c r="JML98" s="798"/>
      <c r="JMM98" s="798"/>
      <c r="JMN98" s="798"/>
      <c r="JMO98" s="798"/>
      <c r="JMP98" s="798"/>
      <c r="JMQ98" s="798"/>
      <c r="JMR98" s="798"/>
      <c r="JMS98" s="798"/>
      <c r="JMT98" s="798"/>
      <c r="JMU98" s="798"/>
      <c r="JMV98" s="798"/>
      <c r="JMW98" s="798"/>
      <c r="JMX98" s="798"/>
      <c r="JMY98" s="798"/>
      <c r="JMZ98" s="798"/>
      <c r="JNA98" s="798"/>
      <c r="JNB98" s="798"/>
      <c r="JNC98" s="798"/>
      <c r="JND98" s="798"/>
      <c r="JNE98" s="798"/>
      <c r="JNF98" s="798"/>
      <c r="JNG98" s="798"/>
      <c r="JNH98" s="798"/>
      <c r="JNI98" s="798"/>
      <c r="JNJ98" s="798"/>
      <c r="JNK98" s="798"/>
      <c r="JNL98" s="798"/>
      <c r="JNM98" s="798"/>
      <c r="JNN98" s="798"/>
      <c r="JNO98" s="798"/>
      <c r="JNP98" s="798"/>
      <c r="JNQ98" s="798"/>
      <c r="JNR98" s="798"/>
      <c r="JNS98" s="798"/>
      <c r="JNT98" s="798"/>
      <c r="JNU98" s="798"/>
      <c r="JNV98" s="798"/>
      <c r="JNW98" s="798"/>
      <c r="JNX98" s="798"/>
      <c r="JNY98" s="798"/>
      <c r="JNZ98" s="798"/>
      <c r="JOA98" s="798"/>
      <c r="JOB98" s="798"/>
      <c r="JOC98" s="798"/>
      <c r="JOD98" s="798"/>
      <c r="JOE98" s="798"/>
      <c r="JOF98" s="798"/>
      <c r="JOG98" s="798"/>
      <c r="JOH98" s="798"/>
      <c r="JOI98" s="798"/>
      <c r="JOJ98" s="798"/>
      <c r="JOK98" s="798"/>
      <c r="JOL98" s="798"/>
      <c r="JOM98" s="798"/>
      <c r="JON98" s="798"/>
      <c r="JOO98" s="798"/>
      <c r="JOP98" s="798"/>
      <c r="JOQ98" s="798"/>
      <c r="JOR98" s="798"/>
      <c r="JOS98" s="798"/>
      <c r="JOT98" s="798"/>
      <c r="JOU98" s="798"/>
      <c r="JOV98" s="798"/>
      <c r="JOW98" s="798"/>
      <c r="JOX98" s="798"/>
      <c r="JOY98" s="798"/>
      <c r="JOZ98" s="798"/>
      <c r="JPA98" s="798"/>
      <c r="JPB98" s="798"/>
      <c r="JPC98" s="798"/>
      <c r="JPD98" s="798"/>
      <c r="JPE98" s="798"/>
      <c r="JPF98" s="798"/>
      <c r="JPG98" s="798"/>
      <c r="JPH98" s="798"/>
      <c r="JPI98" s="798"/>
      <c r="JPJ98" s="798"/>
      <c r="JPK98" s="798"/>
      <c r="JPL98" s="798"/>
      <c r="JPM98" s="798"/>
      <c r="JPN98" s="798"/>
      <c r="JPO98" s="798"/>
      <c r="JPP98" s="798"/>
      <c r="JPQ98" s="798"/>
      <c r="JPR98" s="798"/>
      <c r="JPS98" s="798"/>
      <c r="JPT98" s="798"/>
      <c r="JPU98" s="798"/>
      <c r="JPV98" s="798"/>
      <c r="JPW98" s="798"/>
      <c r="JPX98" s="798"/>
      <c r="JPY98" s="798"/>
      <c r="JPZ98" s="798"/>
      <c r="JQA98" s="798"/>
      <c r="JQB98" s="798"/>
      <c r="JQC98" s="798"/>
      <c r="JQD98" s="798"/>
      <c r="JQE98" s="798"/>
      <c r="JQF98" s="798"/>
      <c r="JQG98" s="798"/>
      <c r="JQH98" s="798"/>
      <c r="JQI98" s="798"/>
      <c r="JQJ98" s="798"/>
      <c r="JQK98" s="798"/>
      <c r="JQL98" s="798"/>
      <c r="JQM98" s="798"/>
      <c r="JQN98" s="798"/>
      <c r="JQO98" s="798"/>
      <c r="JQP98" s="798"/>
      <c r="JQQ98" s="798"/>
      <c r="JQR98" s="798"/>
      <c r="JQS98" s="798"/>
      <c r="JQT98" s="798"/>
      <c r="JQU98" s="798"/>
      <c r="JQV98" s="798"/>
      <c r="JQW98" s="798"/>
      <c r="JQX98" s="798"/>
      <c r="JQY98" s="798"/>
      <c r="JQZ98" s="798"/>
      <c r="JRA98" s="798"/>
      <c r="JRB98" s="798"/>
      <c r="JRC98" s="798"/>
      <c r="JRD98" s="798"/>
      <c r="JRE98" s="798"/>
      <c r="JRF98" s="798"/>
      <c r="JRG98" s="798"/>
      <c r="JRH98" s="798"/>
      <c r="JRI98" s="798"/>
      <c r="JRJ98" s="798"/>
      <c r="JRK98" s="798"/>
      <c r="JRL98" s="798"/>
      <c r="JRM98" s="798"/>
      <c r="JRN98" s="798"/>
      <c r="JRO98" s="798"/>
      <c r="JRP98" s="798"/>
      <c r="JRQ98" s="798"/>
      <c r="JRR98" s="798"/>
      <c r="JRS98" s="798"/>
      <c r="JRT98" s="798"/>
      <c r="JRU98" s="798"/>
      <c r="JRV98" s="798"/>
      <c r="JRW98" s="798"/>
      <c r="JRX98" s="798"/>
      <c r="JRY98" s="798"/>
      <c r="JRZ98" s="798"/>
      <c r="JSA98" s="798"/>
      <c r="JSB98" s="798"/>
      <c r="JSC98" s="798"/>
      <c r="JSD98" s="798"/>
      <c r="JSE98" s="798"/>
      <c r="JSF98" s="798"/>
      <c r="JSG98" s="798"/>
      <c r="JSH98" s="798"/>
      <c r="JSI98" s="798"/>
      <c r="JSJ98" s="798"/>
      <c r="JSK98" s="798"/>
      <c r="JSL98" s="798"/>
      <c r="JSM98" s="798"/>
      <c r="JSN98" s="798"/>
      <c r="JSO98" s="798"/>
      <c r="JSP98" s="798"/>
      <c r="JSQ98" s="798"/>
      <c r="JSR98" s="798"/>
      <c r="JSS98" s="798"/>
      <c r="JST98" s="798"/>
      <c r="JSU98" s="798"/>
      <c r="JSV98" s="798"/>
      <c r="JSW98" s="798"/>
      <c r="JSX98" s="798"/>
      <c r="JSY98" s="798"/>
      <c r="JSZ98" s="798"/>
      <c r="JTA98" s="798"/>
      <c r="JTB98" s="798"/>
      <c r="JTC98" s="798"/>
      <c r="JTD98" s="798"/>
      <c r="JTE98" s="798"/>
      <c r="JTF98" s="798"/>
      <c r="JTG98" s="798"/>
      <c r="JTH98" s="798"/>
      <c r="JTI98" s="798"/>
      <c r="JTJ98" s="798"/>
      <c r="JTK98" s="798"/>
      <c r="JTL98" s="798"/>
      <c r="JTM98" s="798"/>
      <c r="JTN98" s="798"/>
      <c r="JTO98" s="798"/>
      <c r="JTP98" s="798"/>
      <c r="JTQ98" s="798"/>
      <c r="JTR98" s="798"/>
      <c r="JTS98" s="798"/>
      <c r="JTT98" s="798"/>
      <c r="JTU98" s="798"/>
      <c r="JTV98" s="798"/>
      <c r="JTW98" s="798"/>
      <c r="JTX98" s="798"/>
      <c r="JTY98" s="798"/>
      <c r="JTZ98" s="798"/>
      <c r="JUA98" s="798"/>
      <c r="JUB98" s="798"/>
      <c r="JUC98" s="798"/>
      <c r="JUD98" s="798"/>
      <c r="JUE98" s="798"/>
      <c r="JUF98" s="798"/>
      <c r="JUG98" s="798"/>
      <c r="JUH98" s="798"/>
      <c r="JUI98" s="798"/>
      <c r="JUJ98" s="798"/>
      <c r="JUK98" s="798"/>
      <c r="JUL98" s="798"/>
      <c r="JUM98" s="798"/>
      <c r="JUN98" s="798"/>
      <c r="JUO98" s="798"/>
      <c r="JUP98" s="798"/>
      <c r="JUQ98" s="798"/>
      <c r="JUR98" s="798"/>
      <c r="JUS98" s="798"/>
      <c r="JUT98" s="798"/>
      <c r="JUU98" s="798"/>
      <c r="JUV98" s="798"/>
      <c r="JUW98" s="798"/>
      <c r="JUX98" s="798"/>
      <c r="JUY98" s="798"/>
      <c r="JUZ98" s="798"/>
      <c r="JVA98" s="798"/>
      <c r="JVB98" s="798"/>
      <c r="JVC98" s="798"/>
      <c r="JVD98" s="798"/>
      <c r="JVE98" s="798"/>
      <c r="JVF98" s="798"/>
      <c r="JVG98" s="798"/>
      <c r="JVH98" s="798"/>
      <c r="JVI98" s="798"/>
      <c r="JVJ98" s="798"/>
      <c r="JVK98" s="798"/>
      <c r="JVL98" s="798"/>
      <c r="JVM98" s="798"/>
      <c r="JVN98" s="798"/>
      <c r="JVO98" s="798"/>
      <c r="JVP98" s="798"/>
      <c r="JVQ98" s="798"/>
      <c r="JVR98" s="798"/>
      <c r="JVS98" s="798"/>
      <c r="JVT98" s="798"/>
      <c r="JVU98" s="798"/>
      <c r="JVV98" s="798"/>
      <c r="JVW98" s="798"/>
      <c r="JVX98" s="798"/>
      <c r="JVY98" s="798"/>
      <c r="JVZ98" s="798"/>
      <c r="JWA98" s="798"/>
      <c r="JWB98" s="798"/>
      <c r="JWC98" s="798"/>
      <c r="JWD98" s="798"/>
      <c r="JWE98" s="798"/>
      <c r="JWF98" s="798"/>
      <c r="JWG98" s="798"/>
      <c r="JWH98" s="798"/>
      <c r="JWI98" s="798"/>
      <c r="JWJ98" s="798"/>
      <c r="JWK98" s="798"/>
      <c r="JWL98" s="798"/>
      <c r="JWM98" s="798"/>
      <c r="JWN98" s="798"/>
      <c r="JWO98" s="798"/>
      <c r="JWP98" s="798"/>
      <c r="JWQ98" s="798"/>
      <c r="JWR98" s="798"/>
      <c r="JWS98" s="798"/>
      <c r="JWT98" s="798"/>
      <c r="JWU98" s="798"/>
      <c r="JWV98" s="798"/>
      <c r="JWW98" s="798"/>
      <c r="JWX98" s="798"/>
      <c r="JWY98" s="798"/>
      <c r="JWZ98" s="798"/>
      <c r="JXA98" s="798"/>
      <c r="JXB98" s="798"/>
      <c r="JXC98" s="798"/>
      <c r="JXD98" s="798"/>
      <c r="JXE98" s="798"/>
      <c r="JXF98" s="798"/>
      <c r="JXG98" s="798"/>
      <c r="JXH98" s="798"/>
      <c r="JXI98" s="798"/>
      <c r="JXJ98" s="798"/>
      <c r="JXK98" s="798"/>
      <c r="JXL98" s="798"/>
      <c r="JXM98" s="798"/>
      <c r="JXN98" s="798"/>
      <c r="JXO98" s="798"/>
      <c r="JXP98" s="798"/>
      <c r="JXQ98" s="798"/>
      <c r="JXR98" s="798"/>
      <c r="JXS98" s="798"/>
      <c r="JXT98" s="798"/>
      <c r="JXU98" s="798"/>
      <c r="JXV98" s="798"/>
      <c r="JXW98" s="798"/>
      <c r="JXX98" s="798"/>
      <c r="JXY98" s="798"/>
      <c r="JXZ98" s="798"/>
      <c r="JYA98" s="798"/>
      <c r="JYB98" s="798"/>
      <c r="JYC98" s="798"/>
      <c r="JYD98" s="798"/>
      <c r="JYE98" s="798"/>
      <c r="JYF98" s="798"/>
      <c r="JYG98" s="798"/>
      <c r="JYH98" s="798"/>
      <c r="JYI98" s="798"/>
      <c r="JYJ98" s="798"/>
      <c r="JYK98" s="798"/>
      <c r="JYL98" s="798"/>
      <c r="JYM98" s="798"/>
      <c r="JYN98" s="798"/>
      <c r="JYO98" s="798"/>
      <c r="JYP98" s="798"/>
      <c r="JYQ98" s="798"/>
      <c r="JYR98" s="798"/>
      <c r="JYS98" s="798"/>
      <c r="JYT98" s="798"/>
      <c r="JYU98" s="798"/>
      <c r="JYV98" s="798"/>
      <c r="JYW98" s="798"/>
      <c r="JYX98" s="798"/>
      <c r="JYY98" s="798"/>
      <c r="JYZ98" s="798"/>
      <c r="JZA98" s="798"/>
      <c r="JZB98" s="798"/>
      <c r="JZC98" s="798"/>
      <c r="JZD98" s="798"/>
      <c r="JZE98" s="798"/>
      <c r="JZF98" s="798"/>
      <c r="JZG98" s="798"/>
      <c r="JZH98" s="798"/>
      <c r="JZI98" s="798"/>
      <c r="JZJ98" s="798"/>
      <c r="JZK98" s="798"/>
      <c r="JZL98" s="798"/>
      <c r="JZM98" s="798"/>
      <c r="JZN98" s="798"/>
      <c r="JZO98" s="798"/>
      <c r="JZP98" s="798"/>
      <c r="JZQ98" s="798"/>
      <c r="JZR98" s="798"/>
      <c r="JZS98" s="798"/>
      <c r="JZT98" s="798"/>
      <c r="JZU98" s="798"/>
      <c r="JZV98" s="798"/>
      <c r="JZW98" s="798"/>
      <c r="JZX98" s="798"/>
      <c r="JZY98" s="798"/>
      <c r="JZZ98" s="798"/>
      <c r="KAA98" s="798"/>
      <c r="KAB98" s="798"/>
      <c r="KAC98" s="798"/>
      <c r="KAD98" s="798"/>
      <c r="KAE98" s="798"/>
      <c r="KAF98" s="798"/>
      <c r="KAG98" s="798"/>
      <c r="KAH98" s="798"/>
      <c r="KAI98" s="798"/>
      <c r="KAJ98" s="798"/>
      <c r="KAK98" s="798"/>
      <c r="KAL98" s="798"/>
      <c r="KAM98" s="798"/>
      <c r="KAN98" s="798"/>
      <c r="KAO98" s="798"/>
      <c r="KAP98" s="798"/>
      <c r="KAQ98" s="798"/>
      <c r="KAR98" s="798"/>
      <c r="KAS98" s="798"/>
      <c r="KAT98" s="798"/>
      <c r="KAU98" s="798"/>
      <c r="KAV98" s="798"/>
      <c r="KAW98" s="798"/>
      <c r="KAX98" s="798"/>
      <c r="KAY98" s="798"/>
      <c r="KAZ98" s="798"/>
      <c r="KBA98" s="798"/>
      <c r="KBB98" s="798"/>
      <c r="KBC98" s="798"/>
      <c r="KBD98" s="798"/>
      <c r="KBE98" s="798"/>
      <c r="KBF98" s="798"/>
      <c r="KBG98" s="798"/>
      <c r="KBH98" s="798"/>
      <c r="KBI98" s="798"/>
      <c r="KBJ98" s="798"/>
      <c r="KBK98" s="798"/>
      <c r="KBL98" s="798"/>
      <c r="KBM98" s="798"/>
      <c r="KBN98" s="798"/>
      <c r="KBO98" s="798"/>
      <c r="KBP98" s="798"/>
      <c r="KBQ98" s="798"/>
      <c r="KBR98" s="798"/>
      <c r="KBS98" s="798"/>
      <c r="KBT98" s="798"/>
      <c r="KBU98" s="798"/>
      <c r="KBV98" s="798"/>
      <c r="KBW98" s="798"/>
      <c r="KBX98" s="798"/>
      <c r="KBY98" s="798"/>
      <c r="KBZ98" s="798"/>
      <c r="KCA98" s="798"/>
      <c r="KCB98" s="798"/>
      <c r="KCC98" s="798"/>
      <c r="KCD98" s="798"/>
      <c r="KCE98" s="798"/>
      <c r="KCF98" s="798"/>
      <c r="KCG98" s="798"/>
      <c r="KCH98" s="798"/>
      <c r="KCI98" s="798"/>
      <c r="KCJ98" s="798"/>
      <c r="KCK98" s="798"/>
      <c r="KCL98" s="798"/>
      <c r="KCM98" s="798"/>
      <c r="KCN98" s="798"/>
      <c r="KCO98" s="798"/>
      <c r="KCP98" s="798"/>
      <c r="KCQ98" s="798"/>
      <c r="KCR98" s="798"/>
      <c r="KCS98" s="798"/>
      <c r="KCT98" s="798"/>
      <c r="KCU98" s="798"/>
      <c r="KCV98" s="798"/>
      <c r="KCW98" s="798"/>
      <c r="KCX98" s="798"/>
      <c r="KCY98" s="798"/>
      <c r="KCZ98" s="798"/>
      <c r="KDA98" s="798"/>
      <c r="KDB98" s="798"/>
      <c r="KDC98" s="798"/>
      <c r="KDD98" s="798"/>
      <c r="KDE98" s="798"/>
      <c r="KDF98" s="798"/>
      <c r="KDG98" s="798"/>
      <c r="KDH98" s="798"/>
      <c r="KDI98" s="798"/>
      <c r="KDJ98" s="798"/>
      <c r="KDK98" s="798"/>
      <c r="KDL98" s="798"/>
      <c r="KDM98" s="798"/>
      <c r="KDN98" s="798"/>
      <c r="KDO98" s="798"/>
      <c r="KDP98" s="798"/>
      <c r="KDQ98" s="798"/>
      <c r="KDR98" s="798"/>
      <c r="KDS98" s="798"/>
      <c r="KDT98" s="798"/>
      <c r="KDU98" s="798"/>
      <c r="KDV98" s="798"/>
      <c r="KDW98" s="798"/>
      <c r="KDX98" s="798"/>
      <c r="KDY98" s="798"/>
      <c r="KDZ98" s="798"/>
      <c r="KEA98" s="798"/>
      <c r="KEB98" s="798"/>
      <c r="KEC98" s="798"/>
      <c r="KED98" s="798"/>
      <c r="KEE98" s="798"/>
      <c r="KEF98" s="798"/>
      <c r="KEG98" s="798"/>
      <c r="KEH98" s="798"/>
      <c r="KEI98" s="798"/>
      <c r="KEJ98" s="798"/>
      <c r="KEK98" s="798"/>
      <c r="KEL98" s="798"/>
      <c r="KEM98" s="798"/>
      <c r="KEN98" s="798"/>
      <c r="KEO98" s="798"/>
      <c r="KEP98" s="798"/>
      <c r="KEQ98" s="798"/>
      <c r="KER98" s="798"/>
      <c r="KES98" s="798"/>
      <c r="KET98" s="798"/>
      <c r="KEU98" s="798"/>
      <c r="KEV98" s="798"/>
      <c r="KEW98" s="798"/>
      <c r="KEX98" s="798"/>
      <c r="KEY98" s="798"/>
      <c r="KEZ98" s="798"/>
      <c r="KFA98" s="798"/>
      <c r="KFB98" s="798"/>
      <c r="KFC98" s="798"/>
      <c r="KFD98" s="798"/>
      <c r="KFE98" s="798"/>
      <c r="KFF98" s="798"/>
      <c r="KFG98" s="798"/>
      <c r="KFH98" s="798"/>
      <c r="KFI98" s="798"/>
      <c r="KFJ98" s="798"/>
      <c r="KFK98" s="798"/>
      <c r="KFL98" s="798"/>
      <c r="KFM98" s="798"/>
      <c r="KFN98" s="798"/>
      <c r="KFO98" s="798"/>
      <c r="KFP98" s="798"/>
      <c r="KFQ98" s="798"/>
      <c r="KFR98" s="798"/>
      <c r="KFS98" s="798"/>
      <c r="KFT98" s="798"/>
      <c r="KFU98" s="798"/>
      <c r="KFV98" s="798"/>
      <c r="KFW98" s="798"/>
      <c r="KFX98" s="798"/>
      <c r="KFY98" s="798"/>
      <c r="KFZ98" s="798"/>
      <c r="KGA98" s="798"/>
      <c r="KGB98" s="798"/>
      <c r="KGC98" s="798"/>
      <c r="KGD98" s="798"/>
      <c r="KGE98" s="798"/>
      <c r="KGF98" s="798"/>
      <c r="KGG98" s="798"/>
      <c r="KGH98" s="798"/>
      <c r="KGI98" s="798"/>
      <c r="KGJ98" s="798"/>
      <c r="KGK98" s="798"/>
      <c r="KGL98" s="798"/>
      <c r="KGM98" s="798"/>
      <c r="KGN98" s="798"/>
      <c r="KGO98" s="798"/>
      <c r="KGP98" s="798"/>
      <c r="KGQ98" s="798"/>
      <c r="KGR98" s="798"/>
      <c r="KGS98" s="798"/>
      <c r="KGT98" s="798"/>
      <c r="KGU98" s="798"/>
      <c r="KGV98" s="798"/>
      <c r="KGW98" s="798"/>
      <c r="KGX98" s="798"/>
      <c r="KGY98" s="798"/>
      <c r="KGZ98" s="798"/>
      <c r="KHA98" s="798"/>
      <c r="KHB98" s="798"/>
      <c r="KHC98" s="798"/>
      <c r="KHD98" s="798"/>
      <c r="KHE98" s="798"/>
      <c r="KHF98" s="798"/>
      <c r="KHG98" s="798"/>
      <c r="KHH98" s="798"/>
      <c r="KHI98" s="798"/>
      <c r="KHJ98" s="798"/>
      <c r="KHK98" s="798"/>
      <c r="KHL98" s="798"/>
      <c r="KHM98" s="798"/>
      <c r="KHN98" s="798"/>
      <c r="KHO98" s="798"/>
      <c r="KHP98" s="798"/>
      <c r="KHQ98" s="798"/>
      <c r="KHR98" s="798"/>
      <c r="KHS98" s="798"/>
      <c r="KHT98" s="798"/>
      <c r="KHU98" s="798"/>
      <c r="KHV98" s="798"/>
      <c r="KHW98" s="798"/>
      <c r="KHX98" s="798"/>
      <c r="KHY98" s="798"/>
      <c r="KHZ98" s="798"/>
      <c r="KIA98" s="798"/>
      <c r="KIB98" s="798"/>
      <c r="KIC98" s="798"/>
      <c r="KID98" s="798"/>
      <c r="KIE98" s="798"/>
      <c r="KIF98" s="798"/>
      <c r="KIG98" s="798"/>
      <c r="KIH98" s="798"/>
      <c r="KII98" s="798"/>
      <c r="KIJ98" s="798"/>
      <c r="KIK98" s="798"/>
      <c r="KIL98" s="798"/>
      <c r="KIM98" s="798"/>
      <c r="KIN98" s="798"/>
      <c r="KIO98" s="798"/>
      <c r="KIP98" s="798"/>
      <c r="KIQ98" s="798"/>
      <c r="KIR98" s="798"/>
      <c r="KIS98" s="798"/>
      <c r="KIT98" s="798"/>
      <c r="KIU98" s="798"/>
      <c r="KIV98" s="798"/>
      <c r="KIW98" s="798"/>
      <c r="KIX98" s="798"/>
      <c r="KIY98" s="798"/>
      <c r="KIZ98" s="798"/>
      <c r="KJA98" s="798"/>
      <c r="KJB98" s="798"/>
      <c r="KJC98" s="798"/>
      <c r="KJD98" s="798"/>
      <c r="KJE98" s="798"/>
      <c r="KJF98" s="798"/>
      <c r="KJG98" s="798"/>
      <c r="KJH98" s="798"/>
      <c r="KJI98" s="798"/>
      <c r="KJJ98" s="798"/>
      <c r="KJK98" s="798"/>
      <c r="KJL98" s="798"/>
      <c r="KJM98" s="798"/>
      <c r="KJN98" s="798"/>
      <c r="KJO98" s="798"/>
      <c r="KJP98" s="798"/>
      <c r="KJQ98" s="798"/>
      <c r="KJR98" s="798"/>
      <c r="KJS98" s="798"/>
      <c r="KJT98" s="798"/>
      <c r="KJU98" s="798"/>
      <c r="KJV98" s="798"/>
      <c r="KJW98" s="798"/>
      <c r="KJX98" s="798"/>
      <c r="KJY98" s="798"/>
      <c r="KJZ98" s="798"/>
      <c r="KKA98" s="798"/>
      <c r="KKB98" s="798"/>
      <c r="KKC98" s="798"/>
      <c r="KKD98" s="798"/>
      <c r="KKE98" s="798"/>
      <c r="KKF98" s="798"/>
      <c r="KKG98" s="798"/>
      <c r="KKH98" s="798"/>
      <c r="KKI98" s="798"/>
      <c r="KKJ98" s="798"/>
      <c r="KKK98" s="798"/>
      <c r="KKL98" s="798"/>
      <c r="KKM98" s="798"/>
      <c r="KKN98" s="798"/>
      <c r="KKO98" s="798"/>
      <c r="KKP98" s="798"/>
      <c r="KKQ98" s="798"/>
      <c r="KKR98" s="798"/>
      <c r="KKS98" s="798"/>
      <c r="KKT98" s="798"/>
      <c r="KKU98" s="798"/>
      <c r="KKV98" s="798"/>
      <c r="KKW98" s="798"/>
      <c r="KKX98" s="798"/>
      <c r="KKY98" s="798"/>
      <c r="KKZ98" s="798"/>
      <c r="KLA98" s="798"/>
      <c r="KLB98" s="798"/>
      <c r="KLC98" s="798"/>
      <c r="KLD98" s="798"/>
      <c r="KLE98" s="798"/>
      <c r="KLF98" s="798"/>
      <c r="KLG98" s="798"/>
      <c r="KLH98" s="798"/>
      <c r="KLI98" s="798"/>
      <c r="KLJ98" s="798"/>
      <c r="KLK98" s="798"/>
      <c r="KLL98" s="798"/>
      <c r="KLM98" s="798"/>
      <c r="KLN98" s="798"/>
      <c r="KLO98" s="798"/>
      <c r="KLP98" s="798"/>
      <c r="KLQ98" s="798"/>
      <c r="KLR98" s="798"/>
      <c r="KLS98" s="798"/>
      <c r="KLT98" s="798"/>
      <c r="KLU98" s="798"/>
      <c r="KLV98" s="798"/>
      <c r="KLW98" s="798"/>
      <c r="KLX98" s="798"/>
      <c r="KLY98" s="798"/>
      <c r="KLZ98" s="798"/>
      <c r="KMA98" s="798"/>
      <c r="KMB98" s="798"/>
      <c r="KMC98" s="798"/>
      <c r="KMD98" s="798"/>
      <c r="KME98" s="798"/>
      <c r="KMF98" s="798"/>
      <c r="KMG98" s="798"/>
      <c r="KMH98" s="798"/>
      <c r="KMI98" s="798"/>
      <c r="KMJ98" s="798"/>
      <c r="KMK98" s="798"/>
      <c r="KML98" s="798"/>
      <c r="KMM98" s="798"/>
      <c r="KMN98" s="798"/>
      <c r="KMO98" s="798"/>
      <c r="KMP98" s="798"/>
      <c r="KMQ98" s="798"/>
      <c r="KMR98" s="798"/>
      <c r="KMS98" s="798"/>
      <c r="KMT98" s="798"/>
      <c r="KMU98" s="798"/>
      <c r="KMV98" s="798"/>
      <c r="KMW98" s="798"/>
      <c r="KMX98" s="798"/>
      <c r="KMY98" s="798"/>
      <c r="KMZ98" s="798"/>
      <c r="KNA98" s="798"/>
      <c r="KNB98" s="798"/>
      <c r="KNC98" s="798"/>
      <c r="KND98" s="798"/>
      <c r="KNE98" s="798"/>
      <c r="KNF98" s="798"/>
      <c r="KNG98" s="798"/>
      <c r="KNH98" s="798"/>
      <c r="KNI98" s="798"/>
      <c r="KNJ98" s="798"/>
      <c r="KNK98" s="798"/>
      <c r="KNL98" s="798"/>
      <c r="KNM98" s="798"/>
      <c r="KNN98" s="798"/>
      <c r="KNO98" s="798"/>
      <c r="KNP98" s="798"/>
      <c r="KNQ98" s="798"/>
      <c r="KNR98" s="798"/>
      <c r="KNS98" s="798"/>
      <c r="KNT98" s="798"/>
      <c r="KNU98" s="798"/>
      <c r="KNV98" s="798"/>
      <c r="KNW98" s="798"/>
      <c r="KNX98" s="798"/>
      <c r="KNY98" s="798"/>
      <c r="KNZ98" s="798"/>
      <c r="KOA98" s="798"/>
      <c r="KOB98" s="798"/>
      <c r="KOC98" s="798"/>
      <c r="KOD98" s="798"/>
      <c r="KOE98" s="798"/>
      <c r="KOF98" s="798"/>
      <c r="KOG98" s="798"/>
      <c r="KOH98" s="798"/>
      <c r="KOI98" s="798"/>
      <c r="KOJ98" s="798"/>
      <c r="KOK98" s="798"/>
      <c r="KOL98" s="798"/>
      <c r="KOM98" s="798"/>
      <c r="KON98" s="798"/>
      <c r="KOO98" s="798"/>
      <c r="KOP98" s="798"/>
      <c r="KOQ98" s="798"/>
      <c r="KOR98" s="798"/>
      <c r="KOS98" s="798"/>
      <c r="KOT98" s="798"/>
      <c r="KOU98" s="798"/>
      <c r="KOV98" s="798"/>
      <c r="KOW98" s="798"/>
      <c r="KOX98" s="798"/>
      <c r="KOY98" s="798"/>
      <c r="KOZ98" s="798"/>
      <c r="KPA98" s="798"/>
      <c r="KPB98" s="798"/>
      <c r="KPC98" s="798"/>
      <c r="KPD98" s="798"/>
      <c r="KPE98" s="798"/>
      <c r="KPF98" s="798"/>
      <c r="KPG98" s="798"/>
      <c r="KPH98" s="798"/>
      <c r="KPI98" s="798"/>
      <c r="KPJ98" s="798"/>
      <c r="KPK98" s="798"/>
      <c r="KPL98" s="798"/>
      <c r="KPM98" s="798"/>
      <c r="KPN98" s="798"/>
      <c r="KPO98" s="798"/>
      <c r="KPP98" s="798"/>
      <c r="KPQ98" s="798"/>
      <c r="KPR98" s="798"/>
      <c r="KPS98" s="798"/>
      <c r="KPT98" s="798"/>
      <c r="KPU98" s="798"/>
      <c r="KPV98" s="798"/>
      <c r="KPW98" s="798"/>
      <c r="KPX98" s="798"/>
      <c r="KPY98" s="798"/>
      <c r="KPZ98" s="798"/>
      <c r="KQA98" s="798"/>
      <c r="KQB98" s="798"/>
      <c r="KQC98" s="798"/>
      <c r="KQD98" s="798"/>
      <c r="KQE98" s="798"/>
      <c r="KQF98" s="798"/>
      <c r="KQG98" s="798"/>
      <c r="KQH98" s="798"/>
      <c r="KQI98" s="798"/>
      <c r="KQJ98" s="798"/>
      <c r="KQK98" s="798"/>
      <c r="KQL98" s="798"/>
      <c r="KQM98" s="798"/>
      <c r="KQN98" s="798"/>
      <c r="KQO98" s="798"/>
      <c r="KQP98" s="798"/>
      <c r="KQQ98" s="798"/>
      <c r="KQR98" s="798"/>
      <c r="KQS98" s="798"/>
      <c r="KQT98" s="798"/>
      <c r="KQU98" s="798"/>
      <c r="KQV98" s="798"/>
      <c r="KQW98" s="798"/>
      <c r="KQX98" s="798"/>
      <c r="KQY98" s="798"/>
      <c r="KQZ98" s="798"/>
      <c r="KRA98" s="798"/>
      <c r="KRB98" s="798"/>
      <c r="KRC98" s="798"/>
      <c r="KRD98" s="798"/>
      <c r="KRE98" s="798"/>
      <c r="KRF98" s="798"/>
      <c r="KRG98" s="798"/>
      <c r="KRH98" s="798"/>
      <c r="KRI98" s="798"/>
      <c r="KRJ98" s="798"/>
      <c r="KRK98" s="798"/>
      <c r="KRL98" s="798"/>
      <c r="KRM98" s="798"/>
      <c r="KRN98" s="798"/>
      <c r="KRO98" s="798"/>
      <c r="KRP98" s="798"/>
      <c r="KRQ98" s="798"/>
      <c r="KRR98" s="798"/>
      <c r="KRS98" s="798"/>
      <c r="KRT98" s="798"/>
      <c r="KRU98" s="798"/>
      <c r="KRV98" s="798"/>
      <c r="KRW98" s="798"/>
      <c r="KRX98" s="798"/>
      <c r="KRY98" s="798"/>
      <c r="KRZ98" s="798"/>
      <c r="KSA98" s="798"/>
      <c r="KSB98" s="798"/>
      <c r="KSC98" s="798"/>
      <c r="KSD98" s="798"/>
      <c r="KSE98" s="798"/>
      <c r="KSF98" s="798"/>
      <c r="KSG98" s="798"/>
      <c r="KSH98" s="798"/>
      <c r="KSI98" s="798"/>
      <c r="KSJ98" s="798"/>
      <c r="KSK98" s="798"/>
      <c r="KSL98" s="798"/>
      <c r="KSM98" s="798"/>
      <c r="KSN98" s="798"/>
      <c r="KSO98" s="798"/>
      <c r="KSP98" s="798"/>
      <c r="KSQ98" s="798"/>
      <c r="KSR98" s="798"/>
      <c r="KSS98" s="798"/>
      <c r="KST98" s="798"/>
      <c r="KSU98" s="798"/>
      <c r="KSV98" s="798"/>
      <c r="KSW98" s="798"/>
      <c r="KSX98" s="798"/>
      <c r="KSY98" s="798"/>
      <c r="KSZ98" s="798"/>
      <c r="KTA98" s="798"/>
      <c r="KTB98" s="798"/>
      <c r="KTC98" s="798"/>
      <c r="KTD98" s="798"/>
      <c r="KTE98" s="798"/>
      <c r="KTF98" s="798"/>
      <c r="KTG98" s="798"/>
      <c r="KTH98" s="798"/>
      <c r="KTI98" s="798"/>
      <c r="KTJ98" s="798"/>
      <c r="KTK98" s="798"/>
      <c r="KTL98" s="798"/>
      <c r="KTM98" s="798"/>
      <c r="KTN98" s="798"/>
      <c r="KTO98" s="798"/>
      <c r="KTP98" s="798"/>
      <c r="KTQ98" s="798"/>
      <c r="KTR98" s="798"/>
      <c r="KTS98" s="798"/>
      <c r="KTT98" s="798"/>
      <c r="KTU98" s="798"/>
      <c r="KTV98" s="798"/>
      <c r="KTW98" s="798"/>
      <c r="KTX98" s="798"/>
      <c r="KTY98" s="798"/>
      <c r="KTZ98" s="798"/>
      <c r="KUA98" s="798"/>
      <c r="KUB98" s="798"/>
      <c r="KUC98" s="798"/>
      <c r="KUD98" s="798"/>
      <c r="KUE98" s="798"/>
      <c r="KUF98" s="798"/>
      <c r="KUG98" s="798"/>
      <c r="KUH98" s="798"/>
      <c r="KUI98" s="798"/>
      <c r="KUJ98" s="798"/>
      <c r="KUK98" s="798"/>
      <c r="KUL98" s="798"/>
      <c r="KUM98" s="798"/>
      <c r="KUN98" s="798"/>
      <c r="KUO98" s="798"/>
      <c r="KUP98" s="798"/>
      <c r="KUQ98" s="798"/>
      <c r="KUR98" s="798"/>
      <c r="KUS98" s="798"/>
      <c r="KUT98" s="798"/>
      <c r="KUU98" s="798"/>
      <c r="KUV98" s="798"/>
      <c r="KUW98" s="798"/>
      <c r="KUX98" s="798"/>
      <c r="KUY98" s="798"/>
      <c r="KUZ98" s="798"/>
      <c r="KVA98" s="798"/>
      <c r="KVB98" s="798"/>
      <c r="KVC98" s="798"/>
      <c r="KVD98" s="798"/>
      <c r="KVE98" s="798"/>
      <c r="KVF98" s="798"/>
      <c r="KVG98" s="798"/>
      <c r="KVH98" s="798"/>
      <c r="KVI98" s="798"/>
      <c r="KVJ98" s="798"/>
      <c r="KVK98" s="798"/>
      <c r="KVL98" s="798"/>
      <c r="KVM98" s="798"/>
      <c r="KVN98" s="798"/>
      <c r="KVO98" s="798"/>
      <c r="KVP98" s="798"/>
      <c r="KVQ98" s="798"/>
      <c r="KVR98" s="798"/>
      <c r="KVS98" s="798"/>
      <c r="KVT98" s="798"/>
      <c r="KVU98" s="798"/>
      <c r="KVV98" s="798"/>
      <c r="KVW98" s="798"/>
      <c r="KVX98" s="798"/>
      <c r="KVY98" s="798"/>
      <c r="KVZ98" s="798"/>
      <c r="KWA98" s="798"/>
      <c r="KWB98" s="798"/>
      <c r="KWC98" s="798"/>
      <c r="KWD98" s="798"/>
      <c r="KWE98" s="798"/>
      <c r="KWF98" s="798"/>
      <c r="KWG98" s="798"/>
      <c r="KWH98" s="798"/>
      <c r="KWI98" s="798"/>
      <c r="KWJ98" s="798"/>
      <c r="KWK98" s="798"/>
      <c r="KWL98" s="798"/>
      <c r="KWM98" s="798"/>
      <c r="KWN98" s="798"/>
      <c r="KWO98" s="798"/>
      <c r="KWP98" s="798"/>
      <c r="KWQ98" s="798"/>
      <c r="KWR98" s="798"/>
      <c r="KWS98" s="798"/>
      <c r="KWT98" s="798"/>
      <c r="KWU98" s="798"/>
      <c r="KWV98" s="798"/>
      <c r="KWW98" s="798"/>
      <c r="KWX98" s="798"/>
      <c r="KWY98" s="798"/>
      <c r="KWZ98" s="798"/>
      <c r="KXA98" s="798"/>
      <c r="KXB98" s="798"/>
      <c r="KXC98" s="798"/>
      <c r="KXD98" s="798"/>
      <c r="KXE98" s="798"/>
      <c r="KXF98" s="798"/>
      <c r="KXG98" s="798"/>
      <c r="KXH98" s="798"/>
      <c r="KXI98" s="798"/>
      <c r="KXJ98" s="798"/>
      <c r="KXK98" s="798"/>
      <c r="KXL98" s="798"/>
      <c r="KXM98" s="798"/>
      <c r="KXN98" s="798"/>
      <c r="KXO98" s="798"/>
      <c r="KXP98" s="798"/>
      <c r="KXQ98" s="798"/>
      <c r="KXR98" s="798"/>
      <c r="KXS98" s="798"/>
      <c r="KXT98" s="798"/>
      <c r="KXU98" s="798"/>
      <c r="KXV98" s="798"/>
      <c r="KXW98" s="798"/>
      <c r="KXX98" s="798"/>
      <c r="KXY98" s="798"/>
      <c r="KXZ98" s="798"/>
      <c r="KYA98" s="798"/>
      <c r="KYB98" s="798"/>
      <c r="KYC98" s="798"/>
      <c r="KYD98" s="798"/>
      <c r="KYE98" s="798"/>
      <c r="KYF98" s="798"/>
      <c r="KYG98" s="798"/>
      <c r="KYH98" s="798"/>
      <c r="KYI98" s="798"/>
      <c r="KYJ98" s="798"/>
      <c r="KYK98" s="798"/>
      <c r="KYL98" s="798"/>
      <c r="KYM98" s="798"/>
      <c r="KYN98" s="798"/>
      <c r="KYO98" s="798"/>
      <c r="KYP98" s="798"/>
      <c r="KYQ98" s="798"/>
      <c r="KYR98" s="798"/>
      <c r="KYS98" s="798"/>
      <c r="KYT98" s="798"/>
      <c r="KYU98" s="798"/>
      <c r="KYV98" s="798"/>
      <c r="KYW98" s="798"/>
      <c r="KYX98" s="798"/>
      <c r="KYY98" s="798"/>
      <c r="KYZ98" s="798"/>
      <c r="KZA98" s="798"/>
      <c r="KZB98" s="798"/>
      <c r="KZC98" s="798"/>
      <c r="KZD98" s="798"/>
      <c r="KZE98" s="798"/>
      <c r="KZF98" s="798"/>
      <c r="KZG98" s="798"/>
      <c r="KZH98" s="798"/>
      <c r="KZI98" s="798"/>
      <c r="KZJ98" s="798"/>
      <c r="KZK98" s="798"/>
      <c r="KZL98" s="798"/>
      <c r="KZM98" s="798"/>
      <c r="KZN98" s="798"/>
      <c r="KZO98" s="798"/>
      <c r="KZP98" s="798"/>
      <c r="KZQ98" s="798"/>
      <c r="KZR98" s="798"/>
      <c r="KZS98" s="798"/>
      <c r="KZT98" s="798"/>
      <c r="KZU98" s="798"/>
      <c r="KZV98" s="798"/>
      <c r="KZW98" s="798"/>
      <c r="KZX98" s="798"/>
      <c r="KZY98" s="798"/>
      <c r="KZZ98" s="798"/>
      <c r="LAA98" s="798"/>
      <c r="LAB98" s="798"/>
      <c r="LAC98" s="798"/>
      <c r="LAD98" s="798"/>
      <c r="LAE98" s="798"/>
      <c r="LAF98" s="798"/>
      <c r="LAG98" s="798"/>
      <c r="LAH98" s="798"/>
      <c r="LAI98" s="798"/>
      <c r="LAJ98" s="798"/>
      <c r="LAK98" s="798"/>
      <c r="LAL98" s="798"/>
      <c r="LAM98" s="798"/>
      <c r="LAN98" s="798"/>
      <c r="LAO98" s="798"/>
      <c r="LAP98" s="798"/>
      <c r="LAQ98" s="798"/>
      <c r="LAR98" s="798"/>
      <c r="LAS98" s="798"/>
      <c r="LAT98" s="798"/>
      <c r="LAU98" s="798"/>
      <c r="LAV98" s="798"/>
      <c r="LAW98" s="798"/>
      <c r="LAX98" s="798"/>
      <c r="LAY98" s="798"/>
      <c r="LAZ98" s="798"/>
      <c r="LBA98" s="798"/>
      <c r="LBB98" s="798"/>
      <c r="LBC98" s="798"/>
      <c r="LBD98" s="798"/>
      <c r="LBE98" s="798"/>
      <c r="LBF98" s="798"/>
      <c r="LBG98" s="798"/>
      <c r="LBH98" s="798"/>
      <c r="LBI98" s="798"/>
      <c r="LBJ98" s="798"/>
      <c r="LBK98" s="798"/>
      <c r="LBL98" s="798"/>
      <c r="LBM98" s="798"/>
      <c r="LBN98" s="798"/>
      <c r="LBO98" s="798"/>
      <c r="LBP98" s="798"/>
      <c r="LBQ98" s="798"/>
      <c r="LBR98" s="798"/>
      <c r="LBS98" s="798"/>
      <c r="LBT98" s="798"/>
      <c r="LBU98" s="798"/>
      <c r="LBV98" s="798"/>
      <c r="LBW98" s="798"/>
      <c r="LBX98" s="798"/>
      <c r="LBY98" s="798"/>
      <c r="LBZ98" s="798"/>
      <c r="LCA98" s="798"/>
      <c r="LCB98" s="798"/>
      <c r="LCC98" s="798"/>
      <c r="LCD98" s="798"/>
      <c r="LCE98" s="798"/>
      <c r="LCF98" s="798"/>
      <c r="LCG98" s="798"/>
      <c r="LCH98" s="798"/>
      <c r="LCI98" s="798"/>
      <c r="LCJ98" s="798"/>
      <c r="LCK98" s="798"/>
      <c r="LCL98" s="798"/>
      <c r="LCM98" s="798"/>
      <c r="LCN98" s="798"/>
      <c r="LCO98" s="798"/>
      <c r="LCP98" s="798"/>
      <c r="LCQ98" s="798"/>
      <c r="LCR98" s="798"/>
      <c r="LCS98" s="798"/>
      <c r="LCT98" s="798"/>
      <c r="LCU98" s="798"/>
      <c r="LCV98" s="798"/>
      <c r="LCW98" s="798"/>
      <c r="LCX98" s="798"/>
      <c r="LCY98" s="798"/>
      <c r="LCZ98" s="798"/>
      <c r="LDA98" s="798"/>
      <c r="LDB98" s="798"/>
      <c r="LDC98" s="798"/>
      <c r="LDD98" s="798"/>
      <c r="LDE98" s="798"/>
      <c r="LDF98" s="798"/>
      <c r="LDG98" s="798"/>
      <c r="LDH98" s="798"/>
      <c r="LDI98" s="798"/>
      <c r="LDJ98" s="798"/>
      <c r="LDK98" s="798"/>
      <c r="LDL98" s="798"/>
      <c r="LDM98" s="798"/>
      <c r="LDN98" s="798"/>
      <c r="LDO98" s="798"/>
      <c r="LDP98" s="798"/>
      <c r="LDQ98" s="798"/>
      <c r="LDR98" s="798"/>
      <c r="LDS98" s="798"/>
      <c r="LDT98" s="798"/>
      <c r="LDU98" s="798"/>
      <c r="LDV98" s="798"/>
      <c r="LDW98" s="798"/>
      <c r="LDX98" s="798"/>
      <c r="LDY98" s="798"/>
      <c r="LDZ98" s="798"/>
      <c r="LEA98" s="798"/>
      <c r="LEB98" s="798"/>
      <c r="LEC98" s="798"/>
      <c r="LED98" s="798"/>
      <c r="LEE98" s="798"/>
      <c r="LEF98" s="798"/>
      <c r="LEG98" s="798"/>
      <c r="LEH98" s="798"/>
      <c r="LEI98" s="798"/>
      <c r="LEJ98" s="798"/>
      <c r="LEK98" s="798"/>
      <c r="LEL98" s="798"/>
      <c r="LEM98" s="798"/>
      <c r="LEN98" s="798"/>
      <c r="LEO98" s="798"/>
      <c r="LEP98" s="798"/>
      <c r="LEQ98" s="798"/>
      <c r="LER98" s="798"/>
      <c r="LES98" s="798"/>
      <c r="LET98" s="798"/>
      <c r="LEU98" s="798"/>
      <c r="LEV98" s="798"/>
      <c r="LEW98" s="798"/>
      <c r="LEX98" s="798"/>
      <c r="LEY98" s="798"/>
      <c r="LEZ98" s="798"/>
      <c r="LFA98" s="798"/>
      <c r="LFB98" s="798"/>
      <c r="LFC98" s="798"/>
      <c r="LFD98" s="798"/>
      <c r="LFE98" s="798"/>
      <c r="LFF98" s="798"/>
      <c r="LFG98" s="798"/>
      <c r="LFH98" s="798"/>
      <c r="LFI98" s="798"/>
      <c r="LFJ98" s="798"/>
      <c r="LFK98" s="798"/>
      <c r="LFL98" s="798"/>
      <c r="LFM98" s="798"/>
      <c r="LFN98" s="798"/>
      <c r="LFO98" s="798"/>
      <c r="LFP98" s="798"/>
      <c r="LFQ98" s="798"/>
      <c r="LFR98" s="798"/>
      <c r="LFS98" s="798"/>
      <c r="LFT98" s="798"/>
      <c r="LFU98" s="798"/>
      <c r="LFV98" s="798"/>
      <c r="LFW98" s="798"/>
      <c r="LFX98" s="798"/>
      <c r="LFY98" s="798"/>
      <c r="LFZ98" s="798"/>
      <c r="LGA98" s="798"/>
      <c r="LGB98" s="798"/>
      <c r="LGC98" s="798"/>
      <c r="LGD98" s="798"/>
      <c r="LGE98" s="798"/>
      <c r="LGF98" s="798"/>
      <c r="LGG98" s="798"/>
      <c r="LGH98" s="798"/>
      <c r="LGI98" s="798"/>
      <c r="LGJ98" s="798"/>
      <c r="LGK98" s="798"/>
      <c r="LGL98" s="798"/>
      <c r="LGM98" s="798"/>
      <c r="LGN98" s="798"/>
      <c r="LGO98" s="798"/>
      <c r="LGP98" s="798"/>
      <c r="LGQ98" s="798"/>
      <c r="LGR98" s="798"/>
      <c r="LGS98" s="798"/>
      <c r="LGT98" s="798"/>
      <c r="LGU98" s="798"/>
      <c r="LGV98" s="798"/>
      <c r="LGW98" s="798"/>
      <c r="LGX98" s="798"/>
      <c r="LGY98" s="798"/>
      <c r="LGZ98" s="798"/>
      <c r="LHA98" s="798"/>
      <c r="LHB98" s="798"/>
      <c r="LHC98" s="798"/>
      <c r="LHD98" s="798"/>
      <c r="LHE98" s="798"/>
      <c r="LHF98" s="798"/>
      <c r="LHG98" s="798"/>
      <c r="LHH98" s="798"/>
      <c r="LHI98" s="798"/>
      <c r="LHJ98" s="798"/>
      <c r="LHK98" s="798"/>
      <c r="LHL98" s="798"/>
      <c r="LHM98" s="798"/>
      <c r="LHN98" s="798"/>
      <c r="LHO98" s="798"/>
      <c r="LHP98" s="798"/>
      <c r="LHQ98" s="798"/>
      <c r="LHR98" s="798"/>
      <c r="LHS98" s="798"/>
      <c r="LHT98" s="798"/>
      <c r="LHU98" s="798"/>
      <c r="LHV98" s="798"/>
      <c r="LHW98" s="798"/>
      <c r="LHX98" s="798"/>
      <c r="LHY98" s="798"/>
      <c r="LHZ98" s="798"/>
      <c r="LIA98" s="798"/>
      <c r="LIB98" s="798"/>
      <c r="LIC98" s="798"/>
      <c r="LID98" s="798"/>
      <c r="LIE98" s="798"/>
      <c r="LIF98" s="798"/>
      <c r="LIG98" s="798"/>
      <c r="LIH98" s="798"/>
      <c r="LII98" s="798"/>
      <c r="LIJ98" s="798"/>
      <c r="LIK98" s="798"/>
      <c r="LIL98" s="798"/>
      <c r="LIM98" s="798"/>
      <c r="LIN98" s="798"/>
      <c r="LIO98" s="798"/>
      <c r="LIP98" s="798"/>
      <c r="LIQ98" s="798"/>
      <c r="LIR98" s="798"/>
      <c r="LIS98" s="798"/>
      <c r="LIT98" s="798"/>
      <c r="LIU98" s="798"/>
      <c r="LIV98" s="798"/>
      <c r="LIW98" s="798"/>
      <c r="LIX98" s="798"/>
      <c r="LIY98" s="798"/>
      <c r="LIZ98" s="798"/>
      <c r="LJA98" s="798"/>
      <c r="LJB98" s="798"/>
      <c r="LJC98" s="798"/>
      <c r="LJD98" s="798"/>
      <c r="LJE98" s="798"/>
      <c r="LJF98" s="798"/>
      <c r="LJG98" s="798"/>
      <c r="LJH98" s="798"/>
      <c r="LJI98" s="798"/>
      <c r="LJJ98" s="798"/>
      <c r="LJK98" s="798"/>
      <c r="LJL98" s="798"/>
      <c r="LJM98" s="798"/>
      <c r="LJN98" s="798"/>
      <c r="LJO98" s="798"/>
      <c r="LJP98" s="798"/>
      <c r="LJQ98" s="798"/>
      <c r="LJR98" s="798"/>
      <c r="LJS98" s="798"/>
      <c r="LJT98" s="798"/>
      <c r="LJU98" s="798"/>
      <c r="LJV98" s="798"/>
      <c r="LJW98" s="798"/>
      <c r="LJX98" s="798"/>
      <c r="LJY98" s="798"/>
      <c r="LJZ98" s="798"/>
      <c r="LKA98" s="798"/>
      <c r="LKB98" s="798"/>
      <c r="LKC98" s="798"/>
      <c r="LKD98" s="798"/>
      <c r="LKE98" s="798"/>
      <c r="LKF98" s="798"/>
      <c r="LKG98" s="798"/>
      <c r="LKH98" s="798"/>
      <c r="LKI98" s="798"/>
      <c r="LKJ98" s="798"/>
      <c r="LKK98" s="798"/>
      <c r="LKL98" s="798"/>
      <c r="LKM98" s="798"/>
      <c r="LKN98" s="798"/>
      <c r="LKO98" s="798"/>
      <c r="LKP98" s="798"/>
      <c r="LKQ98" s="798"/>
      <c r="LKR98" s="798"/>
      <c r="LKS98" s="798"/>
      <c r="LKT98" s="798"/>
      <c r="LKU98" s="798"/>
      <c r="LKV98" s="798"/>
      <c r="LKW98" s="798"/>
      <c r="LKX98" s="798"/>
      <c r="LKY98" s="798"/>
      <c r="LKZ98" s="798"/>
      <c r="LLA98" s="798"/>
      <c r="LLB98" s="798"/>
      <c r="LLC98" s="798"/>
      <c r="LLD98" s="798"/>
      <c r="LLE98" s="798"/>
      <c r="LLF98" s="798"/>
      <c r="LLG98" s="798"/>
      <c r="LLH98" s="798"/>
      <c r="LLI98" s="798"/>
      <c r="LLJ98" s="798"/>
      <c r="LLK98" s="798"/>
      <c r="LLL98" s="798"/>
      <c r="LLM98" s="798"/>
      <c r="LLN98" s="798"/>
      <c r="LLO98" s="798"/>
      <c r="LLP98" s="798"/>
      <c r="LLQ98" s="798"/>
      <c r="LLR98" s="798"/>
      <c r="LLS98" s="798"/>
      <c r="LLT98" s="798"/>
      <c r="LLU98" s="798"/>
      <c r="LLV98" s="798"/>
      <c r="LLW98" s="798"/>
      <c r="LLX98" s="798"/>
      <c r="LLY98" s="798"/>
      <c r="LLZ98" s="798"/>
      <c r="LMA98" s="798"/>
      <c r="LMB98" s="798"/>
      <c r="LMC98" s="798"/>
      <c r="LMD98" s="798"/>
      <c r="LME98" s="798"/>
      <c r="LMF98" s="798"/>
      <c r="LMG98" s="798"/>
      <c r="LMH98" s="798"/>
      <c r="LMI98" s="798"/>
      <c r="LMJ98" s="798"/>
      <c r="LMK98" s="798"/>
      <c r="LML98" s="798"/>
      <c r="LMM98" s="798"/>
      <c r="LMN98" s="798"/>
      <c r="LMO98" s="798"/>
      <c r="LMP98" s="798"/>
      <c r="LMQ98" s="798"/>
      <c r="LMR98" s="798"/>
      <c r="LMS98" s="798"/>
      <c r="LMT98" s="798"/>
      <c r="LMU98" s="798"/>
      <c r="LMV98" s="798"/>
      <c r="LMW98" s="798"/>
      <c r="LMX98" s="798"/>
      <c r="LMY98" s="798"/>
      <c r="LMZ98" s="798"/>
      <c r="LNA98" s="798"/>
      <c r="LNB98" s="798"/>
      <c r="LNC98" s="798"/>
      <c r="LND98" s="798"/>
      <c r="LNE98" s="798"/>
      <c r="LNF98" s="798"/>
      <c r="LNG98" s="798"/>
      <c r="LNH98" s="798"/>
      <c r="LNI98" s="798"/>
      <c r="LNJ98" s="798"/>
      <c r="LNK98" s="798"/>
      <c r="LNL98" s="798"/>
      <c r="LNM98" s="798"/>
      <c r="LNN98" s="798"/>
      <c r="LNO98" s="798"/>
      <c r="LNP98" s="798"/>
      <c r="LNQ98" s="798"/>
      <c r="LNR98" s="798"/>
      <c r="LNS98" s="798"/>
      <c r="LNT98" s="798"/>
      <c r="LNU98" s="798"/>
      <c r="LNV98" s="798"/>
      <c r="LNW98" s="798"/>
      <c r="LNX98" s="798"/>
      <c r="LNY98" s="798"/>
      <c r="LNZ98" s="798"/>
      <c r="LOA98" s="798"/>
      <c r="LOB98" s="798"/>
      <c r="LOC98" s="798"/>
      <c r="LOD98" s="798"/>
      <c r="LOE98" s="798"/>
      <c r="LOF98" s="798"/>
      <c r="LOG98" s="798"/>
      <c r="LOH98" s="798"/>
      <c r="LOI98" s="798"/>
      <c r="LOJ98" s="798"/>
      <c r="LOK98" s="798"/>
      <c r="LOL98" s="798"/>
      <c r="LOM98" s="798"/>
      <c r="LON98" s="798"/>
      <c r="LOO98" s="798"/>
      <c r="LOP98" s="798"/>
      <c r="LOQ98" s="798"/>
      <c r="LOR98" s="798"/>
      <c r="LOS98" s="798"/>
      <c r="LOT98" s="798"/>
      <c r="LOU98" s="798"/>
      <c r="LOV98" s="798"/>
      <c r="LOW98" s="798"/>
      <c r="LOX98" s="798"/>
      <c r="LOY98" s="798"/>
      <c r="LOZ98" s="798"/>
      <c r="LPA98" s="798"/>
      <c r="LPB98" s="798"/>
      <c r="LPC98" s="798"/>
      <c r="LPD98" s="798"/>
      <c r="LPE98" s="798"/>
      <c r="LPF98" s="798"/>
      <c r="LPG98" s="798"/>
      <c r="LPH98" s="798"/>
      <c r="LPI98" s="798"/>
      <c r="LPJ98" s="798"/>
      <c r="LPK98" s="798"/>
      <c r="LPL98" s="798"/>
      <c r="LPM98" s="798"/>
      <c r="LPN98" s="798"/>
      <c r="LPO98" s="798"/>
      <c r="LPP98" s="798"/>
      <c r="LPQ98" s="798"/>
      <c r="LPR98" s="798"/>
      <c r="LPS98" s="798"/>
      <c r="LPT98" s="798"/>
      <c r="LPU98" s="798"/>
      <c r="LPV98" s="798"/>
      <c r="LPW98" s="798"/>
      <c r="LPX98" s="798"/>
      <c r="LPY98" s="798"/>
      <c r="LPZ98" s="798"/>
      <c r="LQA98" s="798"/>
      <c r="LQB98" s="798"/>
      <c r="LQC98" s="798"/>
      <c r="LQD98" s="798"/>
      <c r="LQE98" s="798"/>
      <c r="LQF98" s="798"/>
      <c r="LQG98" s="798"/>
      <c r="LQH98" s="798"/>
      <c r="LQI98" s="798"/>
      <c r="LQJ98" s="798"/>
      <c r="LQK98" s="798"/>
      <c r="LQL98" s="798"/>
      <c r="LQM98" s="798"/>
      <c r="LQN98" s="798"/>
      <c r="LQO98" s="798"/>
      <c r="LQP98" s="798"/>
      <c r="LQQ98" s="798"/>
      <c r="LQR98" s="798"/>
      <c r="LQS98" s="798"/>
      <c r="LQT98" s="798"/>
      <c r="LQU98" s="798"/>
      <c r="LQV98" s="798"/>
      <c r="LQW98" s="798"/>
      <c r="LQX98" s="798"/>
      <c r="LQY98" s="798"/>
      <c r="LQZ98" s="798"/>
      <c r="LRA98" s="798"/>
      <c r="LRB98" s="798"/>
      <c r="LRC98" s="798"/>
      <c r="LRD98" s="798"/>
      <c r="LRE98" s="798"/>
      <c r="LRF98" s="798"/>
      <c r="LRG98" s="798"/>
      <c r="LRH98" s="798"/>
      <c r="LRI98" s="798"/>
      <c r="LRJ98" s="798"/>
      <c r="LRK98" s="798"/>
      <c r="LRL98" s="798"/>
      <c r="LRM98" s="798"/>
      <c r="LRN98" s="798"/>
      <c r="LRO98" s="798"/>
      <c r="LRP98" s="798"/>
      <c r="LRQ98" s="798"/>
      <c r="LRR98" s="798"/>
      <c r="LRS98" s="798"/>
      <c r="LRT98" s="798"/>
      <c r="LRU98" s="798"/>
      <c r="LRV98" s="798"/>
      <c r="LRW98" s="798"/>
      <c r="LRX98" s="798"/>
      <c r="LRY98" s="798"/>
      <c r="LRZ98" s="798"/>
      <c r="LSA98" s="798"/>
      <c r="LSB98" s="798"/>
      <c r="LSC98" s="798"/>
      <c r="LSD98" s="798"/>
      <c r="LSE98" s="798"/>
      <c r="LSF98" s="798"/>
      <c r="LSG98" s="798"/>
      <c r="LSH98" s="798"/>
      <c r="LSI98" s="798"/>
      <c r="LSJ98" s="798"/>
      <c r="LSK98" s="798"/>
      <c r="LSL98" s="798"/>
      <c r="LSM98" s="798"/>
      <c r="LSN98" s="798"/>
      <c r="LSO98" s="798"/>
      <c r="LSP98" s="798"/>
      <c r="LSQ98" s="798"/>
      <c r="LSR98" s="798"/>
      <c r="LSS98" s="798"/>
      <c r="LST98" s="798"/>
      <c r="LSU98" s="798"/>
      <c r="LSV98" s="798"/>
      <c r="LSW98" s="798"/>
      <c r="LSX98" s="798"/>
      <c r="LSY98" s="798"/>
      <c r="LSZ98" s="798"/>
      <c r="LTA98" s="798"/>
      <c r="LTB98" s="798"/>
      <c r="LTC98" s="798"/>
      <c r="LTD98" s="798"/>
      <c r="LTE98" s="798"/>
      <c r="LTF98" s="798"/>
      <c r="LTG98" s="798"/>
      <c r="LTH98" s="798"/>
      <c r="LTI98" s="798"/>
      <c r="LTJ98" s="798"/>
      <c r="LTK98" s="798"/>
      <c r="LTL98" s="798"/>
      <c r="LTM98" s="798"/>
      <c r="LTN98" s="798"/>
      <c r="LTO98" s="798"/>
      <c r="LTP98" s="798"/>
      <c r="LTQ98" s="798"/>
      <c r="LTR98" s="798"/>
      <c r="LTS98" s="798"/>
      <c r="LTT98" s="798"/>
      <c r="LTU98" s="798"/>
      <c r="LTV98" s="798"/>
      <c r="LTW98" s="798"/>
      <c r="LTX98" s="798"/>
      <c r="LTY98" s="798"/>
      <c r="LTZ98" s="798"/>
      <c r="LUA98" s="798"/>
      <c r="LUB98" s="798"/>
      <c r="LUC98" s="798"/>
      <c r="LUD98" s="798"/>
      <c r="LUE98" s="798"/>
      <c r="LUF98" s="798"/>
      <c r="LUG98" s="798"/>
      <c r="LUH98" s="798"/>
      <c r="LUI98" s="798"/>
      <c r="LUJ98" s="798"/>
      <c r="LUK98" s="798"/>
      <c r="LUL98" s="798"/>
      <c r="LUM98" s="798"/>
      <c r="LUN98" s="798"/>
      <c r="LUO98" s="798"/>
      <c r="LUP98" s="798"/>
      <c r="LUQ98" s="798"/>
      <c r="LUR98" s="798"/>
      <c r="LUS98" s="798"/>
      <c r="LUT98" s="798"/>
      <c r="LUU98" s="798"/>
      <c r="LUV98" s="798"/>
      <c r="LUW98" s="798"/>
      <c r="LUX98" s="798"/>
      <c r="LUY98" s="798"/>
      <c r="LUZ98" s="798"/>
      <c r="LVA98" s="798"/>
      <c r="LVB98" s="798"/>
      <c r="LVC98" s="798"/>
      <c r="LVD98" s="798"/>
      <c r="LVE98" s="798"/>
      <c r="LVF98" s="798"/>
      <c r="LVG98" s="798"/>
      <c r="LVH98" s="798"/>
      <c r="LVI98" s="798"/>
      <c r="LVJ98" s="798"/>
      <c r="LVK98" s="798"/>
      <c r="LVL98" s="798"/>
      <c r="LVM98" s="798"/>
      <c r="LVN98" s="798"/>
      <c r="LVO98" s="798"/>
      <c r="LVP98" s="798"/>
      <c r="LVQ98" s="798"/>
      <c r="LVR98" s="798"/>
      <c r="LVS98" s="798"/>
      <c r="LVT98" s="798"/>
      <c r="LVU98" s="798"/>
      <c r="LVV98" s="798"/>
      <c r="LVW98" s="798"/>
      <c r="LVX98" s="798"/>
      <c r="LVY98" s="798"/>
      <c r="LVZ98" s="798"/>
      <c r="LWA98" s="798"/>
      <c r="LWB98" s="798"/>
      <c r="LWC98" s="798"/>
      <c r="LWD98" s="798"/>
      <c r="LWE98" s="798"/>
      <c r="LWF98" s="798"/>
      <c r="LWG98" s="798"/>
      <c r="LWH98" s="798"/>
      <c r="LWI98" s="798"/>
      <c r="LWJ98" s="798"/>
      <c r="LWK98" s="798"/>
      <c r="LWL98" s="798"/>
      <c r="LWM98" s="798"/>
      <c r="LWN98" s="798"/>
      <c r="LWO98" s="798"/>
      <c r="LWP98" s="798"/>
      <c r="LWQ98" s="798"/>
      <c r="LWR98" s="798"/>
      <c r="LWS98" s="798"/>
      <c r="LWT98" s="798"/>
      <c r="LWU98" s="798"/>
      <c r="LWV98" s="798"/>
      <c r="LWW98" s="798"/>
      <c r="LWX98" s="798"/>
      <c r="LWY98" s="798"/>
      <c r="LWZ98" s="798"/>
      <c r="LXA98" s="798"/>
      <c r="LXB98" s="798"/>
      <c r="LXC98" s="798"/>
      <c r="LXD98" s="798"/>
      <c r="LXE98" s="798"/>
      <c r="LXF98" s="798"/>
      <c r="LXG98" s="798"/>
      <c r="LXH98" s="798"/>
      <c r="LXI98" s="798"/>
      <c r="LXJ98" s="798"/>
      <c r="LXK98" s="798"/>
      <c r="LXL98" s="798"/>
      <c r="LXM98" s="798"/>
      <c r="LXN98" s="798"/>
      <c r="LXO98" s="798"/>
      <c r="LXP98" s="798"/>
      <c r="LXQ98" s="798"/>
      <c r="LXR98" s="798"/>
      <c r="LXS98" s="798"/>
      <c r="LXT98" s="798"/>
      <c r="LXU98" s="798"/>
      <c r="LXV98" s="798"/>
      <c r="LXW98" s="798"/>
      <c r="LXX98" s="798"/>
      <c r="LXY98" s="798"/>
      <c r="LXZ98" s="798"/>
      <c r="LYA98" s="798"/>
      <c r="LYB98" s="798"/>
      <c r="LYC98" s="798"/>
      <c r="LYD98" s="798"/>
      <c r="LYE98" s="798"/>
      <c r="LYF98" s="798"/>
      <c r="LYG98" s="798"/>
      <c r="LYH98" s="798"/>
      <c r="LYI98" s="798"/>
      <c r="LYJ98" s="798"/>
      <c r="LYK98" s="798"/>
      <c r="LYL98" s="798"/>
      <c r="LYM98" s="798"/>
      <c r="LYN98" s="798"/>
      <c r="LYO98" s="798"/>
      <c r="LYP98" s="798"/>
      <c r="LYQ98" s="798"/>
      <c r="LYR98" s="798"/>
      <c r="LYS98" s="798"/>
      <c r="LYT98" s="798"/>
      <c r="LYU98" s="798"/>
      <c r="LYV98" s="798"/>
      <c r="LYW98" s="798"/>
      <c r="LYX98" s="798"/>
      <c r="LYY98" s="798"/>
      <c r="LYZ98" s="798"/>
      <c r="LZA98" s="798"/>
      <c r="LZB98" s="798"/>
      <c r="LZC98" s="798"/>
      <c r="LZD98" s="798"/>
      <c r="LZE98" s="798"/>
      <c r="LZF98" s="798"/>
      <c r="LZG98" s="798"/>
      <c r="LZH98" s="798"/>
      <c r="LZI98" s="798"/>
      <c r="LZJ98" s="798"/>
      <c r="LZK98" s="798"/>
      <c r="LZL98" s="798"/>
      <c r="LZM98" s="798"/>
      <c r="LZN98" s="798"/>
      <c r="LZO98" s="798"/>
      <c r="LZP98" s="798"/>
      <c r="LZQ98" s="798"/>
      <c r="LZR98" s="798"/>
      <c r="LZS98" s="798"/>
      <c r="LZT98" s="798"/>
      <c r="LZU98" s="798"/>
      <c r="LZV98" s="798"/>
      <c r="LZW98" s="798"/>
      <c r="LZX98" s="798"/>
      <c r="LZY98" s="798"/>
      <c r="LZZ98" s="798"/>
      <c r="MAA98" s="798"/>
      <c r="MAB98" s="798"/>
      <c r="MAC98" s="798"/>
      <c r="MAD98" s="798"/>
      <c r="MAE98" s="798"/>
      <c r="MAF98" s="798"/>
      <c r="MAG98" s="798"/>
      <c r="MAH98" s="798"/>
      <c r="MAI98" s="798"/>
      <c r="MAJ98" s="798"/>
      <c r="MAK98" s="798"/>
      <c r="MAL98" s="798"/>
      <c r="MAM98" s="798"/>
      <c r="MAN98" s="798"/>
      <c r="MAO98" s="798"/>
      <c r="MAP98" s="798"/>
      <c r="MAQ98" s="798"/>
      <c r="MAR98" s="798"/>
      <c r="MAS98" s="798"/>
      <c r="MAT98" s="798"/>
      <c r="MAU98" s="798"/>
      <c r="MAV98" s="798"/>
      <c r="MAW98" s="798"/>
      <c r="MAX98" s="798"/>
      <c r="MAY98" s="798"/>
      <c r="MAZ98" s="798"/>
      <c r="MBA98" s="798"/>
      <c r="MBB98" s="798"/>
      <c r="MBC98" s="798"/>
      <c r="MBD98" s="798"/>
      <c r="MBE98" s="798"/>
      <c r="MBF98" s="798"/>
      <c r="MBG98" s="798"/>
      <c r="MBH98" s="798"/>
      <c r="MBI98" s="798"/>
      <c r="MBJ98" s="798"/>
      <c r="MBK98" s="798"/>
      <c r="MBL98" s="798"/>
      <c r="MBM98" s="798"/>
      <c r="MBN98" s="798"/>
      <c r="MBO98" s="798"/>
      <c r="MBP98" s="798"/>
      <c r="MBQ98" s="798"/>
      <c r="MBR98" s="798"/>
      <c r="MBS98" s="798"/>
      <c r="MBT98" s="798"/>
      <c r="MBU98" s="798"/>
      <c r="MBV98" s="798"/>
      <c r="MBW98" s="798"/>
      <c r="MBX98" s="798"/>
      <c r="MBY98" s="798"/>
      <c r="MBZ98" s="798"/>
      <c r="MCA98" s="798"/>
      <c r="MCB98" s="798"/>
      <c r="MCC98" s="798"/>
      <c r="MCD98" s="798"/>
      <c r="MCE98" s="798"/>
      <c r="MCF98" s="798"/>
      <c r="MCG98" s="798"/>
      <c r="MCH98" s="798"/>
      <c r="MCI98" s="798"/>
      <c r="MCJ98" s="798"/>
      <c r="MCK98" s="798"/>
      <c r="MCL98" s="798"/>
      <c r="MCM98" s="798"/>
      <c r="MCN98" s="798"/>
      <c r="MCO98" s="798"/>
      <c r="MCP98" s="798"/>
      <c r="MCQ98" s="798"/>
      <c r="MCR98" s="798"/>
      <c r="MCS98" s="798"/>
      <c r="MCT98" s="798"/>
      <c r="MCU98" s="798"/>
      <c r="MCV98" s="798"/>
      <c r="MCW98" s="798"/>
      <c r="MCX98" s="798"/>
      <c r="MCY98" s="798"/>
      <c r="MCZ98" s="798"/>
      <c r="MDA98" s="798"/>
      <c r="MDB98" s="798"/>
      <c r="MDC98" s="798"/>
      <c r="MDD98" s="798"/>
      <c r="MDE98" s="798"/>
      <c r="MDF98" s="798"/>
      <c r="MDG98" s="798"/>
      <c r="MDH98" s="798"/>
      <c r="MDI98" s="798"/>
      <c r="MDJ98" s="798"/>
      <c r="MDK98" s="798"/>
      <c r="MDL98" s="798"/>
      <c r="MDM98" s="798"/>
      <c r="MDN98" s="798"/>
      <c r="MDO98" s="798"/>
      <c r="MDP98" s="798"/>
      <c r="MDQ98" s="798"/>
      <c r="MDR98" s="798"/>
      <c r="MDS98" s="798"/>
      <c r="MDT98" s="798"/>
      <c r="MDU98" s="798"/>
      <c r="MDV98" s="798"/>
      <c r="MDW98" s="798"/>
      <c r="MDX98" s="798"/>
      <c r="MDY98" s="798"/>
      <c r="MDZ98" s="798"/>
      <c r="MEA98" s="798"/>
      <c r="MEB98" s="798"/>
      <c r="MEC98" s="798"/>
      <c r="MED98" s="798"/>
      <c r="MEE98" s="798"/>
      <c r="MEF98" s="798"/>
      <c r="MEG98" s="798"/>
      <c r="MEH98" s="798"/>
      <c r="MEI98" s="798"/>
      <c r="MEJ98" s="798"/>
      <c r="MEK98" s="798"/>
      <c r="MEL98" s="798"/>
      <c r="MEM98" s="798"/>
      <c r="MEN98" s="798"/>
      <c r="MEO98" s="798"/>
      <c r="MEP98" s="798"/>
      <c r="MEQ98" s="798"/>
      <c r="MER98" s="798"/>
      <c r="MES98" s="798"/>
      <c r="MET98" s="798"/>
      <c r="MEU98" s="798"/>
      <c r="MEV98" s="798"/>
      <c r="MEW98" s="798"/>
      <c r="MEX98" s="798"/>
      <c r="MEY98" s="798"/>
      <c r="MEZ98" s="798"/>
      <c r="MFA98" s="798"/>
      <c r="MFB98" s="798"/>
      <c r="MFC98" s="798"/>
      <c r="MFD98" s="798"/>
      <c r="MFE98" s="798"/>
      <c r="MFF98" s="798"/>
      <c r="MFG98" s="798"/>
      <c r="MFH98" s="798"/>
      <c r="MFI98" s="798"/>
      <c r="MFJ98" s="798"/>
      <c r="MFK98" s="798"/>
      <c r="MFL98" s="798"/>
      <c r="MFM98" s="798"/>
      <c r="MFN98" s="798"/>
      <c r="MFO98" s="798"/>
      <c r="MFP98" s="798"/>
      <c r="MFQ98" s="798"/>
      <c r="MFR98" s="798"/>
      <c r="MFS98" s="798"/>
      <c r="MFT98" s="798"/>
      <c r="MFU98" s="798"/>
      <c r="MFV98" s="798"/>
      <c r="MFW98" s="798"/>
      <c r="MFX98" s="798"/>
      <c r="MFY98" s="798"/>
      <c r="MFZ98" s="798"/>
      <c r="MGA98" s="798"/>
      <c r="MGB98" s="798"/>
      <c r="MGC98" s="798"/>
      <c r="MGD98" s="798"/>
      <c r="MGE98" s="798"/>
      <c r="MGF98" s="798"/>
      <c r="MGG98" s="798"/>
      <c r="MGH98" s="798"/>
      <c r="MGI98" s="798"/>
      <c r="MGJ98" s="798"/>
      <c r="MGK98" s="798"/>
      <c r="MGL98" s="798"/>
      <c r="MGM98" s="798"/>
      <c r="MGN98" s="798"/>
      <c r="MGO98" s="798"/>
      <c r="MGP98" s="798"/>
      <c r="MGQ98" s="798"/>
      <c r="MGR98" s="798"/>
      <c r="MGS98" s="798"/>
      <c r="MGT98" s="798"/>
      <c r="MGU98" s="798"/>
      <c r="MGV98" s="798"/>
      <c r="MGW98" s="798"/>
      <c r="MGX98" s="798"/>
      <c r="MGY98" s="798"/>
      <c r="MGZ98" s="798"/>
      <c r="MHA98" s="798"/>
      <c r="MHB98" s="798"/>
      <c r="MHC98" s="798"/>
      <c r="MHD98" s="798"/>
      <c r="MHE98" s="798"/>
      <c r="MHF98" s="798"/>
      <c r="MHG98" s="798"/>
      <c r="MHH98" s="798"/>
      <c r="MHI98" s="798"/>
      <c r="MHJ98" s="798"/>
      <c r="MHK98" s="798"/>
      <c r="MHL98" s="798"/>
      <c r="MHM98" s="798"/>
      <c r="MHN98" s="798"/>
      <c r="MHO98" s="798"/>
      <c r="MHP98" s="798"/>
      <c r="MHQ98" s="798"/>
      <c r="MHR98" s="798"/>
      <c r="MHS98" s="798"/>
      <c r="MHT98" s="798"/>
      <c r="MHU98" s="798"/>
      <c r="MHV98" s="798"/>
      <c r="MHW98" s="798"/>
      <c r="MHX98" s="798"/>
      <c r="MHY98" s="798"/>
      <c r="MHZ98" s="798"/>
      <c r="MIA98" s="798"/>
      <c r="MIB98" s="798"/>
      <c r="MIC98" s="798"/>
      <c r="MID98" s="798"/>
      <c r="MIE98" s="798"/>
      <c r="MIF98" s="798"/>
      <c r="MIG98" s="798"/>
      <c r="MIH98" s="798"/>
      <c r="MII98" s="798"/>
      <c r="MIJ98" s="798"/>
      <c r="MIK98" s="798"/>
      <c r="MIL98" s="798"/>
      <c r="MIM98" s="798"/>
      <c r="MIN98" s="798"/>
      <c r="MIO98" s="798"/>
      <c r="MIP98" s="798"/>
      <c r="MIQ98" s="798"/>
      <c r="MIR98" s="798"/>
      <c r="MIS98" s="798"/>
      <c r="MIT98" s="798"/>
      <c r="MIU98" s="798"/>
      <c r="MIV98" s="798"/>
      <c r="MIW98" s="798"/>
      <c r="MIX98" s="798"/>
      <c r="MIY98" s="798"/>
      <c r="MIZ98" s="798"/>
      <c r="MJA98" s="798"/>
      <c r="MJB98" s="798"/>
      <c r="MJC98" s="798"/>
      <c r="MJD98" s="798"/>
      <c r="MJE98" s="798"/>
      <c r="MJF98" s="798"/>
      <c r="MJG98" s="798"/>
      <c r="MJH98" s="798"/>
      <c r="MJI98" s="798"/>
      <c r="MJJ98" s="798"/>
      <c r="MJK98" s="798"/>
      <c r="MJL98" s="798"/>
      <c r="MJM98" s="798"/>
      <c r="MJN98" s="798"/>
      <c r="MJO98" s="798"/>
      <c r="MJP98" s="798"/>
      <c r="MJQ98" s="798"/>
      <c r="MJR98" s="798"/>
      <c r="MJS98" s="798"/>
      <c r="MJT98" s="798"/>
      <c r="MJU98" s="798"/>
      <c r="MJV98" s="798"/>
      <c r="MJW98" s="798"/>
      <c r="MJX98" s="798"/>
      <c r="MJY98" s="798"/>
      <c r="MJZ98" s="798"/>
      <c r="MKA98" s="798"/>
      <c r="MKB98" s="798"/>
      <c r="MKC98" s="798"/>
      <c r="MKD98" s="798"/>
      <c r="MKE98" s="798"/>
      <c r="MKF98" s="798"/>
      <c r="MKG98" s="798"/>
      <c r="MKH98" s="798"/>
      <c r="MKI98" s="798"/>
      <c r="MKJ98" s="798"/>
      <c r="MKK98" s="798"/>
      <c r="MKL98" s="798"/>
      <c r="MKM98" s="798"/>
      <c r="MKN98" s="798"/>
      <c r="MKO98" s="798"/>
      <c r="MKP98" s="798"/>
      <c r="MKQ98" s="798"/>
      <c r="MKR98" s="798"/>
      <c r="MKS98" s="798"/>
      <c r="MKT98" s="798"/>
      <c r="MKU98" s="798"/>
      <c r="MKV98" s="798"/>
      <c r="MKW98" s="798"/>
      <c r="MKX98" s="798"/>
      <c r="MKY98" s="798"/>
      <c r="MKZ98" s="798"/>
      <c r="MLA98" s="798"/>
      <c r="MLB98" s="798"/>
      <c r="MLC98" s="798"/>
      <c r="MLD98" s="798"/>
      <c r="MLE98" s="798"/>
      <c r="MLF98" s="798"/>
      <c r="MLG98" s="798"/>
      <c r="MLH98" s="798"/>
      <c r="MLI98" s="798"/>
      <c r="MLJ98" s="798"/>
      <c r="MLK98" s="798"/>
      <c r="MLL98" s="798"/>
      <c r="MLM98" s="798"/>
      <c r="MLN98" s="798"/>
      <c r="MLO98" s="798"/>
      <c r="MLP98" s="798"/>
      <c r="MLQ98" s="798"/>
      <c r="MLR98" s="798"/>
      <c r="MLS98" s="798"/>
      <c r="MLT98" s="798"/>
      <c r="MLU98" s="798"/>
      <c r="MLV98" s="798"/>
      <c r="MLW98" s="798"/>
      <c r="MLX98" s="798"/>
      <c r="MLY98" s="798"/>
      <c r="MLZ98" s="798"/>
      <c r="MMA98" s="798"/>
      <c r="MMB98" s="798"/>
      <c r="MMC98" s="798"/>
      <c r="MMD98" s="798"/>
      <c r="MME98" s="798"/>
      <c r="MMF98" s="798"/>
      <c r="MMG98" s="798"/>
      <c r="MMH98" s="798"/>
      <c r="MMI98" s="798"/>
      <c r="MMJ98" s="798"/>
      <c r="MMK98" s="798"/>
      <c r="MML98" s="798"/>
      <c r="MMM98" s="798"/>
      <c r="MMN98" s="798"/>
      <c r="MMO98" s="798"/>
      <c r="MMP98" s="798"/>
      <c r="MMQ98" s="798"/>
      <c r="MMR98" s="798"/>
      <c r="MMS98" s="798"/>
      <c r="MMT98" s="798"/>
      <c r="MMU98" s="798"/>
      <c r="MMV98" s="798"/>
      <c r="MMW98" s="798"/>
      <c r="MMX98" s="798"/>
      <c r="MMY98" s="798"/>
      <c r="MMZ98" s="798"/>
      <c r="MNA98" s="798"/>
      <c r="MNB98" s="798"/>
      <c r="MNC98" s="798"/>
      <c r="MND98" s="798"/>
      <c r="MNE98" s="798"/>
      <c r="MNF98" s="798"/>
      <c r="MNG98" s="798"/>
      <c r="MNH98" s="798"/>
      <c r="MNI98" s="798"/>
      <c r="MNJ98" s="798"/>
      <c r="MNK98" s="798"/>
      <c r="MNL98" s="798"/>
      <c r="MNM98" s="798"/>
      <c r="MNN98" s="798"/>
      <c r="MNO98" s="798"/>
      <c r="MNP98" s="798"/>
      <c r="MNQ98" s="798"/>
      <c r="MNR98" s="798"/>
      <c r="MNS98" s="798"/>
      <c r="MNT98" s="798"/>
      <c r="MNU98" s="798"/>
      <c r="MNV98" s="798"/>
      <c r="MNW98" s="798"/>
      <c r="MNX98" s="798"/>
      <c r="MNY98" s="798"/>
      <c r="MNZ98" s="798"/>
      <c r="MOA98" s="798"/>
      <c r="MOB98" s="798"/>
      <c r="MOC98" s="798"/>
      <c r="MOD98" s="798"/>
      <c r="MOE98" s="798"/>
      <c r="MOF98" s="798"/>
      <c r="MOG98" s="798"/>
      <c r="MOH98" s="798"/>
      <c r="MOI98" s="798"/>
      <c r="MOJ98" s="798"/>
      <c r="MOK98" s="798"/>
      <c r="MOL98" s="798"/>
      <c r="MOM98" s="798"/>
      <c r="MON98" s="798"/>
      <c r="MOO98" s="798"/>
      <c r="MOP98" s="798"/>
      <c r="MOQ98" s="798"/>
      <c r="MOR98" s="798"/>
      <c r="MOS98" s="798"/>
      <c r="MOT98" s="798"/>
      <c r="MOU98" s="798"/>
      <c r="MOV98" s="798"/>
      <c r="MOW98" s="798"/>
      <c r="MOX98" s="798"/>
      <c r="MOY98" s="798"/>
      <c r="MOZ98" s="798"/>
      <c r="MPA98" s="798"/>
      <c r="MPB98" s="798"/>
      <c r="MPC98" s="798"/>
      <c r="MPD98" s="798"/>
      <c r="MPE98" s="798"/>
      <c r="MPF98" s="798"/>
      <c r="MPG98" s="798"/>
      <c r="MPH98" s="798"/>
      <c r="MPI98" s="798"/>
      <c r="MPJ98" s="798"/>
      <c r="MPK98" s="798"/>
      <c r="MPL98" s="798"/>
      <c r="MPM98" s="798"/>
      <c r="MPN98" s="798"/>
      <c r="MPO98" s="798"/>
      <c r="MPP98" s="798"/>
      <c r="MPQ98" s="798"/>
      <c r="MPR98" s="798"/>
      <c r="MPS98" s="798"/>
      <c r="MPT98" s="798"/>
      <c r="MPU98" s="798"/>
      <c r="MPV98" s="798"/>
      <c r="MPW98" s="798"/>
      <c r="MPX98" s="798"/>
      <c r="MPY98" s="798"/>
      <c r="MPZ98" s="798"/>
      <c r="MQA98" s="798"/>
      <c r="MQB98" s="798"/>
      <c r="MQC98" s="798"/>
      <c r="MQD98" s="798"/>
      <c r="MQE98" s="798"/>
      <c r="MQF98" s="798"/>
      <c r="MQG98" s="798"/>
      <c r="MQH98" s="798"/>
      <c r="MQI98" s="798"/>
      <c r="MQJ98" s="798"/>
      <c r="MQK98" s="798"/>
      <c r="MQL98" s="798"/>
      <c r="MQM98" s="798"/>
      <c r="MQN98" s="798"/>
      <c r="MQO98" s="798"/>
      <c r="MQP98" s="798"/>
      <c r="MQQ98" s="798"/>
      <c r="MQR98" s="798"/>
      <c r="MQS98" s="798"/>
      <c r="MQT98" s="798"/>
      <c r="MQU98" s="798"/>
      <c r="MQV98" s="798"/>
      <c r="MQW98" s="798"/>
      <c r="MQX98" s="798"/>
      <c r="MQY98" s="798"/>
      <c r="MQZ98" s="798"/>
      <c r="MRA98" s="798"/>
      <c r="MRB98" s="798"/>
      <c r="MRC98" s="798"/>
      <c r="MRD98" s="798"/>
      <c r="MRE98" s="798"/>
      <c r="MRF98" s="798"/>
      <c r="MRG98" s="798"/>
      <c r="MRH98" s="798"/>
      <c r="MRI98" s="798"/>
      <c r="MRJ98" s="798"/>
      <c r="MRK98" s="798"/>
      <c r="MRL98" s="798"/>
      <c r="MRM98" s="798"/>
      <c r="MRN98" s="798"/>
      <c r="MRO98" s="798"/>
      <c r="MRP98" s="798"/>
      <c r="MRQ98" s="798"/>
      <c r="MRR98" s="798"/>
      <c r="MRS98" s="798"/>
      <c r="MRT98" s="798"/>
      <c r="MRU98" s="798"/>
      <c r="MRV98" s="798"/>
      <c r="MRW98" s="798"/>
      <c r="MRX98" s="798"/>
      <c r="MRY98" s="798"/>
      <c r="MRZ98" s="798"/>
      <c r="MSA98" s="798"/>
      <c r="MSB98" s="798"/>
      <c r="MSC98" s="798"/>
      <c r="MSD98" s="798"/>
      <c r="MSE98" s="798"/>
      <c r="MSF98" s="798"/>
      <c r="MSG98" s="798"/>
      <c r="MSH98" s="798"/>
      <c r="MSI98" s="798"/>
      <c r="MSJ98" s="798"/>
      <c r="MSK98" s="798"/>
      <c r="MSL98" s="798"/>
      <c r="MSM98" s="798"/>
      <c r="MSN98" s="798"/>
      <c r="MSO98" s="798"/>
      <c r="MSP98" s="798"/>
      <c r="MSQ98" s="798"/>
      <c r="MSR98" s="798"/>
      <c r="MSS98" s="798"/>
      <c r="MST98" s="798"/>
      <c r="MSU98" s="798"/>
      <c r="MSV98" s="798"/>
      <c r="MSW98" s="798"/>
      <c r="MSX98" s="798"/>
      <c r="MSY98" s="798"/>
      <c r="MSZ98" s="798"/>
      <c r="MTA98" s="798"/>
      <c r="MTB98" s="798"/>
      <c r="MTC98" s="798"/>
      <c r="MTD98" s="798"/>
      <c r="MTE98" s="798"/>
      <c r="MTF98" s="798"/>
      <c r="MTG98" s="798"/>
      <c r="MTH98" s="798"/>
      <c r="MTI98" s="798"/>
      <c r="MTJ98" s="798"/>
      <c r="MTK98" s="798"/>
      <c r="MTL98" s="798"/>
      <c r="MTM98" s="798"/>
      <c r="MTN98" s="798"/>
      <c r="MTO98" s="798"/>
      <c r="MTP98" s="798"/>
      <c r="MTQ98" s="798"/>
      <c r="MTR98" s="798"/>
      <c r="MTS98" s="798"/>
      <c r="MTT98" s="798"/>
      <c r="MTU98" s="798"/>
      <c r="MTV98" s="798"/>
      <c r="MTW98" s="798"/>
      <c r="MTX98" s="798"/>
      <c r="MTY98" s="798"/>
      <c r="MTZ98" s="798"/>
      <c r="MUA98" s="798"/>
      <c r="MUB98" s="798"/>
      <c r="MUC98" s="798"/>
      <c r="MUD98" s="798"/>
      <c r="MUE98" s="798"/>
      <c r="MUF98" s="798"/>
      <c r="MUG98" s="798"/>
      <c r="MUH98" s="798"/>
      <c r="MUI98" s="798"/>
      <c r="MUJ98" s="798"/>
      <c r="MUK98" s="798"/>
      <c r="MUL98" s="798"/>
      <c r="MUM98" s="798"/>
      <c r="MUN98" s="798"/>
      <c r="MUO98" s="798"/>
      <c r="MUP98" s="798"/>
      <c r="MUQ98" s="798"/>
      <c r="MUR98" s="798"/>
      <c r="MUS98" s="798"/>
      <c r="MUT98" s="798"/>
      <c r="MUU98" s="798"/>
      <c r="MUV98" s="798"/>
      <c r="MUW98" s="798"/>
      <c r="MUX98" s="798"/>
      <c r="MUY98" s="798"/>
      <c r="MUZ98" s="798"/>
      <c r="MVA98" s="798"/>
      <c r="MVB98" s="798"/>
      <c r="MVC98" s="798"/>
      <c r="MVD98" s="798"/>
      <c r="MVE98" s="798"/>
      <c r="MVF98" s="798"/>
      <c r="MVG98" s="798"/>
      <c r="MVH98" s="798"/>
      <c r="MVI98" s="798"/>
      <c r="MVJ98" s="798"/>
      <c r="MVK98" s="798"/>
      <c r="MVL98" s="798"/>
      <c r="MVM98" s="798"/>
      <c r="MVN98" s="798"/>
      <c r="MVO98" s="798"/>
      <c r="MVP98" s="798"/>
      <c r="MVQ98" s="798"/>
      <c r="MVR98" s="798"/>
      <c r="MVS98" s="798"/>
      <c r="MVT98" s="798"/>
      <c r="MVU98" s="798"/>
      <c r="MVV98" s="798"/>
      <c r="MVW98" s="798"/>
      <c r="MVX98" s="798"/>
      <c r="MVY98" s="798"/>
      <c r="MVZ98" s="798"/>
      <c r="MWA98" s="798"/>
      <c r="MWB98" s="798"/>
      <c r="MWC98" s="798"/>
      <c r="MWD98" s="798"/>
      <c r="MWE98" s="798"/>
      <c r="MWF98" s="798"/>
      <c r="MWG98" s="798"/>
      <c r="MWH98" s="798"/>
      <c r="MWI98" s="798"/>
      <c r="MWJ98" s="798"/>
      <c r="MWK98" s="798"/>
      <c r="MWL98" s="798"/>
      <c r="MWM98" s="798"/>
      <c r="MWN98" s="798"/>
      <c r="MWO98" s="798"/>
      <c r="MWP98" s="798"/>
      <c r="MWQ98" s="798"/>
      <c r="MWR98" s="798"/>
      <c r="MWS98" s="798"/>
      <c r="MWT98" s="798"/>
      <c r="MWU98" s="798"/>
      <c r="MWV98" s="798"/>
      <c r="MWW98" s="798"/>
      <c r="MWX98" s="798"/>
      <c r="MWY98" s="798"/>
      <c r="MWZ98" s="798"/>
      <c r="MXA98" s="798"/>
      <c r="MXB98" s="798"/>
      <c r="MXC98" s="798"/>
      <c r="MXD98" s="798"/>
      <c r="MXE98" s="798"/>
      <c r="MXF98" s="798"/>
      <c r="MXG98" s="798"/>
      <c r="MXH98" s="798"/>
      <c r="MXI98" s="798"/>
      <c r="MXJ98" s="798"/>
      <c r="MXK98" s="798"/>
      <c r="MXL98" s="798"/>
      <c r="MXM98" s="798"/>
      <c r="MXN98" s="798"/>
      <c r="MXO98" s="798"/>
      <c r="MXP98" s="798"/>
      <c r="MXQ98" s="798"/>
      <c r="MXR98" s="798"/>
      <c r="MXS98" s="798"/>
      <c r="MXT98" s="798"/>
      <c r="MXU98" s="798"/>
      <c r="MXV98" s="798"/>
      <c r="MXW98" s="798"/>
      <c r="MXX98" s="798"/>
      <c r="MXY98" s="798"/>
      <c r="MXZ98" s="798"/>
      <c r="MYA98" s="798"/>
      <c r="MYB98" s="798"/>
      <c r="MYC98" s="798"/>
      <c r="MYD98" s="798"/>
      <c r="MYE98" s="798"/>
      <c r="MYF98" s="798"/>
      <c r="MYG98" s="798"/>
      <c r="MYH98" s="798"/>
      <c r="MYI98" s="798"/>
      <c r="MYJ98" s="798"/>
      <c r="MYK98" s="798"/>
      <c r="MYL98" s="798"/>
      <c r="MYM98" s="798"/>
      <c r="MYN98" s="798"/>
      <c r="MYO98" s="798"/>
      <c r="MYP98" s="798"/>
      <c r="MYQ98" s="798"/>
      <c r="MYR98" s="798"/>
      <c r="MYS98" s="798"/>
      <c r="MYT98" s="798"/>
      <c r="MYU98" s="798"/>
      <c r="MYV98" s="798"/>
      <c r="MYW98" s="798"/>
      <c r="MYX98" s="798"/>
      <c r="MYY98" s="798"/>
      <c r="MYZ98" s="798"/>
      <c r="MZA98" s="798"/>
      <c r="MZB98" s="798"/>
      <c r="MZC98" s="798"/>
      <c r="MZD98" s="798"/>
      <c r="MZE98" s="798"/>
      <c r="MZF98" s="798"/>
      <c r="MZG98" s="798"/>
      <c r="MZH98" s="798"/>
      <c r="MZI98" s="798"/>
      <c r="MZJ98" s="798"/>
      <c r="MZK98" s="798"/>
      <c r="MZL98" s="798"/>
      <c r="MZM98" s="798"/>
      <c r="MZN98" s="798"/>
      <c r="MZO98" s="798"/>
      <c r="MZP98" s="798"/>
      <c r="MZQ98" s="798"/>
      <c r="MZR98" s="798"/>
      <c r="MZS98" s="798"/>
      <c r="MZT98" s="798"/>
      <c r="MZU98" s="798"/>
      <c r="MZV98" s="798"/>
      <c r="MZW98" s="798"/>
      <c r="MZX98" s="798"/>
      <c r="MZY98" s="798"/>
      <c r="MZZ98" s="798"/>
      <c r="NAA98" s="798"/>
      <c r="NAB98" s="798"/>
      <c r="NAC98" s="798"/>
      <c r="NAD98" s="798"/>
      <c r="NAE98" s="798"/>
      <c r="NAF98" s="798"/>
      <c r="NAG98" s="798"/>
      <c r="NAH98" s="798"/>
      <c r="NAI98" s="798"/>
      <c r="NAJ98" s="798"/>
      <c r="NAK98" s="798"/>
      <c r="NAL98" s="798"/>
      <c r="NAM98" s="798"/>
      <c r="NAN98" s="798"/>
      <c r="NAO98" s="798"/>
      <c r="NAP98" s="798"/>
      <c r="NAQ98" s="798"/>
      <c r="NAR98" s="798"/>
      <c r="NAS98" s="798"/>
      <c r="NAT98" s="798"/>
      <c r="NAU98" s="798"/>
      <c r="NAV98" s="798"/>
      <c r="NAW98" s="798"/>
      <c r="NAX98" s="798"/>
      <c r="NAY98" s="798"/>
      <c r="NAZ98" s="798"/>
      <c r="NBA98" s="798"/>
      <c r="NBB98" s="798"/>
      <c r="NBC98" s="798"/>
      <c r="NBD98" s="798"/>
      <c r="NBE98" s="798"/>
      <c r="NBF98" s="798"/>
      <c r="NBG98" s="798"/>
      <c r="NBH98" s="798"/>
      <c r="NBI98" s="798"/>
      <c r="NBJ98" s="798"/>
      <c r="NBK98" s="798"/>
      <c r="NBL98" s="798"/>
      <c r="NBM98" s="798"/>
      <c r="NBN98" s="798"/>
      <c r="NBO98" s="798"/>
      <c r="NBP98" s="798"/>
      <c r="NBQ98" s="798"/>
      <c r="NBR98" s="798"/>
      <c r="NBS98" s="798"/>
      <c r="NBT98" s="798"/>
      <c r="NBU98" s="798"/>
      <c r="NBV98" s="798"/>
      <c r="NBW98" s="798"/>
      <c r="NBX98" s="798"/>
      <c r="NBY98" s="798"/>
      <c r="NBZ98" s="798"/>
      <c r="NCA98" s="798"/>
      <c r="NCB98" s="798"/>
      <c r="NCC98" s="798"/>
      <c r="NCD98" s="798"/>
      <c r="NCE98" s="798"/>
      <c r="NCF98" s="798"/>
      <c r="NCG98" s="798"/>
      <c r="NCH98" s="798"/>
      <c r="NCI98" s="798"/>
      <c r="NCJ98" s="798"/>
      <c r="NCK98" s="798"/>
      <c r="NCL98" s="798"/>
      <c r="NCM98" s="798"/>
      <c r="NCN98" s="798"/>
      <c r="NCO98" s="798"/>
      <c r="NCP98" s="798"/>
      <c r="NCQ98" s="798"/>
      <c r="NCR98" s="798"/>
      <c r="NCS98" s="798"/>
      <c r="NCT98" s="798"/>
      <c r="NCU98" s="798"/>
      <c r="NCV98" s="798"/>
      <c r="NCW98" s="798"/>
      <c r="NCX98" s="798"/>
      <c r="NCY98" s="798"/>
      <c r="NCZ98" s="798"/>
      <c r="NDA98" s="798"/>
      <c r="NDB98" s="798"/>
      <c r="NDC98" s="798"/>
      <c r="NDD98" s="798"/>
      <c r="NDE98" s="798"/>
      <c r="NDF98" s="798"/>
      <c r="NDG98" s="798"/>
      <c r="NDH98" s="798"/>
      <c r="NDI98" s="798"/>
      <c r="NDJ98" s="798"/>
      <c r="NDK98" s="798"/>
      <c r="NDL98" s="798"/>
      <c r="NDM98" s="798"/>
      <c r="NDN98" s="798"/>
      <c r="NDO98" s="798"/>
      <c r="NDP98" s="798"/>
      <c r="NDQ98" s="798"/>
      <c r="NDR98" s="798"/>
      <c r="NDS98" s="798"/>
      <c r="NDT98" s="798"/>
      <c r="NDU98" s="798"/>
      <c r="NDV98" s="798"/>
      <c r="NDW98" s="798"/>
      <c r="NDX98" s="798"/>
      <c r="NDY98" s="798"/>
      <c r="NDZ98" s="798"/>
      <c r="NEA98" s="798"/>
      <c r="NEB98" s="798"/>
      <c r="NEC98" s="798"/>
      <c r="NED98" s="798"/>
      <c r="NEE98" s="798"/>
      <c r="NEF98" s="798"/>
      <c r="NEG98" s="798"/>
      <c r="NEH98" s="798"/>
      <c r="NEI98" s="798"/>
      <c r="NEJ98" s="798"/>
      <c r="NEK98" s="798"/>
      <c r="NEL98" s="798"/>
      <c r="NEM98" s="798"/>
      <c r="NEN98" s="798"/>
      <c r="NEO98" s="798"/>
      <c r="NEP98" s="798"/>
      <c r="NEQ98" s="798"/>
      <c r="NER98" s="798"/>
      <c r="NES98" s="798"/>
      <c r="NET98" s="798"/>
      <c r="NEU98" s="798"/>
      <c r="NEV98" s="798"/>
      <c r="NEW98" s="798"/>
      <c r="NEX98" s="798"/>
      <c r="NEY98" s="798"/>
      <c r="NEZ98" s="798"/>
      <c r="NFA98" s="798"/>
      <c r="NFB98" s="798"/>
      <c r="NFC98" s="798"/>
      <c r="NFD98" s="798"/>
      <c r="NFE98" s="798"/>
      <c r="NFF98" s="798"/>
      <c r="NFG98" s="798"/>
      <c r="NFH98" s="798"/>
      <c r="NFI98" s="798"/>
      <c r="NFJ98" s="798"/>
      <c r="NFK98" s="798"/>
      <c r="NFL98" s="798"/>
      <c r="NFM98" s="798"/>
      <c r="NFN98" s="798"/>
      <c r="NFO98" s="798"/>
      <c r="NFP98" s="798"/>
      <c r="NFQ98" s="798"/>
      <c r="NFR98" s="798"/>
      <c r="NFS98" s="798"/>
      <c r="NFT98" s="798"/>
      <c r="NFU98" s="798"/>
      <c r="NFV98" s="798"/>
      <c r="NFW98" s="798"/>
      <c r="NFX98" s="798"/>
      <c r="NFY98" s="798"/>
      <c r="NFZ98" s="798"/>
      <c r="NGA98" s="798"/>
      <c r="NGB98" s="798"/>
      <c r="NGC98" s="798"/>
      <c r="NGD98" s="798"/>
      <c r="NGE98" s="798"/>
      <c r="NGF98" s="798"/>
      <c r="NGG98" s="798"/>
      <c r="NGH98" s="798"/>
      <c r="NGI98" s="798"/>
      <c r="NGJ98" s="798"/>
      <c r="NGK98" s="798"/>
      <c r="NGL98" s="798"/>
      <c r="NGM98" s="798"/>
      <c r="NGN98" s="798"/>
      <c r="NGO98" s="798"/>
      <c r="NGP98" s="798"/>
      <c r="NGQ98" s="798"/>
      <c r="NGR98" s="798"/>
      <c r="NGS98" s="798"/>
      <c r="NGT98" s="798"/>
      <c r="NGU98" s="798"/>
      <c r="NGV98" s="798"/>
      <c r="NGW98" s="798"/>
      <c r="NGX98" s="798"/>
      <c r="NGY98" s="798"/>
      <c r="NGZ98" s="798"/>
      <c r="NHA98" s="798"/>
      <c r="NHB98" s="798"/>
      <c r="NHC98" s="798"/>
      <c r="NHD98" s="798"/>
      <c r="NHE98" s="798"/>
      <c r="NHF98" s="798"/>
      <c r="NHG98" s="798"/>
      <c r="NHH98" s="798"/>
      <c r="NHI98" s="798"/>
      <c r="NHJ98" s="798"/>
      <c r="NHK98" s="798"/>
      <c r="NHL98" s="798"/>
      <c r="NHM98" s="798"/>
      <c r="NHN98" s="798"/>
      <c r="NHO98" s="798"/>
      <c r="NHP98" s="798"/>
      <c r="NHQ98" s="798"/>
      <c r="NHR98" s="798"/>
      <c r="NHS98" s="798"/>
      <c r="NHT98" s="798"/>
      <c r="NHU98" s="798"/>
      <c r="NHV98" s="798"/>
      <c r="NHW98" s="798"/>
      <c r="NHX98" s="798"/>
      <c r="NHY98" s="798"/>
      <c r="NHZ98" s="798"/>
      <c r="NIA98" s="798"/>
      <c r="NIB98" s="798"/>
      <c r="NIC98" s="798"/>
      <c r="NID98" s="798"/>
      <c r="NIE98" s="798"/>
      <c r="NIF98" s="798"/>
      <c r="NIG98" s="798"/>
      <c r="NIH98" s="798"/>
      <c r="NII98" s="798"/>
      <c r="NIJ98" s="798"/>
      <c r="NIK98" s="798"/>
      <c r="NIL98" s="798"/>
      <c r="NIM98" s="798"/>
      <c r="NIN98" s="798"/>
      <c r="NIO98" s="798"/>
      <c r="NIP98" s="798"/>
      <c r="NIQ98" s="798"/>
      <c r="NIR98" s="798"/>
      <c r="NIS98" s="798"/>
      <c r="NIT98" s="798"/>
      <c r="NIU98" s="798"/>
      <c r="NIV98" s="798"/>
      <c r="NIW98" s="798"/>
      <c r="NIX98" s="798"/>
      <c r="NIY98" s="798"/>
      <c r="NIZ98" s="798"/>
      <c r="NJA98" s="798"/>
      <c r="NJB98" s="798"/>
      <c r="NJC98" s="798"/>
      <c r="NJD98" s="798"/>
      <c r="NJE98" s="798"/>
      <c r="NJF98" s="798"/>
      <c r="NJG98" s="798"/>
      <c r="NJH98" s="798"/>
      <c r="NJI98" s="798"/>
      <c r="NJJ98" s="798"/>
      <c r="NJK98" s="798"/>
      <c r="NJL98" s="798"/>
      <c r="NJM98" s="798"/>
      <c r="NJN98" s="798"/>
      <c r="NJO98" s="798"/>
      <c r="NJP98" s="798"/>
      <c r="NJQ98" s="798"/>
      <c r="NJR98" s="798"/>
      <c r="NJS98" s="798"/>
      <c r="NJT98" s="798"/>
      <c r="NJU98" s="798"/>
      <c r="NJV98" s="798"/>
      <c r="NJW98" s="798"/>
      <c r="NJX98" s="798"/>
      <c r="NJY98" s="798"/>
      <c r="NJZ98" s="798"/>
      <c r="NKA98" s="798"/>
      <c r="NKB98" s="798"/>
      <c r="NKC98" s="798"/>
      <c r="NKD98" s="798"/>
      <c r="NKE98" s="798"/>
      <c r="NKF98" s="798"/>
      <c r="NKG98" s="798"/>
      <c r="NKH98" s="798"/>
      <c r="NKI98" s="798"/>
      <c r="NKJ98" s="798"/>
      <c r="NKK98" s="798"/>
      <c r="NKL98" s="798"/>
      <c r="NKM98" s="798"/>
      <c r="NKN98" s="798"/>
      <c r="NKO98" s="798"/>
      <c r="NKP98" s="798"/>
      <c r="NKQ98" s="798"/>
      <c r="NKR98" s="798"/>
      <c r="NKS98" s="798"/>
      <c r="NKT98" s="798"/>
      <c r="NKU98" s="798"/>
      <c r="NKV98" s="798"/>
      <c r="NKW98" s="798"/>
      <c r="NKX98" s="798"/>
      <c r="NKY98" s="798"/>
      <c r="NKZ98" s="798"/>
      <c r="NLA98" s="798"/>
      <c r="NLB98" s="798"/>
      <c r="NLC98" s="798"/>
      <c r="NLD98" s="798"/>
      <c r="NLE98" s="798"/>
      <c r="NLF98" s="798"/>
      <c r="NLG98" s="798"/>
      <c r="NLH98" s="798"/>
      <c r="NLI98" s="798"/>
      <c r="NLJ98" s="798"/>
      <c r="NLK98" s="798"/>
      <c r="NLL98" s="798"/>
      <c r="NLM98" s="798"/>
      <c r="NLN98" s="798"/>
      <c r="NLO98" s="798"/>
      <c r="NLP98" s="798"/>
      <c r="NLQ98" s="798"/>
      <c r="NLR98" s="798"/>
      <c r="NLS98" s="798"/>
      <c r="NLT98" s="798"/>
      <c r="NLU98" s="798"/>
      <c r="NLV98" s="798"/>
      <c r="NLW98" s="798"/>
      <c r="NLX98" s="798"/>
      <c r="NLY98" s="798"/>
      <c r="NLZ98" s="798"/>
      <c r="NMA98" s="798"/>
      <c r="NMB98" s="798"/>
      <c r="NMC98" s="798"/>
      <c r="NMD98" s="798"/>
      <c r="NME98" s="798"/>
      <c r="NMF98" s="798"/>
      <c r="NMG98" s="798"/>
      <c r="NMH98" s="798"/>
      <c r="NMI98" s="798"/>
      <c r="NMJ98" s="798"/>
      <c r="NMK98" s="798"/>
      <c r="NML98" s="798"/>
      <c r="NMM98" s="798"/>
      <c r="NMN98" s="798"/>
      <c r="NMO98" s="798"/>
      <c r="NMP98" s="798"/>
      <c r="NMQ98" s="798"/>
      <c r="NMR98" s="798"/>
      <c r="NMS98" s="798"/>
      <c r="NMT98" s="798"/>
      <c r="NMU98" s="798"/>
      <c r="NMV98" s="798"/>
      <c r="NMW98" s="798"/>
      <c r="NMX98" s="798"/>
      <c r="NMY98" s="798"/>
      <c r="NMZ98" s="798"/>
      <c r="NNA98" s="798"/>
      <c r="NNB98" s="798"/>
      <c r="NNC98" s="798"/>
      <c r="NND98" s="798"/>
      <c r="NNE98" s="798"/>
      <c r="NNF98" s="798"/>
      <c r="NNG98" s="798"/>
      <c r="NNH98" s="798"/>
      <c r="NNI98" s="798"/>
      <c r="NNJ98" s="798"/>
      <c r="NNK98" s="798"/>
      <c r="NNL98" s="798"/>
      <c r="NNM98" s="798"/>
      <c r="NNN98" s="798"/>
      <c r="NNO98" s="798"/>
      <c r="NNP98" s="798"/>
      <c r="NNQ98" s="798"/>
      <c r="NNR98" s="798"/>
      <c r="NNS98" s="798"/>
      <c r="NNT98" s="798"/>
      <c r="NNU98" s="798"/>
      <c r="NNV98" s="798"/>
      <c r="NNW98" s="798"/>
      <c r="NNX98" s="798"/>
      <c r="NNY98" s="798"/>
      <c r="NNZ98" s="798"/>
      <c r="NOA98" s="798"/>
      <c r="NOB98" s="798"/>
      <c r="NOC98" s="798"/>
      <c r="NOD98" s="798"/>
      <c r="NOE98" s="798"/>
      <c r="NOF98" s="798"/>
      <c r="NOG98" s="798"/>
      <c r="NOH98" s="798"/>
      <c r="NOI98" s="798"/>
      <c r="NOJ98" s="798"/>
      <c r="NOK98" s="798"/>
      <c r="NOL98" s="798"/>
      <c r="NOM98" s="798"/>
      <c r="NON98" s="798"/>
      <c r="NOO98" s="798"/>
      <c r="NOP98" s="798"/>
      <c r="NOQ98" s="798"/>
      <c r="NOR98" s="798"/>
      <c r="NOS98" s="798"/>
      <c r="NOT98" s="798"/>
      <c r="NOU98" s="798"/>
      <c r="NOV98" s="798"/>
      <c r="NOW98" s="798"/>
      <c r="NOX98" s="798"/>
      <c r="NOY98" s="798"/>
      <c r="NOZ98" s="798"/>
      <c r="NPA98" s="798"/>
      <c r="NPB98" s="798"/>
      <c r="NPC98" s="798"/>
      <c r="NPD98" s="798"/>
      <c r="NPE98" s="798"/>
      <c r="NPF98" s="798"/>
      <c r="NPG98" s="798"/>
      <c r="NPH98" s="798"/>
      <c r="NPI98" s="798"/>
      <c r="NPJ98" s="798"/>
      <c r="NPK98" s="798"/>
      <c r="NPL98" s="798"/>
      <c r="NPM98" s="798"/>
      <c r="NPN98" s="798"/>
      <c r="NPO98" s="798"/>
      <c r="NPP98" s="798"/>
      <c r="NPQ98" s="798"/>
      <c r="NPR98" s="798"/>
      <c r="NPS98" s="798"/>
      <c r="NPT98" s="798"/>
      <c r="NPU98" s="798"/>
      <c r="NPV98" s="798"/>
      <c r="NPW98" s="798"/>
      <c r="NPX98" s="798"/>
      <c r="NPY98" s="798"/>
      <c r="NPZ98" s="798"/>
      <c r="NQA98" s="798"/>
      <c r="NQB98" s="798"/>
      <c r="NQC98" s="798"/>
      <c r="NQD98" s="798"/>
      <c r="NQE98" s="798"/>
      <c r="NQF98" s="798"/>
      <c r="NQG98" s="798"/>
      <c r="NQH98" s="798"/>
      <c r="NQI98" s="798"/>
      <c r="NQJ98" s="798"/>
      <c r="NQK98" s="798"/>
      <c r="NQL98" s="798"/>
      <c r="NQM98" s="798"/>
      <c r="NQN98" s="798"/>
      <c r="NQO98" s="798"/>
      <c r="NQP98" s="798"/>
      <c r="NQQ98" s="798"/>
      <c r="NQR98" s="798"/>
      <c r="NQS98" s="798"/>
      <c r="NQT98" s="798"/>
      <c r="NQU98" s="798"/>
      <c r="NQV98" s="798"/>
      <c r="NQW98" s="798"/>
      <c r="NQX98" s="798"/>
      <c r="NQY98" s="798"/>
      <c r="NQZ98" s="798"/>
      <c r="NRA98" s="798"/>
      <c r="NRB98" s="798"/>
      <c r="NRC98" s="798"/>
      <c r="NRD98" s="798"/>
      <c r="NRE98" s="798"/>
      <c r="NRF98" s="798"/>
      <c r="NRG98" s="798"/>
      <c r="NRH98" s="798"/>
      <c r="NRI98" s="798"/>
      <c r="NRJ98" s="798"/>
      <c r="NRK98" s="798"/>
      <c r="NRL98" s="798"/>
      <c r="NRM98" s="798"/>
      <c r="NRN98" s="798"/>
      <c r="NRO98" s="798"/>
      <c r="NRP98" s="798"/>
      <c r="NRQ98" s="798"/>
      <c r="NRR98" s="798"/>
      <c r="NRS98" s="798"/>
      <c r="NRT98" s="798"/>
      <c r="NRU98" s="798"/>
      <c r="NRV98" s="798"/>
      <c r="NRW98" s="798"/>
      <c r="NRX98" s="798"/>
      <c r="NRY98" s="798"/>
      <c r="NRZ98" s="798"/>
      <c r="NSA98" s="798"/>
      <c r="NSB98" s="798"/>
      <c r="NSC98" s="798"/>
      <c r="NSD98" s="798"/>
      <c r="NSE98" s="798"/>
      <c r="NSF98" s="798"/>
      <c r="NSG98" s="798"/>
      <c r="NSH98" s="798"/>
      <c r="NSI98" s="798"/>
      <c r="NSJ98" s="798"/>
      <c r="NSK98" s="798"/>
      <c r="NSL98" s="798"/>
      <c r="NSM98" s="798"/>
      <c r="NSN98" s="798"/>
      <c r="NSO98" s="798"/>
      <c r="NSP98" s="798"/>
      <c r="NSQ98" s="798"/>
      <c r="NSR98" s="798"/>
      <c r="NSS98" s="798"/>
      <c r="NST98" s="798"/>
      <c r="NSU98" s="798"/>
      <c r="NSV98" s="798"/>
      <c r="NSW98" s="798"/>
      <c r="NSX98" s="798"/>
      <c r="NSY98" s="798"/>
      <c r="NSZ98" s="798"/>
      <c r="NTA98" s="798"/>
      <c r="NTB98" s="798"/>
      <c r="NTC98" s="798"/>
      <c r="NTD98" s="798"/>
      <c r="NTE98" s="798"/>
      <c r="NTF98" s="798"/>
      <c r="NTG98" s="798"/>
      <c r="NTH98" s="798"/>
      <c r="NTI98" s="798"/>
      <c r="NTJ98" s="798"/>
      <c r="NTK98" s="798"/>
      <c r="NTL98" s="798"/>
      <c r="NTM98" s="798"/>
      <c r="NTN98" s="798"/>
      <c r="NTO98" s="798"/>
      <c r="NTP98" s="798"/>
      <c r="NTQ98" s="798"/>
      <c r="NTR98" s="798"/>
      <c r="NTS98" s="798"/>
      <c r="NTT98" s="798"/>
      <c r="NTU98" s="798"/>
      <c r="NTV98" s="798"/>
      <c r="NTW98" s="798"/>
      <c r="NTX98" s="798"/>
      <c r="NTY98" s="798"/>
      <c r="NTZ98" s="798"/>
      <c r="NUA98" s="798"/>
      <c r="NUB98" s="798"/>
      <c r="NUC98" s="798"/>
      <c r="NUD98" s="798"/>
      <c r="NUE98" s="798"/>
      <c r="NUF98" s="798"/>
      <c r="NUG98" s="798"/>
      <c r="NUH98" s="798"/>
      <c r="NUI98" s="798"/>
      <c r="NUJ98" s="798"/>
      <c r="NUK98" s="798"/>
      <c r="NUL98" s="798"/>
      <c r="NUM98" s="798"/>
      <c r="NUN98" s="798"/>
      <c r="NUO98" s="798"/>
      <c r="NUP98" s="798"/>
      <c r="NUQ98" s="798"/>
      <c r="NUR98" s="798"/>
      <c r="NUS98" s="798"/>
      <c r="NUT98" s="798"/>
      <c r="NUU98" s="798"/>
      <c r="NUV98" s="798"/>
      <c r="NUW98" s="798"/>
      <c r="NUX98" s="798"/>
      <c r="NUY98" s="798"/>
      <c r="NUZ98" s="798"/>
      <c r="NVA98" s="798"/>
      <c r="NVB98" s="798"/>
      <c r="NVC98" s="798"/>
      <c r="NVD98" s="798"/>
      <c r="NVE98" s="798"/>
      <c r="NVF98" s="798"/>
      <c r="NVG98" s="798"/>
      <c r="NVH98" s="798"/>
      <c r="NVI98" s="798"/>
      <c r="NVJ98" s="798"/>
      <c r="NVK98" s="798"/>
      <c r="NVL98" s="798"/>
      <c r="NVM98" s="798"/>
      <c r="NVN98" s="798"/>
      <c r="NVO98" s="798"/>
      <c r="NVP98" s="798"/>
      <c r="NVQ98" s="798"/>
      <c r="NVR98" s="798"/>
      <c r="NVS98" s="798"/>
      <c r="NVT98" s="798"/>
      <c r="NVU98" s="798"/>
      <c r="NVV98" s="798"/>
      <c r="NVW98" s="798"/>
      <c r="NVX98" s="798"/>
      <c r="NVY98" s="798"/>
      <c r="NVZ98" s="798"/>
      <c r="NWA98" s="798"/>
      <c r="NWB98" s="798"/>
      <c r="NWC98" s="798"/>
      <c r="NWD98" s="798"/>
      <c r="NWE98" s="798"/>
      <c r="NWF98" s="798"/>
      <c r="NWG98" s="798"/>
      <c r="NWH98" s="798"/>
      <c r="NWI98" s="798"/>
      <c r="NWJ98" s="798"/>
      <c r="NWK98" s="798"/>
      <c r="NWL98" s="798"/>
      <c r="NWM98" s="798"/>
      <c r="NWN98" s="798"/>
      <c r="NWO98" s="798"/>
      <c r="NWP98" s="798"/>
      <c r="NWQ98" s="798"/>
      <c r="NWR98" s="798"/>
      <c r="NWS98" s="798"/>
      <c r="NWT98" s="798"/>
      <c r="NWU98" s="798"/>
      <c r="NWV98" s="798"/>
      <c r="NWW98" s="798"/>
      <c r="NWX98" s="798"/>
      <c r="NWY98" s="798"/>
      <c r="NWZ98" s="798"/>
      <c r="NXA98" s="798"/>
      <c r="NXB98" s="798"/>
      <c r="NXC98" s="798"/>
      <c r="NXD98" s="798"/>
      <c r="NXE98" s="798"/>
      <c r="NXF98" s="798"/>
      <c r="NXG98" s="798"/>
      <c r="NXH98" s="798"/>
      <c r="NXI98" s="798"/>
      <c r="NXJ98" s="798"/>
      <c r="NXK98" s="798"/>
      <c r="NXL98" s="798"/>
      <c r="NXM98" s="798"/>
      <c r="NXN98" s="798"/>
      <c r="NXO98" s="798"/>
      <c r="NXP98" s="798"/>
      <c r="NXQ98" s="798"/>
      <c r="NXR98" s="798"/>
      <c r="NXS98" s="798"/>
      <c r="NXT98" s="798"/>
      <c r="NXU98" s="798"/>
      <c r="NXV98" s="798"/>
      <c r="NXW98" s="798"/>
      <c r="NXX98" s="798"/>
      <c r="NXY98" s="798"/>
      <c r="NXZ98" s="798"/>
      <c r="NYA98" s="798"/>
      <c r="NYB98" s="798"/>
      <c r="NYC98" s="798"/>
      <c r="NYD98" s="798"/>
      <c r="NYE98" s="798"/>
      <c r="NYF98" s="798"/>
      <c r="NYG98" s="798"/>
      <c r="NYH98" s="798"/>
      <c r="NYI98" s="798"/>
      <c r="NYJ98" s="798"/>
      <c r="NYK98" s="798"/>
      <c r="NYL98" s="798"/>
      <c r="NYM98" s="798"/>
      <c r="NYN98" s="798"/>
      <c r="NYO98" s="798"/>
      <c r="NYP98" s="798"/>
      <c r="NYQ98" s="798"/>
      <c r="NYR98" s="798"/>
      <c r="NYS98" s="798"/>
      <c r="NYT98" s="798"/>
      <c r="NYU98" s="798"/>
      <c r="NYV98" s="798"/>
      <c r="NYW98" s="798"/>
      <c r="NYX98" s="798"/>
      <c r="NYY98" s="798"/>
      <c r="NYZ98" s="798"/>
      <c r="NZA98" s="798"/>
      <c r="NZB98" s="798"/>
      <c r="NZC98" s="798"/>
      <c r="NZD98" s="798"/>
      <c r="NZE98" s="798"/>
      <c r="NZF98" s="798"/>
      <c r="NZG98" s="798"/>
      <c r="NZH98" s="798"/>
      <c r="NZI98" s="798"/>
      <c r="NZJ98" s="798"/>
      <c r="NZK98" s="798"/>
      <c r="NZL98" s="798"/>
      <c r="NZM98" s="798"/>
      <c r="NZN98" s="798"/>
      <c r="NZO98" s="798"/>
      <c r="NZP98" s="798"/>
      <c r="NZQ98" s="798"/>
      <c r="NZR98" s="798"/>
      <c r="NZS98" s="798"/>
      <c r="NZT98" s="798"/>
      <c r="NZU98" s="798"/>
      <c r="NZV98" s="798"/>
      <c r="NZW98" s="798"/>
      <c r="NZX98" s="798"/>
      <c r="NZY98" s="798"/>
      <c r="NZZ98" s="798"/>
      <c r="OAA98" s="798"/>
      <c r="OAB98" s="798"/>
      <c r="OAC98" s="798"/>
      <c r="OAD98" s="798"/>
      <c r="OAE98" s="798"/>
      <c r="OAF98" s="798"/>
      <c r="OAG98" s="798"/>
      <c r="OAH98" s="798"/>
      <c r="OAI98" s="798"/>
      <c r="OAJ98" s="798"/>
      <c r="OAK98" s="798"/>
      <c r="OAL98" s="798"/>
      <c r="OAM98" s="798"/>
      <c r="OAN98" s="798"/>
      <c r="OAO98" s="798"/>
      <c r="OAP98" s="798"/>
      <c r="OAQ98" s="798"/>
      <c r="OAR98" s="798"/>
      <c r="OAS98" s="798"/>
      <c r="OAT98" s="798"/>
      <c r="OAU98" s="798"/>
      <c r="OAV98" s="798"/>
      <c r="OAW98" s="798"/>
      <c r="OAX98" s="798"/>
      <c r="OAY98" s="798"/>
      <c r="OAZ98" s="798"/>
      <c r="OBA98" s="798"/>
      <c r="OBB98" s="798"/>
      <c r="OBC98" s="798"/>
      <c r="OBD98" s="798"/>
      <c r="OBE98" s="798"/>
      <c r="OBF98" s="798"/>
      <c r="OBG98" s="798"/>
      <c r="OBH98" s="798"/>
      <c r="OBI98" s="798"/>
      <c r="OBJ98" s="798"/>
      <c r="OBK98" s="798"/>
      <c r="OBL98" s="798"/>
      <c r="OBM98" s="798"/>
      <c r="OBN98" s="798"/>
      <c r="OBO98" s="798"/>
      <c r="OBP98" s="798"/>
      <c r="OBQ98" s="798"/>
      <c r="OBR98" s="798"/>
      <c r="OBS98" s="798"/>
      <c r="OBT98" s="798"/>
      <c r="OBU98" s="798"/>
      <c r="OBV98" s="798"/>
      <c r="OBW98" s="798"/>
      <c r="OBX98" s="798"/>
      <c r="OBY98" s="798"/>
      <c r="OBZ98" s="798"/>
      <c r="OCA98" s="798"/>
      <c r="OCB98" s="798"/>
      <c r="OCC98" s="798"/>
      <c r="OCD98" s="798"/>
      <c r="OCE98" s="798"/>
      <c r="OCF98" s="798"/>
      <c r="OCG98" s="798"/>
      <c r="OCH98" s="798"/>
      <c r="OCI98" s="798"/>
      <c r="OCJ98" s="798"/>
      <c r="OCK98" s="798"/>
      <c r="OCL98" s="798"/>
      <c r="OCM98" s="798"/>
      <c r="OCN98" s="798"/>
      <c r="OCO98" s="798"/>
      <c r="OCP98" s="798"/>
      <c r="OCQ98" s="798"/>
      <c r="OCR98" s="798"/>
      <c r="OCS98" s="798"/>
      <c r="OCT98" s="798"/>
      <c r="OCU98" s="798"/>
      <c r="OCV98" s="798"/>
      <c r="OCW98" s="798"/>
      <c r="OCX98" s="798"/>
      <c r="OCY98" s="798"/>
      <c r="OCZ98" s="798"/>
      <c r="ODA98" s="798"/>
      <c r="ODB98" s="798"/>
      <c r="ODC98" s="798"/>
      <c r="ODD98" s="798"/>
      <c r="ODE98" s="798"/>
      <c r="ODF98" s="798"/>
      <c r="ODG98" s="798"/>
      <c r="ODH98" s="798"/>
      <c r="ODI98" s="798"/>
      <c r="ODJ98" s="798"/>
      <c r="ODK98" s="798"/>
      <c r="ODL98" s="798"/>
      <c r="ODM98" s="798"/>
      <c r="ODN98" s="798"/>
      <c r="ODO98" s="798"/>
      <c r="ODP98" s="798"/>
      <c r="ODQ98" s="798"/>
      <c r="ODR98" s="798"/>
      <c r="ODS98" s="798"/>
      <c r="ODT98" s="798"/>
      <c r="ODU98" s="798"/>
      <c r="ODV98" s="798"/>
      <c r="ODW98" s="798"/>
      <c r="ODX98" s="798"/>
      <c r="ODY98" s="798"/>
      <c r="ODZ98" s="798"/>
      <c r="OEA98" s="798"/>
      <c r="OEB98" s="798"/>
      <c r="OEC98" s="798"/>
      <c r="OED98" s="798"/>
      <c r="OEE98" s="798"/>
      <c r="OEF98" s="798"/>
      <c r="OEG98" s="798"/>
      <c r="OEH98" s="798"/>
      <c r="OEI98" s="798"/>
      <c r="OEJ98" s="798"/>
      <c r="OEK98" s="798"/>
      <c r="OEL98" s="798"/>
      <c r="OEM98" s="798"/>
      <c r="OEN98" s="798"/>
      <c r="OEO98" s="798"/>
      <c r="OEP98" s="798"/>
      <c r="OEQ98" s="798"/>
      <c r="OER98" s="798"/>
      <c r="OES98" s="798"/>
      <c r="OET98" s="798"/>
      <c r="OEU98" s="798"/>
      <c r="OEV98" s="798"/>
      <c r="OEW98" s="798"/>
      <c r="OEX98" s="798"/>
      <c r="OEY98" s="798"/>
      <c r="OEZ98" s="798"/>
      <c r="OFA98" s="798"/>
      <c r="OFB98" s="798"/>
      <c r="OFC98" s="798"/>
      <c r="OFD98" s="798"/>
      <c r="OFE98" s="798"/>
      <c r="OFF98" s="798"/>
      <c r="OFG98" s="798"/>
      <c r="OFH98" s="798"/>
      <c r="OFI98" s="798"/>
      <c r="OFJ98" s="798"/>
      <c r="OFK98" s="798"/>
      <c r="OFL98" s="798"/>
      <c r="OFM98" s="798"/>
      <c r="OFN98" s="798"/>
      <c r="OFO98" s="798"/>
      <c r="OFP98" s="798"/>
      <c r="OFQ98" s="798"/>
      <c r="OFR98" s="798"/>
      <c r="OFS98" s="798"/>
      <c r="OFT98" s="798"/>
      <c r="OFU98" s="798"/>
      <c r="OFV98" s="798"/>
      <c r="OFW98" s="798"/>
      <c r="OFX98" s="798"/>
      <c r="OFY98" s="798"/>
      <c r="OFZ98" s="798"/>
      <c r="OGA98" s="798"/>
      <c r="OGB98" s="798"/>
      <c r="OGC98" s="798"/>
      <c r="OGD98" s="798"/>
      <c r="OGE98" s="798"/>
      <c r="OGF98" s="798"/>
      <c r="OGG98" s="798"/>
      <c r="OGH98" s="798"/>
      <c r="OGI98" s="798"/>
      <c r="OGJ98" s="798"/>
      <c r="OGK98" s="798"/>
      <c r="OGL98" s="798"/>
      <c r="OGM98" s="798"/>
      <c r="OGN98" s="798"/>
      <c r="OGO98" s="798"/>
      <c r="OGP98" s="798"/>
      <c r="OGQ98" s="798"/>
      <c r="OGR98" s="798"/>
      <c r="OGS98" s="798"/>
      <c r="OGT98" s="798"/>
      <c r="OGU98" s="798"/>
      <c r="OGV98" s="798"/>
      <c r="OGW98" s="798"/>
      <c r="OGX98" s="798"/>
      <c r="OGY98" s="798"/>
      <c r="OGZ98" s="798"/>
      <c r="OHA98" s="798"/>
      <c r="OHB98" s="798"/>
      <c r="OHC98" s="798"/>
      <c r="OHD98" s="798"/>
      <c r="OHE98" s="798"/>
      <c r="OHF98" s="798"/>
      <c r="OHG98" s="798"/>
      <c r="OHH98" s="798"/>
      <c r="OHI98" s="798"/>
      <c r="OHJ98" s="798"/>
      <c r="OHK98" s="798"/>
      <c r="OHL98" s="798"/>
      <c r="OHM98" s="798"/>
      <c r="OHN98" s="798"/>
      <c r="OHO98" s="798"/>
      <c r="OHP98" s="798"/>
      <c r="OHQ98" s="798"/>
      <c r="OHR98" s="798"/>
      <c r="OHS98" s="798"/>
      <c r="OHT98" s="798"/>
      <c r="OHU98" s="798"/>
      <c r="OHV98" s="798"/>
      <c r="OHW98" s="798"/>
      <c r="OHX98" s="798"/>
      <c r="OHY98" s="798"/>
      <c r="OHZ98" s="798"/>
      <c r="OIA98" s="798"/>
      <c r="OIB98" s="798"/>
      <c r="OIC98" s="798"/>
      <c r="OID98" s="798"/>
      <c r="OIE98" s="798"/>
      <c r="OIF98" s="798"/>
      <c r="OIG98" s="798"/>
      <c r="OIH98" s="798"/>
      <c r="OII98" s="798"/>
      <c r="OIJ98" s="798"/>
      <c r="OIK98" s="798"/>
      <c r="OIL98" s="798"/>
      <c r="OIM98" s="798"/>
      <c r="OIN98" s="798"/>
      <c r="OIO98" s="798"/>
      <c r="OIP98" s="798"/>
      <c r="OIQ98" s="798"/>
      <c r="OIR98" s="798"/>
      <c r="OIS98" s="798"/>
      <c r="OIT98" s="798"/>
      <c r="OIU98" s="798"/>
      <c r="OIV98" s="798"/>
      <c r="OIW98" s="798"/>
      <c r="OIX98" s="798"/>
      <c r="OIY98" s="798"/>
      <c r="OIZ98" s="798"/>
      <c r="OJA98" s="798"/>
      <c r="OJB98" s="798"/>
      <c r="OJC98" s="798"/>
      <c r="OJD98" s="798"/>
      <c r="OJE98" s="798"/>
      <c r="OJF98" s="798"/>
      <c r="OJG98" s="798"/>
      <c r="OJH98" s="798"/>
      <c r="OJI98" s="798"/>
      <c r="OJJ98" s="798"/>
      <c r="OJK98" s="798"/>
      <c r="OJL98" s="798"/>
      <c r="OJM98" s="798"/>
      <c r="OJN98" s="798"/>
      <c r="OJO98" s="798"/>
      <c r="OJP98" s="798"/>
      <c r="OJQ98" s="798"/>
      <c r="OJR98" s="798"/>
      <c r="OJS98" s="798"/>
      <c r="OJT98" s="798"/>
      <c r="OJU98" s="798"/>
      <c r="OJV98" s="798"/>
      <c r="OJW98" s="798"/>
      <c r="OJX98" s="798"/>
      <c r="OJY98" s="798"/>
      <c r="OJZ98" s="798"/>
      <c r="OKA98" s="798"/>
      <c r="OKB98" s="798"/>
      <c r="OKC98" s="798"/>
      <c r="OKD98" s="798"/>
      <c r="OKE98" s="798"/>
      <c r="OKF98" s="798"/>
      <c r="OKG98" s="798"/>
      <c r="OKH98" s="798"/>
      <c r="OKI98" s="798"/>
      <c r="OKJ98" s="798"/>
      <c r="OKK98" s="798"/>
      <c r="OKL98" s="798"/>
      <c r="OKM98" s="798"/>
      <c r="OKN98" s="798"/>
      <c r="OKO98" s="798"/>
      <c r="OKP98" s="798"/>
      <c r="OKQ98" s="798"/>
      <c r="OKR98" s="798"/>
      <c r="OKS98" s="798"/>
      <c r="OKT98" s="798"/>
      <c r="OKU98" s="798"/>
      <c r="OKV98" s="798"/>
      <c r="OKW98" s="798"/>
      <c r="OKX98" s="798"/>
      <c r="OKY98" s="798"/>
      <c r="OKZ98" s="798"/>
      <c r="OLA98" s="798"/>
      <c r="OLB98" s="798"/>
      <c r="OLC98" s="798"/>
      <c r="OLD98" s="798"/>
      <c r="OLE98" s="798"/>
      <c r="OLF98" s="798"/>
      <c r="OLG98" s="798"/>
      <c r="OLH98" s="798"/>
      <c r="OLI98" s="798"/>
      <c r="OLJ98" s="798"/>
      <c r="OLK98" s="798"/>
      <c r="OLL98" s="798"/>
      <c r="OLM98" s="798"/>
      <c r="OLN98" s="798"/>
      <c r="OLO98" s="798"/>
      <c r="OLP98" s="798"/>
      <c r="OLQ98" s="798"/>
      <c r="OLR98" s="798"/>
      <c r="OLS98" s="798"/>
      <c r="OLT98" s="798"/>
      <c r="OLU98" s="798"/>
      <c r="OLV98" s="798"/>
      <c r="OLW98" s="798"/>
      <c r="OLX98" s="798"/>
      <c r="OLY98" s="798"/>
      <c r="OLZ98" s="798"/>
      <c r="OMA98" s="798"/>
      <c r="OMB98" s="798"/>
      <c r="OMC98" s="798"/>
      <c r="OMD98" s="798"/>
      <c r="OME98" s="798"/>
      <c r="OMF98" s="798"/>
      <c r="OMG98" s="798"/>
      <c r="OMH98" s="798"/>
      <c r="OMI98" s="798"/>
      <c r="OMJ98" s="798"/>
      <c r="OMK98" s="798"/>
      <c r="OML98" s="798"/>
      <c r="OMM98" s="798"/>
      <c r="OMN98" s="798"/>
      <c r="OMO98" s="798"/>
      <c r="OMP98" s="798"/>
      <c r="OMQ98" s="798"/>
      <c r="OMR98" s="798"/>
      <c r="OMS98" s="798"/>
      <c r="OMT98" s="798"/>
      <c r="OMU98" s="798"/>
      <c r="OMV98" s="798"/>
      <c r="OMW98" s="798"/>
      <c r="OMX98" s="798"/>
      <c r="OMY98" s="798"/>
      <c r="OMZ98" s="798"/>
      <c r="ONA98" s="798"/>
      <c r="ONB98" s="798"/>
      <c r="ONC98" s="798"/>
      <c r="OND98" s="798"/>
      <c r="ONE98" s="798"/>
      <c r="ONF98" s="798"/>
      <c r="ONG98" s="798"/>
      <c r="ONH98" s="798"/>
      <c r="ONI98" s="798"/>
      <c r="ONJ98" s="798"/>
      <c r="ONK98" s="798"/>
      <c r="ONL98" s="798"/>
      <c r="ONM98" s="798"/>
      <c r="ONN98" s="798"/>
      <c r="ONO98" s="798"/>
      <c r="ONP98" s="798"/>
      <c r="ONQ98" s="798"/>
      <c r="ONR98" s="798"/>
      <c r="ONS98" s="798"/>
      <c r="ONT98" s="798"/>
      <c r="ONU98" s="798"/>
      <c r="ONV98" s="798"/>
      <c r="ONW98" s="798"/>
      <c r="ONX98" s="798"/>
      <c r="ONY98" s="798"/>
      <c r="ONZ98" s="798"/>
      <c r="OOA98" s="798"/>
      <c r="OOB98" s="798"/>
      <c r="OOC98" s="798"/>
      <c r="OOD98" s="798"/>
      <c r="OOE98" s="798"/>
      <c r="OOF98" s="798"/>
      <c r="OOG98" s="798"/>
      <c r="OOH98" s="798"/>
      <c r="OOI98" s="798"/>
      <c r="OOJ98" s="798"/>
      <c r="OOK98" s="798"/>
      <c r="OOL98" s="798"/>
      <c r="OOM98" s="798"/>
      <c r="OON98" s="798"/>
      <c r="OOO98" s="798"/>
      <c r="OOP98" s="798"/>
      <c r="OOQ98" s="798"/>
      <c r="OOR98" s="798"/>
      <c r="OOS98" s="798"/>
      <c r="OOT98" s="798"/>
      <c r="OOU98" s="798"/>
      <c r="OOV98" s="798"/>
      <c r="OOW98" s="798"/>
      <c r="OOX98" s="798"/>
      <c r="OOY98" s="798"/>
      <c r="OOZ98" s="798"/>
      <c r="OPA98" s="798"/>
      <c r="OPB98" s="798"/>
      <c r="OPC98" s="798"/>
      <c r="OPD98" s="798"/>
      <c r="OPE98" s="798"/>
      <c r="OPF98" s="798"/>
      <c r="OPG98" s="798"/>
      <c r="OPH98" s="798"/>
      <c r="OPI98" s="798"/>
      <c r="OPJ98" s="798"/>
      <c r="OPK98" s="798"/>
      <c r="OPL98" s="798"/>
      <c r="OPM98" s="798"/>
      <c r="OPN98" s="798"/>
      <c r="OPO98" s="798"/>
      <c r="OPP98" s="798"/>
      <c r="OPQ98" s="798"/>
      <c r="OPR98" s="798"/>
      <c r="OPS98" s="798"/>
      <c r="OPT98" s="798"/>
      <c r="OPU98" s="798"/>
      <c r="OPV98" s="798"/>
      <c r="OPW98" s="798"/>
      <c r="OPX98" s="798"/>
      <c r="OPY98" s="798"/>
      <c r="OPZ98" s="798"/>
      <c r="OQA98" s="798"/>
      <c r="OQB98" s="798"/>
      <c r="OQC98" s="798"/>
      <c r="OQD98" s="798"/>
      <c r="OQE98" s="798"/>
      <c r="OQF98" s="798"/>
      <c r="OQG98" s="798"/>
      <c r="OQH98" s="798"/>
      <c r="OQI98" s="798"/>
      <c r="OQJ98" s="798"/>
      <c r="OQK98" s="798"/>
      <c r="OQL98" s="798"/>
      <c r="OQM98" s="798"/>
      <c r="OQN98" s="798"/>
      <c r="OQO98" s="798"/>
      <c r="OQP98" s="798"/>
      <c r="OQQ98" s="798"/>
      <c r="OQR98" s="798"/>
      <c r="OQS98" s="798"/>
      <c r="OQT98" s="798"/>
      <c r="OQU98" s="798"/>
      <c r="OQV98" s="798"/>
      <c r="OQW98" s="798"/>
      <c r="OQX98" s="798"/>
      <c r="OQY98" s="798"/>
      <c r="OQZ98" s="798"/>
      <c r="ORA98" s="798"/>
      <c r="ORB98" s="798"/>
      <c r="ORC98" s="798"/>
      <c r="ORD98" s="798"/>
      <c r="ORE98" s="798"/>
      <c r="ORF98" s="798"/>
      <c r="ORG98" s="798"/>
      <c r="ORH98" s="798"/>
      <c r="ORI98" s="798"/>
      <c r="ORJ98" s="798"/>
      <c r="ORK98" s="798"/>
      <c r="ORL98" s="798"/>
      <c r="ORM98" s="798"/>
      <c r="ORN98" s="798"/>
      <c r="ORO98" s="798"/>
      <c r="ORP98" s="798"/>
      <c r="ORQ98" s="798"/>
      <c r="ORR98" s="798"/>
      <c r="ORS98" s="798"/>
      <c r="ORT98" s="798"/>
      <c r="ORU98" s="798"/>
      <c r="ORV98" s="798"/>
      <c r="ORW98" s="798"/>
      <c r="ORX98" s="798"/>
      <c r="ORY98" s="798"/>
      <c r="ORZ98" s="798"/>
      <c r="OSA98" s="798"/>
      <c r="OSB98" s="798"/>
      <c r="OSC98" s="798"/>
      <c r="OSD98" s="798"/>
      <c r="OSE98" s="798"/>
      <c r="OSF98" s="798"/>
      <c r="OSG98" s="798"/>
      <c r="OSH98" s="798"/>
      <c r="OSI98" s="798"/>
      <c r="OSJ98" s="798"/>
      <c r="OSK98" s="798"/>
      <c r="OSL98" s="798"/>
      <c r="OSM98" s="798"/>
      <c r="OSN98" s="798"/>
      <c r="OSO98" s="798"/>
      <c r="OSP98" s="798"/>
      <c r="OSQ98" s="798"/>
      <c r="OSR98" s="798"/>
      <c r="OSS98" s="798"/>
      <c r="OST98" s="798"/>
      <c r="OSU98" s="798"/>
      <c r="OSV98" s="798"/>
      <c r="OSW98" s="798"/>
      <c r="OSX98" s="798"/>
      <c r="OSY98" s="798"/>
      <c r="OSZ98" s="798"/>
      <c r="OTA98" s="798"/>
      <c r="OTB98" s="798"/>
      <c r="OTC98" s="798"/>
      <c r="OTD98" s="798"/>
      <c r="OTE98" s="798"/>
      <c r="OTF98" s="798"/>
      <c r="OTG98" s="798"/>
      <c r="OTH98" s="798"/>
      <c r="OTI98" s="798"/>
      <c r="OTJ98" s="798"/>
      <c r="OTK98" s="798"/>
      <c r="OTL98" s="798"/>
      <c r="OTM98" s="798"/>
      <c r="OTN98" s="798"/>
      <c r="OTO98" s="798"/>
      <c r="OTP98" s="798"/>
      <c r="OTQ98" s="798"/>
      <c r="OTR98" s="798"/>
      <c r="OTS98" s="798"/>
      <c r="OTT98" s="798"/>
      <c r="OTU98" s="798"/>
      <c r="OTV98" s="798"/>
      <c r="OTW98" s="798"/>
      <c r="OTX98" s="798"/>
      <c r="OTY98" s="798"/>
      <c r="OTZ98" s="798"/>
      <c r="OUA98" s="798"/>
      <c r="OUB98" s="798"/>
      <c r="OUC98" s="798"/>
      <c r="OUD98" s="798"/>
      <c r="OUE98" s="798"/>
      <c r="OUF98" s="798"/>
      <c r="OUG98" s="798"/>
      <c r="OUH98" s="798"/>
      <c r="OUI98" s="798"/>
      <c r="OUJ98" s="798"/>
      <c r="OUK98" s="798"/>
      <c r="OUL98" s="798"/>
      <c r="OUM98" s="798"/>
      <c r="OUN98" s="798"/>
      <c r="OUO98" s="798"/>
      <c r="OUP98" s="798"/>
      <c r="OUQ98" s="798"/>
      <c r="OUR98" s="798"/>
      <c r="OUS98" s="798"/>
      <c r="OUT98" s="798"/>
      <c r="OUU98" s="798"/>
      <c r="OUV98" s="798"/>
      <c r="OUW98" s="798"/>
      <c r="OUX98" s="798"/>
      <c r="OUY98" s="798"/>
      <c r="OUZ98" s="798"/>
      <c r="OVA98" s="798"/>
      <c r="OVB98" s="798"/>
      <c r="OVC98" s="798"/>
      <c r="OVD98" s="798"/>
      <c r="OVE98" s="798"/>
      <c r="OVF98" s="798"/>
      <c r="OVG98" s="798"/>
      <c r="OVH98" s="798"/>
      <c r="OVI98" s="798"/>
      <c r="OVJ98" s="798"/>
      <c r="OVK98" s="798"/>
      <c r="OVL98" s="798"/>
      <c r="OVM98" s="798"/>
      <c r="OVN98" s="798"/>
      <c r="OVO98" s="798"/>
      <c r="OVP98" s="798"/>
      <c r="OVQ98" s="798"/>
      <c r="OVR98" s="798"/>
      <c r="OVS98" s="798"/>
      <c r="OVT98" s="798"/>
      <c r="OVU98" s="798"/>
      <c r="OVV98" s="798"/>
      <c r="OVW98" s="798"/>
      <c r="OVX98" s="798"/>
      <c r="OVY98" s="798"/>
      <c r="OVZ98" s="798"/>
      <c r="OWA98" s="798"/>
      <c r="OWB98" s="798"/>
      <c r="OWC98" s="798"/>
      <c r="OWD98" s="798"/>
      <c r="OWE98" s="798"/>
      <c r="OWF98" s="798"/>
      <c r="OWG98" s="798"/>
      <c r="OWH98" s="798"/>
      <c r="OWI98" s="798"/>
      <c r="OWJ98" s="798"/>
      <c r="OWK98" s="798"/>
      <c r="OWL98" s="798"/>
      <c r="OWM98" s="798"/>
      <c r="OWN98" s="798"/>
      <c r="OWO98" s="798"/>
      <c r="OWP98" s="798"/>
      <c r="OWQ98" s="798"/>
      <c r="OWR98" s="798"/>
      <c r="OWS98" s="798"/>
      <c r="OWT98" s="798"/>
      <c r="OWU98" s="798"/>
      <c r="OWV98" s="798"/>
      <c r="OWW98" s="798"/>
      <c r="OWX98" s="798"/>
      <c r="OWY98" s="798"/>
      <c r="OWZ98" s="798"/>
      <c r="OXA98" s="798"/>
      <c r="OXB98" s="798"/>
      <c r="OXC98" s="798"/>
      <c r="OXD98" s="798"/>
      <c r="OXE98" s="798"/>
      <c r="OXF98" s="798"/>
      <c r="OXG98" s="798"/>
      <c r="OXH98" s="798"/>
      <c r="OXI98" s="798"/>
      <c r="OXJ98" s="798"/>
      <c r="OXK98" s="798"/>
      <c r="OXL98" s="798"/>
      <c r="OXM98" s="798"/>
      <c r="OXN98" s="798"/>
      <c r="OXO98" s="798"/>
      <c r="OXP98" s="798"/>
      <c r="OXQ98" s="798"/>
      <c r="OXR98" s="798"/>
      <c r="OXS98" s="798"/>
      <c r="OXT98" s="798"/>
      <c r="OXU98" s="798"/>
      <c r="OXV98" s="798"/>
      <c r="OXW98" s="798"/>
      <c r="OXX98" s="798"/>
      <c r="OXY98" s="798"/>
      <c r="OXZ98" s="798"/>
      <c r="OYA98" s="798"/>
      <c r="OYB98" s="798"/>
      <c r="OYC98" s="798"/>
      <c r="OYD98" s="798"/>
      <c r="OYE98" s="798"/>
      <c r="OYF98" s="798"/>
      <c r="OYG98" s="798"/>
      <c r="OYH98" s="798"/>
      <c r="OYI98" s="798"/>
      <c r="OYJ98" s="798"/>
      <c r="OYK98" s="798"/>
      <c r="OYL98" s="798"/>
      <c r="OYM98" s="798"/>
      <c r="OYN98" s="798"/>
      <c r="OYO98" s="798"/>
      <c r="OYP98" s="798"/>
      <c r="OYQ98" s="798"/>
      <c r="OYR98" s="798"/>
      <c r="OYS98" s="798"/>
      <c r="OYT98" s="798"/>
      <c r="OYU98" s="798"/>
      <c r="OYV98" s="798"/>
      <c r="OYW98" s="798"/>
      <c r="OYX98" s="798"/>
      <c r="OYY98" s="798"/>
      <c r="OYZ98" s="798"/>
      <c r="OZA98" s="798"/>
      <c r="OZB98" s="798"/>
      <c r="OZC98" s="798"/>
      <c r="OZD98" s="798"/>
      <c r="OZE98" s="798"/>
      <c r="OZF98" s="798"/>
      <c r="OZG98" s="798"/>
      <c r="OZH98" s="798"/>
      <c r="OZI98" s="798"/>
      <c r="OZJ98" s="798"/>
      <c r="OZK98" s="798"/>
      <c r="OZL98" s="798"/>
      <c r="OZM98" s="798"/>
      <c r="OZN98" s="798"/>
      <c r="OZO98" s="798"/>
      <c r="OZP98" s="798"/>
      <c r="OZQ98" s="798"/>
      <c r="OZR98" s="798"/>
      <c r="OZS98" s="798"/>
      <c r="OZT98" s="798"/>
      <c r="OZU98" s="798"/>
      <c r="OZV98" s="798"/>
      <c r="OZW98" s="798"/>
      <c r="OZX98" s="798"/>
      <c r="OZY98" s="798"/>
      <c r="OZZ98" s="798"/>
      <c r="PAA98" s="798"/>
      <c r="PAB98" s="798"/>
      <c r="PAC98" s="798"/>
      <c r="PAD98" s="798"/>
      <c r="PAE98" s="798"/>
      <c r="PAF98" s="798"/>
      <c r="PAG98" s="798"/>
      <c r="PAH98" s="798"/>
      <c r="PAI98" s="798"/>
      <c r="PAJ98" s="798"/>
      <c r="PAK98" s="798"/>
      <c r="PAL98" s="798"/>
      <c r="PAM98" s="798"/>
      <c r="PAN98" s="798"/>
      <c r="PAO98" s="798"/>
      <c r="PAP98" s="798"/>
      <c r="PAQ98" s="798"/>
      <c r="PAR98" s="798"/>
      <c r="PAS98" s="798"/>
      <c r="PAT98" s="798"/>
      <c r="PAU98" s="798"/>
      <c r="PAV98" s="798"/>
      <c r="PAW98" s="798"/>
      <c r="PAX98" s="798"/>
      <c r="PAY98" s="798"/>
      <c r="PAZ98" s="798"/>
      <c r="PBA98" s="798"/>
      <c r="PBB98" s="798"/>
      <c r="PBC98" s="798"/>
      <c r="PBD98" s="798"/>
      <c r="PBE98" s="798"/>
      <c r="PBF98" s="798"/>
      <c r="PBG98" s="798"/>
      <c r="PBH98" s="798"/>
      <c r="PBI98" s="798"/>
      <c r="PBJ98" s="798"/>
      <c r="PBK98" s="798"/>
      <c r="PBL98" s="798"/>
      <c r="PBM98" s="798"/>
      <c r="PBN98" s="798"/>
      <c r="PBO98" s="798"/>
      <c r="PBP98" s="798"/>
      <c r="PBQ98" s="798"/>
      <c r="PBR98" s="798"/>
      <c r="PBS98" s="798"/>
      <c r="PBT98" s="798"/>
      <c r="PBU98" s="798"/>
      <c r="PBV98" s="798"/>
      <c r="PBW98" s="798"/>
      <c r="PBX98" s="798"/>
      <c r="PBY98" s="798"/>
      <c r="PBZ98" s="798"/>
      <c r="PCA98" s="798"/>
      <c r="PCB98" s="798"/>
      <c r="PCC98" s="798"/>
      <c r="PCD98" s="798"/>
      <c r="PCE98" s="798"/>
      <c r="PCF98" s="798"/>
      <c r="PCG98" s="798"/>
      <c r="PCH98" s="798"/>
      <c r="PCI98" s="798"/>
      <c r="PCJ98" s="798"/>
      <c r="PCK98" s="798"/>
      <c r="PCL98" s="798"/>
      <c r="PCM98" s="798"/>
      <c r="PCN98" s="798"/>
      <c r="PCO98" s="798"/>
      <c r="PCP98" s="798"/>
      <c r="PCQ98" s="798"/>
      <c r="PCR98" s="798"/>
      <c r="PCS98" s="798"/>
      <c r="PCT98" s="798"/>
      <c r="PCU98" s="798"/>
      <c r="PCV98" s="798"/>
      <c r="PCW98" s="798"/>
      <c r="PCX98" s="798"/>
      <c r="PCY98" s="798"/>
      <c r="PCZ98" s="798"/>
      <c r="PDA98" s="798"/>
      <c r="PDB98" s="798"/>
      <c r="PDC98" s="798"/>
      <c r="PDD98" s="798"/>
      <c r="PDE98" s="798"/>
      <c r="PDF98" s="798"/>
      <c r="PDG98" s="798"/>
      <c r="PDH98" s="798"/>
      <c r="PDI98" s="798"/>
      <c r="PDJ98" s="798"/>
      <c r="PDK98" s="798"/>
      <c r="PDL98" s="798"/>
      <c r="PDM98" s="798"/>
      <c r="PDN98" s="798"/>
      <c r="PDO98" s="798"/>
      <c r="PDP98" s="798"/>
      <c r="PDQ98" s="798"/>
      <c r="PDR98" s="798"/>
      <c r="PDS98" s="798"/>
      <c r="PDT98" s="798"/>
      <c r="PDU98" s="798"/>
      <c r="PDV98" s="798"/>
      <c r="PDW98" s="798"/>
      <c r="PDX98" s="798"/>
      <c r="PDY98" s="798"/>
      <c r="PDZ98" s="798"/>
      <c r="PEA98" s="798"/>
      <c r="PEB98" s="798"/>
      <c r="PEC98" s="798"/>
      <c r="PED98" s="798"/>
      <c r="PEE98" s="798"/>
      <c r="PEF98" s="798"/>
      <c r="PEG98" s="798"/>
      <c r="PEH98" s="798"/>
      <c r="PEI98" s="798"/>
      <c r="PEJ98" s="798"/>
      <c r="PEK98" s="798"/>
      <c r="PEL98" s="798"/>
      <c r="PEM98" s="798"/>
      <c r="PEN98" s="798"/>
      <c r="PEO98" s="798"/>
      <c r="PEP98" s="798"/>
      <c r="PEQ98" s="798"/>
      <c r="PER98" s="798"/>
      <c r="PES98" s="798"/>
      <c r="PET98" s="798"/>
      <c r="PEU98" s="798"/>
      <c r="PEV98" s="798"/>
      <c r="PEW98" s="798"/>
      <c r="PEX98" s="798"/>
      <c r="PEY98" s="798"/>
      <c r="PEZ98" s="798"/>
      <c r="PFA98" s="798"/>
      <c r="PFB98" s="798"/>
      <c r="PFC98" s="798"/>
      <c r="PFD98" s="798"/>
      <c r="PFE98" s="798"/>
      <c r="PFF98" s="798"/>
      <c r="PFG98" s="798"/>
      <c r="PFH98" s="798"/>
      <c r="PFI98" s="798"/>
      <c r="PFJ98" s="798"/>
      <c r="PFK98" s="798"/>
      <c r="PFL98" s="798"/>
      <c r="PFM98" s="798"/>
      <c r="PFN98" s="798"/>
      <c r="PFO98" s="798"/>
      <c r="PFP98" s="798"/>
      <c r="PFQ98" s="798"/>
      <c r="PFR98" s="798"/>
      <c r="PFS98" s="798"/>
      <c r="PFT98" s="798"/>
      <c r="PFU98" s="798"/>
      <c r="PFV98" s="798"/>
      <c r="PFW98" s="798"/>
      <c r="PFX98" s="798"/>
      <c r="PFY98" s="798"/>
      <c r="PFZ98" s="798"/>
      <c r="PGA98" s="798"/>
      <c r="PGB98" s="798"/>
      <c r="PGC98" s="798"/>
      <c r="PGD98" s="798"/>
      <c r="PGE98" s="798"/>
      <c r="PGF98" s="798"/>
      <c r="PGG98" s="798"/>
      <c r="PGH98" s="798"/>
      <c r="PGI98" s="798"/>
      <c r="PGJ98" s="798"/>
      <c r="PGK98" s="798"/>
      <c r="PGL98" s="798"/>
      <c r="PGM98" s="798"/>
      <c r="PGN98" s="798"/>
      <c r="PGO98" s="798"/>
      <c r="PGP98" s="798"/>
      <c r="PGQ98" s="798"/>
      <c r="PGR98" s="798"/>
      <c r="PGS98" s="798"/>
      <c r="PGT98" s="798"/>
      <c r="PGU98" s="798"/>
      <c r="PGV98" s="798"/>
      <c r="PGW98" s="798"/>
      <c r="PGX98" s="798"/>
      <c r="PGY98" s="798"/>
      <c r="PGZ98" s="798"/>
      <c r="PHA98" s="798"/>
      <c r="PHB98" s="798"/>
      <c r="PHC98" s="798"/>
      <c r="PHD98" s="798"/>
      <c r="PHE98" s="798"/>
      <c r="PHF98" s="798"/>
      <c r="PHG98" s="798"/>
      <c r="PHH98" s="798"/>
      <c r="PHI98" s="798"/>
      <c r="PHJ98" s="798"/>
      <c r="PHK98" s="798"/>
      <c r="PHL98" s="798"/>
      <c r="PHM98" s="798"/>
      <c r="PHN98" s="798"/>
      <c r="PHO98" s="798"/>
      <c r="PHP98" s="798"/>
      <c r="PHQ98" s="798"/>
      <c r="PHR98" s="798"/>
      <c r="PHS98" s="798"/>
      <c r="PHT98" s="798"/>
      <c r="PHU98" s="798"/>
      <c r="PHV98" s="798"/>
      <c r="PHW98" s="798"/>
      <c r="PHX98" s="798"/>
      <c r="PHY98" s="798"/>
      <c r="PHZ98" s="798"/>
      <c r="PIA98" s="798"/>
      <c r="PIB98" s="798"/>
      <c r="PIC98" s="798"/>
      <c r="PID98" s="798"/>
      <c r="PIE98" s="798"/>
      <c r="PIF98" s="798"/>
      <c r="PIG98" s="798"/>
      <c r="PIH98" s="798"/>
      <c r="PII98" s="798"/>
      <c r="PIJ98" s="798"/>
      <c r="PIK98" s="798"/>
      <c r="PIL98" s="798"/>
      <c r="PIM98" s="798"/>
      <c r="PIN98" s="798"/>
      <c r="PIO98" s="798"/>
      <c r="PIP98" s="798"/>
      <c r="PIQ98" s="798"/>
      <c r="PIR98" s="798"/>
      <c r="PIS98" s="798"/>
      <c r="PIT98" s="798"/>
      <c r="PIU98" s="798"/>
      <c r="PIV98" s="798"/>
      <c r="PIW98" s="798"/>
      <c r="PIX98" s="798"/>
      <c r="PIY98" s="798"/>
      <c r="PIZ98" s="798"/>
      <c r="PJA98" s="798"/>
      <c r="PJB98" s="798"/>
      <c r="PJC98" s="798"/>
      <c r="PJD98" s="798"/>
      <c r="PJE98" s="798"/>
      <c r="PJF98" s="798"/>
      <c r="PJG98" s="798"/>
      <c r="PJH98" s="798"/>
      <c r="PJI98" s="798"/>
      <c r="PJJ98" s="798"/>
      <c r="PJK98" s="798"/>
      <c r="PJL98" s="798"/>
      <c r="PJM98" s="798"/>
      <c r="PJN98" s="798"/>
      <c r="PJO98" s="798"/>
      <c r="PJP98" s="798"/>
      <c r="PJQ98" s="798"/>
      <c r="PJR98" s="798"/>
      <c r="PJS98" s="798"/>
      <c r="PJT98" s="798"/>
      <c r="PJU98" s="798"/>
      <c r="PJV98" s="798"/>
      <c r="PJW98" s="798"/>
      <c r="PJX98" s="798"/>
      <c r="PJY98" s="798"/>
      <c r="PJZ98" s="798"/>
      <c r="PKA98" s="798"/>
      <c r="PKB98" s="798"/>
      <c r="PKC98" s="798"/>
      <c r="PKD98" s="798"/>
      <c r="PKE98" s="798"/>
      <c r="PKF98" s="798"/>
      <c r="PKG98" s="798"/>
      <c r="PKH98" s="798"/>
      <c r="PKI98" s="798"/>
      <c r="PKJ98" s="798"/>
      <c r="PKK98" s="798"/>
      <c r="PKL98" s="798"/>
      <c r="PKM98" s="798"/>
      <c r="PKN98" s="798"/>
      <c r="PKO98" s="798"/>
      <c r="PKP98" s="798"/>
      <c r="PKQ98" s="798"/>
      <c r="PKR98" s="798"/>
      <c r="PKS98" s="798"/>
      <c r="PKT98" s="798"/>
      <c r="PKU98" s="798"/>
      <c r="PKV98" s="798"/>
      <c r="PKW98" s="798"/>
      <c r="PKX98" s="798"/>
      <c r="PKY98" s="798"/>
      <c r="PKZ98" s="798"/>
      <c r="PLA98" s="798"/>
      <c r="PLB98" s="798"/>
      <c r="PLC98" s="798"/>
      <c r="PLD98" s="798"/>
      <c r="PLE98" s="798"/>
      <c r="PLF98" s="798"/>
      <c r="PLG98" s="798"/>
      <c r="PLH98" s="798"/>
      <c r="PLI98" s="798"/>
      <c r="PLJ98" s="798"/>
      <c r="PLK98" s="798"/>
      <c r="PLL98" s="798"/>
      <c r="PLM98" s="798"/>
      <c r="PLN98" s="798"/>
      <c r="PLO98" s="798"/>
      <c r="PLP98" s="798"/>
      <c r="PLQ98" s="798"/>
      <c r="PLR98" s="798"/>
      <c r="PLS98" s="798"/>
      <c r="PLT98" s="798"/>
      <c r="PLU98" s="798"/>
      <c r="PLV98" s="798"/>
      <c r="PLW98" s="798"/>
      <c r="PLX98" s="798"/>
      <c r="PLY98" s="798"/>
      <c r="PLZ98" s="798"/>
      <c r="PMA98" s="798"/>
      <c r="PMB98" s="798"/>
      <c r="PMC98" s="798"/>
      <c r="PMD98" s="798"/>
      <c r="PME98" s="798"/>
      <c r="PMF98" s="798"/>
      <c r="PMG98" s="798"/>
      <c r="PMH98" s="798"/>
      <c r="PMI98" s="798"/>
      <c r="PMJ98" s="798"/>
      <c r="PMK98" s="798"/>
      <c r="PML98" s="798"/>
      <c r="PMM98" s="798"/>
      <c r="PMN98" s="798"/>
      <c r="PMO98" s="798"/>
      <c r="PMP98" s="798"/>
      <c r="PMQ98" s="798"/>
      <c r="PMR98" s="798"/>
      <c r="PMS98" s="798"/>
      <c r="PMT98" s="798"/>
      <c r="PMU98" s="798"/>
      <c r="PMV98" s="798"/>
      <c r="PMW98" s="798"/>
      <c r="PMX98" s="798"/>
      <c r="PMY98" s="798"/>
      <c r="PMZ98" s="798"/>
      <c r="PNA98" s="798"/>
      <c r="PNB98" s="798"/>
      <c r="PNC98" s="798"/>
      <c r="PND98" s="798"/>
      <c r="PNE98" s="798"/>
      <c r="PNF98" s="798"/>
      <c r="PNG98" s="798"/>
      <c r="PNH98" s="798"/>
      <c r="PNI98" s="798"/>
      <c r="PNJ98" s="798"/>
      <c r="PNK98" s="798"/>
      <c r="PNL98" s="798"/>
      <c r="PNM98" s="798"/>
      <c r="PNN98" s="798"/>
      <c r="PNO98" s="798"/>
      <c r="PNP98" s="798"/>
      <c r="PNQ98" s="798"/>
      <c r="PNR98" s="798"/>
      <c r="PNS98" s="798"/>
      <c r="PNT98" s="798"/>
      <c r="PNU98" s="798"/>
      <c r="PNV98" s="798"/>
      <c r="PNW98" s="798"/>
      <c r="PNX98" s="798"/>
      <c r="PNY98" s="798"/>
      <c r="PNZ98" s="798"/>
      <c r="POA98" s="798"/>
      <c r="POB98" s="798"/>
      <c r="POC98" s="798"/>
      <c r="POD98" s="798"/>
      <c r="POE98" s="798"/>
      <c r="POF98" s="798"/>
      <c r="POG98" s="798"/>
      <c r="POH98" s="798"/>
      <c r="POI98" s="798"/>
      <c r="POJ98" s="798"/>
      <c r="POK98" s="798"/>
      <c r="POL98" s="798"/>
      <c r="POM98" s="798"/>
      <c r="PON98" s="798"/>
      <c r="POO98" s="798"/>
      <c r="POP98" s="798"/>
      <c r="POQ98" s="798"/>
      <c r="POR98" s="798"/>
      <c r="POS98" s="798"/>
      <c r="POT98" s="798"/>
      <c r="POU98" s="798"/>
      <c r="POV98" s="798"/>
      <c r="POW98" s="798"/>
      <c r="POX98" s="798"/>
      <c r="POY98" s="798"/>
      <c r="POZ98" s="798"/>
      <c r="PPA98" s="798"/>
      <c r="PPB98" s="798"/>
      <c r="PPC98" s="798"/>
      <c r="PPD98" s="798"/>
      <c r="PPE98" s="798"/>
      <c r="PPF98" s="798"/>
      <c r="PPG98" s="798"/>
      <c r="PPH98" s="798"/>
      <c r="PPI98" s="798"/>
      <c r="PPJ98" s="798"/>
      <c r="PPK98" s="798"/>
      <c r="PPL98" s="798"/>
      <c r="PPM98" s="798"/>
      <c r="PPN98" s="798"/>
      <c r="PPO98" s="798"/>
      <c r="PPP98" s="798"/>
      <c r="PPQ98" s="798"/>
      <c r="PPR98" s="798"/>
      <c r="PPS98" s="798"/>
      <c r="PPT98" s="798"/>
      <c r="PPU98" s="798"/>
      <c r="PPV98" s="798"/>
      <c r="PPW98" s="798"/>
      <c r="PPX98" s="798"/>
      <c r="PPY98" s="798"/>
      <c r="PPZ98" s="798"/>
      <c r="PQA98" s="798"/>
      <c r="PQB98" s="798"/>
      <c r="PQC98" s="798"/>
      <c r="PQD98" s="798"/>
      <c r="PQE98" s="798"/>
      <c r="PQF98" s="798"/>
      <c r="PQG98" s="798"/>
      <c r="PQH98" s="798"/>
      <c r="PQI98" s="798"/>
      <c r="PQJ98" s="798"/>
      <c r="PQK98" s="798"/>
      <c r="PQL98" s="798"/>
      <c r="PQM98" s="798"/>
      <c r="PQN98" s="798"/>
      <c r="PQO98" s="798"/>
      <c r="PQP98" s="798"/>
      <c r="PQQ98" s="798"/>
      <c r="PQR98" s="798"/>
      <c r="PQS98" s="798"/>
      <c r="PQT98" s="798"/>
      <c r="PQU98" s="798"/>
      <c r="PQV98" s="798"/>
      <c r="PQW98" s="798"/>
      <c r="PQX98" s="798"/>
      <c r="PQY98" s="798"/>
      <c r="PQZ98" s="798"/>
      <c r="PRA98" s="798"/>
      <c r="PRB98" s="798"/>
      <c r="PRC98" s="798"/>
      <c r="PRD98" s="798"/>
      <c r="PRE98" s="798"/>
      <c r="PRF98" s="798"/>
      <c r="PRG98" s="798"/>
      <c r="PRH98" s="798"/>
      <c r="PRI98" s="798"/>
      <c r="PRJ98" s="798"/>
      <c r="PRK98" s="798"/>
      <c r="PRL98" s="798"/>
      <c r="PRM98" s="798"/>
      <c r="PRN98" s="798"/>
      <c r="PRO98" s="798"/>
      <c r="PRP98" s="798"/>
      <c r="PRQ98" s="798"/>
      <c r="PRR98" s="798"/>
      <c r="PRS98" s="798"/>
      <c r="PRT98" s="798"/>
      <c r="PRU98" s="798"/>
      <c r="PRV98" s="798"/>
      <c r="PRW98" s="798"/>
      <c r="PRX98" s="798"/>
      <c r="PRY98" s="798"/>
      <c r="PRZ98" s="798"/>
      <c r="PSA98" s="798"/>
      <c r="PSB98" s="798"/>
      <c r="PSC98" s="798"/>
      <c r="PSD98" s="798"/>
      <c r="PSE98" s="798"/>
      <c r="PSF98" s="798"/>
      <c r="PSG98" s="798"/>
      <c r="PSH98" s="798"/>
      <c r="PSI98" s="798"/>
      <c r="PSJ98" s="798"/>
      <c r="PSK98" s="798"/>
      <c r="PSL98" s="798"/>
      <c r="PSM98" s="798"/>
      <c r="PSN98" s="798"/>
      <c r="PSO98" s="798"/>
      <c r="PSP98" s="798"/>
      <c r="PSQ98" s="798"/>
      <c r="PSR98" s="798"/>
      <c r="PSS98" s="798"/>
      <c r="PST98" s="798"/>
      <c r="PSU98" s="798"/>
      <c r="PSV98" s="798"/>
      <c r="PSW98" s="798"/>
      <c r="PSX98" s="798"/>
      <c r="PSY98" s="798"/>
      <c r="PSZ98" s="798"/>
      <c r="PTA98" s="798"/>
      <c r="PTB98" s="798"/>
      <c r="PTC98" s="798"/>
      <c r="PTD98" s="798"/>
      <c r="PTE98" s="798"/>
      <c r="PTF98" s="798"/>
      <c r="PTG98" s="798"/>
      <c r="PTH98" s="798"/>
      <c r="PTI98" s="798"/>
      <c r="PTJ98" s="798"/>
      <c r="PTK98" s="798"/>
      <c r="PTL98" s="798"/>
      <c r="PTM98" s="798"/>
      <c r="PTN98" s="798"/>
      <c r="PTO98" s="798"/>
      <c r="PTP98" s="798"/>
      <c r="PTQ98" s="798"/>
      <c r="PTR98" s="798"/>
      <c r="PTS98" s="798"/>
      <c r="PTT98" s="798"/>
      <c r="PTU98" s="798"/>
      <c r="PTV98" s="798"/>
      <c r="PTW98" s="798"/>
      <c r="PTX98" s="798"/>
      <c r="PTY98" s="798"/>
      <c r="PTZ98" s="798"/>
      <c r="PUA98" s="798"/>
      <c r="PUB98" s="798"/>
      <c r="PUC98" s="798"/>
      <c r="PUD98" s="798"/>
      <c r="PUE98" s="798"/>
      <c r="PUF98" s="798"/>
      <c r="PUG98" s="798"/>
      <c r="PUH98" s="798"/>
      <c r="PUI98" s="798"/>
      <c r="PUJ98" s="798"/>
      <c r="PUK98" s="798"/>
      <c r="PUL98" s="798"/>
      <c r="PUM98" s="798"/>
      <c r="PUN98" s="798"/>
      <c r="PUO98" s="798"/>
      <c r="PUP98" s="798"/>
      <c r="PUQ98" s="798"/>
      <c r="PUR98" s="798"/>
      <c r="PUS98" s="798"/>
      <c r="PUT98" s="798"/>
      <c r="PUU98" s="798"/>
      <c r="PUV98" s="798"/>
      <c r="PUW98" s="798"/>
      <c r="PUX98" s="798"/>
      <c r="PUY98" s="798"/>
      <c r="PUZ98" s="798"/>
      <c r="PVA98" s="798"/>
      <c r="PVB98" s="798"/>
      <c r="PVC98" s="798"/>
      <c r="PVD98" s="798"/>
      <c r="PVE98" s="798"/>
      <c r="PVF98" s="798"/>
      <c r="PVG98" s="798"/>
      <c r="PVH98" s="798"/>
      <c r="PVI98" s="798"/>
      <c r="PVJ98" s="798"/>
      <c r="PVK98" s="798"/>
      <c r="PVL98" s="798"/>
      <c r="PVM98" s="798"/>
      <c r="PVN98" s="798"/>
      <c r="PVO98" s="798"/>
      <c r="PVP98" s="798"/>
      <c r="PVQ98" s="798"/>
      <c r="PVR98" s="798"/>
      <c r="PVS98" s="798"/>
      <c r="PVT98" s="798"/>
      <c r="PVU98" s="798"/>
      <c r="PVV98" s="798"/>
      <c r="PVW98" s="798"/>
      <c r="PVX98" s="798"/>
      <c r="PVY98" s="798"/>
      <c r="PVZ98" s="798"/>
      <c r="PWA98" s="798"/>
      <c r="PWB98" s="798"/>
      <c r="PWC98" s="798"/>
      <c r="PWD98" s="798"/>
      <c r="PWE98" s="798"/>
      <c r="PWF98" s="798"/>
      <c r="PWG98" s="798"/>
      <c r="PWH98" s="798"/>
      <c r="PWI98" s="798"/>
      <c r="PWJ98" s="798"/>
      <c r="PWK98" s="798"/>
      <c r="PWL98" s="798"/>
      <c r="PWM98" s="798"/>
      <c r="PWN98" s="798"/>
      <c r="PWO98" s="798"/>
      <c r="PWP98" s="798"/>
      <c r="PWQ98" s="798"/>
      <c r="PWR98" s="798"/>
      <c r="PWS98" s="798"/>
      <c r="PWT98" s="798"/>
      <c r="PWU98" s="798"/>
      <c r="PWV98" s="798"/>
      <c r="PWW98" s="798"/>
      <c r="PWX98" s="798"/>
      <c r="PWY98" s="798"/>
      <c r="PWZ98" s="798"/>
      <c r="PXA98" s="798"/>
      <c r="PXB98" s="798"/>
      <c r="PXC98" s="798"/>
      <c r="PXD98" s="798"/>
      <c r="PXE98" s="798"/>
      <c r="PXF98" s="798"/>
      <c r="PXG98" s="798"/>
      <c r="PXH98" s="798"/>
      <c r="PXI98" s="798"/>
      <c r="PXJ98" s="798"/>
      <c r="PXK98" s="798"/>
      <c r="PXL98" s="798"/>
      <c r="PXM98" s="798"/>
      <c r="PXN98" s="798"/>
      <c r="PXO98" s="798"/>
      <c r="PXP98" s="798"/>
      <c r="PXQ98" s="798"/>
      <c r="PXR98" s="798"/>
      <c r="PXS98" s="798"/>
      <c r="PXT98" s="798"/>
      <c r="PXU98" s="798"/>
      <c r="PXV98" s="798"/>
      <c r="PXW98" s="798"/>
      <c r="PXX98" s="798"/>
      <c r="PXY98" s="798"/>
      <c r="PXZ98" s="798"/>
      <c r="PYA98" s="798"/>
      <c r="PYB98" s="798"/>
      <c r="PYC98" s="798"/>
      <c r="PYD98" s="798"/>
      <c r="PYE98" s="798"/>
      <c r="PYF98" s="798"/>
      <c r="PYG98" s="798"/>
      <c r="PYH98" s="798"/>
      <c r="PYI98" s="798"/>
      <c r="PYJ98" s="798"/>
      <c r="PYK98" s="798"/>
      <c r="PYL98" s="798"/>
      <c r="PYM98" s="798"/>
      <c r="PYN98" s="798"/>
      <c r="PYO98" s="798"/>
      <c r="PYP98" s="798"/>
      <c r="PYQ98" s="798"/>
      <c r="PYR98" s="798"/>
      <c r="PYS98" s="798"/>
      <c r="PYT98" s="798"/>
      <c r="PYU98" s="798"/>
      <c r="PYV98" s="798"/>
      <c r="PYW98" s="798"/>
      <c r="PYX98" s="798"/>
      <c r="PYY98" s="798"/>
      <c r="PYZ98" s="798"/>
      <c r="PZA98" s="798"/>
      <c r="PZB98" s="798"/>
      <c r="PZC98" s="798"/>
      <c r="PZD98" s="798"/>
      <c r="PZE98" s="798"/>
      <c r="PZF98" s="798"/>
      <c r="PZG98" s="798"/>
      <c r="PZH98" s="798"/>
      <c r="PZI98" s="798"/>
      <c r="PZJ98" s="798"/>
      <c r="PZK98" s="798"/>
      <c r="PZL98" s="798"/>
      <c r="PZM98" s="798"/>
      <c r="PZN98" s="798"/>
      <c r="PZO98" s="798"/>
      <c r="PZP98" s="798"/>
      <c r="PZQ98" s="798"/>
      <c r="PZR98" s="798"/>
      <c r="PZS98" s="798"/>
      <c r="PZT98" s="798"/>
      <c r="PZU98" s="798"/>
      <c r="PZV98" s="798"/>
      <c r="PZW98" s="798"/>
      <c r="PZX98" s="798"/>
      <c r="PZY98" s="798"/>
      <c r="PZZ98" s="798"/>
      <c r="QAA98" s="798"/>
      <c r="QAB98" s="798"/>
      <c r="QAC98" s="798"/>
      <c r="QAD98" s="798"/>
      <c r="QAE98" s="798"/>
      <c r="QAF98" s="798"/>
      <c r="QAG98" s="798"/>
      <c r="QAH98" s="798"/>
      <c r="QAI98" s="798"/>
      <c r="QAJ98" s="798"/>
      <c r="QAK98" s="798"/>
      <c r="QAL98" s="798"/>
      <c r="QAM98" s="798"/>
      <c r="QAN98" s="798"/>
      <c r="QAO98" s="798"/>
      <c r="QAP98" s="798"/>
      <c r="QAQ98" s="798"/>
      <c r="QAR98" s="798"/>
      <c r="QAS98" s="798"/>
      <c r="QAT98" s="798"/>
      <c r="QAU98" s="798"/>
      <c r="QAV98" s="798"/>
      <c r="QAW98" s="798"/>
      <c r="QAX98" s="798"/>
      <c r="QAY98" s="798"/>
      <c r="QAZ98" s="798"/>
      <c r="QBA98" s="798"/>
      <c r="QBB98" s="798"/>
      <c r="QBC98" s="798"/>
      <c r="QBD98" s="798"/>
      <c r="QBE98" s="798"/>
      <c r="QBF98" s="798"/>
      <c r="QBG98" s="798"/>
      <c r="QBH98" s="798"/>
      <c r="QBI98" s="798"/>
      <c r="QBJ98" s="798"/>
      <c r="QBK98" s="798"/>
      <c r="QBL98" s="798"/>
      <c r="QBM98" s="798"/>
      <c r="QBN98" s="798"/>
      <c r="QBO98" s="798"/>
      <c r="QBP98" s="798"/>
      <c r="QBQ98" s="798"/>
      <c r="QBR98" s="798"/>
      <c r="QBS98" s="798"/>
      <c r="QBT98" s="798"/>
      <c r="QBU98" s="798"/>
      <c r="QBV98" s="798"/>
      <c r="QBW98" s="798"/>
      <c r="QBX98" s="798"/>
      <c r="QBY98" s="798"/>
      <c r="QBZ98" s="798"/>
      <c r="QCA98" s="798"/>
      <c r="QCB98" s="798"/>
      <c r="QCC98" s="798"/>
      <c r="QCD98" s="798"/>
      <c r="QCE98" s="798"/>
      <c r="QCF98" s="798"/>
      <c r="QCG98" s="798"/>
      <c r="QCH98" s="798"/>
      <c r="QCI98" s="798"/>
      <c r="QCJ98" s="798"/>
      <c r="QCK98" s="798"/>
      <c r="QCL98" s="798"/>
      <c r="QCM98" s="798"/>
      <c r="QCN98" s="798"/>
      <c r="QCO98" s="798"/>
      <c r="QCP98" s="798"/>
      <c r="QCQ98" s="798"/>
      <c r="QCR98" s="798"/>
      <c r="QCS98" s="798"/>
      <c r="QCT98" s="798"/>
      <c r="QCU98" s="798"/>
      <c r="QCV98" s="798"/>
      <c r="QCW98" s="798"/>
      <c r="QCX98" s="798"/>
      <c r="QCY98" s="798"/>
      <c r="QCZ98" s="798"/>
      <c r="QDA98" s="798"/>
      <c r="QDB98" s="798"/>
      <c r="QDC98" s="798"/>
      <c r="QDD98" s="798"/>
      <c r="QDE98" s="798"/>
      <c r="QDF98" s="798"/>
      <c r="QDG98" s="798"/>
      <c r="QDH98" s="798"/>
      <c r="QDI98" s="798"/>
      <c r="QDJ98" s="798"/>
      <c r="QDK98" s="798"/>
      <c r="QDL98" s="798"/>
      <c r="QDM98" s="798"/>
      <c r="QDN98" s="798"/>
      <c r="QDO98" s="798"/>
      <c r="QDP98" s="798"/>
      <c r="QDQ98" s="798"/>
      <c r="QDR98" s="798"/>
      <c r="QDS98" s="798"/>
      <c r="QDT98" s="798"/>
      <c r="QDU98" s="798"/>
      <c r="QDV98" s="798"/>
      <c r="QDW98" s="798"/>
      <c r="QDX98" s="798"/>
      <c r="QDY98" s="798"/>
      <c r="QDZ98" s="798"/>
      <c r="QEA98" s="798"/>
      <c r="QEB98" s="798"/>
      <c r="QEC98" s="798"/>
      <c r="QED98" s="798"/>
      <c r="QEE98" s="798"/>
      <c r="QEF98" s="798"/>
      <c r="QEG98" s="798"/>
      <c r="QEH98" s="798"/>
      <c r="QEI98" s="798"/>
      <c r="QEJ98" s="798"/>
      <c r="QEK98" s="798"/>
      <c r="QEL98" s="798"/>
      <c r="QEM98" s="798"/>
      <c r="QEN98" s="798"/>
      <c r="QEO98" s="798"/>
      <c r="QEP98" s="798"/>
      <c r="QEQ98" s="798"/>
      <c r="QER98" s="798"/>
      <c r="QES98" s="798"/>
      <c r="QET98" s="798"/>
      <c r="QEU98" s="798"/>
      <c r="QEV98" s="798"/>
      <c r="QEW98" s="798"/>
      <c r="QEX98" s="798"/>
      <c r="QEY98" s="798"/>
      <c r="QEZ98" s="798"/>
      <c r="QFA98" s="798"/>
      <c r="QFB98" s="798"/>
      <c r="QFC98" s="798"/>
      <c r="QFD98" s="798"/>
      <c r="QFE98" s="798"/>
      <c r="QFF98" s="798"/>
      <c r="QFG98" s="798"/>
      <c r="QFH98" s="798"/>
      <c r="QFI98" s="798"/>
      <c r="QFJ98" s="798"/>
      <c r="QFK98" s="798"/>
      <c r="QFL98" s="798"/>
      <c r="QFM98" s="798"/>
      <c r="QFN98" s="798"/>
      <c r="QFO98" s="798"/>
      <c r="QFP98" s="798"/>
      <c r="QFQ98" s="798"/>
      <c r="QFR98" s="798"/>
      <c r="QFS98" s="798"/>
      <c r="QFT98" s="798"/>
      <c r="QFU98" s="798"/>
      <c r="QFV98" s="798"/>
      <c r="QFW98" s="798"/>
      <c r="QFX98" s="798"/>
      <c r="QFY98" s="798"/>
      <c r="QFZ98" s="798"/>
      <c r="QGA98" s="798"/>
      <c r="QGB98" s="798"/>
      <c r="QGC98" s="798"/>
      <c r="QGD98" s="798"/>
      <c r="QGE98" s="798"/>
      <c r="QGF98" s="798"/>
      <c r="QGG98" s="798"/>
      <c r="QGH98" s="798"/>
      <c r="QGI98" s="798"/>
      <c r="QGJ98" s="798"/>
      <c r="QGK98" s="798"/>
      <c r="QGL98" s="798"/>
      <c r="QGM98" s="798"/>
      <c r="QGN98" s="798"/>
      <c r="QGO98" s="798"/>
      <c r="QGP98" s="798"/>
      <c r="QGQ98" s="798"/>
      <c r="QGR98" s="798"/>
      <c r="QGS98" s="798"/>
      <c r="QGT98" s="798"/>
      <c r="QGU98" s="798"/>
      <c r="QGV98" s="798"/>
      <c r="QGW98" s="798"/>
      <c r="QGX98" s="798"/>
      <c r="QGY98" s="798"/>
      <c r="QGZ98" s="798"/>
      <c r="QHA98" s="798"/>
      <c r="QHB98" s="798"/>
      <c r="QHC98" s="798"/>
      <c r="QHD98" s="798"/>
      <c r="QHE98" s="798"/>
      <c r="QHF98" s="798"/>
      <c r="QHG98" s="798"/>
      <c r="QHH98" s="798"/>
      <c r="QHI98" s="798"/>
      <c r="QHJ98" s="798"/>
      <c r="QHK98" s="798"/>
      <c r="QHL98" s="798"/>
      <c r="QHM98" s="798"/>
      <c r="QHN98" s="798"/>
      <c r="QHO98" s="798"/>
      <c r="QHP98" s="798"/>
      <c r="QHQ98" s="798"/>
      <c r="QHR98" s="798"/>
      <c r="QHS98" s="798"/>
      <c r="QHT98" s="798"/>
      <c r="QHU98" s="798"/>
      <c r="QHV98" s="798"/>
      <c r="QHW98" s="798"/>
      <c r="QHX98" s="798"/>
      <c r="QHY98" s="798"/>
      <c r="QHZ98" s="798"/>
      <c r="QIA98" s="798"/>
      <c r="QIB98" s="798"/>
      <c r="QIC98" s="798"/>
      <c r="QID98" s="798"/>
      <c r="QIE98" s="798"/>
      <c r="QIF98" s="798"/>
      <c r="QIG98" s="798"/>
      <c r="QIH98" s="798"/>
      <c r="QII98" s="798"/>
      <c r="QIJ98" s="798"/>
      <c r="QIK98" s="798"/>
      <c r="QIL98" s="798"/>
      <c r="QIM98" s="798"/>
      <c r="QIN98" s="798"/>
      <c r="QIO98" s="798"/>
      <c r="QIP98" s="798"/>
      <c r="QIQ98" s="798"/>
      <c r="QIR98" s="798"/>
      <c r="QIS98" s="798"/>
      <c r="QIT98" s="798"/>
      <c r="QIU98" s="798"/>
      <c r="QIV98" s="798"/>
      <c r="QIW98" s="798"/>
      <c r="QIX98" s="798"/>
      <c r="QIY98" s="798"/>
      <c r="QIZ98" s="798"/>
      <c r="QJA98" s="798"/>
      <c r="QJB98" s="798"/>
      <c r="QJC98" s="798"/>
      <c r="QJD98" s="798"/>
      <c r="QJE98" s="798"/>
      <c r="QJF98" s="798"/>
      <c r="QJG98" s="798"/>
      <c r="QJH98" s="798"/>
      <c r="QJI98" s="798"/>
      <c r="QJJ98" s="798"/>
      <c r="QJK98" s="798"/>
      <c r="QJL98" s="798"/>
      <c r="QJM98" s="798"/>
      <c r="QJN98" s="798"/>
      <c r="QJO98" s="798"/>
      <c r="QJP98" s="798"/>
      <c r="QJQ98" s="798"/>
      <c r="QJR98" s="798"/>
      <c r="QJS98" s="798"/>
      <c r="QJT98" s="798"/>
      <c r="QJU98" s="798"/>
      <c r="QJV98" s="798"/>
      <c r="QJW98" s="798"/>
      <c r="QJX98" s="798"/>
      <c r="QJY98" s="798"/>
      <c r="QJZ98" s="798"/>
      <c r="QKA98" s="798"/>
      <c r="QKB98" s="798"/>
      <c r="QKC98" s="798"/>
      <c r="QKD98" s="798"/>
      <c r="QKE98" s="798"/>
      <c r="QKF98" s="798"/>
      <c r="QKG98" s="798"/>
      <c r="QKH98" s="798"/>
      <c r="QKI98" s="798"/>
      <c r="QKJ98" s="798"/>
      <c r="QKK98" s="798"/>
      <c r="QKL98" s="798"/>
      <c r="QKM98" s="798"/>
      <c r="QKN98" s="798"/>
      <c r="QKO98" s="798"/>
      <c r="QKP98" s="798"/>
      <c r="QKQ98" s="798"/>
      <c r="QKR98" s="798"/>
      <c r="QKS98" s="798"/>
      <c r="QKT98" s="798"/>
      <c r="QKU98" s="798"/>
      <c r="QKV98" s="798"/>
      <c r="QKW98" s="798"/>
      <c r="QKX98" s="798"/>
      <c r="QKY98" s="798"/>
      <c r="QKZ98" s="798"/>
      <c r="QLA98" s="798"/>
      <c r="QLB98" s="798"/>
      <c r="QLC98" s="798"/>
      <c r="QLD98" s="798"/>
      <c r="QLE98" s="798"/>
      <c r="QLF98" s="798"/>
      <c r="QLG98" s="798"/>
      <c r="QLH98" s="798"/>
      <c r="QLI98" s="798"/>
      <c r="QLJ98" s="798"/>
      <c r="QLK98" s="798"/>
      <c r="QLL98" s="798"/>
      <c r="QLM98" s="798"/>
      <c r="QLN98" s="798"/>
      <c r="QLO98" s="798"/>
      <c r="QLP98" s="798"/>
      <c r="QLQ98" s="798"/>
      <c r="QLR98" s="798"/>
      <c r="QLS98" s="798"/>
      <c r="QLT98" s="798"/>
      <c r="QLU98" s="798"/>
      <c r="QLV98" s="798"/>
      <c r="QLW98" s="798"/>
      <c r="QLX98" s="798"/>
      <c r="QLY98" s="798"/>
      <c r="QLZ98" s="798"/>
      <c r="QMA98" s="798"/>
      <c r="QMB98" s="798"/>
      <c r="QMC98" s="798"/>
      <c r="QMD98" s="798"/>
      <c r="QME98" s="798"/>
      <c r="QMF98" s="798"/>
      <c r="QMG98" s="798"/>
      <c r="QMH98" s="798"/>
      <c r="QMI98" s="798"/>
      <c r="QMJ98" s="798"/>
      <c r="QMK98" s="798"/>
      <c r="QML98" s="798"/>
      <c r="QMM98" s="798"/>
      <c r="QMN98" s="798"/>
      <c r="QMO98" s="798"/>
      <c r="QMP98" s="798"/>
      <c r="QMQ98" s="798"/>
      <c r="QMR98" s="798"/>
      <c r="QMS98" s="798"/>
      <c r="QMT98" s="798"/>
      <c r="QMU98" s="798"/>
      <c r="QMV98" s="798"/>
      <c r="QMW98" s="798"/>
      <c r="QMX98" s="798"/>
      <c r="QMY98" s="798"/>
      <c r="QMZ98" s="798"/>
      <c r="QNA98" s="798"/>
      <c r="QNB98" s="798"/>
      <c r="QNC98" s="798"/>
      <c r="QND98" s="798"/>
      <c r="QNE98" s="798"/>
      <c r="QNF98" s="798"/>
      <c r="QNG98" s="798"/>
      <c r="QNH98" s="798"/>
      <c r="QNI98" s="798"/>
      <c r="QNJ98" s="798"/>
      <c r="QNK98" s="798"/>
      <c r="QNL98" s="798"/>
      <c r="QNM98" s="798"/>
      <c r="QNN98" s="798"/>
      <c r="QNO98" s="798"/>
      <c r="QNP98" s="798"/>
      <c r="QNQ98" s="798"/>
      <c r="QNR98" s="798"/>
      <c r="QNS98" s="798"/>
      <c r="QNT98" s="798"/>
      <c r="QNU98" s="798"/>
      <c r="QNV98" s="798"/>
      <c r="QNW98" s="798"/>
      <c r="QNX98" s="798"/>
      <c r="QNY98" s="798"/>
      <c r="QNZ98" s="798"/>
      <c r="QOA98" s="798"/>
      <c r="QOB98" s="798"/>
      <c r="QOC98" s="798"/>
      <c r="QOD98" s="798"/>
      <c r="QOE98" s="798"/>
      <c r="QOF98" s="798"/>
      <c r="QOG98" s="798"/>
      <c r="QOH98" s="798"/>
      <c r="QOI98" s="798"/>
      <c r="QOJ98" s="798"/>
      <c r="QOK98" s="798"/>
      <c r="QOL98" s="798"/>
      <c r="QOM98" s="798"/>
      <c r="QON98" s="798"/>
      <c r="QOO98" s="798"/>
      <c r="QOP98" s="798"/>
      <c r="QOQ98" s="798"/>
      <c r="QOR98" s="798"/>
      <c r="QOS98" s="798"/>
      <c r="QOT98" s="798"/>
      <c r="QOU98" s="798"/>
      <c r="QOV98" s="798"/>
      <c r="QOW98" s="798"/>
      <c r="QOX98" s="798"/>
      <c r="QOY98" s="798"/>
      <c r="QOZ98" s="798"/>
      <c r="QPA98" s="798"/>
      <c r="QPB98" s="798"/>
      <c r="QPC98" s="798"/>
      <c r="QPD98" s="798"/>
      <c r="QPE98" s="798"/>
      <c r="QPF98" s="798"/>
      <c r="QPG98" s="798"/>
      <c r="QPH98" s="798"/>
      <c r="QPI98" s="798"/>
      <c r="QPJ98" s="798"/>
      <c r="QPK98" s="798"/>
      <c r="QPL98" s="798"/>
      <c r="QPM98" s="798"/>
      <c r="QPN98" s="798"/>
      <c r="QPO98" s="798"/>
      <c r="QPP98" s="798"/>
      <c r="QPQ98" s="798"/>
      <c r="QPR98" s="798"/>
      <c r="QPS98" s="798"/>
      <c r="QPT98" s="798"/>
      <c r="QPU98" s="798"/>
      <c r="QPV98" s="798"/>
      <c r="QPW98" s="798"/>
      <c r="QPX98" s="798"/>
      <c r="QPY98" s="798"/>
      <c r="QPZ98" s="798"/>
      <c r="QQA98" s="798"/>
      <c r="QQB98" s="798"/>
      <c r="QQC98" s="798"/>
      <c r="QQD98" s="798"/>
      <c r="QQE98" s="798"/>
      <c r="QQF98" s="798"/>
      <c r="QQG98" s="798"/>
      <c r="QQH98" s="798"/>
      <c r="QQI98" s="798"/>
      <c r="QQJ98" s="798"/>
      <c r="QQK98" s="798"/>
      <c r="QQL98" s="798"/>
      <c r="QQM98" s="798"/>
      <c r="QQN98" s="798"/>
      <c r="QQO98" s="798"/>
      <c r="QQP98" s="798"/>
      <c r="QQQ98" s="798"/>
      <c r="QQR98" s="798"/>
      <c r="QQS98" s="798"/>
      <c r="QQT98" s="798"/>
      <c r="QQU98" s="798"/>
      <c r="QQV98" s="798"/>
      <c r="QQW98" s="798"/>
      <c r="QQX98" s="798"/>
      <c r="QQY98" s="798"/>
      <c r="QQZ98" s="798"/>
      <c r="QRA98" s="798"/>
      <c r="QRB98" s="798"/>
      <c r="QRC98" s="798"/>
      <c r="QRD98" s="798"/>
      <c r="QRE98" s="798"/>
      <c r="QRF98" s="798"/>
      <c r="QRG98" s="798"/>
      <c r="QRH98" s="798"/>
      <c r="QRI98" s="798"/>
      <c r="QRJ98" s="798"/>
      <c r="QRK98" s="798"/>
      <c r="QRL98" s="798"/>
      <c r="QRM98" s="798"/>
      <c r="QRN98" s="798"/>
      <c r="QRO98" s="798"/>
      <c r="QRP98" s="798"/>
      <c r="QRQ98" s="798"/>
      <c r="QRR98" s="798"/>
      <c r="QRS98" s="798"/>
      <c r="QRT98" s="798"/>
      <c r="QRU98" s="798"/>
      <c r="QRV98" s="798"/>
      <c r="QRW98" s="798"/>
      <c r="QRX98" s="798"/>
      <c r="QRY98" s="798"/>
      <c r="QRZ98" s="798"/>
      <c r="QSA98" s="798"/>
      <c r="QSB98" s="798"/>
      <c r="QSC98" s="798"/>
      <c r="QSD98" s="798"/>
      <c r="QSE98" s="798"/>
      <c r="QSF98" s="798"/>
      <c r="QSG98" s="798"/>
      <c r="QSH98" s="798"/>
      <c r="QSI98" s="798"/>
      <c r="QSJ98" s="798"/>
      <c r="QSK98" s="798"/>
      <c r="QSL98" s="798"/>
      <c r="QSM98" s="798"/>
      <c r="QSN98" s="798"/>
      <c r="QSO98" s="798"/>
      <c r="QSP98" s="798"/>
      <c r="QSQ98" s="798"/>
      <c r="QSR98" s="798"/>
      <c r="QSS98" s="798"/>
      <c r="QST98" s="798"/>
      <c r="QSU98" s="798"/>
      <c r="QSV98" s="798"/>
      <c r="QSW98" s="798"/>
      <c r="QSX98" s="798"/>
      <c r="QSY98" s="798"/>
      <c r="QSZ98" s="798"/>
      <c r="QTA98" s="798"/>
      <c r="QTB98" s="798"/>
      <c r="QTC98" s="798"/>
      <c r="QTD98" s="798"/>
      <c r="QTE98" s="798"/>
      <c r="QTF98" s="798"/>
      <c r="QTG98" s="798"/>
      <c r="QTH98" s="798"/>
      <c r="QTI98" s="798"/>
      <c r="QTJ98" s="798"/>
      <c r="QTK98" s="798"/>
      <c r="QTL98" s="798"/>
      <c r="QTM98" s="798"/>
      <c r="QTN98" s="798"/>
      <c r="QTO98" s="798"/>
      <c r="QTP98" s="798"/>
      <c r="QTQ98" s="798"/>
      <c r="QTR98" s="798"/>
      <c r="QTS98" s="798"/>
      <c r="QTT98" s="798"/>
      <c r="QTU98" s="798"/>
      <c r="QTV98" s="798"/>
      <c r="QTW98" s="798"/>
      <c r="QTX98" s="798"/>
      <c r="QTY98" s="798"/>
      <c r="QTZ98" s="798"/>
      <c r="QUA98" s="798"/>
      <c r="QUB98" s="798"/>
      <c r="QUC98" s="798"/>
      <c r="QUD98" s="798"/>
      <c r="QUE98" s="798"/>
      <c r="QUF98" s="798"/>
      <c r="QUG98" s="798"/>
      <c r="QUH98" s="798"/>
      <c r="QUI98" s="798"/>
      <c r="QUJ98" s="798"/>
      <c r="QUK98" s="798"/>
      <c r="QUL98" s="798"/>
      <c r="QUM98" s="798"/>
      <c r="QUN98" s="798"/>
      <c r="QUO98" s="798"/>
      <c r="QUP98" s="798"/>
      <c r="QUQ98" s="798"/>
      <c r="QUR98" s="798"/>
      <c r="QUS98" s="798"/>
      <c r="QUT98" s="798"/>
      <c r="QUU98" s="798"/>
      <c r="QUV98" s="798"/>
      <c r="QUW98" s="798"/>
      <c r="QUX98" s="798"/>
      <c r="QUY98" s="798"/>
      <c r="QUZ98" s="798"/>
      <c r="QVA98" s="798"/>
      <c r="QVB98" s="798"/>
      <c r="QVC98" s="798"/>
      <c r="QVD98" s="798"/>
      <c r="QVE98" s="798"/>
      <c r="QVF98" s="798"/>
      <c r="QVG98" s="798"/>
      <c r="QVH98" s="798"/>
      <c r="QVI98" s="798"/>
      <c r="QVJ98" s="798"/>
      <c r="QVK98" s="798"/>
      <c r="QVL98" s="798"/>
      <c r="QVM98" s="798"/>
      <c r="QVN98" s="798"/>
      <c r="QVO98" s="798"/>
      <c r="QVP98" s="798"/>
      <c r="QVQ98" s="798"/>
      <c r="QVR98" s="798"/>
      <c r="QVS98" s="798"/>
      <c r="QVT98" s="798"/>
      <c r="QVU98" s="798"/>
      <c r="QVV98" s="798"/>
      <c r="QVW98" s="798"/>
      <c r="QVX98" s="798"/>
      <c r="QVY98" s="798"/>
      <c r="QVZ98" s="798"/>
      <c r="QWA98" s="798"/>
      <c r="QWB98" s="798"/>
      <c r="QWC98" s="798"/>
      <c r="QWD98" s="798"/>
      <c r="QWE98" s="798"/>
      <c r="QWF98" s="798"/>
      <c r="QWG98" s="798"/>
      <c r="QWH98" s="798"/>
      <c r="QWI98" s="798"/>
      <c r="QWJ98" s="798"/>
      <c r="QWK98" s="798"/>
      <c r="QWL98" s="798"/>
      <c r="QWM98" s="798"/>
      <c r="QWN98" s="798"/>
      <c r="QWO98" s="798"/>
      <c r="QWP98" s="798"/>
      <c r="QWQ98" s="798"/>
      <c r="QWR98" s="798"/>
      <c r="QWS98" s="798"/>
      <c r="QWT98" s="798"/>
      <c r="QWU98" s="798"/>
      <c r="QWV98" s="798"/>
      <c r="QWW98" s="798"/>
      <c r="QWX98" s="798"/>
      <c r="QWY98" s="798"/>
      <c r="QWZ98" s="798"/>
      <c r="QXA98" s="798"/>
      <c r="QXB98" s="798"/>
      <c r="QXC98" s="798"/>
      <c r="QXD98" s="798"/>
      <c r="QXE98" s="798"/>
      <c r="QXF98" s="798"/>
      <c r="QXG98" s="798"/>
      <c r="QXH98" s="798"/>
      <c r="QXI98" s="798"/>
      <c r="QXJ98" s="798"/>
      <c r="QXK98" s="798"/>
      <c r="QXL98" s="798"/>
      <c r="QXM98" s="798"/>
      <c r="QXN98" s="798"/>
      <c r="QXO98" s="798"/>
      <c r="QXP98" s="798"/>
      <c r="QXQ98" s="798"/>
      <c r="QXR98" s="798"/>
      <c r="QXS98" s="798"/>
      <c r="QXT98" s="798"/>
      <c r="QXU98" s="798"/>
      <c r="QXV98" s="798"/>
      <c r="QXW98" s="798"/>
      <c r="QXX98" s="798"/>
      <c r="QXY98" s="798"/>
      <c r="QXZ98" s="798"/>
      <c r="QYA98" s="798"/>
      <c r="QYB98" s="798"/>
      <c r="QYC98" s="798"/>
      <c r="QYD98" s="798"/>
      <c r="QYE98" s="798"/>
      <c r="QYF98" s="798"/>
      <c r="QYG98" s="798"/>
      <c r="QYH98" s="798"/>
      <c r="QYI98" s="798"/>
      <c r="QYJ98" s="798"/>
      <c r="QYK98" s="798"/>
      <c r="QYL98" s="798"/>
      <c r="QYM98" s="798"/>
      <c r="QYN98" s="798"/>
      <c r="QYO98" s="798"/>
      <c r="QYP98" s="798"/>
      <c r="QYQ98" s="798"/>
      <c r="QYR98" s="798"/>
      <c r="QYS98" s="798"/>
      <c r="QYT98" s="798"/>
      <c r="QYU98" s="798"/>
      <c r="QYV98" s="798"/>
      <c r="QYW98" s="798"/>
      <c r="QYX98" s="798"/>
      <c r="QYY98" s="798"/>
      <c r="QYZ98" s="798"/>
      <c r="QZA98" s="798"/>
      <c r="QZB98" s="798"/>
      <c r="QZC98" s="798"/>
      <c r="QZD98" s="798"/>
      <c r="QZE98" s="798"/>
      <c r="QZF98" s="798"/>
      <c r="QZG98" s="798"/>
      <c r="QZH98" s="798"/>
      <c r="QZI98" s="798"/>
      <c r="QZJ98" s="798"/>
      <c r="QZK98" s="798"/>
      <c r="QZL98" s="798"/>
      <c r="QZM98" s="798"/>
      <c r="QZN98" s="798"/>
      <c r="QZO98" s="798"/>
      <c r="QZP98" s="798"/>
      <c r="QZQ98" s="798"/>
      <c r="QZR98" s="798"/>
      <c r="QZS98" s="798"/>
      <c r="QZT98" s="798"/>
      <c r="QZU98" s="798"/>
      <c r="QZV98" s="798"/>
      <c r="QZW98" s="798"/>
      <c r="QZX98" s="798"/>
      <c r="QZY98" s="798"/>
      <c r="QZZ98" s="798"/>
      <c r="RAA98" s="798"/>
      <c r="RAB98" s="798"/>
      <c r="RAC98" s="798"/>
      <c r="RAD98" s="798"/>
      <c r="RAE98" s="798"/>
      <c r="RAF98" s="798"/>
      <c r="RAG98" s="798"/>
      <c r="RAH98" s="798"/>
      <c r="RAI98" s="798"/>
      <c r="RAJ98" s="798"/>
      <c r="RAK98" s="798"/>
      <c r="RAL98" s="798"/>
      <c r="RAM98" s="798"/>
      <c r="RAN98" s="798"/>
      <c r="RAO98" s="798"/>
      <c r="RAP98" s="798"/>
      <c r="RAQ98" s="798"/>
      <c r="RAR98" s="798"/>
      <c r="RAS98" s="798"/>
      <c r="RAT98" s="798"/>
      <c r="RAU98" s="798"/>
      <c r="RAV98" s="798"/>
      <c r="RAW98" s="798"/>
      <c r="RAX98" s="798"/>
      <c r="RAY98" s="798"/>
      <c r="RAZ98" s="798"/>
      <c r="RBA98" s="798"/>
      <c r="RBB98" s="798"/>
      <c r="RBC98" s="798"/>
      <c r="RBD98" s="798"/>
      <c r="RBE98" s="798"/>
      <c r="RBF98" s="798"/>
      <c r="RBG98" s="798"/>
      <c r="RBH98" s="798"/>
      <c r="RBI98" s="798"/>
      <c r="RBJ98" s="798"/>
      <c r="RBK98" s="798"/>
      <c r="RBL98" s="798"/>
      <c r="RBM98" s="798"/>
      <c r="RBN98" s="798"/>
      <c r="RBO98" s="798"/>
      <c r="RBP98" s="798"/>
      <c r="RBQ98" s="798"/>
      <c r="RBR98" s="798"/>
      <c r="RBS98" s="798"/>
      <c r="RBT98" s="798"/>
      <c r="RBU98" s="798"/>
      <c r="RBV98" s="798"/>
      <c r="RBW98" s="798"/>
      <c r="RBX98" s="798"/>
      <c r="RBY98" s="798"/>
      <c r="RBZ98" s="798"/>
      <c r="RCA98" s="798"/>
      <c r="RCB98" s="798"/>
      <c r="RCC98" s="798"/>
      <c r="RCD98" s="798"/>
      <c r="RCE98" s="798"/>
      <c r="RCF98" s="798"/>
      <c r="RCG98" s="798"/>
      <c r="RCH98" s="798"/>
      <c r="RCI98" s="798"/>
      <c r="RCJ98" s="798"/>
      <c r="RCK98" s="798"/>
      <c r="RCL98" s="798"/>
      <c r="RCM98" s="798"/>
      <c r="RCN98" s="798"/>
      <c r="RCO98" s="798"/>
      <c r="RCP98" s="798"/>
      <c r="RCQ98" s="798"/>
      <c r="RCR98" s="798"/>
      <c r="RCS98" s="798"/>
      <c r="RCT98" s="798"/>
      <c r="RCU98" s="798"/>
      <c r="RCV98" s="798"/>
      <c r="RCW98" s="798"/>
      <c r="RCX98" s="798"/>
      <c r="RCY98" s="798"/>
      <c r="RCZ98" s="798"/>
      <c r="RDA98" s="798"/>
      <c r="RDB98" s="798"/>
      <c r="RDC98" s="798"/>
      <c r="RDD98" s="798"/>
      <c r="RDE98" s="798"/>
      <c r="RDF98" s="798"/>
      <c r="RDG98" s="798"/>
      <c r="RDH98" s="798"/>
      <c r="RDI98" s="798"/>
      <c r="RDJ98" s="798"/>
      <c r="RDK98" s="798"/>
      <c r="RDL98" s="798"/>
      <c r="RDM98" s="798"/>
      <c r="RDN98" s="798"/>
      <c r="RDO98" s="798"/>
      <c r="RDP98" s="798"/>
      <c r="RDQ98" s="798"/>
      <c r="RDR98" s="798"/>
      <c r="RDS98" s="798"/>
      <c r="RDT98" s="798"/>
      <c r="RDU98" s="798"/>
      <c r="RDV98" s="798"/>
      <c r="RDW98" s="798"/>
      <c r="RDX98" s="798"/>
      <c r="RDY98" s="798"/>
      <c r="RDZ98" s="798"/>
      <c r="REA98" s="798"/>
      <c r="REB98" s="798"/>
      <c r="REC98" s="798"/>
      <c r="RED98" s="798"/>
      <c r="REE98" s="798"/>
      <c r="REF98" s="798"/>
      <c r="REG98" s="798"/>
      <c r="REH98" s="798"/>
      <c r="REI98" s="798"/>
      <c r="REJ98" s="798"/>
      <c r="REK98" s="798"/>
      <c r="REL98" s="798"/>
      <c r="REM98" s="798"/>
      <c r="REN98" s="798"/>
      <c r="REO98" s="798"/>
      <c r="REP98" s="798"/>
      <c r="REQ98" s="798"/>
      <c r="RER98" s="798"/>
      <c r="RES98" s="798"/>
      <c r="RET98" s="798"/>
      <c r="REU98" s="798"/>
      <c r="REV98" s="798"/>
      <c r="REW98" s="798"/>
      <c r="REX98" s="798"/>
      <c r="REY98" s="798"/>
      <c r="REZ98" s="798"/>
      <c r="RFA98" s="798"/>
      <c r="RFB98" s="798"/>
      <c r="RFC98" s="798"/>
      <c r="RFD98" s="798"/>
      <c r="RFE98" s="798"/>
      <c r="RFF98" s="798"/>
      <c r="RFG98" s="798"/>
      <c r="RFH98" s="798"/>
      <c r="RFI98" s="798"/>
      <c r="RFJ98" s="798"/>
      <c r="RFK98" s="798"/>
      <c r="RFL98" s="798"/>
      <c r="RFM98" s="798"/>
      <c r="RFN98" s="798"/>
      <c r="RFO98" s="798"/>
      <c r="RFP98" s="798"/>
      <c r="RFQ98" s="798"/>
      <c r="RFR98" s="798"/>
      <c r="RFS98" s="798"/>
      <c r="RFT98" s="798"/>
      <c r="RFU98" s="798"/>
      <c r="RFV98" s="798"/>
      <c r="RFW98" s="798"/>
      <c r="RFX98" s="798"/>
      <c r="RFY98" s="798"/>
      <c r="RFZ98" s="798"/>
      <c r="RGA98" s="798"/>
      <c r="RGB98" s="798"/>
      <c r="RGC98" s="798"/>
      <c r="RGD98" s="798"/>
      <c r="RGE98" s="798"/>
      <c r="RGF98" s="798"/>
      <c r="RGG98" s="798"/>
      <c r="RGH98" s="798"/>
      <c r="RGI98" s="798"/>
      <c r="RGJ98" s="798"/>
      <c r="RGK98" s="798"/>
      <c r="RGL98" s="798"/>
      <c r="RGM98" s="798"/>
      <c r="RGN98" s="798"/>
      <c r="RGO98" s="798"/>
      <c r="RGP98" s="798"/>
      <c r="RGQ98" s="798"/>
      <c r="RGR98" s="798"/>
      <c r="RGS98" s="798"/>
      <c r="RGT98" s="798"/>
      <c r="RGU98" s="798"/>
      <c r="RGV98" s="798"/>
      <c r="RGW98" s="798"/>
      <c r="RGX98" s="798"/>
      <c r="RGY98" s="798"/>
      <c r="RGZ98" s="798"/>
      <c r="RHA98" s="798"/>
      <c r="RHB98" s="798"/>
      <c r="RHC98" s="798"/>
      <c r="RHD98" s="798"/>
      <c r="RHE98" s="798"/>
      <c r="RHF98" s="798"/>
      <c r="RHG98" s="798"/>
      <c r="RHH98" s="798"/>
      <c r="RHI98" s="798"/>
      <c r="RHJ98" s="798"/>
      <c r="RHK98" s="798"/>
      <c r="RHL98" s="798"/>
      <c r="RHM98" s="798"/>
      <c r="RHN98" s="798"/>
      <c r="RHO98" s="798"/>
      <c r="RHP98" s="798"/>
      <c r="RHQ98" s="798"/>
      <c r="RHR98" s="798"/>
      <c r="RHS98" s="798"/>
      <c r="RHT98" s="798"/>
      <c r="RHU98" s="798"/>
      <c r="RHV98" s="798"/>
      <c r="RHW98" s="798"/>
      <c r="RHX98" s="798"/>
      <c r="RHY98" s="798"/>
      <c r="RHZ98" s="798"/>
      <c r="RIA98" s="798"/>
      <c r="RIB98" s="798"/>
      <c r="RIC98" s="798"/>
      <c r="RID98" s="798"/>
      <c r="RIE98" s="798"/>
      <c r="RIF98" s="798"/>
      <c r="RIG98" s="798"/>
      <c r="RIH98" s="798"/>
      <c r="RII98" s="798"/>
      <c r="RIJ98" s="798"/>
      <c r="RIK98" s="798"/>
      <c r="RIL98" s="798"/>
      <c r="RIM98" s="798"/>
      <c r="RIN98" s="798"/>
      <c r="RIO98" s="798"/>
      <c r="RIP98" s="798"/>
      <c r="RIQ98" s="798"/>
      <c r="RIR98" s="798"/>
      <c r="RIS98" s="798"/>
      <c r="RIT98" s="798"/>
      <c r="RIU98" s="798"/>
      <c r="RIV98" s="798"/>
      <c r="RIW98" s="798"/>
      <c r="RIX98" s="798"/>
      <c r="RIY98" s="798"/>
      <c r="RIZ98" s="798"/>
      <c r="RJA98" s="798"/>
      <c r="RJB98" s="798"/>
      <c r="RJC98" s="798"/>
      <c r="RJD98" s="798"/>
      <c r="RJE98" s="798"/>
      <c r="RJF98" s="798"/>
      <c r="RJG98" s="798"/>
      <c r="RJH98" s="798"/>
      <c r="RJI98" s="798"/>
      <c r="RJJ98" s="798"/>
      <c r="RJK98" s="798"/>
      <c r="RJL98" s="798"/>
      <c r="RJM98" s="798"/>
      <c r="RJN98" s="798"/>
      <c r="RJO98" s="798"/>
      <c r="RJP98" s="798"/>
      <c r="RJQ98" s="798"/>
      <c r="RJR98" s="798"/>
      <c r="RJS98" s="798"/>
      <c r="RJT98" s="798"/>
      <c r="RJU98" s="798"/>
      <c r="RJV98" s="798"/>
      <c r="RJW98" s="798"/>
      <c r="RJX98" s="798"/>
      <c r="RJY98" s="798"/>
      <c r="RJZ98" s="798"/>
      <c r="RKA98" s="798"/>
      <c r="RKB98" s="798"/>
      <c r="RKC98" s="798"/>
      <c r="RKD98" s="798"/>
      <c r="RKE98" s="798"/>
      <c r="RKF98" s="798"/>
      <c r="RKG98" s="798"/>
      <c r="RKH98" s="798"/>
      <c r="RKI98" s="798"/>
      <c r="RKJ98" s="798"/>
      <c r="RKK98" s="798"/>
      <c r="RKL98" s="798"/>
      <c r="RKM98" s="798"/>
      <c r="RKN98" s="798"/>
      <c r="RKO98" s="798"/>
      <c r="RKP98" s="798"/>
      <c r="RKQ98" s="798"/>
      <c r="RKR98" s="798"/>
      <c r="RKS98" s="798"/>
      <c r="RKT98" s="798"/>
      <c r="RKU98" s="798"/>
      <c r="RKV98" s="798"/>
      <c r="RKW98" s="798"/>
      <c r="RKX98" s="798"/>
      <c r="RKY98" s="798"/>
      <c r="RKZ98" s="798"/>
      <c r="RLA98" s="798"/>
      <c r="RLB98" s="798"/>
      <c r="RLC98" s="798"/>
      <c r="RLD98" s="798"/>
      <c r="RLE98" s="798"/>
      <c r="RLF98" s="798"/>
      <c r="RLG98" s="798"/>
      <c r="RLH98" s="798"/>
      <c r="RLI98" s="798"/>
      <c r="RLJ98" s="798"/>
      <c r="RLK98" s="798"/>
      <c r="RLL98" s="798"/>
      <c r="RLM98" s="798"/>
      <c r="RLN98" s="798"/>
      <c r="RLO98" s="798"/>
      <c r="RLP98" s="798"/>
      <c r="RLQ98" s="798"/>
      <c r="RLR98" s="798"/>
      <c r="RLS98" s="798"/>
      <c r="RLT98" s="798"/>
      <c r="RLU98" s="798"/>
      <c r="RLV98" s="798"/>
      <c r="RLW98" s="798"/>
      <c r="RLX98" s="798"/>
      <c r="RLY98" s="798"/>
      <c r="RLZ98" s="798"/>
      <c r="RMA98" s="798"/>
      <c r="RMB98" s="798"/>
      <c r="RMC98" s="798"/>
      <c r="RMD98" s="798"/>
      <c r="RME98" s="798"/>
      <c r="RMF98" s="798"/>
      <c r="RMG98" s="798"/>
      <c r="RMH98" s="798"/>
      <c r="RMI98" s="798"/>
      <c r="RMJ98" s="798"/>
      <c r="RMK98" s="798"/>
      <c r="RML98" s="798"/>
      <c r="RMM98" s="798"/>
      <c r="RMN98" s="798"/>
      <c r="RMO98" s="798"/>
      <c r="RMP98" s="798"/>
      <c r="RMQ98" s="798"/>
      <c r="RMR98" s="798"/>
      <c r="RMS98" s="798"/>
      <c r="RMT98" s="798"/>
      <c r="RMU98" s="798"/>
      <c r="RMV98" s="798"/>
      <c r="RMW98" s="798"/>
      <c r="RMX98" s="798"/>
      <c r="RMY98" s="798"/>
      <c r="RMZ98" s="798"/>
      <c r="RNA98" s="798"/>
      <c r="RNB98" s="798"/>
      <c r="RNC98" s="798"/>
      <c r="RND98" s="798"/>
      <c r="RNE98" s="798"/>
      <c r="RNF98" s="798"/>
      <c r="RNG98" s="798"/>
      <c r="RNH98" s="798"/>
      <c r="RNI98" s="798"/>
      <c r="RNJ98" s="798"/>
      <c r="RNK98" s="798"/>
      <c r="RNL98" s="798"/>
      <c r="RNM98" s="798"/>
      <c r="RNN98" s="798"/>
      <c r="RNO98" s="798"/>
      <c r="RNP98" s="798"/>
      <c r="RNQ98" s="798"/>
      <c r="RNR98" s="798"/>
      <c r="RNS98" s="798"/>
      <c r="RNT98" s="798"/>
      <c r="RNU98" s="798"/>
      <c r="RNV98" s="798"/>
      <c r="RNW98" s="798"/>
      <c r="RNX98" s="798"/>
      <c r="RNY98" s="798"/>
      <c r="RNZ98" s="798"/>
      <c r="ROA98" s="798"/>
      <c r="ROB98" s="798"/>
      <c r="ROC98" s="798"/>
      <c r="ROD98" s="798"/>
      <c r="ROE98" s="798"/>
      <c r="ROF98" s="798"/>
      <c r="ROG98" s="798"/>
      <c r="ROH98" s="798"/>
      <c r="ROI98" s="798"/>
      <c r="ROJ98" s="798"/>
      <c r="ROK98" s="798"/>
      <c r="ROL98" s="798"/>
      <c r="ROM98" s="798"/>
      <c r="RON98" s="798"/>
      <c r="ROO98" s="798"/>
      <c r="ROP98" s="798"/>
      <c r="ROQ98" s="798"/>
      <c r="ROR98" s="798"/>
      <c r="ROS98" s="798"/>
      <c r="ROT98" s="798"/>
      <c r="ROU98" s="798"/>
      <c r="ROV98" s="798"/>
      <c r="ROW98" s="798"/>
      <c r="ROX98" s="798"/>
      <c r="ROY98" s="798"/>
      <c r="ROZ98" s="798"/>
      <c r="RPA98" s="798"/>
      <c r="RPB98" s="798"/>
      <c r="RPC98" s="798"/>
      <c r="RPD98" s="798"/>
      <c r="RPE98" s="798"/>
      <c r="RPF98" s="798"/>
      <c r="RPG98" s="798"/>
      <c r="RPH98" s="798"/>
      <c r="RPI98" s="798"/>
      <c r="RPJ98" s="798"/>
      <c r="RPK98" s="798"/>
      <c r="RPL98" s="798"/>
      <c r="RPM98" s="798"/>
      <c r="RPN98" s="798"/>
      <c r="RPO98" s="798"/>
      <c r="RPP98" s="798"/>
      <c r="RPQ98" s="798"/>
      <c r="RPR98" s="798"/>
      <c r="RPS98" s="798"/>
      <c r="RPT98" s="798"/>
      <c r="RPU98" s="798"/>
      <c r="RPV98" s="798"/>
      <c r="RPW98" s="798"/>
      <c r="RPX98" s="798"/>
      <c r="RPY98" s="798"/>
      <c r="RPZ98" s="798"/>
      <c r="RQA98" s="798"/>
      <c r="RQB98" s="798"/>
      <c r="RQC98" s="798"/>
      <c r="RQD98" s="798"/>
      <c r="RQE98" s="798"/>
      <c r="RQF98" s="798"/>
      <c r="RQG98" s="798"/>
      <c r="RQH98" s="798"/>
      <c r="RQI98" s="798"/>
      <c r="RQJ98" s="798"/>
      <c r="RQK98" s="798"/>
      <c r="RQL98" s="798"/>
      <c r="RQM98" s="798"/>
      <c r="RQN98" s="798"/>
      <c r="RQO98" s="798"/>
      <c r="RQP98" s="798"/>
      <c r="RQQ98" s="798"/>
      <c r="RQR98" s="798"/>
      <c r="RQS98" s="798"/>
      <c r="RQT98" s="798"/>
      <c r="RQU98" s="798"/>
      <c r="RQV98" s="798"/>
      <c r="RQW98" s="798"/>
      <c r="RQX98" s="798"/>
      <c r="RQY98" s="798"/>
      <c r="RQZ98" s="798"/>
      <c r="RRA98" s="798"/>
      <c r="RRB98" s="798"/>
      <c r="RRC98" s="798"/>
      <c r="RRD98" s="798"/>
      <c r="RRE98" s="798"/>
      <c r="RRF98" s="798"/>
      <c r="RRG98" s="798"/>
      <c r="RRH98" s="798"/>
      <c r="RRI98" s="798"/>
      <c r="RRJ98" s="798"/>
      <c r="RRK98" s="798"/>
      <c r="RRL98" s="798"/>
      <c r="RRM98" s="798"/>
      <c r="RRN98" s="798"/>
      <c r="RRO98" s="798"/>
      <c r="RRP98" s="798"/>
      <c r="RRQ98" s="798"/>
      <c r="RRR98" s="798"/>
      <c r="RRS98" s="798"/>
      <c r="RRT98" s="798"/>
      <c r="RRU98" s="798"/>
      <c r="RRV98" s="798"/>
      <c r="RRW98" s="798"/>
      <c r="RRX98" s="798"/>
      <c r="RRY98" s="798"/>
      <c r="RRZ98" s="798"/>
      <c r="RSA98" s="798"/>
      <c r="RSB98" s="798"/>
      <c r="RSC98" s="798"/>
      <c r="RSD98" s="798"/>
      <c r="RSE98" s="798"/>
      <c r="RSF98" s="798"/>
      <c r="RSG98" s="798"/>
      <c r="RSH98" s="798"/>
      <c r="RSI98" s="798"/>
      <c r="RSJ98" s="798"/>
      <c r="RSK98" s="798"/>
      <c r="RSL98" s="798"/>
      <c r="RSM98" s="798"/>
      <c r="RSN98" s="798"/>
      <c r="RSO98" s="798"/>
      <c r="RSP98" s="798"/>
      <c r="RSQ98" s="798"/>
      <c r="RSR98" s="798"/>
      <c r="RSS98" s="798"/>
      <c r="RST98" s="798"/>
      <c r="RSU98" s="798"/>
      <c r="RSV98" s="798"/>
      <c r="RSW98" s="798"/>
      <c r="RSX98" s="798"/>
      <c r="RSY98" s="798"/>
      <c r="RSZ98" s="798"/>
      <c r="RTA98" s="798"/>
      <c r="RTB98" s="798"/>
      <c r="RTC98" s="798"/>
      <c r="RTD98" s="798"/>
      <c r="RTE98" s="798"/>
      <c r="RTF98" s="798"/>
      <c r="RTG98" s="798"/>
      <c r="RTH98" s="798"/>
      <c r="RTI98" s="798"/>
      <c r="RTJ98" s="798"/>
      <c r="RTK98" s="798"/>
      <c r="RTL98" s="798"/>
      <c r="RTM98" s="798"/>
      <c r="RTN98" s="798"/>
      <c r="RTO98" s="798"/>
      <c r="RTP98" s="798"/>
      <c r="RTQ98" s="798"/>
      <c r="RTR98" s="798"/>
      <c r="RTS98" s="798"/>
      <c r="RTT98" s="798"/>
      <c r="RTU98" s="798"/>
      <c r="RTV98" s="798"/>
      <c r="RTW98" s="798"/>
      <c r="RTX98" s="798"/>
      <c r="RTY98" s="798"/>
      <c r="RTZ98" s="798"/>
      <c r="RUA98" s="798"/>
      <c r="RUB98" s="798"/>
      <c r="RUC98" s="798"/>
      <c r="RUD98" s="798"/>
      <c r="RUE98" s="798"/>
      <c r="RUF98" s="798"/>
      <c r="RUG98" s="798"/>
      <c r="RUH98" s="798"/>
      <c r="RUI98" s="798"/>
      <c r="RUJ98" s="798"/>
      <c r="RUK98" s="798"/>
      <c r="RUL98" s="798"/>
      <c r="RUM98" s="798"/>
      <c r="RUN98" s="798"/>
      <c r="RUO98" s="798"/>
      <c r="RUP98" s="798"/>
      <c r="RUQ98" s="798"/>
      <c r="RUR98" s="798"/>
      <c r="RUS98" s="798"/>
      <c r="RUT98" s="798"/>
      <c r="RUU98" s="798"/>
      <c r="RUV98" s="798"/>
      <c r="RUW98" s="798"/>
      <c r="RUX98" s="798"/>
      <c r="RUY98" s="798"/>
      <c r="RUZ98" s="798"/>
      <c r="RVA98" s="798"/>
      <c r="RVB98" s="798"/>
      <c r="RVC98" s="798"/>
      <c r="RVD98" s="798"/>
      <c r="RVE98" s="798"/>
      <c r="RVF98" s="798"/>
      <c r="RVG98" s="798"/>
      <c r="RVH98" s="798"/>
      <c r="RVI98" s="798"/>
      <c r="RVJ98" s="798"/>
      <c r="RVK98" s="798"/>
      <c r="RVL98" s="798"/>
      <c r="RVM98" s="798"/>
      <c r="RVN98" s="798"/>
      <c r="RVO98" s="798"/>
      <c r="RVP98" s="798"/>
      <c r="RVQ98" s="798"/>
      <c r="RVR98" s="798"/>
      <c r="RVS98" s="798"/>
      <c r="RVT98" s="798"/>
      <c r="RVU98" s="798"/>
      <c r="RVV98" s="798"/>
      <c r="RVW98" s="798"/>
      <c r="RVX98" s="798"/>
      <c r="RVY98" s="798"/>
      <c r="RVZ98" s="798"/>
      <c r="RWA98" s="798"/>
      <c r="RWB98" s="798"/>
      <c r="RWC98" s="798"/>
      <c r="RWD98" s="798"/>
      <c r="RWE98" s="798"/>
      <c r="RWF98" s="798"/>
      <c r="RWG98" s="798"/>
      <c r="RWH98" s="798"/>
      <c r="RWI98" s="798"/>
      <c r="RWJ98" s="798"/>
      <c r="RWK98" s="798"/>
      <c r="RWL98" s="798"/>
      <c r="RWM98" s="798"/>
      <c r="RWN98" s="798"/>
      <c r="RWO98" s="798"/>
      <c r="RWP98" s="798"/>
      <c r="RWQ98" s="798"/>
      <c r="RWR98" s="798"/>
      <c r="RWS98" s="798"/>
      <c r="RWT98" s="798"/>
      <c r="RWU98" s="798"/>
      <c r="RWV98" s="798"/>
      <c r="RWW98" s="798"/>
      <c r="RWX98" s="798"/>
      <c r="RWY98" s="798"/>
      <c r="RWZ98" s="798"/>
      <c r="RXA98" s="798"/>
      <c r="RXB98" s="798"/>
      <c r="RXC98" s="798"/>
      <c r="RXD98" s="798"/>
      <c r="RXE98" s="798"/>
      <c r="RXF98" s="798"/>
      <c r="RXG98" s="798"/>
      <c r="RXH98" s="798"/>
      <c r="RXI98" s="798"/>
      <c r="RXJ98" s="798"/>
      <c r="RXK98" s="798"/>
      <c r="RXL98" s="798"/>
      <c r="RXM98" s="798"/>
      <c r="RXN98" s="798"/>
      <c r="RXO98" s="798"/>
      <c r="RXP98" s="798"/>
      <c r="RXQ98" s="798"/>
      <c r="RXR98" s="798"/>
      <c r="RXS98" s="798"/>
      <c r="RXT98" s="798"/>
      <c r="RXU98" s="798"/>
      <c r="RXV98" s="798"/>
      <c r="RXW98" s="798"/>
      <c r="RXX98" s="798"/>
      <c r="RXY98" s="798"/>
      <c r="RXZ98" s="798"/>
      <c r="RYA98" s="798"/>
      <c r="RYB98" s="798"/>
      <c r="RYC98" s="798"/>
      <c r="RYD98" s="798"/>
      <c r="RYE98" s="798"/>
      <c r="RYF98" s="798"/>
      <c r="RYG98" s="798"/>
      <c r="RYH98" s="798"/>
      <c r="RYI98" s="798"/>
      <c r="RYJ98" s="798"/>
      <c r="RYK98" s="798"/>
      <c r="RYL98" s="798"/>
      <c r="RYM98" s="798"/>
      <c r="RYN98" s="798"/>
      <c r="RYO98" s="798"/>
      <c r="RYP98" s="798"/>
      <c r="RYQ98" s="798"/>
      <c r="RYR98" s="798"/>
      <c r="RYS98" s="798"/>
      <c r="RYT98" s="798"/>
      <c r="RYU98" s="798"/>
      <c r="RYV98" s="798"/>
      <c r="RYW98" s="798"/>
      <c r="RYX98" s="798"/>
      <c r="RYY98" s="798"/>
      <c r="RYZ98" s="798"/>
      <c r="RZA98" s="798"/>
      <c r="RZB98" s="798"/>
      <c r="RZC98" s="798"/>
      <c r="RZD98" s="798"/>
      <c r="RZE98" s="798"/>
      <c r="RZF98" s="798"/>
      <c r="RZG98" s="798"/>
      <c r="RZH98" s="798"/>
      <c r="RZI98" s="798"/>
      <c r="RZJ98" s="798"/>
      <c r="RZK98" s="798"/>
      <c r="RZL98" s="798"/>
      <c r="RZM98" s="798"/>
      <c r="RZN98" s="798"/>
      <c r="RZO98" s="798"/>
      <c r="RZP98" s="798"/>
      <c r="RZQ98" s="798"/>
      <c r="RZR98" s="798"/>
      <c r="RZS98" s="798"/>
      <c r="RZT98" s="798"/>
      <c r="RZU98" s="798"/>
      <c r="RZV98" s="798"/>
      <c r="RZW98" s="798"/>
      <c r="RZX98" s="798"/>
      <c r="RZY98" s="798"/>
      <c r="RZZ98" s="798"/>
      <c r="SAA98" s="798"/>
      <c r="SAB98" s="798"/>
      <c r="SAC98" s="798"/>
      <c r="SAD98" s="798"/>
      <c r="SAE98" s="798"/>
      <c r="SAF98" s="798"/>
      <c r="SAG98" s="798"/>
      <c r="SAH98" s="798"/>
      <c r="SAI98" s="798"/>
      <c r="SAJ98" s="798"/>
      <c r="SAK98" s="798"/>
      <c r="SAL98" s="798"/>
      <c r="SAM98" s="798"/>
      <c r="SAN98" s="798"/>
      <c r="SAO98" s="798"/>
      <c r="SAP98" s="798"/>
      <c r="SAQ98" s="798"/>
      <c r="SAR98" s="798"/>
      <c r="SAS98" s="798"/>
      <c r="SAT98" s="798"/>
      <c r="SAU98" s="798"/>
      <c r="SAV98" s="798"/>
      <c r="SAW98" s="798"/>
      <c r="SAX98" s="798"/>
      <c r="SAY98" s="798"/>
      <c r="SAZ98" s="798"/>
      <c r="SBA98" s="798"/>
      <c r="SBB98" s="798"/>
      <c r="SBC98" s="798"/>
      <c r="SBD98" s="798"/>
      <c r="SBE98" s="798"/>
      <c r="SBF98" s="798"/>
      <c r="SBG98" s="798"/>
      <c r="SBH98" s="798"/>
      <c r="SBI98" s="798"/>
      <c r="SBJ98" s="798"/>
      <c r="SBK98" s="798"/>
      <c r="SBL98" s="798"/>
      <c r="SBM98" s="798"/>
      <c r="SBN98" s="798"/>
      <c r="SBO98" s="798"/>
      <c r="SBP98" s="798"/>
      <c r="SBQ98" s="798"/>
      <c r="SBR98" s="798"/>
      <c r="SBS98" s="798"/>
      <c r="SBT98" s="798"/>
      <c r="SBU98" s="798"/>
      <c r="SBV98" s="798"/>
      <c r="SBW98" s="798"/>
      <c r="SBX98" s="798"/>
      <c r="SBY98" s="798"/>
      <c r="SBZ98" s="798"/>
      <c r="SCA98" s="798"/>
      <c r="SCB98" s="798"/>
      <c r="SCC98" s="798"/>
      <c r="SCD98" s="798"/>
      <c r="SCE98" s="798"/>
      <c r="SCF98" s="798"/>
      <c r="SCG98" s="798"/>
      <c r="SCH98" s="798"/>
      <c r="SCI98" s="798"/>
      <c r="SCJ98" s="798"/>
      <c r="SCK98" s="798"/>
      <c r="SCL98" s="798"/>
      <c r="SCM98" s="798"/>
      <c r="SCN98" s="798"/>
      <c r="SCO98" s="798"/>
      <c r="SCP98" s="798"/>
      <c r="SCQ98" s="798"/>
      <c r="SCR98" s="798"/>
      <c r="SCS98" s="798"/>
      <c r="SCT98" s="798"/>
      <c r="SCU98" s="798"/>
      <c r="SCV98" s="798"/>
      <c r="SCW98" s="798"/>
      <c r="SCX98" s="798"/>
      <c r="SCY98" s="798"/>
      <c r="SCZ98" s="798"/>
      <c r="SDA98" s="798"/>
      <c r="SDB98" s="798"/>
      <c r="SDC98" s="798"/>
      <c r="SDD98" s="798"/>
      <c r="SDE98" s="798"/>
      <c r="SDF98" s="798"/>
      <c r="SDG98" s="798"/>
      <c r="SDH98" s="798"/>
      <c r="SDI98" s="798"/>
      <c r="SDJ98" s="798"/>
      <c r="SDK98" s="798"/>
      <c r="SDL98" s="798"/>
      <c r="SDM98" s="798"/>
      <c r="SDN98" s="798"/>
      <c r="SDO98" s="798"/>
      <c r="SDP98" s="798"/>
      <c r="SDQ98" s="798"/>
      <c r="SDR98" s="798"/>
      <c r="SDS98" s="798"/>
      <c r="SDT98" s="798"/>
      <c r="SDU98" s="798"/>
      <c r="SDV98" s="798"/>
      <c r="SDW98" s="798"/>
      <c r="SDX98" s="798"/>
      <c r="SDY98" s="798"/>
      <c r="SDZ98" s="798"/>
      <c r="SEA98" s="798"/>
      <c r="SEB98" s="798"/>
      <c r="SEC98" s="798"/>
      <c r="SED98" s="798"/>
      <c r="SEE98" s="798"/>
      <c r="SEF98" s="798"/>
      <c r="SEG98" s="798"/>
      <c r="SEH98" s="798"/>
      <c r="SEI98" s="798"/>
      <c r="SEJ98" s="798"/>
      <c r="SEK98" s="798"/>
      <c r="SEL98" s="798"/>
      <c r="SEM98" s="798"/>
      <c r="SEN98" s="798"/>
      <c r="SEO98" s="798"/>
      <c r="SEP98" s="798"/>
      <c r="SEQ98" s="798"/>
      <c r="SER98" s="798"/>
      <c r="SES98" s="798"/>
      <c r="SET98" s="798"/>
      <c r="SEU98" s="798"/>
      <c r="SEV98" s="798"/>
      <c r="SEW98" s="798"/>
      <c r="SEX98" s="798"/>
      <c r="SEY98" s="798"/>
      <c r="SEZ98" s="798"/>
      <c r="SFA98" s="798"/>
      <c r="SFB98" s="798"/>
      <c r="SFC98" s="798"/>
      <c r="SFD98" s="798"/>
      <c r="SFE98" s="798"/>
      <c r="SFF98" s="798"/>
      <c r="SFG98" s="798"/>
      <c r="SFH98" s="798"/>
      <c r="SFI98" s="798"/>
      <c r="SFJ98" s="798"/>
      <c r="SFK98" s="798"/>
      <c r="SFL98" s="798"/>
      <c r="SFM98" s="798"/>
      <c r="SFN98" s="798"/>
      <c r="SFO98" s="798"/>
      <c r="SFP98" s="798"/>
      <c r="SFQ98" s="798"/>
      <c r="SFR98" s="798"/>
      <c r="SFS98" s="798"/>
      <c r="SFT98" s="798"/>
      <c r="SFU98" s="798"/>
      <c r="SFV98" s="798"/>
      <c r="SFW98" s="798"/>
      <c r="SFX98" s="798"/>
      <c r="SFY98" s="798"/>
      <c r="SFZ98" s="798"/>
      <c r="SGA98" s="798"/>
      <c r="SGB98" s="798"/>
      <c r="SGC98" s="798"/>
      <c r="SGD98" s="798"/>
      <c r="SGE98" s="798"/>
      <c r="SGF98" s="798"/>
      <c r="SGG98" s="798"/>
      <c r="SGH98" s="798"/>
      <c r="SGI98" s="798"/>
      <c r="SGJ98" s="798"/>
      <c r="SGK98" s="798"/>
      <c r="SGL98" s="798"/>
      <c r="SGM98" s="798"/>
      <c r="SGN98" s="798"/>
      <c r="SGO98" s="798"/>
      <c r="SGP98" s="798"/>
      <c r="SGQ98" s="798"/>
      <c r="SGR98" s="798"/>
      <c r="SGS98" s="798"/>
      <c r="SGT98" s="798"/>
      <c r="SGU98" s="798"/>
      <c r="SGV98" s="798"/>
      <c r="SGW98" s="798"/>
      <c r="SGX98" s="798"/>
      <c r="SGY98" s="798"/>
      <c r="SGZ98" s="798"/>
      <c r="SHA98" s="798"/>
      <c r="SHB98" s="798"/>
      <c r="SHC98" s="798"/>
      <c r="SHD98" s="798"/>
      <c r="SHE98" s="798"/>
      <c r="SHF98" s="798"/>
      <c r="SHG98" s="798"/>
      <c r="SHH98" s="798"/>
      <c r="SHI98" s="798"/>
      <c r="SHJ98" s="798"/>
      <c r="SHK98" s="798"/>
      <c r="SHL98" s="798"/>
      <c r="SHM98" s="798"/>
      <c r="SHN98" s="798"/>
      <c r="SHO98" s="798"/>
      <c r="SHP98" s="798"/>
      <c r="SHQ98" s="798"/>
      <c r="SHR98" s="798"/>
      <c r="SHS98" s="798"/>
      <c r="SHT98" s="798"/>
      <c r="SHU98" s="798"/>
      <c r="SHV98" s="798"/>
      <c r="SHW98" s="798"/>
      <c r="SHX98" s="798"/>
      <c r="SHY98" s="798"/>
      <c r="SHZ98" s="798"/>
      <c r="SIA98" s="798"/>
      <c r="SIB98" s="798"/>
      <c r="SIC98" s="798"/>
      <c r="SID98" s="798"/>
      <c r="SIE98" s="798"/>
      <c r="SIF98" s="798"/>
      <c r="SIG98" s="798"/>
      <c r="SIH98" s="798"/>
      <c r="SII98" s="798"/>
      <c r="SIJ98" s="798"/>
      <c r="SIK98" s="798"/>
      <c r="SIL98" s="798"/>
      <c r="SIM98" s="798"/>
      <c r="SIN98" s="798"/>
      <c r="SIO98" s="798"/>
      <c r="SIP98" s="798"/>
      <c r="SIQ98" s="798"/>
      <c r="SIR98" s="798"/>
      <c r="SIS98" s="798"/>
      <c r="SIT98" s="798"/>
      <c r="SIU98" s="798"/>
      <c r="SIV98" s="798"/>
      <c r="SIW98" s="798"/>
      <c r="SIX98" s="798"/>
      <c r="SIY98" s="798"/>
      <c r="SIZ98" s="798"/>
      <c r="SJA98" s="798"/>
      <c r="SJB98" s="798"/>
      <c r="SJC98" s="798"/>
      <c r="SJD98" s="798"/>
      <c r="SJE98" s="798"/>
      <c r="SJF98" s="798"/>
      <c r="SJG98" s="798"/>
      <c r="SJH98" s="798"/>
      <c r="SJI98" s="798"/>
      <c r="SJJ98" s="798"/>
      <c r="SJK98" s="798"/>
      <c r="SJL98" s="798"/>
      <c r="SJM98" s="798"/>
      <c r="SJN98" s="798"/>
      <c r="SJO98" s="798"/>
      <c r="SJP98" s="798"/>
      <c r="SJQ98" s="798"/>
      <c r="SJR98" s="798"/>
      <c r="SJS98" s="798"/>
      <c r="SJT98" s="798"/>
      <c r="SJU98" s="798"/>
      <c r="SJV98" s="798"/>
      <c r="SJW98" s="798"/>
      <c r="SJX98" s="798"/>
      <c r="SJY98" s="798"/>
      <c r="SJZ98" s="798"/>
      <c r="SKA98" s="798"/>
      <c r="SKB98" s="798"/>
      <c r="SKC98" s="798"/>
      <c r="SKD98" s="798"/>
      <c r="SKE98" s="798"/>
      <c r="SKF98" s="798"/>
      <c r="SKG98" s="798"/>
      <c r="SKH98" s="798"/>
      <c r="SKI98" s="798"/>
      <c r="SKJ98" s="798"/>
      <c r="SKK98" s="798"/>
      <c r="SKL98" s="798"/>
      <c r="SKM98" s="798"/>
      <c r="SKN98" s="798"/>
      <c r="SKO98" s="798"/>
      <c r="SKP98" s="798"/>
      <c r="SKQ98" s="798"/>
      <c r="SKR98" s="798"/>
      <c r="SKS98" s="798"/>
      <c r="SKT98" s="798"/>
      <c r="SKU98" s="798"/>
      <c r="SKV98" s="798"/>
      <c r="SKW98" s="798"/>
      <c r="SKX98" s="798"/>
      <c r="SKY98" s="798"/>
      <c r="SKZ98" s="798"/>
      <c r="SLA98" s="798"/>
      <c r="SLB98" s="798"/>
      <c r="SLC98" s="798"/>
      <c r="SLD98" s="798"/>
      <c r="SLE98" s="798"/>
      <c r="SLF98" s="798"/>
      <c r="SLG98" s="798"/>
      <c r="SLH98" s="798"/>
      <c r="SLI98" s="798"/>
      <c r="SLJ98" s="798"/>
      <c r="SLK98" s="798"/>
      <c r="SLL98" s="798"/>
      <c r="SLM98" s="798"/>
      <c r="SLN98" s="798"/>
      <c r="SLO98" s="798"/>
      <c r="SLP98" s="798"/>
      <c r="SLQ98" s="798"/>
      <c r="SLR98" s="798"/>
      <c r="SLS98" s="798"/>
      <c r="SLT98" s="798"/>
      <c r="SLU98" s="798"/>
      <c r="SLV98" s="798"/>
      <c r="SLW98" s="798"/>
      <c r="SLX98" s="798"/>
      <c r="SLY98" s="798"/>
      <c r="SLZ98" s="798"/>
      <c r="SMA98" s="798"/>
      <c r="SMB98" s="798"/>
      <c r="SMC98" s="798"/>
      <c r="SMD98" s="798"/>
      <c r="SME98" s="798"/>
      <c r="SMF98" s="798"/>
      <c r="SMG98" s="798"/>
      <c r="SMH98" s="798"/>
      <c r="SMI98" s="798"/>
      <c r="SMJ98" s="798"/>
      <c r="SMK98" s="798"/>
      <c r="SML98" s="798"/>
      <c r="SMM98" s="798"/>
      <c r="SMN98" s="798"/>
      <c r="SMO98" s="798"/>
      <c r="SMP98" s="798"/>
      <c r="SMQ98" s="798"/>
      <c r="SMR98" s="798"/>
      <c r="SMS98" s="798"/>
      <c r="SMT98" s="798"/>
      <c r="SMU98" s="798"/>
      <c r="SMV98" s="798"/>
      <c r="SMW98" s="798"/>
      <c r="SMX98" s="798"/>
      <c r="SMY98" s="798"/>
      <c r="SMZ98" s="798"/>
      <c r="SNA98" s="798"/>
      <c r="SNB98" s="798"/>
      <c r="SNC98" s="798"/>
      <c r="SND98" s="798"/>
      <c r="SNE98" s="798"/>
      <c r="SNF98" s="798"/>
      <c r="SNG98" s="798"/>
      <c r="SNH98" s="798"/>
      <c r="SNI98" s="798"/>
      <c r="SNJ98" s="798"/>
      <c r="SNK98" s="798"/>
      <c r="SNL98" s="798"/>
      <c r="SNM98" s="798"/>
      <c r="SNN98" s="798"/>
      <c r="SNO98" s="798"/>
      <c r="SNP98" s="798"/>
      <c r="SNQ98" s="798"/>
      <c r="SNR98" s="798"/>
      <c r="SNS98" s="798"/>
      <c r="SNT98" s="798"/>
      <c r="SNU98" s="798"/>
      <c r="SNV98" s="798"/>
      <c r="SNW98" s="798"/>
      <c r="SNX98" s="798"/>
      <c r="SNY98" s="798"/>
      <c r="SNZ98" s="798"/>
      <c r="SOA98" s="798"/>
      <c r="SOB98" s="798"/>
      <c r="SOC98" s="798"/>
      <c r="SOD98" s="798"/>
      <c r="SOE98" s="798"/>
      <c r="SOF98" s="798"/>
      <c r="SOG98" s="798"/>
      <c r="SOH98" s="798"/>
      <c r="SOI98" s="798"/>
      <c r="SOJ98" s="798"/>
      <c r="SOK98" s="798"/>
      <c r="SOL98" s="798"/>
      <c r="SOM98" s="798"/>
      <c r="SON98" s="798"/>
      <c r="SOO98" s="798"/>
      <c r="SOP98" s="798"/>
      <c r="SOQ98" s="798"/>
      <c r="SOR98" s="798"/>
      <c r="SOS98" s="798"/>
      <c r="SOT98" s="798"/>
      <c r="SOU98" s="798"/>
      <c r="SOV98" s="798"/>
      <c r="SOW98" s="798"/>
      <c r="SOX98" s="798"/>
      <c r="SOY98" s="798"/>
      <c r="SOZ98" s="798"/>
      <c r="SPA98" s="798"/>
      <c r="SPB98" s="798"/>
      <c r="SPC98" s="798"/>
      <c r="SPD98" s="798"/>
      <c r="SPE98" s="798"/>
      <c r="SPF98" s="798"/>
      <c r="SPG98" s="798"/>
      <c r="SPH98" s="798"/>
      <c r="SPI98" s="798"/>
      <c r="SPJ98" s="798"/>
      <c r="SPK98" s="798"/>
      <c r="SPL98" s="798"/>
      <c r="SPM98" s="798"/>
      <c r="SPN98" s="798"/>
      <c r="SPO98" s="798"/>
      <c r="SPP98" s="798"/>
      <c r="SPQ98" s="798"/>
      <c r="SPR98" s="798"/>
      <c r="SPS98" s="798"/>
      <c r="SPT98" s="798"/>
      <c r="SPU98" s="798"/>
      <c r="SPV98" s="798"/>
      <c r="SPW98" s="798"/>
      <c r="SPX98" s="798"/>
      <c r="SPY98" s="798"/>
      <c r="SPZ98" s="798"/>
      <c r="SQA98" s="798"/>
      <c r="SQB98" s="798"/>
      <c r="SQC98" s="798"/>
      <c r="SQD98" s="798"/>
      <c r="SQE98" s="798"/>
      <c r="SQF98" s="798"/>
      <c r="SQG98" s="798"/>
      <c r="SQH98" s="798"/>
      <c r="SQI98" s="798"/>
      <c r="SQJ98" s="798"/>
      <c r="SQK98" s="798"/>
      <c r="SQL98" s="798"/>
      <c r="SQM98" s="798"/>
      <c r="SQN98" s="798"/>
      <c r="SQO98" s="798"/>
      <c r="SQP98" s="798"/>
      <c r="SQQ98" s="798"/>
      <c r="SQR98" s="798"/>
      <c r="SQS98" s="798"/>
      <c r="SQT98" s="798"/>
      <c r="SQU98" s="798"/>
      <c r="SQV98" s="798"/>
      <c r="SQW98" s="798"/>
      <c r="SQX98" s="798"/>
      <c r="SQY98" s="798"/>
      <c r="SQZ98" s="798"/>
      <c r="SRA98" s="798"/>
      <c r="SRB98" s="798"/>
      <c r="SRC98" s="798"/>
      <c r="SRD98" s="798"/>
      <c r="SRE98" s="798"/>
      <c r="SRF98" s="798"/>
      <c r="SRG98" s="798"/>
      <c r="SRH98" s="798"/>
      <c r="SRI98" s="798"/>
      <c r="SRJ98" s="798"/>
      <c r="SRK98" s="798"/>
      <c r="SRL98" s="798"/>
      <c r="SRM98" s="798"/>
      <c r="SRN98" s="798"/>
      <c r="SRO98" s="798"/>
      <c r="SRP98" s="798"/>
      <c r="SRQ98" s="798"/>
      <c r="SRR98" s="798"/>
      <c r="SRS98" s="798"/>
      <c r="SRT98" s="798"/>
      <c r="SRU98" s="798"/>
      <c r="SRV98" s="798"/>
      <c r="SRW98" s="798"/>
      <c r="SRX98" s="798"/>
      <c r="SRY98" s="798"/>
      <c r="SRZ98" s="798"/>
      <c r="SSA98" s="798"/>
      <c r="SSB98" s="798"/>
      <c r="SSC98" s="798"/>
      <c r="SSD98" s="798"/>
      <c r="SSE98" s="798"/>
      <c r="SSF98" s="798"/>
      <c r="SSG98" s="798"/>
      <c r="SSH98" s="798"/>
      <c r="SSI98" s="798"/>
      <c r="SSJ98" s="798"/>
      <c r="SSK98" s="798"/>
      <c r="SSL98" s="798"/>
      <c r="SSM98" s="798"/>
      <c r="SSN98" s="798"/>
      <c r="SSO98" s="798"/>
      <c r="SSP98" s="798"/>
      <c r="SSQ98" s="798"/>
      <c r="SSR98" s="798"/>
      <c r="SSS98" s="798"/>
      <c r="SST98" s="798"/>
      <c r="SSU98" s="798"/>
      <c r="SSV98" s="798"/>
      <c r="SSW98" s="798"/>
      <c r="SSX98" s="798"/>
      <c r="SSY98" s="798"/>
      <c r="SSZ98" s="798"/>
      <c r="STA98" s="798"/>
      <c r="STB98" s="798"/>
      <c r="STC98" s="798"/>
      <c r="STD98" s="798"/>
      <c r="STE98" s="798"/>
      <c r="STF98" s="798"/>
      <c r="STG98" s="798"/>
      <c r="STH98" s="798"/>
      <c r="STI98" s="798"/>
      <c r="STJ98" s="798"/>
      <c r="STK98" s="798"/>
      <c r="STL98" s="798"/>
      <c r="STM98" s="798"/>
      <c r="STN98" s="798"/>
      <c r="STO98" s="798"/>
      <c r="STP98" s="798"/>
      <c r="STQ98" s="798"/>
      <c r="STR98" s="798"/>
      <c r="STS98" s="798"/>
      <c r="STT98" s="798"/>
      <c r="STU98" s="798"/>
      <c r="STV98" s="798"/>
      <c r="STW98" s="798"/>
      <c r="STX98" s="798"/>
      <c r="STY98" s="798"/>
      <c r="STZ98" s="798"/>
      <c r="SUA98" s="798"/>
      <c r="SUB98" s="798"/>
      <c r="SUC98" s="798"/>
      <c r="SUD98" s="798"/>
      <c r="SUE98" s="798"/>
      <c r="SUF98" s="798"/>
      <c r="SUG98" s="798"/>
      <c r="SUH98" s="798"/>
      <c r="SUI98" s="798"/>
      <c r="SUJ98" s="798"/>
      <c r="SUK98" s="798"/>
      <c r="SUL98" s="798"/>
      <c r="SUM98" s="798"/>
      <c r="SUN98" s="798"/>
      <c r="SUO98" s="798"/>
      <c r="SUP98" s="798"/>
      <c r="SUQ98" s="798"/>
      <c r="SUR98" s="798"/>
      <c r="SUS98" s="798"/>
      <c r="SUT98" s="798"/>
      <c r="SUU98" s="798"/>
      <c r="SUV98" s="798"/>
      <c r="SUW98" s="798"/>
      <c r="SUX98" s="798"/>
      <c r="SUY98" s="798"/>
      <c r="SUZ98" s="798"/>
      <c r="SVA98" s="798"/>
      <c r="SVB98" s="798"/>
      <c r="SVC98" s="798"/>
      <c r="SVD98" s="798"/>
      <c r="SVE98" s="798"/>
      <c r="SVF98" s="798"/>
      <c r="SVG98" s="798"/>
      <c r="SVH98" s="798"/>
      <c r="SVI98" s="798"/>
      <c r="SVJ98" s="798"/>
      <c r="SVK98" s="798"/>
      <c r="SVL98" s="798"/>
      <c r="SVM98" s="798"/>
      <c r="SVN98" s="798"/>
      <c r="SVO98" s="798"/>
      <c r="SVP98" s="798"/>
      <c r="SVQ98" s="798"/>
      <c r="SVR98" s="798"/>
      <c r="SVS98" s="798"/>
      <c r="SVT98" s="798"/>
      <c r="SVU98" s="798"/>
      <c r="SVV98" s="798"/>
      <c r="SVW98" s="798"/>
      <c r="SVX98" s="798"/>
      <c r="SVY98" s="798"/>
      <c r="SVZ98" s="798"/>
      <c r="SWA98" s="798"/>
      <c r="SWB98" s="798"/>
      <c r="SWC98" s="798"/>
      <c r="SWD98" s="798"/>
      <c r="SWE98" s="798"/>
      <c r="SWF98" s="798"/>
      <c r="SWG98" s="798"/>
      <c r="SWH98" s="798"/>
      <c r="SWI98" s="798"/>
      <c r="SWJ98" s="798"/>
      <c r="SWK98" s="798"/>
      <c r="SWL98" s="798"/>
      <c r="SWM98" s="798"/>
      <c r="SWN98" s="798"/>
      <c r="SWO98" s="798"/>
      <c r="SWP98" s="798"/>
      <c r="SWQ98" s="798"/>
      <c r="SWR98" s="798"/>
      <c r="SWS98" s="798"/>
      <c r="SWT98" s="798"/>
      <c r="SWU98" s="798"/>
      <c r="SWV98" s="798"/>
      <c r="SWW98" s="798"/>
      <c r="SWX98" s="798"/>
      <c r="SWY98" s="798"/>
      <c r="SWZ98" s="798"/>
      <c r="SXA98" s="798"/>
      <c r="SXB98" s="798"/>
      <c r="SXC98" s="798"/>
      <c r="SXD98" s="798"/>
      <c r="SXE98" s="798"/>
      <c r="SXF98" s="798"/>
      <c r="SXG98" s="798"/>
      <c r="SXH98" s="798"/>
      <c r="SXI98" s="798"/>
      <c r="SXJ98" s="798"/>
      <c r="SXK98" s="798"/>
      <c r="SXL98" s="798"/>
      <c r="SXM98" s="798"/>
      <c r="SXN98" s="798"/>
      <c r="SXO98" s="798"/>
      <c r="SXP98" s="798"/>
      <c r="SXQ98" s="798"/>
      <c r="SXR98" s="798"/>
      <c r="SXS98" s="798"/>
      <c r="SXT98" s="798"/>
      <c r="SXU98" s="798"/>
      <c r="SXV98" s="798"/>
      <c r="SXW98" s="798"/>
      <c r="SXX98" s="798"/>
      <c r="SXY98" s="798"/>
      <c r="SXZ98" s="798"/>
      <c r="SYA98" s="798"/>
      <c r="SYB98" s="798"/>
      <c r="SYC98" s="798"/>
      <c r="SYD98" s="798"/>
      <c r="SYE98" s="798"/>
      <c r="SYF98" s="798"/>
      <c r="SYG98" s="798"/>
      <c r="SYH98" s="798"/>
      <c r="SYI98" s="798"/>
      <c r="SYJ98" s="798"/>
      <c r="SYK98" s="798"/>
      <c r="SYL98" s="798"/>
      <c r="SYM98" s="798"/>
      <c r="SYN98" s="798"/>
      <c r="SYO98" s="798"/>
      <c r="SYP98" s="798"/>
      <c r="SYQ98" s="798"/>
      <c r="SYR98" s="798"/>
      <c r="SYS98" s="798"/>
      <c r="SYT98" s="798"/>
      <c r="SYU98" s="798"/>
      <c r="SYV98" s="798"/>
      <c r="SYW98" s="798"/>
      <c r="SYX98" s="798"/>
      <c r="SYY98" s="798"/>
      <c r="SYZ98" s="798"/>
      <c r="SZA98" s="798"/>
      <c r="SZB98" s="798"/>
      <c r="SZC98" s="798"/>
      <c r="SZD98" s="798"/>
      <c r="SZE98" s="798"/>
      <c r="SZF98" s="798"/>
      <c r="SZG98" s="798"/>
      <c r="SZH98" s="798"/>
      <c r="SZI98" s="798"/>
      <c r="SZJ98" s="798"/>
      <c r="SZK98" s="798"/>
      <c r="SZL98" s="798"/>
      <c r="SZM98" s="798"/>
      <c r="SZN98" s="798"/>
      <c r="SZO98" s="798"/>
      <c r="SZP98" s="798"/>
      <c r="SZQ98" s="798"/>
      <c r="SZR98" s="798"/>
      <c r="SZS98" s="798"/>
      <c r="SZT98" s="798"/>
      <c r="SZU98" s="798"/>
      <c r="SZV98" s="798"/>
      <c r="SZW98" s="798"/>
      <c r="SZX98" s="798"/>
      <c r="SZY98" s="798"/>
      <c r="SZZ98" s="798"/>
      <c r="TAA98" s="798"/>
      <c r="TAB98" s="798"/>
      <c r="TAC98" s="798"/>
      <c r="TAD98" s="798"/>
      <c r="TAE98" s="798"/>
      <c r="TAF98" s="798"/>
      <c r="TAG98" s="798"/>
      <c r="TAH98" s="798"/>
      <c r="TAI98" s="798"/>
      <c r="TAJ98" s="798"/>
      <c r="TAK98" s="798"/>
      <c r="TAL98" s="798"/>
      <c r="TAM98" s="798"/>
      <c r="TAN98" s="798"/>
      <c r="TAO98" s="798"/>
      <c r="TAP98" s="798"/>
      <c r="TAQ98" s="798"/>
      <c r="TAR98" s="798"/>
      <c r="TAS98" s="798"/>
      <c r="TAT98" s="798"/>
      <c r="TAU98" s="798"/>
      <c r="TAV98" s="798"/>
      <c r="TAW98" s="798"/>
      <c r="TAX98" s="798"/>
      <c r="TAY98" s="798"/>
      <c r="TAZ98" s="798"/>
      <c r="TBA98" s="798"/>
      <c r="TBB98" s="798"/>
      <c r="TBC98" s="798"/>
      <c r="TBD98" s="798"/>
      <c r="TBE98" s="798"/>
      <c r="TBF98" s="798"/>
      <c r="TBG98" s="798"/>
      <c r="TBH98" s="798"/>
      <c r="TBI98" s="798"/>
      <c r="TBJ98" s="798"/>
      <c r="TBK98" s="798"/>
      <c r="TBL98" s="798"/>
      <c r="TBM98" s="798"/>
      <c r="TBN98" s="798"/>
      <c r="TBO98" s="798"/>
      <c r="TBP98" s="798"/>
      <c r="TBQ98" s="798"/>
      <c r="TBR98" s="798"/>
      <c r="TBS98" s="798"/>
      <c r="TBT98" s="798"/>
      <c r="TBU98" s="798"/>
      <c r="TBV98" s="798"/>
      <c r="TBW98" s="798"/>
      <c r="TBX98" s="798"/>
      <c r="TBY98" s="798"/>
      <c r="TBZ98" s="798"/>
      <c r="TCA98" s="798"/>
      <c r="TCB98" s="798"/>
      <c r="TCC98" s="798"/>
      <c r="TCD98" s="798"/>
      <c r="TCE98" s="798"/>
      <c r="TCF98" s="798"/>
      <c r="TCG98" s="798"/>
      <c r="TCH98" s="798"/>
      <c r="TCI98" s="798"/>
      <c r="TCJ98" s="798"/>
      <c r="TCK98" s="798"/>
      <c r="TCL98" s="798"/>
      <c r="TCM98" s="798"/>
      <c r="TCN98" s="798"/>
      <c r="TCO98" s="798"/>
      <c r="TCP98" s="798"/>
      <c r="TCQ98" s="798"/>
      <c r="TCR98" s="798"/>
      <c r="TCS98" s="798"/>
      <c r="TCT98" s="798"/>
      <c r="TCU98" s="798"/>
      <c r="TCV98" s="798"/>
      <c r="TCW98" s="798"/>
      <c r="TCX98" s="798"/>
      <c r="TCY98" s="798"/>
      <c r="TCZ98" s="798"/>
      <c r="TDA98" s="798"/>
      <c r="TDB98" s="798"/>
      <c r="TDC98" s="798"/>
      <c r="TDD98" s="798"/>
      <c r="TDE98" s="798"/>
      <c r="TDF98" s="798"/>
      <c r="TDG98" s="798"/>
      <c r="TDH98" s="798"/>
      <c r="TDI98" s="798"/>
      <c r="TDJ98" s="798"/>
      <c r="TDK98" s="798"/>
      <c r="TDL98" s="798"/>
      <c r="TDM98" s="798"/>
      <c r="TDN98" s="798"/>
      <c r="TDO98" s="798"/>
      <c r="TDP98" s="798"/>
      <c r="TDQ98" s="798"/>
      <c r="TDR98" s="798"/>
      <c r="TDS98" s="798"/>
      <c r="TDT98" s="798"/>
      <c r="TDU98" s="798"/>
      <c r="TDV98" s="798"/>
      <c r="TDW98" s="798"/>
      <c r="TDX98" s="798"/>
      <c r="TDY98" s="798"/>
      <c r="TDZ98" s="798"/>
      <c r="TEA98" s="798"/>
      <c r="TEB98" s="798"/>
      <c r="TEC98" s="798"/>
      <c r="TED98" s="798"/>
      <c r="TEE98" s="798"/>
      <c r="TEF98" s="798"/>
      <c r="TEG98" s="798"/>
      <c r="TEH98" s="798"/>
      <c r="TEI98" s="798"/>
      <c r="TEJ98" s="798"/>
      <c r="TEK98" s="798"/>
      <c r="TEL98" s="798"/>
      <c r="TEM98" s="798"/>
      <c r="TEN98" s="798"/>
      <c r="TEO98" s="798"/>
      <c r="TEP98" s="798"/>
      <c r="TEQ98" s="798"/>
      <c r="TER98" s="798"/>
      <c r="TES98" s="798"/>
      <c r="TET98" s="798"/>
      <c r="TEU98" s="798"/>
      <c r="TEV98" s="798"/>
      <c r="TEW98" s="798"/>
      <c r="TEX98" s="798"/>
      <c r="TEY98" s="798"/>
      <c r="TEZ98" s="798"/>
      <c r="TFA98" s="798"/>
      <c r="TFB98" s="798"/>
      <c r="TFC98" s="798"/>
      <c r="TFD98" s="798"/>
      <c r="TFE98" s="798"/>
      <c r="TFF98" s="798"/>
      <c r="TFG98" s="798"/>
      <c r="TFH98" s="798"/>
      <c r="TFI98" s="798"/>
      <c r="TFJ98" s="798"/>
      <c r="TFK98" s="798"/>
      <c r="TFL98" s="798"/>
      <c r="TFM98" s="798"/>
      <c r="TFN98" s="798"/>
      <c r="TFO98" s="798"/>
      <c r="TFP98" s="798"/>
      <c r="TFQ98" s="798"/>
      <c r="TFR98" s="798"/>
      <c r="TFS98" s="798"/>
      <c r="TFT98" s="798"/>
      <c r="TFU98" s="798"/>
      <c r="TFV98" s="798"/>
      <c r="TFW98" s="798"/>
      <c r="TFX98" s="798"/>
      <c r="TFY98" s="798"/>
      <c r="TFZ98" s="798"/>
      <c r="TGA98" s="798"/>
      <c r="TGB98" s="798"/>
      <c r="TGC98" s="798"/>
      <c r="TGD98" s="798"/>
      <c r="TGE98" s="798"/>
      <c r="TGF98" s="798"/>
      <c r="TGG98" s="798"/>
      <c r="TGH98" s="798"/>
      <c r="TGI98" s="798"/>
      <c r="TGJ98" s="798"/>
      <c r="TGK98" s="798"/>
      <c r="TGL98" s="798"/>
      <c r="TGM98" s="798"/>
      <c r="TGN98" s="798"/>
      <c r="TGO98" s="798"/>
      <c r="TGP98" s="798"/>
      <c r="TGQ98" s="798"/>
      <c r="TGR98" s="798"/>
      <c r="TGS98" s="798"/>
      <c r="TGT98" s="798"/>
      <c r="TGU98" s="798"/>
      <c r="TGV98" s="798"/>
      <c r="TGW98" s="798"/>
      <c r="TGX98" s="798"/>
      <c r="TGY98" s="798"/>
      <c r="TGZ98" s="798"/>
      <c r="THA98" s="798"/>
      <c r="THB98" s="798"/>
      <c r="THC98" s="798"/>
      <c r="THD98" s="798"/>
      <c r="THE98" s="798"/>
      <c r="THF98" s="798"/>
      <c r="THG98" s="798"/>
      <c r="THH98" s="798"/>
      <c r="THI98" s="798"/>
      <c r="THJ98" s="798"/>
      <c r="THK98" s="798"/>
      <c r="THL98" s="798"/>
      <c r="THM98" s="798"/>
      <c r="THN98" s="798"/>
      <c r="THO98" s="798"/>
      <c r="THP98" s="798"/>
      <c r="THQ98" s="798"/>
      <c r="THR98" s="798"/>
      <c r="THS98" s="798"/>
      <c r="THT98" s="798"/>
      <c r="THU98" s="798"/>
      <c r="THV98" s="798"/>
      <c r="THW98" s="798"/>
      <c r="THX98" s="798"/>
      <c r="THY98" s="798"/>
      <c r="THZ98" s="798"/>
      <c r="TIA98" s="798"/>
      <c r="TIB98" s="798"/>
      <c r="TIC98" s="798"/>
      <c r="TID98" s="798"/>
      <c r="TIE98" s="798"/>
      <c r="TIF98" s="798"/>
      <c r="TIG98" s="798"/>
      <c r="TIH98" s="798"/>
      <c r="TII98" s="798"/>
      <c r="TIJ98" s="798"/>
      <c r="TIK98" s="798"/>
      <c r="TIL98" s="798"/>
      <c r="TIM98" s="798"/>
      <c r="TIN98" s="798"/>
      <c r="TIO98" s="798"/>
      <c r="TIP98" s="798"/>
      <c r="TIQ98" s="798"/>
      <c r="TIR98" s="798"/>
      <c r="TIS98" s="798"/>
      <c r="TIT98" s="798"/>
      <c r="TIU98" s="798"/>
      <c r="TIV98" s="798"/>
      <c r="TIW98" s="798"/>
      <c r="TIX98" s="798"/>
      <c r="TIY98" s="798"/>
      <c r="TIZ98" s="798"/>
      <c r="TJA98" s="798"/>
      <c r="TJB98" s="798"/>
      <c r="TJC98" s="798"/>
      <c r="TJD98" s="798"/>
      <c r="TJE98" s="798"/>
      <c r="TJF98" s="798"/>
      <c r="TJG98" s="798"/>
      <c r="TJH98" s="798"/>
      <c r="TJI98" s="798"/>
      <c r="TJJ98" s="798"/>
      <c r="TJK98" s="798"/>
      <c r="TJL98" s="798"/>
      <c r="TJM98" s="798"/>
      <c r="TJN98" s="798"/>
      <c r="TJO98" s="798"/>
      <c r="TJP98" s="798"/>
      <c r="TJQ98" s="798"/>
      <c r="TJR98" s="798"/>
      <c r="TJS98" s="798"/>
      <c r="TJT98" s="798"/>
      <c r="TJU98" s="798"/>
      <c r="TJV98" s="798"/>
      <c r="TJW98" s="798"/>
      <c r="TJX98" s="798"/>
      <c r="TJY98" s="798"/>
      <c r="TJZ98" s="798"/>
      <c r="TKA98" s="798"/>
      <c r="TKB98" s="798"/>
      <c r="TKC98" s="798"/>
      <c r="TKD98" s="798"/>
      <c r="TKE98" s="798"/>
      <c r="TKF98" s="798"/>
      <c r="TKG98" s="798"/>
      <c r="TKH98" s="798"/>
      <c r="TKI98" s="798"/>
      <c r="TKJ98" s="798"/>
      <c r="TKK98" s="798"/>
      <c r="TKL98" s="798"/>
      <c r="TKM98" s="798"/>
      <c r="TKN98" s="798"/>
      <c r="TKO98" s="798"/>
      <c r="TKP98" s="798"/>
      <c r="TKQ98" s="798"/>
      <c r="TKR98" s="798"/>
      <c r="TKS98" s="798"/>
      <c r="TKT98" s="798"/>
      <c r="TKU98" s="798"/>
      <c r="TKV98" s="798"/>
      <c r="TKW98" s="798"/>
      <c r="TKX98" s="798"/>
      <c r="TKY98" s="798"/>
      <c r="TKZ98" s="798"/>
      <c r="TLA98" s="798"/>
      <c r="TLB98" s="798"/>
      <c r="TLC98" s="798"/>
      <c r="TLD98" s="798"/>
      <c r="TLE98" s="798"/>
      <c r="TLF98" s="798"/>
      <c r="TLG98" s="798"/>
      <c r="TLH98" s="798"/>
      <c r="TLI98" s="798"/>
      <c r="TLJ98" s="798"/>
      <c r="TLK98" s="798"/>
      <c r="TLL98" s="798"/>
      <c r="TLM98" s="798"/>
      <c r="TLN98" s="798"/>
      <c r="TLO98" s="798"/>
      <c r="TLP98" s="798"/>
      <c r="TLQ98" s="798"/>
      <c r="TLR98" s="798"/>
      <c r="TLS98" s="798"/>
      <c r="TLT98" s="798"/>
      <c r="TLU98" s="798"/>
      <c r="TLV98" s="798"/>
      <c r="TLW98" s="798"/>
      <c r="TLX98" s="798"/>
      <c r="TLY98" s="798"/>
      <c r="TLZ98" s="798"/>
      <c r="TMA98" s="798"/>
      <c r="TMB98" s="798"/>
      <c r="TMC98" s="798"/>
      <c r="TMD98" s="798"/>
      <c r="TME98" s="798"/>
      <c r="TMF98" s="798"/>
      <c r="TMG98" s="798"/>
      <c r="TMH98" s="798"/>
      <c r="TMI98" s="798"/>
      <c r="TMJ98" s="798"/>
      <c r="TMK98" s="798"/>
      <c r="TML98" s="798"/>
      <c r="TMM98" s="798"/>
      <c r="TMN98" s="798"/>
      <c r="TMO98" s="798"/>
      <c r="TMP98" s="798"/>
      <c r="TMQ98" s="798"/>
      <c r="TMR98" s="798"/>
      <c r="TMS98" s="798"/>
      <c r="TMT98" s="798"/>
      <c r="TMU98" s="798"/>
      <c r="TMV98" s="798"/>
      <c r="TMW98" s="798"/>
      <c r="TMX98" s="798"/>
      <c r="TMY98" s="798"/>
      <c r="TMZ98" s="798"/>
      <c r="TNA98" s="798"/>
      <c r="TNB98" s="798"/>
      <c r="TNC98" s="798"/>
      <c r="TND98" s="798"/>
      <c r="TNE98" s="798"/>
      <c r="TNF98" s="798"/>
      <c r="TNG98" s="798"/>
      <c r="TNH98" s="798"/>
      <c r="TNI98" s="798"/>
      <c r="TNJ98" s="798"/>
      <c r="TNK98" s="798"/>
      <c r="TNL98" s="798"/>
      <c r="TNM98" s="798"/>
      <c r="TNN98" s="798"/>
      <c r="TNO98" s="798"/>
      <c r="TNP98" s="798"/>
      <c r="TNQ98" s="798"/>
      <c r="TNR98" s="798"/>
      <c r="TNS98" s="798"/>
      <c r="TNT98" s="798"/>
      <c r="TNU98" s="798"/>
      <c r="TNV98" s="798"/>
      <c r="TNW98" s="798"/>
      <c r="TNX98" s="798"/>
      <c r="TNY98" s="798"/>
      <c r="TNZ98" s="798"/>
      <c r="TOA98" s="798"/>
      <c r="TOB98" s="798"/>
      <c r="TOC98" s="798"/>
      <c r="TOD98" s="798"/>
      <c r="TOE98" s="798"/>
      <c r="TOF98" s="798"/>
      <c r="TOG98" s="798"/>
      <c r="TOH98" s="798"/>
      <c r="TOI98" s="798"/>
      <c r="TOJ98" s="798"/>
      <c r="TOK98" s="798"/>
      <c r="TOL98" s="798"/>
      <c r="TOM98" s="798"/>
      <c r="TON98" s="798"/>
      <c r="TOO98" s="798"/>
      <c r="TOP98" s="798"/>
      <c r="TOQ98" s="798"/>
      <c r="TOR98" s="798"/>
      <c r="TOS98" s="798"/>
      <c r="TOT98" s="798"/>
      <c r="TOU98" s="798"/>
      <c r="TOV98" s="798"/>
      <c r="TOW98" s="798"/>
      <c r="TOX98" s="798"/>
      <c r="TOY98" s="798"/>
      <c r="TOZ98" s="798"/>
      <c r="TPA98" s="798"/>
      <c r="TPB98" s="798"/>
      <c r="TPC98" s="798"/>
      <c r="TPD98" s="798"/>
      <c r="TPE98" s="798"/>
      <c r="TPF98" s="798"/>
      <c r="TPG98" s="798"/>
      <c r="TPH98" s="798"/>
      <c r="TPI98" s="798"/>
      <c r="TPJ98" s="798"/>
      <c r="TPK98" s="798"/>
      <c r="TPL98" s="798"/>
      <c r="TPM98" s="798"/>
      <c r="TPN98" s="798"/>
      <c r="TPO98" s="798"/>
      <c r="TPP98" s="798"/>
      <c r="TPQ98" s="798"/>
      <c r="TPR98" s="798"/>
      <c r="TPS98" s="798"/>
      <c r="TPT98" s="798"/>
      <c r="TPU98" s="798"/>
      <c r="TPV98" s="798"/>
      <c r="TPW98" s="798"/>
      <c r="TPX98" s="798"/>
      <c r="TPY98" s="798"/>
      <c r="TPZ98" s="798"/>
      <c r="TQA98" s="798"/>
      <c r="TQB98" s="798"/>
      <c r="TQC98" s="798"/>
      <c r="TQD98" s="798"/>
      <c r="TQE98" s="798"/>
      <c r="TQF98" s="798"/>
      <c r="TQG98" s="798"/>
      <c r="TQH98" s="798"/>
      <c r="TQI98" s="798"/>
      <c r="TQJ98" s="798"/>
      <c r="TQK98" s="798"/>
      <c r="TQL98" s="798"/>
      <c r="TQM98" s="798"/>
      <c r="TQN98" s="798"/>
      <c r="TQO98" s="798"/>
      <c r="TQP98" s="798"/>
      <c r="TQQ98" s="798"/>
      <c r="TQR98" s="798"/>
      <c r="TQS98" s="798"/>
      <c r="TQT98" s="798"/>
      <c r="TQU98" s="798"/>
      <c r="TQV98" s="798"/>
      <c r="TQW98" s="798"/>
      <c r="TQX98" s="798"/>
      <c r="TQY98" s="798"/>
      <c r="TQZ98" s="798"/>
      <c r="TRA98" s="798"/>
      <c r="TRB98" s="798"/>
      <c r="TRC98" s="798"/>
      <c r="TRD98" s="798"/>
      <c r="TRE98" s="798"/>
      <c r="TRF98" s="798"/>
      <c r="TRG98" s="798"/>
      <c r="TRH98" s="798"/>
      <c r="TRI98" s="798"/>
      <c r="TRJ98" s="798"/>
      <c r="TRK98" s="798"/>
      <c r="TRL98" s="798"/>
      <c r="TRM98" s="798"/>
      <c r="TRN98" s="798"/>
      <c r="TRO98" s="798"/>
      <c r="TRP98" s="798"/>
      <c r="TRQ98" s="798"/>
      <c r="TRR98" s="798"/>
      <c r="TRS98" s="798"/>
      <c r="TRT98" s="798"/>
      <c r="TRU98" s="798"/>
      <c r="TRV98" s="798"/>
      <c r="TRW98" s="798"/>
      <c r="TRX98" s="798"/>
      <c r="TRY98" s="798"/>
      <c r="TRZ98" s="798"/>
      <c r="TSA98" s="798"/>
      <c r="TSB98" s="798"/>
      <c r="TSC98" s="798"/>
      <c r="TSD98" s="798"/>
      <c r="TSE98" s="798"/>
      <c r="TSF98" s="798"/>
      <c r="TSG98" s="798"/>
      <c r="TSH98" s="798"/>
      <c r="TSI98" s="798"/>
      <c r="TSJ98" s="798"/>
      <c r="TSK98" s="798"/>
      <c r="TSL98" s="798"/>
      <c r="TSM98" s="798"/>
      <c r="TSN98" s="798"/>
      <c r="TSO98" s="798"/>
      <c r="TSP98" s="798"/>
      <c r="TSQ98" s="798"/>
      <c r="TSR98" s="798"/>
      <c r="TSS98" s="798"/>
      <c r="TST98" s="798"/>
      <c r="TSU98" s="798"/>
      <c r="TSV98" s="798"/>
      <c r="TSW98" s="798"/>
      <c r="TSX98" s="798"/>
      <c r="TSY98" s="798"/>
      <c r="TSZ98" s="798"/>
      <c r="TTA98" s="798"/>
      <c r="TTB98" s="798"/>
      <c r="TTC98" s="798"/>
      <c r="TTD98" s="798"/>
      <c r="TTE98" s="798"/>
      <c r="TTF98" s="798"/>
      <c r="TTG98" s="798"/>
      <c r="TTH98" s="798"/>
      <c r="TTI98" s="798"/>
      <c r="TTJ98" s="798"/>
      <c r="TTK98" s="798"/>
      <c r="TTL98" s="798"/>
      <c r="TTM98" s="798"/>
      <c r="TTN98" s="798"/>
      <c r="TTO98" s="798"/>
      <c r="TTP98" s="798"/>
      <c r="TTQ98" s="798"/>
      <c r="TTR98" s="798"/>
      <c r="TTS98" s="798"/>
      <c r="TTT98" s="798"/>
      <c r="TTU98" s="798"/>
      <c r="TTV98" s="798"/>
      <c r="TTW98" s="798"/>
      <c r="TTX98" s="798"/>
      <c r="TTY98" s="798"/>
      <c r="TTZ98" s="798"/>
      <c r="TUA98" s="798"/>
      <c r="TUB98" s="798"/>
      <c r="TUC98" s="798"/>
      <c r="TUD98" s="798"/>
      <c r="TUE98" s="798"/>
      <c r="TUF98" s="798"/>
      <c r="TUG98" s="798"/>
      <c r="TUH98" s="798"/>
      <c r="TUI98" s="798"/>
      <c r="TUJ98" s="798"/>
      <c r="TUK98" s="798"/>
      <c r="TUL98" s="798"/>
      <c r="TUM98" s="798"/>
      <c r="TUN98" s="798"/>
      <c r="TUO98" s="798"/>
      <c r="TUP98" s="798"/>
      <c r="TUQ98" s="798"/>
      <c r="TUR98" s="798"/>
      <c r="TUS98" s="798"/>
      <c r="TUT98" s="798"/>
      <c r="TUU98" s="798"/>
      <c r="TUV98" s="798"/>
      <c r="TUW98" s="798"/>
      <c r="TUX98" s="798"/>
      <c r="TUY98" s="798"/>
      <c r="TUZ98" s="798"/>
      <c r="TVA98" s="798"/>
      <c r="TVB98" s="798"/>
      <c r="TVC98" s="798"/>
      <c r="TVD98" s="798"/>
      <c r="TVE98" s="798"/>
      <c r="TVF98" s="798"/>
      <c r="TVG98" s="798"/>
      <c r="TVH98" s="798"/>
      <c r="TVI98" s="798"/>
      <c r="TVJ98" s="798"/>
      <c r="TVK98" s="798"/>
      <c r="TVL98" s="798"/>
      <c r="TVM98" s="798"/>
      <c r="TVN98" s="798"/>
      <c r="TVO98" s="798"/>
      <c r="TVP98" s="798"/>
      <c r="TVQ98" s="798"/>
      <c r="TVR98" s="798"/>
      <c r="TVS98" s="798"/>
      <c r="TVT98" s="798"/>
      <c r="TVU98" s="798"/>
      <c r="TVV98" s="798"/>
      <c r="TVW98" s="798"/>
      <c r="TVX98" s="798"/>
      <c r="TVY98" s="798"/>
      <c r="TVZ98" s="798"/>
      <c r="TWA98" s="798"/>
      <c r="TWB98" s="798"/>
      <c r="TWC98" s="798"/>
      <c r="TWD98" s="798"/>
      <c r="TWE98" s="798"/>
      <c r="TWF98" s="798"/>
      <c r="TWG98" s="798"/>
      <c r="TWH98" s="798"/>
      <c r="TWI98" s="798"/>
      <c r="TWJ98" s="798"/>
      <c r="TWK98" s="798"/>
      <c r="TWL98" s="798"/>
      <c r="TWM98" s="798"/>
      <c r="TWN98" s="798"/>
      <c r="TWO98" s="798"/>
      <c r="TWP98" s="798"/>
      <c r="TWQ98" s="798"/>
      <c r="TWR98" s="798"/>
      <c r="TWS98" s="798"/>
      <c r="TWT98" s="798"/>
      <c r="TWU98" s="798"/>
      <c r="TWV98" s="798"/>
      <c r="TWW98" s="798"/>
      <c r="TWX98" s="798"/>
      <c r="TWY98" s="798"/>
      <c r="TWZ98" s="798"/>
      <c r="TXA98" s="798"/>
      <c r="TXB98" s="798"/>
      <c r="TXC98" s="798"/>
      <c r="TXD98" s="798"/>
      <c r="TXE98" s="798"/>
      <c r="TXF98" s="798"/>
      <c r="TXG98" s="798"/>
      <c r="TXH98" s="798"/>
      <c r="TXI98" s="798"/>
      <c r="TXJ98" s="798"/>
      <c r="TXK98" s="798"/>
      <c r="TXL98" s="798"/>
      <c r="TXM98" s="798"/>
      <c r="TXN98" s="798"/>
      <c r="TXO98" s="798"/>
      <c r="TXP98" s="798"/>
      <c r="TXQ98" s="798"/>
      <c r="TXR98" s="798"/>
      <c r="TXS98" s="798"/>
      <c r="TXT98" s="798"/>
      <c r="TXU98" s="798"/>
      <c r="TXV98" s="798"/>
      <c r="TXW98" s="798"/>
      <c r="TXX98" s="798"/>
      <c r="TXY98" s="798"/>
      <c r="TXZ98" s="798"/>
      <c r="TYA98" s="798"/>
      <c r="TYB98" s="798"/>
      <c r="TYC98" s="798"/>
      <c r="TYD98" s="798"/>
      <c r="TYE98" s="798"/>
      <c r="TYF98" s="798"/>
      <c r="TYG98" s="798"/>
      <c r="TYH98" s="798"/>
      <c r="TYI98" s="798"/>
      <c r="TYJ98" s="798"/>
      <c r="TYK98" s="798"/>
      <c r="TYL98" s="798"/>
      <c r="TYM98" s="798"/>
      <c r="TYN98" s="798"/>
      <c r="TYO98" s="798"/>
      <c r="TYP98" s="798"/>
      <c r="TYQ98" s="798"/>
      <c r="TYR98" s="798"/>
      <c r="TYS98" s="798"/>
      <c r="TYT98" s="798"/>
      <c r="TYU98" s="798"/>
      <c r="TYV98" s="798"/>
      <c r="TYW98" s="798"/>
      <c r="TYX98" s="798"/>
      <c r="TYY98" s="798"/>
      <c r="TYZ98" s="798"/>
      <c r="TZA98" s="798"/>
      <c r="TZB98" s="798"/>
      <c r="TZC98" s="798"/>
      <c r="TZD98" s="798"/>
      <c r="TZE98" s="798"/>
      <c r="TZF98" s="798"/>
      <c r="TZG98" s="798"/>
      <c r="TZH98" s="798"/>
      <c r="TZI98" s="798"/>
      <c r="TZJ98" s="798"/>
      <c r="TZK98" s="798"/>
      <c r="TZL98" s="798"/>
      <c r="TZM98" s="798"/>
      <c r="TZN98" s="798"/>
      <c r="TZO98" s="798"/>
      <c r="TZP98" s="798"/>
      <c r="TZQ98" s="798"/>
      <c r="TZR98" s="798"/>
      <c r="TZS98" s="798"/>
      <c r="TZT98" s="798"/>
      <c r="TZU98" s="798"/>
      <c r="TZV98" s="798"/>
      <c r="TZW98" s="798"/>
      <c r="TZX98" s="798"/>
      <c r="TZY98" s="798"/>
      <c r="TZZ98" s="798"/>
      <c r="UAA98" s="798"/>
      <c r="UAB98" s="798"/>
      <c r="UAC98" s="798"/>
      <c r="UAD98" s="798"/>
      <c r="UAE98" s="798"/>
      <c r="UAF98" s="798"/>
      <c r="UAG98" s="798"/>
      <c r="UAH98" s="798"/>
      <c r="UAI98" s="798"/>
      <c r="UAJ98" s="798"/>
      <c r="UAK98" s="798"/>
      <c r="UAL98" s="798"/>
      <c r="UAM98" s="798"/>
      <c r="UAN98" s="798"/>
      <c r="UAO98" s="798"/>
      <c r="UAP98" s="798"/>
      <c r="UAQ98" s="798"/>
      <c r="UAR98" s="798"/>
      <c r="UAS98" s="798"/>
      <c r="UAT98" s="798"/>
      <c r="UAU98" s="798"/>
      <c r="UAV98" s="798"/>
      <c r="UAW98" s="798"/>
      <c r="UAX98" s="798"/>
      <c r="UAY98" s="798"/>
      <c r="UAZ98" s="798"/>
      <c r="UBA98" s="798"/>
      <c r="UBB98" s="798"/>
      <c r="UBC98" s="798"/>
      <c r="UBD98" s="798"/>
      <c r="UBE98" s="798"/>
      <c r="UBF98" s="798"/>
      <c r="UBG98" s="798"/>
      <c r="UBH98" s="798"/>
      <c r="UBI98" s="798"/>
      <c r="UBJ98" s="798"/>
      <c r="UBK98" s="798"/>
      <c r="UBL98" s="798"/>
      <c r="UBM98" s="798"/>
      <c r="UBN98" s="798"/>
      <c r="UBO98" s="798"/>
      <c r="UBP98" s="798"/>
      <c r="UBQ98" s="798"/>
      <c r="UBR98" s="798"/>
      <c r="UBS98" s="798"/>
      <c r="UBT98" s="798"/>
      <c r="UBU98" s="798"/>
      <c r="UBV98" s="798"/>
      <c r="UBW98" s="798"/>
      <c r="UBX98" s="798"/>
      <c r="UBY98" s="798"/>
      <c r="UBZ98" s="798"/>
      <c r="UCA98" s="798"/>
      <c r="UCB98" s="798"/>
      <c r="UCC98" s="798"/>
      <c r="UCD98" s="798"/>
      <c r="UCE98" s="798"/>
      <c r="UCF98" s="798"/>
      <c r="UCG98" s="798"/>
      <c r="UCH98" s="798"/>
      <c r="UCI98" s="798"/>
      <c r="UCJ98" s="798"/>
      <c r="UCK98" s="798"/>
      <c r="UCL98" s="798"/>
      <c r="UCM98" s="798"/>
      <c r="UCN98" s="798"/>
      <c r="UCO98" s="798"/>
      <c r="UCP98" s="798"/>
      <c r="UCQ98" s="798"/>
      <c r="UCR98" s="798"/>
      <c r="UCS98" s="798"/>
      <c r="UCT98" s="798"/>
      <c r="UCU98" s="798"/>
      <c r="UCV98" s="798"/>
      <c r="UCW98" s="798"/>
      <c r="UCX98" s="798"/>
      <c r="UCY98" s="798"/>
      <c r="UCZ98" s="798"/>
      <c r="UDA98" s="798"/>
      <c r="UDB98" s="798"/>
      <c r="UDC98" s="798"/>
      <c r="UDD98" s="798"/>
      <c r="UDE98" s="798"/>
      <c r="UDF98" s="798"/>
      <c r="UDG98" s="798"/>
      <c r="UDH98" s="798"/>
      <c r="UDI98" s="798"/>
      <c r="UDJ98" s="798"/>
      <c r="UDK98" s="798"/>
      <c r="UDL98" s="798"/>
      <c r="UDM98" s="798"/>
      <c r="UDN98" s="798"/>
      <c r="UDO98" s="798"/>
      <c r="UDP98" s="798"/>
      <c r="UDQ98" s="798"/>
      <c r="UDR98" s="798"/>
      <c r="UDS98" s="798"/>
      <c r="UDT98" s="798"/>
      <c r="UDU98" s="798"/>
      <c r="UDV98" s="798"/>
      <c r="UDW98" s="798"/>
      <c r="UDX98" s="798"/>
      <c r="UDY98" s="798"/>
      <c r="UDZ98" s="798"/>
      <c r="UEA98" s="798"/>
      <c r="UEB98" s="798"/>
      <c r="UEC98" s="798"/>
      <c r="UED98" s="798"/>
      <c r="UEE98" s="798"/>
      <c r="UEF98" s="798"/>
      <c r="UEG98" s="798"/>
      <c r="UEH98" s="798"/>
      <c r="UEI98" s="798"/>
      <c r="UEJ98" s="798"/>
      <c r="UEK98" s="798"/>
      <c r="UEL98" s="798"/>
      <c r="UEM98" s="798"/>
      <c r="UEN98" s="798"/>
      <c r="UEO98" s="798"/>
      <c r="UEP98" s="798"/>
      <c r="UEQ98" s="798"/>
      <c r="UER98" s="798"/>
      <c r="UES98" s="798"/>
      <c r="UET98" s="798"/>
      <c r="UEU98" s="798"/>
      <c r="UEV98" s="798"/>
      <c r="UEW98" s="798"/>
      <c r="UEX98" s="798"/>
      <c r="UEY98" s="798"/>
      <c r="UEZ98" s="798"/>
      <c r="UFA98" s="798"/>
      <c r="UFB98" s="798"/>
      <c r="UFC98" s="798"/>
      <c r="UFD98" s="798"/>
      <c r="UFE98" s="798"/>
      <c r="UFF98" s="798"/>
      <c r="UFG98" s="798"/>
      <c r="UFH98" s="798"/>
      <c r="UFI98" s="798"/>
      <c r="UFJ98" s="798"/>
      <c r="UFK98" s="798"/>
      <c r="UFL98" s="798"/>
      <c r="UFM98" s="798"/>
      <c r="UFN98" s="798"/>
      <c r="UFO98" s="798"/>
      <c r="UFP98" s="798"/>
      <c r="UFQ98" s="798"/>
      <c r="UFR98" s="798"/>
      <c r="UFS98" s="798"/>
      <c r="UFT98" s="798"/>
      <c r="UFU98" s="798"/>
      <c r="UFV98" s="798"/>
      <c r="UFW98" s="798"/>
      <c r="UFX98" s="798"/>
      <c r="UFY98" s="798"/>
      <c r="UFZ98" s="798"/>
      <c r="UGA98" s="798"/>
      <c r="UGB98" s="798"/>
      <c r="UGC98" s="798"/>
      <c r="UGD98" s="798"/>
      <c r="UGE98" s="798"/>
      <c r="UGF98" s="798"/>
      <c r="UGG98" s="798"/>
      <c r="UGH98" s="798"/>
      <c r="UGI98" s="798"/>
      <c r="UGJ98" s="798"/>
      <c r="UGK98" s="798"/>
      <c r="UGL98" s="798"/>
      <c r="UGM98" s="798"/>
      <c r="UGN98" s="798"/>
      <c r="UGO98" s="798"/>
      <c r="UGP98" s="798"/>
      <c r="UGQ98" s="798"/>
      <c r="UGR98" s="798"/>
      <c r="UGS98" s="798"/>
      <c r="UGT98" s="798"/>
      <c r="UGU98" s="798"/>
      <c r="UGV98" s="798"/>
      <c r="UGW98" s="798"/>
      <c r="UGX98" s="798"/>
      <c r="UGY98" s="798"/>
      <c r="UGZ98" s="798"/>
      <c r="UHA98" s="798"/>
      <c r="UHB98" s="798"/>
      <c r="UHC98" s="798"/>
      <c r="UHD98" s="798"/>
      <c r="UHE98" s="798"/>
      <c r="UHF98" s="798"/>
      <c r="UHG98" s="798"/>
      <c r="UHH98" s="798"/>
      <c r="UHI98" s="798"/>
      <c r="UHJ98" s="798"/>
      <c r="UHK98" s="798"/>
      <c r="UHL98" s="798"/>
      <c r="UHM98" s="798"/>
      <c r="UHN98" s="798"/>
      <c r="UHO98" s="798"/>
      <c r="UHP98" s="798"/>
      <c r="UHQ98" s="798"/>
      <c r="UHR98" s="798"/>
      <c r="UHS98" s="798"/>
      <c r="UHT98" s="798"/>
      <c r="UHU98" s="798"/>
      <c r="UHV98" s="798"/>
      <c r="UHW98" s="798"/>
      <c r="UHX98" s="798"/>
      <c r="UHY98" s="798"/>
      <c r="UHZ98" s="798"/>
      <c r="UIA98" s="798"/>
      <c r="UIB98" s="798"/>
      <c r="UIC98" s="798"/>
      <c r="UID98" s="798"/>
      <c r="UIE98" s="798"/>
      <c r="UIF98" s="798"/>
      <c r="UIG98" s="798"/>
      <c r="UIH98" s="798"/>
      <c r="UII98" s="798"/>
      <c r="UIJ98" s="798"/>
      <c r="UIK98" s="798"/>
      <c r="UIL98" s="798"/>
      <c r="UIM98" s="798"/>
      <c r="UIN98" s="798"/>
      <c r="UIO98" s="798"/>
      <c r="UIP98" s="798"/>
      <c r="UIQ98" s="798"/>
      <c r="UIR98" s="798"/>
      <c r="UIS98" s="798"/>
      <c r="UIT98" s="798"/>
      <c r="UIU98" s="798"/>
      <c r="UIV98" s="798"/>
      <c r="UIW98" s="798"/>
      <c r="UIX98" s="798"/>
      <c r="UIY98" s="798"/>
      <c r="UIZ98" s="798"/>
      <c r="UJA98" s="798"/>
      <c r="UJB98" s="798"/>
      <c r="UJC98" s="798"/>
      <c r="UJD98" s="798"/>
      <c r="UJE98" s="798"/>
      <c r="UJF98" s="798"/>
      <c r="UJG98" s="798"/>
      <c r="UJH98" s="798"/>
      <c r="UJI98" s="798"/>
      <c r="UJJ98" s="798"/>
      <c r="UJK98" s="798"/>
      <c r="UJL98" s="798"/>
      <c r="UJM98" s="798"/>
      <c r="UJN98" s="798"/>
      <c r="UJO98" s="798"/>
      <c r="UJP98" s="798"/>
      <c r="UJQ98" s="798"/>
      <c r="UJR98" s="798"/>
      <c r="UJS98" s="798"/>
      <c r="UJT98" s="798"/>
      <c r="UJU98" s="798"/>
      <c r="UJV98" s="798"/>
      <c r="UJW98" s="798"/>
      <c r="UJX98" s="798"/>
      <c r="UJY98" s="798"/>
      <c r="UJZ98" s="798"/>
      <c r="UKA98" s="798"/>
      <c r="UKB98" s="798"/>
      <c r="UKC98" s="798"/>
      <c r="UKD98" s="798"/>
      <c r="UKE98" s="798"/>
      <c r="UKF98" s="798"/>
      <c r="UKG98" s="798"/>
      <c r="UKH98" s="798"/>
      <c r="UKI98" s="798"/>
      <c r="UKJ98" s="798"/>
      <c r="UKK98" s="798"/>
      <c r="UKL98" s="798"/>
      <c r="UKM98" s="798"/>
      <c r="UKN98" s="798"/>
      <c r="UKO98" s="798"/>
      <c r="UKP98" s="798"/>
      <c r="UKQ98" s="798"/>
      <c r="UKR98" s="798"/>
      <c r="UKS98" s="798"/>
      <c r="UKT98" s="798"/>
      <c r="UKU98" s="798"/>
      <c r="UKV98" s="798"/>
      <c r="UKW98" s="798"/>
      <c r="UKX98" s="798"/>
      <c r="UKY98" s="798"/>
      <c r="UKZ98" s="798"/>
      <c r="ULA98" s="798"/>
      <c r="ULB98" s="798"/>
      <c r="ULC98" s="798"/>
      <c r="ULD98" s="798"/>
      <c r="ULE98" s="798"/>
      <c r="ULF98" s="798"/>
      <c r="ULG98" s="798"/>
      <c r="ULH98" s="798"/>
      <c r="ULI98" s="798"/>
      <c r="ULJ98" s="798"/>
      <c r="ULK98" s="798"/>
      <c r="ULL98" s="798"/>
      <c r="ULM98" s="798"/>
      <c r="ULN98" s="798"/>
      <c r="ULO98" s="798"/>
      <c r="ULP98" s="798"/>
      <c r="ULQ98" s="798"/>
      <c r="ULR98" s="798"/>
      <c r="ULS98" s="798"/>
      <c r="ULT98" s="798"/>
      <c r="ULU98" s="798"/>
      <c r="ULV98" s="798"/>
      <c r="ULW98" s="798"/>
      <c r="ULX98" s="798"/>
      <c r="ULY98" s="798"/>
      <c r="ULZ98" s="798"/>
      <c r="UMA98" s="798"/>
      <c r="UMB98" s="798"/>
      <c r="UMC98" s="798"/>
      <c r="UMD98" s="798"/>
      <c r="UME98" s="798"/>
      <c r="UMF98" s="798"/>
      <c r="UMG98" s="798"/>
      <c r="UMH98" s="798"/>
      <c r="UMI98" s="798"/>
      <c r="UMJ98" s="798"/>
      <c r="UMK98" s="798"/>
      <c r="UML98" s="798"/>
      <c r="UMM98" s="798"/>
      <c r="UMN98" s="798"/>
      <c r="UMO98" s="798"/>
      <c r="UMP98" s="798"/>
      <c r="UMQ98" s="798"/>
      <c r="UMR98" s="798"/>
      <c r="UMS98" s="798"/>
      <c r="UMT98" s="798"/>
      <c r="UMU98" s="798"/>
      <c r="UMV98" s="798"/>
      <c r="UMW98" s="798"/>
      <c r="UMX98" s="798"/>
      <c r="UMY98" s="798"/>
      <c r="UMZ98" s="798"/>
      <c r="UNA98" s="798"/>
      <c r="UNB98" s="798"/>
      <c r="UNC98" s="798"/>
      <c r="UND98" s="798"/>
      <c r="UNE98" s="798"/>
      <c r="UNF98" s="798"/>
      <c r="UNG98" s="798"/>
      <c r="UNH98" s="798"/>
      <c r="UNI98" s="798"/>
      <c r="UNJ98" s="798"/>
      <c r="UNK98" s="798"/>
      <c r="UNL98" s="798"/>
      <c r="UNM98" s="798"/>
      <c r="UNN98" s="798"/>
      <c r="UNO98" s="798"/>
      <c r="UNP98" s="798"/>
      <c r="UNQ98" s="798"/>
      <c r="UNR98" s="798"/>
      <c r="UNS98" s="798"/>
      <c r="UNT98" s="798"/>
      <c r="UNU98" s="798"/>
      <c r="UNV98" s="798"/>
      <c r="UNW98" s="798"/>
      <c r="UNX98" s="798"/>
      <c r="UNY98" s="798"/>
      <c r="UNZ98" s="798"/>
      <c r="UOA98" s="798"/>
      <c r="UOB98" s="798"/>
      <c r="UOC98" s="798"/>
      <c r="UOD98" s="798"/>
      <c r="UOE98" s="798"/>
      <c r="UOF98" s="798"/>
      <c r="UOG98" s="798"/>
      <c r="UOH98" s="798"/>
      <c r="UOI98" s="798"/>
      <c r="UOJ98" s="798"/>
      <c r="UOK98" s="798"/>
      <c r="UOL98" s="798"/>
      <c r="UOM98" s="798"/>
      <c r="UON98" s="798"/>
      <c r="UOO98" s="798"/>
      <c r="UOP98" s="798"/>
      <c r="UOQ98" s="798"/>
      <c r="UOR98" s="798"/>
      <c r="UOS98" s="798"/>
      <c r="UOT98" s="798"/>
      <c r="UOU98" s="798"/>
      <c r="UOV98" s="798"/>
      <c r="UOW98" s="798"/>
      <c r="UOX98" s="798"/>
      <c r="UOY98" s="798"/>
      <c r="UOZ98" s="798"/>
      <c r="UPA98" s="798"/>
      <c r="UPB98" s="798"/>
      <c r="UPC98" s="798"/>
      <c r="UPD98" s="798"/>
      <c r="UPE98" s="798"/>
      <c r="UPF98" s="798"/>
      <c r="UPG98" s="798"/>
      <c r="UPH98" s="798"/>
      <c r="UPI98" s="798"/>
      <c r="UPJ98" s="798"/>
      <c r="UPK98" s="798"/>
      <c r="UPL98" s="798"/>
      <c r="UPM98" s="798"/>
      <c r="UPN98" s="798"/>
      <c r="UPO98" s="798"/>
      <c r="UPP98" s="798"/>
      <c r="UPQ98" s="798"/>
      <c r="UPR98" s="798"/>
      <c r="UPS98" s="798"/>
      <c r="UPT98" s="798"/>
      <c r="UPU98" s="798"/>
      <c r="UPV98" s="798"/>
      <c r="UPW98" s="798"/>
      <c r="UPX98" s="798"/>
      <c r="UPY98" s="798"/>
      <c r="UPZ98" s="798"/>
      <c r="UQA98" s="798"/>
      <c r="UQB98" s="798"/>
      <c r="UQC98" s="798"/>
      <c r="UQD98" s="798"/>
      <c r="UQE98" s="798"/>
      <c r="UQF98" s="798"/>
      <c r="UQG98" s="798"/>
      <c r="UQH98" s="798"/>
      <c r="UQI98" s="798"/>
      <c r="UQJ98" s="798"/>
      <c r="UQK98" s="798"/>
      <c r="UQL98" s="798"/>
      <c r="UQM98" s="798"/>
      <c r="UQN98" s="798"/>
      <c r="UQO98" s="798"/>
      <c r="UQP98" s="798"/>
      <c r="UQQ98" s="798"/>
      <c r="UQR98" s="798"/>
      <c r="UQS98" s="798"/>
      <c r="UQT98" s="798"/>
      <c r="UQU98" s="798"/>
      <c r="UQV98" s="798"/>
      <c r="UQW98" s="798"/>
      <c r="UQX98" s="798"/>
      <c r="UQY98" s="798"/>
      <c r="UQZ98" s="798"/>
      <c r="URA98" s="798"/>
      <c r="URB98" s="798"/>
      <c r="URC98" s="798"/>
      <c r="URD98" s="798"/>
      <c r="URE98" s="798"/>
      <c r="URF98" s="798"/>
      <c r="URG98" s="798"/>
      <c r="URH98" s="798"/>
      <c r="URI98" s="798"/>
      <c r="URJ98" s="798"/>
      <c r="URK98" s="798"/>
      <c r="URL98" s="798"/>
      <c r="URM98" s="798"/>
      <c r="URN98" s="798"/>
      <c r="URO98" s="798"/>
      <c r="URP98" s="798"/>
      <c r="URQ98" s="798"/>
      <c r="URR98" s="798"/>
      <c r="URS98" s="798"/>
      <c r="URT98" s="798"/>
      <c r="URU98" s="798"/>
      <c r="URV98" s="798"/>
      <c r="URW98" s="798"/>
      <c r="URX98" s="798"/>
      <c r="URY98" s="798"/>
      <c r="URZ98" s="798"/>
      <c r="USA98" s="798"/>
      <c r="USB98" s="798"/>
      <c r="USC98" s="798"/>
      <c r="USD98" s="798"/>
      <c r="USE98" s="798"/>
      <c r="USF98" s="798"/>
      <c r="USG98" s="798"/>
      <c r="USH98" s="798"/>
      <c r="USI98" s="798"/>
      <c r="USJ98" s="798"/>
      <c r="USK98" s="798"/>
      <c r="USL98" s="798"/>
      <c r="USM98" s="798"/>
      <c r="USN98" s="798"/>
      <c r="USO98" s="798"/>
      <c r="USP98" s="798"/>
      <c r="USQ98" s="798"/>
      <c r="USR98" s="798"/>
      <c r="USS98" s="798"/>
      <c r="UST98" s="798"/>
      <c r="USU98" s="798"/>
      <c r="USV98" s="798"/>
      <c r="USW98" s="798"/>
      <c r="USX98" s="798"/>
      <c r="USY98" s="798"/>
      <c r="USZ98" s="798"/>
      <c r="UTA98" s="798"/>
      <c r="UTB98" s="798"/>
      <c r="UTC98" s="798"/>
      <c r="UTD98" s="798"/>
      <c r="UTE98" s="798"/>
      <c r="UTF98" s="798"/>
      <c r="UTG98" s="798"/>
      <c r="UTH98" s="798"/>
      <c r="UTI98" s="798"/>
      <c r="UTJ98" s="798"/>
      <c r="UTK98" s="798"/>
      <c r="UTL98" s="798"/>
      <c r="UTM98" s="798"/>
      <c r="UTN98" s="798"/>
      <c r="UTO98" s="798"/>
      <c r="UTP98" s="798"/>
      <c r="UTQ98" s="798"/>
      <c r="UTR98" s="798"/>
      <c r="UTS98" s="798"/>
      <c r="UTT98" s="798"/>
      <c r="UTU98" s="798"/>
      <c r="UTV98" s="798"/>
      <c r="UTW98" s="798"/>
      <c r="UTX98" s="798"/>
      <c r="UTY98" s="798"/>
      <c r="UTZ98" s="798"/>
      <c r="UUA98" s="798"/>
      <c r="UUB98" s="798"/>
      <c r="UUC98" s="798"/>
      <c r="UUD98" s="798"/>
      <c r="UUE98" s="798"/>
      <c r="UUF98" s="798"/>
      <c r="UUG98" s="798"/>
      <c r="UUH98" s="798"/>
      <c r="UUI98" s="798"/>
      <c r="UUJ98" s="798"/>
      <c r="UUK98" s="798"/>
      <c r="UUL98" s="798"/>
      <c r="UUM98" s="798"/>
      <c r="UUN98" s="798"/>
      <c r="UUO98" s="798"/>
      <c r="UUP98" s="798"/>
      <c r="UUQ98" s="798"/>
      <c r="UUR98" s="798"/>
      <c r="UUS98" s="798"/>
      <c r="UUT98" s="798"/>
      <c r="UUU98" s="798"/>
      <c r="UUV98" s="798"/>
      <c r="UUW98" s="798"/>
      <c r="UUX98" s="798"/>
      <c r="UUY98" s="798"/>
      <c r="UUZ98" s="798"/>
      <c r="UVA98" s="798"/>
      <c r="UVB98" s="798"/>
      <c r="UVC98" s="798"/>
      <c r="UVD98" s="798"/>
      <c r="UVE98" s="798"/>
      <c r="UVF98" s="798"/>
      <c r="UVG98" s="798"/>
      <c r="UVH98" s="798"/>
      <c r="UVI98" s="798"/>
      <c r="UVJ98" s="798"/>
      <c r="UVK98" s="798"/>
      <c r="UVL98" s="798"/>
      <c r="UVM98" s="798"/>
      <c r="UVN98" s="798"/>
      <c r="UVO98" s="798"/>
      <c r="UVP98" s="798"/>
      <c r="UVQ98" s="798"/>
      <c r="UVR98" s="798"/>
      <c r="UVS98" s="798"/>
      <c r="UVT98" s="798"/>
      <c r="UVU98" s="798"/>
      <c r="UVV98" s="798"/>
      <c r="UVW98" s="798"/>
      <c r="UVX98" s="798"/>
      <c r="UVY98" s="798"/>
      <c r="UVZ98" s="798"/>
      <c r="UWA98" s="798"/>
      <c r="UWB98" s="798"/>
      <c r="UWC98" s="798"/>
      <c r="UWD98" s="798"/>
      <c r="UWE98" s="798"/>
      <c r="UWF98" s="798"/>
      <c r="UWG98" s="798"/>
      <c r="UWH98" s="798"/>
      <c r="UWI98" s="798"/>
      <c r="UWJ98" s="798"/>
      <c r="UWK98" s="798"/>
      <c r="UWL98" s="798"/>
      <c r="UWM98" s="798"/>
      <c r="UWN98" s="798"/>
      <c r="UWO98" s="798"/>
      <c r="UWP98" s="798"/>
      <c r="UWQ98" s="798"/>
      <c r="UWR98" s="798"/>
      <c r="UWS98" s="798"/>
      <c r="UWT98" s="798"/>
      <c r="UWU98" s="798"/>
      <c r="UWV98" s="798"/>
      <c r="UWW98" s="798"/>
      <c r="UWX98" s="798"/>
      <c r="UWY98" s="798"/>
      <c r="UWZ98" s="798"/>
      <c r="UXA98" s="798"/>
      <c r="UXB98" s="798"/>
      <c r="UXC98" s="798"/>
      <c r="UXD98" s="798"/>
      <c r="UXE98" s="798"/>
      <c r="UXF98" s="798"/>
      <c r="UXG98" s="798"/>
      <c r="UXH98" s="798"/>
      <c r="UXI98" s="798"/>
      <c r="UXJ98" s="798"/>
      <c r="UXK98" s="798"/>
      <c r="UXL98" s="798"/>
      <c r="UXM98" s="798"/>
      <c r="UXN98" s="798"/>
      <c r="UXO98" s="798"/>
      <c r="UXP98" s="798"/>
      <c r="UXQ98" s="798"/>
      <c r="UXR98" s="798"/>
      <c r="UXS98" s="798"/>
      <c r="UXT98" s="798"/>
      <c r="UXU98" s="798"/>
      <c r="UXV98" s="798"/>
      <c r="UXW98" s="798"/>
      <c r="UXX98" s="798"/>
      <c r="UXY98" s="798"/>
      <c r="UXZ98" s="798"/>
      <c r="UYA98" s="798"/>
      <c r="UYB98" s="798"/>
      <c r="UYC98" s="798"/>
      <c r="UYD98" s="798"/>
      <c r="UYE98" s="798"/>
      <c r="UYF98" s="798"/>
      <c r="UYG98" s="798"/>
      <c r="UYH98" s="798"/>
      <c r="UYI98" s="798"/>
      <c r="UYJ98" s="798"/>
      <c r="UYK98" s="798"/>
      <c r="UYL98" s="798"/>
      <c r="UYM98" s="798"/>
      <c r="UYN98" s="798"/>
      <c r="UYO98" s="798"/>
      <c r="UYP98" s="798"/>
      <c r="UYQ98" s="798"/>
      <c r="UYR98" s="798"/>
      <c r="UYS98" s="798"/>
      <c r="UYT98" s="798"/>
      <c r="UYU98" s="798"/>
      <c r="UYV98" s="798"/>
      <c r="UYW98" s="798"/>
      <c r="UYX98" s="798"/>
      <c r="UYY98" s="798"/>
      <c r="UYZ98" s="798"/>
      <c r="UZA98" s="798"/>
      <c r="UZB98" s="798"/>
      <c r="UZC98" s="798"/>
      <c r="UZD98" s="798"/>
      <c r="UZE98" s="798"/>
      <c r="UZF98" s="798"/>
      <c r="UZG98" s="798"/>
      <c r="UZH98" s="798"/>
      <c r="UZI98" s="798"/>
      <c r="UZJ98" s="798"/>
      <c r="UZK98" s="798"/>
      <c r="UZL98" s="798"/>
      <c r="UZM98" s="798"/>
      <c r="UZN98" s="798"/>
      <c r="UZO98" s="798"/>
      <c r="UZP98" s="798"/>
      <c r="UZQ98" s="798"/>
      <c r="UZR98" s="798"/>
      <c r="UZS98" s="798"/>
      <c r="UZT98" s="798"/>
      <c r="UZU98" s="798"/>
      <c r="UZV98" s="798"/>
      <c r="UZW98" s="798"/>
      <c r="UZX98" s="798"/>
      <c r="UZY98" s="798"/>
      <c r="UZZ98" s="798"/>
      <c r="VAA98" s="798"/>
      <c r="VAB98" s="798"/>
      <c r="VAC98" s="798"/>
      <c r="VAD98" s="798"/>
      <c r="VAE98" s="798"/>
      <c r="VAF98" s="798"/>
      <c r="VAG98" s="798"/>
      <c r="VAH98" s="798"/>
      <c r="VAI98" s="798"/>
      <c r="VAJ98" s="798"/>
      <c r="VAK98" s="798"/>
      <c r="VAL98" s="798"/>
      <c r="VAM98" s="798"/>
      <c r="VAN98" s="798"/>
      <c r="VAO98" s="798"/>
      <c r="VAP98" s="798"/>
      <c r="VAQ98" s="798"/>
      <c r="VAR98" s="798"/>
      <c r="VAS98" s="798"/>
      <c r="VAT98" s="798"/>
      <c r="VAU98" s="798"/>
      <c r="VAV98" s="798"/>
      <c r="VAW98" s="798"/>
      <c r="VAX98" s="798"/>
      <c r="VAY98" s="798"/>
      <c r="VAZ98" s="798"/>
      <c r="VBA98" s="798"/>
      <c r="VBB98" s="798"/>
      <c r="VBC98" s="798"/>
      <c r="VBD98" s="798"/>
      <c r="VBE98" s="798"/>
      <c r="VBF98" s="798"/>
      <c r="VBG98" s="798"/>
      <c r="VBH98" s="798"/>
      <c r="VBI98" s="798"/>
      <c r="VBJ98" s="798"/>
      <c r="VBK98" s="798"/>
      <c r="VBL98" s="798"/>
      <c r="VBM98" s="798"/>
      <c r="VBN98" s="798"/>
      <c r="VBO98" s="798"/>
      <c r="VBP98" s="798"/>
      <c r="VBQ98" s="798"/>
      <c r="VBR98" s="798"/>
      <c r="VBS98" s="798"/>
      <c r="VBT98" s="798"/>
      <c r="VBU98" s="798"/>
      <c r="VBV98" s="798"/>
      <c r="VBW98" s="798"/>
      <c r="VBX98" s="798"/>
      <c r="VBY98" s="798"/>
      <c r="VBZ98" s="798"/>
      <c r="VCA98" s="798"/>
      <c r="VCB98" s="798"/>
      <c r="VCC98" s="798"/>
      <c r="VCD98" s="798"/>
      <c r="VCE98" s="798"/>
      <c r="VCF98" s="798"/>
      <c r="VCG98" s="798"/>
      <c r="VCH98" s="798"/>
      <c r="VCI98" s="798"/>
      <c r="VCJ98" s="798"/>
      <c r="VCK98" s="798"/>
      <c r="VCL98" s="798"/>
      <c r="VCM98" s="798"/>
      <c r="VCN98" s="798"/>
      <c r="VCO98" s="798"/>
      <c r="VCP98" s="798"/>
      <c r="VCQ98" s="798"/>
      <c r="VCR98" s="798"/>
      <c r="VCS98" s="798"/>
      <c r="VCT98" s="798"/>
      <c r="VCU98" s="798"/>
      <c r="VCV98" s="798"/>
      <c r="VCW98" s="798"/>
      <c r="VCX98" s="798"/>
      <c r="VCY98" s="798"/>
      <c r="VCZ98" s="798"/>
      <c r="VDA98" s="798"/>
      <c r="VDB98" s="798"/>
      <c r="VDC98" s="798"/>
      <c r="VDD98" s="798"/>
      <c r="VDE98" s="798"/>
      <c r="VDF98" s="798"/>
      <c r="VDG98" s="798"/>
      <c r="VDH98" s="798"/>
      <c r="VDI98" s="798"/>
      <c r="VDJ98" s="798"/>
      <c r="VDK98" s="798"/>
      <c r="VDL98" s="798"/>
      <c r="VDM98" s="798"/>
      <c r="VDN98" s="798"/>
      <c r="VDO98" s="798"/>
      <c r="VDP98" s="798"/>
      <c r="VDQ98" s="798"/>
      <c r="VDR98" s="798"/>
      <c r="VDS98" s="798"/>
      <c r="VDT98" s="798"/>
      <c r="VDU98" s="798"/>
      <c r="VDV98" s="798"/>
      <c r="VDW98" s="798"/>
      <c r="VDX98" s="798"/>
      <c r="VDY98" s="798"/>
      <c r="VDZ98" s="798"/>
      <c r="VEA98" s="798"/>
      <c r="VEB98" s="798"/>
      <c r="VEC98" s="798"/>
      <c r="VED98" s="798"/>
      <c r="VEE98" s="798"/>
      <c r="VEF98" s="798"/>
      <c r="VEG98" s="798"/>
      <c r="VEH98" s="798"/>
      <c r="VEI98" s="798"/>
      <c r="VEJ98" s="798"/>
      <c r="VEK98" s="798"/>
      <c r="VEL98" s="798"/>
      <c r="VEM98" s="798"/>
      <c r="VEN98" s="798"/>
      <c r="VEO98" s="798"/>
      <c r="VEP98" s="798"/>
      <c r="VEQ98" s="798"/>
      <c r="VER98" s="798"/>
      <c r="VES98" s="798"/>
      <c r="VET98" s="798"/>
      <c r="VEU98" s="798"/>
      <c r="VEV98" s="798"/>
      <c r="VEW98" s="798"/>
      <c r="VEX98" s="798"/>
      <c r="VEY98" s="798"/>
      <c r="VEZ98" s="798"/>
      <c r="VFA98" s="798"/>
      <c r="VFB98" s="798"/>
      <c r="VFC98" s="798"/>
      <c r="VFD98" s="798"/>
      <c r="VFE98" s="798"/>
      <c r="VFF98" s="798"/>
      <c r="VFG98" s="798"/>
      <c r="VFH98" s="798"/>
      <c r="VFI98" s="798"/>
      <c r="VFJ98" s="798"/>
      <c r="VFK98" s="798"/>
      <c r="VFL98" s="798"/>
      <c r="VFM98" s="798"/>
      <c r="VFN98" s="798"/>
      <c r="VFO98" s="798"/>
      <c r="VFP98" s="798"/>
      <c r="VFQ98" s="798"/>
      <c r="VFR98" s="798"/>
      <c r="VFS98" s="798"/>
      <c r="VFT98" s="798"/>
      <c r="VFU98" s="798"/>
      <c r="VFV98" s="798"/>
      <c r="VFW98" s="798"/>
      <c r="VFX98" s="798"/>
      <c r="VFY98" s="798"/>
      <c r="VFZ98" s="798"/>
      <c r="VGA98" s="798"/>
      <c r="VGB98" s="798"/>
      <c r="VGC98" s="798"/>
      <c r="VGD98" s="798"/>
      <c r="VGE98" s="798"/>
      <c r="VGF98" s="798"/>
      <c r="VGG98" s="798"/>
      <c r="VGH98" s="798"/>
      <c r="VGI98" s="798"/>
      <c r="VGJ98" s="798"/>
      <c r="VGK98" s="798"/>
      <c r="VGL98" s="798"/>
      <c r="VGM98" s="798"/>
      <c r="VGN98" s="798"/>
      <c r="VGO98" s="798"/>
      <c r="VGP98" s="798"/>
      <c r="VGQ98" s="798"/>
      <c r="VGR98" s="798"/>
      <c r="VGS98" s="798"/>
      <c r="VGT98" s="798"/>
      <c r="VGU98" s="798"/>
      <c r="VGV98" s="798"/>
      <c r="VGW98" s="798"/>
      <c r="VGX98" s="798"/>
      <c r="VGY98" s="798"/>
      <c r="VGZ98" s="798"/>
      <c r="VHA98" s="798"/>
      <c r="VHB98" s="798"/>
      <c r="VHC98" s="798"/>
      <c r="VHD98" s="798"/>
      <c r="VHE98" s="798"/>
      <c r="VHF98" s="798"/>
      <c r="VHG98" s="798"/>
      <c r="VHH98" s="798"/>
      <c r="VHI98" s="798"/>
      <c r="VHJ98" s="798"/>
      <c r="VHK98" s="798"/>
      <c r="VHL98" s="798"/>
      <c r="VHM98" s="798"/>
      <c r="VHN98" s="798"/>
      <c r="VHO98" s="798"/>
      <c r="VHP98" s="798"/>
      <c r="VHQ98" s="798"/>
      <c r="VHR98" s="798"/>
      <c r="VHS98" s="798"/>
      <c r="VHT98" s="798"/>
      <c r="VHU98" s="798"/>
      <c r="VHV98" s="798"/>
      <c r="VHW98" s="798"/>
      <c r="VHX98" s="798"/>
      <c r="VHY98" s="798"/>
      <c r="VHZ98" s="798"/>
      <c r="VIA98" s="798"/>
      <c r="VIB98" s="798"/>
      <c r="VIC98" s="798"/>
      <c r="VID98" s="798"/>
      <c r="VIE98" s="798"/>
      <c r="VIF98" s="798"/>
      <c r="VIG98" s="798"/>
      <c r="VIH98" s="798"/>
      <c r="VII98" s="798"/>
      <c r="VIJ98" s="798"/>
      <c r="VIK98" s="798"/>
      <c r="VIL98" s="798"/>
      <c r="VIM98" s="798"/>
      <c r="VIN98" s="798"/>
      <c r="VIO98" s="798"/>
      <c r="VIP98" s="798"/>
      <c r="VIQ98" s="798"/>
      <c r="VIR98" s="798"/>
      <c r="VIS98" s="798"/>
      <c r="VIT98" s="798"/>
      <c r="VIU98" s="798"/>
      <c r="VIV98" s="798"/>
      <c r="VIW98" s="798"/>
      <c r="VIX98" s="798"/>
      <c r="VIY98" s="798"/>
      <c r="VIZ98" s="798"/>
      <c r="VJA98" s="798"/>
      <c r="VJB98" s="798"/>
      <c r="VJC98" s="798"/>
      <c r="VJD98" s="798"/>
      <c r="VJE98" s="798"/>
      <c r="VJF98" s="798"/>
      <c r="VJG98" s="798"/>
      <c r="VJH98" s="798"/>
      <c r="VJI98" s="798"/>
      <c r="VJJ98" s="798"/>
      <c r="VJK98" s="798"/>
      <c r="VJL98" s="798"/>
      <c r="VJM98" s="798"/>
      <c r="VJN98" s="798"/>
      <c r="VJO98" s="798"/>
      <c r="VJP98" s="798"/>
      <c r="VJQ98" s="798"/>
      <c r="VJR98" s="798"/>
      <c r="VJS98" s="798"/>
      <c r="VJT98" s="798"/>
      <c r="VJU98" s="798"/>
      <c r="VJV98" s="798"/>
      <c r="VJW98" s="798"/>
      <c r="VJX98" s="798"/>
      <c r="VJY98" s="798"/>
      <c r="VJZ98" s="798"/>
      <c r="VKA98" s="798"/>
      <c r="VKB98" s="798"/>
      <c r="VKC98" s="798"/>
      <c r="VKD98" s="798"/>
      <c r="VKE98" s="798"/>
      <c r="VKF98" s="798"/>
      <c r="VKG98" s="798"/>
      <c r="VKH98" s="798"/>
      <c r="VKI98" s="798"/>
      <c r="VKJ98" s="798"/>
      <c r="VKK98" s="798"/>
      <c r="VKL98" s="798"/>
      <c r="VKM98" s="798"/>
      <c r="VKN98" s="798"/>
      <c r="VKO98" s="798"/>
      <c r="VKP98" s="798"/>
      <c r="VKQ98" s="798"/>
      <c r="VKR98" s="798"/>
      <c r="VKS98" s="798"/>
      <c r="VKT98" s="798"/>
      <c r="VKU98" s="798"/>
      <c r="VKV98" s="798"/>
      <c r="VKW98" s="798"/>
      <c r="VKX98" s="798"/>
      <c r="VKY98" s="798"/>
      <c r="VKZ98" s="798"/>
      <c r="VLA98" s="798"/>
      <c r="VLB98" s="798"/>
      <c r="VLC98" s="798"/>
      <c r="VLD98" s="798"/>
      <c r="VLE98" s="798"/>
      <c r="VLF98" s="798"/>
      <c r="VLG98" s="798"/>
      <c r="VLH98" s="798"/>
      <c r="VLI98" s="798"/>
      <c r="VLJ98" s="798"/>
      <c r="VLK98" s="798"/>
      <c r="VLL98" s="798"/>
      <c r="VLM98" s="798"/>
      <c r="VLN98" s="798"/>
      <c r="VLO98" s="798"/>
      <c r="VLP98" s="798"/>
      <c r="VLQ98" s="798"/>
      <c r="VLR98" s="798"/>
      <c r="VLS98" s="798"/>
      <c r="VLT98" s="798"/>
      <c r="VLU98" s="798"/>
      <c r="VLV98" s="798"/>
      <c r="VLW98" s="798"/>
      <c r="VLX98" s="798"/>
      <c r="VLY98" s="798"/>
      <c r="VLZ98" s="798"/>
      <c r="VMA98" s="798"/>
      <c r="VMB98" s="798"/>
      <c r="VMC98" s="798"/>
      <c r="VMD98" s="798"/>
      <c r="VME98" s="798"/>
      <c r="VMF98" s="798"/>
      <c r="VMG98" s="798"/>
      <c r="VMH98" s="798"/>
      <c r="VMI98" s="798"/>
      <c r="VMJ98" s="798"/>
      <c r="VMK98" s="798"/>
      <c r="VML98" s="798"/>
      <c r="VMM98" s="798"/>
      <c r="VMN98" s="798"/>
      <c r="VMO98" s="798"/>
      <c r="VMP98" s="798"/>
      <c r="VMQ98" s="798"/>
      <c r="VMR98" s="798"/>
      <c r="VMS98" s="798"/>
      <c r="VMT98" s="798"/>
      <c r="VMU98" s="798"/>
      <c r="VMV98" s="798"/>
      <c r="VMW98" s="798"/>
      <c r="VMX98" s="798"/>
      <c r="VMY98" s="798"/>
      <c r="VMZ98" s="798"/>
      <c r="VNA98" s="798"/>
      <c r="VNB98" s="798"/>
      <c r="VNC98" s="798"/>
      <c r="VND98" s="798"/>
      <c r="VNE98" s="798"/>
      <c r="VNF98" s="798"/>
      <c r="VNG98" s="798"/>
      <c r="VNH98" s="798"/>
      <c r="VNI98" s="798"/>
      <c r="VNJ98" s="798"/>
      <c r="VNK98" s="798"/>
      <c r="VNL98" s="798"/>
      <c r="VNM98" s="798"/>
      <c r="VNN98" s="798"/>
      <c r="VNO98" s="798"/>
      <c r="VNP98" s="798"/>
      <c r="VNQ98" s="798"/>
      <c r="VNR98" s="798"/>
      <c r="VNS98" s="798"/>
      <c r="VNT98" s="798"/>
      <c r="VNU98" s="798"/>
      <c r="VNV98" s="798"/>
      <c r="VNW98" s="798"/>
      <c r="VNX98" s="798"/>
      <c r="VNY98" s="798"/>
      <c r="VNZ98" s="798"/>
      <c r="VOA98" s="798"/>
      <c r="VOB98" s="798"/>
      <c r="VOC98" s="798"/>
      <c r="VOD98" s="798"/>
      <c r="VOE98" s="798"/>
      <c r="VOF98" s="798"/>
      <c r="VOG98" s="798"/>
      <c r="VOH98" s="798"/>
      <c r="VOI98" s="798"/>
      <c r="VOJ98" s="798"/>
      <c r="VOK98" s="798"/>
      <c r="VOL98" s="798"/>
      <c r="VOM98" s="798"/>
      <c r="VON98" s="798"/>
      <c r="VOO98" s="798"/>
      <c r="VOP98" s="798"/>
      <c r="VOQ98" s="798"/>
      <c r="VOR98" s="798"/>
      <c r="VOS98" s="798"/>
      <c r="VOT98" s="798"/>
      <c r="VOU98" s="798"/>
      <c r="VOV98" s="798"/>
      <c r="VOW98" s="798"/>
      <c r="VOX98" s="798"/>
      <c r="VOY98" s="798"/>
      <c r="VOZ98" s="798"/>
      <c r="VPA98" s="798"/>
      <c r="VPB98" s="798"/>
      <c r="VPC98" s="798"/>
      <c r="VPD98" s="798"/>
      <c r="VPE98" s="798"/>
      <c r="VPF98" s="798"/>
      <c r="VPG98" s="798"/>
      <c r="VPH98" s="798"/>
      <c r="VPI98" s="798"/>
      <c r="VPJ98" s="798"/>
      <c r="VPK98" s="798"/>
      <c r="VPL98" s="798"/>
      <c r="VPM98" s="798"/>
      <c r="VPN98" s="798"/>
      <c r="VPO98" s="798"/>
      <c r="VPP98" s="798"/>
      <c r="VPQ98" s="798"/>
      <c r="VPR98" s="798"/>
      <c r="VPS98" s="798"/>
      <c r="VPT98" s="798"/>
      <c r="VPU98" s="798"/>
      <c r="VPV98" s="798"/>
      <c r="VPW98" s="798"/>
      <c r="VPX98" s="798"/>
      <c r="VPY98" s="798"/>
      <c r="VPZ98" s="798"/>
      <c r="VQA98" s="798"/>
      <c r="VQB98" s="798"/>
      <c r="VQC98" s="798"/>
      <c r="VQD98" s="798"/>
      <c r="VQE98" s="798"/>
      <c r="VQF98" s="798"/>
      <c r="VQG98" s="798"/>
      <c r="VQH98" s="798"/>
      <c r="VQI98" s="798"/>
      <c r="VQJ98" s="798"/>
      <c r="VQK98" s="798"/>
      <c r="VQL98" s="798"/>
      <c r="VQM98" s="798"/>
      <c r="VQN98" s="798"/>
      <c r="VQO98" s="798"/>
      <c r="VQP98" s="798"/>
      <c r="VQQ98" s="798"/>
      <c r="VQR98" s="798"/>
      <c r="VQS98" s="798"/>
      <c r="VQT98" s="798"/>
      <c r="VQU98" s="798"/>
      <c r="VQV98" s="798"/>
      <c r="VQW98" s="798"/>
      <c r="VQX98" s="798"/>
      <c r="VQY98" s="798"/>
      <c r="VQZ98" s="798"/>
      <c r="VRA98" s="798"/>
      <c r="VRB98" s="798"/>
      <c r="VRC98" s="798"/>
      <c r="VRD98" s="798"/>
      <c r="VRE98" s="798"/>
      <c r="VRF98" s="798"/>
      <c r="VRG98" s="798"/>
      <c r="VRH98" s="798"/>
      <c r="VRI98" s="798"/>
      <c r="VRJ98" s="798"/>
      <c r="VRK98" s="798"/>
      <c r="VRL98" s="798"/>
      <c r="VRM98" s="798"/>
      <c r="VRN98" s="798"/>
      <c r="VRO98" s="798"/>
      <c r="VRP98" s="798"/>
      <c r="VRQ98" s="798"/>
      <c r="VRR98" s="798"/>
      <c r="VRS98" s="798"/>
      <c r="VRT98" s="798"/>
      <c r="VRU98" s="798"/>
      <c r="VRV98" s="798"/>
      <c r="VRW98" s="798"/>
      <c r="VRX98" s="798"/>
      <c r="VRY98" s="798"/>
      <c r="VRZ98" s="798"/>
      <c r="VSA98" s="798"/>
      <c r="VSB98" s="798"/>
      <c r="VSC98" s="798"/>
      <c r="VSD98" s="798"/>
      <c r="VSE98" s="798"/>
      <c r="VSF98" s="798"/>
      <c r="VSG98" s="798"/>
      <c r="VSH98" s="798"/>
      <c r="VSI98" s="798"/>
      <c r="VSJ98" s="798"/>
      <c r="VSK98" s="798"/>
      <c r="VSL98" s="798"/>
      <c r="VSM98" s="798"/>
      <c r="VSN98" s="798"/>
      <c r="VSO98" s="798"/>
      <c r="VSP98" s="798"/>
      <c r="VSQ98" s="798"/>
      <c r="VSR98" s="798"/>
      <c r="VSS98" s="798"/>
      <c r="VST98" s="798"/>
      <c r="VSU98" s="798"/>
      <c r="VSV98" s="798"/>
      <c r="VSW98" s="798"/>
      <c r="VSX98" s="798"/>
      <c r="VSY98" s="798"/>
      <c r="VSZ98" s="798"/>
      <c r="VTA98" s="798"/>
      <c r="VTB98" s="798"/>
      <c r="VTC98" s="798"/>
      <c r="VTD98" s="798"/>
      <c r="VTE98" s="798"/>
      <c r="VTF98" s="798"/>
      <c r="VTG98" s="798"/>
      <c r="VTH98" s="798"/>
      <c r="VTI98" s="798"/>
      <c r="VTJ98" s="798"/>
      <c r="VTK98" s="798"/>
      <c r="VTL98" s="798"/>
      <c r="VTM98" s="798"/>
      <c r="VTN98" s="798"/>
      <c r="VTO98" s="798"/>
      <c r="VTP98" s="798"/>
      <c r="VTQ98" s="798"/>
      <c r="VTR98" s="798"/>
      <c r="VTS98" s="798"/>
      <c r="VTT98" s="798"/>
      <c r="VTU98" s="798"/>
      <c r="VTV98" s="798"/>
      <c r="VTW98" s="798"/>
      <c r="VTX98" s="798"/>
      <c r="VTY98" s="798"/>
      <c r="VTZ98" s="798"/>
      <c r="VUA98" s="798"/>
      <c r="VUB98" s="798"/>
      <c r="VUC98" s="798"/>
      <c r="VUD98" s="798"/>
      <c r="VUE98" s="798"/>
      <c r="VUF98" s="798"/>
      <c r="VUG98" s="798"/>
      <c r="VUH98" s="798"/>
      <c r="VUI98" s="798"/>
      <c r="VUJ98" s="798"/>
      <c r="VUK98" s="798"/>
      <c r="VUL98" s="798"/>
      <c r="VUM98" s="798"/>
      <c r="VUN98" s="798"/>
      <c r="VUO98" s="798"/>
      <c r="VUP98" s="798"/>
      <c r="VUQ98" s="798"/>
      <c r="VUR98" s="798"/>
      <c r="VUS98" s="798"/>
      <c r="VUT98" s="798"/>
      <c r="VUU98" s="798"/>
      <c r="VUV98" s="798"/>
      <c r="VUW98" s="798"/>
      <c r="VUX98" s="798"/>
      <c r="VUY98" s="798"/>
      <c r="VUZ98" s="798"/>
      <c r="VVA98" s="798"/>
      <c r="VVB98" s="798"/>
      <c r="VVC98" s="798"/>
      <c r="VVD98" s="798"/>
      <c r="VVE98" s="798"/>
      <c r="VVF98" s="798"/>
      <c r="VVG98" s="798"/>
      <c r="VVH98" s="798"/>
      <c r="VVI98" s="798"/>
      <c r="VVJ98" s="798"/>
      <c r="VVK98" s="798"/>
      <c r="VVL98" s="798"/>
      <c r="VVM98" s="798"/>
      <c r="VVN98" s="798"/>
      <c r="VVO98" s="798"/>
      <c r="VVP98" s="798"/>
      <c r="VVQ98" s="798"/>
      <c r="VVR98" s="798"/>
      <c r="VVS98" s="798"/>
      <c r="VVT98" s="798"/>
      <c r="VVU98" s="798"/>
      <c r="VVV98" s="798"/>
      <c r="VVW98" s="798"/>
      <c r="VVX98" s="798"/>
      <c r="VVY98" s="798"/>
      <c r="VVZ98" s="798"/>
      <c r="VWA98" s="798"/>
      <c r="VWB98" s="798"/>
      <c r="VWC98" s="798"/>
      <c r="VWD98" s="798"/>
      <c r="VWE98" s="798"/>
      <c r="VWF98" s="798"/>
      <c r="VWG98" s="798"/>
      <c r="VWH98" s="798"/>
      <c r="VWI98" s="798"/>
      <c r="VWJ98" s="798"/>
      <c r="VWK98" s="798"/>
      <c r="VWL98" s="798"/>
      <c r="VWM98" s="798"/>
      <c r="VWN98" s="798"/>
      <c r="VWO98" s="798"/>
      <c r="VWP98" s="798"/>
      <c r="VWQ98" s="798"/>
      <c r="VWR98" s="798"/>
      <c r="VWS98" s="798"/>
      <c r="VWT98" s="798"/>
      <c r="VWU98" s="798"/>
      <c r="VWV98" s="798"/>
      <c r="VWW98" s="798"/>
      <c r="VWX98" s="798"/>
      <c r="VWY98" s="798"/>
      <c r="VWZ98" s="798"/>
      <c r="VXA98" s="798"/>
      <c r="VXB98" s="798"/>
      <c r="VXC98" s="798"/>
      <c r="VXD98" s="798"/>
      <c r="VXE98" s="798"/>
      <c r="VXF98" s="798"/>
      <c r="VXG98" s="798"/>
      <c r="VXH98" s="798"/>
      <c r="VXI98" s="798"/>
      <c r="VXJ98" s="798"/>
      <c r="VXK98" s="798"/>
      <c r="VXL98" s="798"/>
      <c r="VXM98" s="798"/>
      <c r="VXN98" s="798"/>
      <c r="VXO98" s="798"/>
      <c r="VXP98" s="798"/>
      <c r="VXQ98" s="798"/>
      <c r="VXR98" s="798"/>
      <c r="VXS98" s="798"/>
      <c r="VXT98" s="798"/>
      <c r="VXU98" s="798"/>
      <c r="VXV98" s="798"/>
      <c r="VXW98" s="798"/>
      <c r="VXX98" s="798"/>
      <c r="VXY98" s="798"/>
      <c r="VXZ98" s="798"/>
      <c r="VYA98" s="798"/>
      <c r="VYB98" s="798"/>
      <c r="VYC98" s="798"/>
      <c r="VYD98" s="798"/>
      <c r="VYE98" s="798"/>
      <c r="VYF98" s="798"/>
      <c r="VYG98" s="798"/>
      <c r="VYH98" s="798"/>
      <c r="VYI98" s="798"/>
      <c r="VYJ98" s="798"/>
      <c r="VYK98" s="798"/>
      <c r="VYL98" s="798"/>
      <c r="VYM98" s="798"/>
      <c r="VYN98" s="798"/>
      <c r="VYO98" s="798"/>
      <c r="VYP98" s="798"/>
      <c r="VYQ98" s="798"/>
      <c r="VYR98" s="798"/>
      <c r="VYS98" s="798"/>
      <c r="VYT98" s="798"/>
      <c r="VYU98" s="798"/>
      <c r="VYV98" s="798"/>
      <c r="VYW98" s="798"/>
      <c r="VYX98" s="798"/>
      <c r="VYY98" s="798"/>
      <c r="VYZ98" s="798"/>
      <c r="VZA98" s="798"/>
      <c r="VZB98" s="798"/>
      <c r="VZC98" s="798"/>
      <c r="VZD98" s="798"/>
      <c r="VZE98" s="798"/>
      <c r="VZF98" s="798"/>
      <c r="VZG98" s="798"/>
      <c r="VZH98" s="798"/>
      <c r="VZI98" s="798"/>
      <c r="VZJ98" s="798"/>
      <c r="VZK98" s="798"/>
      <c r="VZL98" s="798"/>
      <c r="VZM98" s="798"/>
      <c r="VZN98" s="798"/>
      <c r="VZO98" s="798"/>
      <c r="VZP98" s="798"/>
      <c r="VZQ98" s="798"/>
      <c r="VZR98" s="798"/>
      <c r="VZS98" s="798"/>
      <c r="VZT98" s="798"/>
      <c r="VZU98" s="798"/>
      <c r="VZV98" s="798"/>
      <c r="VZW98" s="798"/>
      <c r="VZX98" s="798"/>
      <c r="VZY98" s="798"/>
      <c r="VZZ98" s="798"/>
      <c r="WAA98" s="798"/>
      <c r="WAB98" s="798"/>
      <c r="WAC98" s="798"/>
      <c r="WAD98" s="798"/>
      <c r="WAE98" s="798"/>
      <c r="WAF98" s="798"/>
      <c r="WAG98" s="798"/>
      <c r="WAH98" s="798"/>
      <c r="WAI98" s="798"/>
      <c r="WAJ98" s="798"/>
      <c r="WAK98" s="798"/>
      <c r="WAL98" s="798"/>
      <c r="WAM98" s="798"/>
      <c r="WAN98" s="798"/>
      <c r="WAO98" s="798"/>
      <c r="WAP98" s="798"/>
      <c r="WAQ98" s="798"/>
      <c r="WAR98" s="798"/>
      <c r="WAS98" s="798"/>
      <c r="WAT98" s="798"/>
      <c r="WAU98" s="798"/>
      <c r="WAV98" s="798"/>
      <c r="WAW98" s="798"/>
      <c r="WAX98" s="798"/>
      <c r="WAY98" s="798"/>
      <c r="WAZ98" s="798"/>
      <c r="WBA98" s="798"/>
      <c r="WBB98" s="798"/>
      <c r="WBC98" s="798"/>
      <c r="WBD98" s="798"/>
      <c r="WBE98" s="798"/>
      <c r="WBF98" s="798"/>
      <c r="WBG98" s="798"/>
      <c r="WBH98" s="798"/>
      <c r="WBI98" s="798"/>
      <c r="WBJ98" s="798"/>
      <c r="WBK98" s="798"/>
      <c r="WBL98" s="798"/>
      <c r="WBM98" s="798"/>
      <c r="WBN98" s="798"/>
      <c r="WBO98" s="798"/>
      <c r="WBP98" s="798"/>
      <c r="WBQ98" s="798"/>
      <c r="WBR98" s="798"/>
      <c r="WBS98" s="798"/>
      <c r="WBT98" s="798"/>
      <c r="WBU98" s="798"/>
      <c r="WBV98" s="798"/>
      <c r="WBW98" s="798"/>
      <c r="WBX98" s="798"/>
      <c r="WBY98" s="798"/>
      <c r="WBZ98" s="798"/>
      <c r="WCA98" s="798"/>
      <c r="WCB98" s="798"/>
      <c r="WCC98" s="798"/>
      <c r="WCD98" s="798"/>
      <c r="WCE98" s="798"/>
      <c r="WCF98" s="798"/>
      <c r="WCG98" s="798"/>
      <c r="WCH98" s="798"/>
      <c r="WCI98" s="798"/>
      <c r="WCJ98" s="798"/>
      <c r="WCK98" s="798"/>
      <c r="WCL98" s="798"/>
      <c r="WCM98" s="798"/>
      <c r="WCN98" s="798"/>
      <c r="WCO98" s="798"/>
      <c r="WCP98" s="798"/>
      <c r="WCQ98" s="798"/>
      <c r="WCR98" s="798"/>
      <c r="WCS98" s="798"/>
      <c r="WCT98" s="798"/>
      <c r="WCU98" s="798"/>
      <c r="WCV98" s="798"/>
      <c r="WCW98" s="798"/>
      <c r="WCX98" s="798"/>
      <c r="WCY98" s="798"/>
      <c r="WCZ98" s="798"/>
      <c r="WDA98" s="798"/>
      <c r="WDB98" s="798"/>
      <c r="WDC98" s="798"/>
      <c r="WDD98" s="798"/>
      <c r="WDE98" s="798"/>
      <c r="WDF98" s="798"/>
      <c r="WDG98" s="798"/>
      <c r="WDH98" s="798"/>
      <c r="WDI98" s="798"/>
      <c r="WDJ98" s="798"/>
      <c r="WDK98" s="798"/>
      <c r="WDL98" s="798"/>
      <c r="WDM98" s="798"/>
      <c r="WDN98" s="798"/>
      <c r="WDO98" s="798"/>
      <c r="WDP98" s="798"/>
      <c r="WDQ98" s="798"/>
      <c r="WDR98" s="798"/>
      <c r="WDS98" s="798"/>
      <c r="WDT98" s="798"/>
      <c r="WDU98" s="798"/>
      <c r="WDV98" s="798"/>
      <c r="WDW98" s="798"/>
      <c r="WDX98" s="798"/>
      <c r="WDY98" s="798"/>
      <c r="WDZ98" s="798"/>
      <c r="WEA98" s="798"/>
      <c r="WEB98" s="798"/>
      <c r="WEC98" s="798"/>
      <c r="WED98" s="798"/>
      <c r="WEE98" s="798"/>
      <c r="WEF98" s="798"/>
      <c r="WEG98" s="798"/>
      <c r="WEH98" s="798"/>
      <c r="WEI98" s="798"/>
      <c r="WEJ98" s="798"/>
      <c r="WEK98" s="798"/>
      <c r="WEL98" s="798"/>
      <c r="WEM98" s="798"/>
      <c r="WEN98" s="798"/>
      <c r="WEO98" s="798"/>
      <c r="WEP98" s="798"/>
      <c r="WEQ98" s="798"/>
      <c r="WER98" s="798"/>
      <c r="WES98" s="798"/>
      <c r="WET98" s="798"/>
      <c r="WEU98" s="798"/>
      <c r="WEV98" s="798"/>
      <c r="WEW98" s="798"/>
      <c r="WEX98" s="798"/>
      <c r="WEY98" s="798"/>
      <c r="WEZ98" s="798"/>
      <c r="WFA98" s="798"/>
      <c r="WFB98" s="798"/>
      <c r="WFC98" s="798"/>
      <c r="WFD98" s="798"/>
      <c r="WFE98" s="798"/>
      <c r="WFF98" s="798"/>
      <c r="WFG98" s="798"/>
      <c r="WFH98" s="798"/>
      <c r="WFI98" s="798"/>
      <c r="WFJ98" s="798"/>
      <c r="WFK98" s="798"/>
      <c r="WFL98" s="798"/>
      <c r="WFM98" s="798"/>
      <c r="WFN98" s="798"/>
      <c r="WFO98" s="798"/>
      <c r="WFP98" s="798"/>
      <c r="WFQ98" s="798"/>
      <c r="WFR98" s="798"/>
      <c r="WFS98" s="798"/>
      <c r="WFT98" s="798"/>
      <c r="WFU98" s="798"/>
      <c r="WFV98" s="798"/>
      <c r="WFW98" s="798"/>
      <c r="WFX98" s="798"/>
      <c r="WFY98" s="798"/>
      <c r="WFZ98" s="798"/>
      <c r="WGA98" s="798"/>
      <c r="WGB98" s="798"/>
      <c r="WGC98" s="798"/>
      <c r="WGD98" s="798"/>
      <c r="WGE98" s="798"/>
      <c r="WGF98" s="798"/>
      <c r="WGG98" s="798"/>
      <c r="WGH98" s="798"/>
      <c r="WGI98" s="798"/>
      <c r="WGJ98" s="798"/>
      <c r="WGK98" s="798"/>
      <c r="WGL98" s="798"/>
      <c r="WGM98" s="798"/>
      <c r="WGN98" s="798"/>
      <c r="WGO98" s="798"/>
      <c r="WGP98" s="798"/>
      <c r="WGQ98" s="798"/>
      <c r="WGR98" s="798"/>
      <c r="WGS98" s="798"/>
      <c r="WGT98" s="798"/>
      <c r="WGU98" s="798"/>
      <c r="WGV98" s="798"/>
      <c r="WGW98" s="798"/>
      <c r="WGX98" s="798"/>
      <c r="WGY98" s="798"/>
      <c r="WGZ98" s="798"/>
      <c r="WHA98" s="798"/>
      <c r="WHB98" s="798"/>
      <c r="WHC98" s="798"/>
      <c r="WHD98" s="798"/>
      <c r="WHE98" s="798"/>
      <c r="WHF98" s="798"/>
      <c r="WHG98" s="798"/>
      <c r="WHH98" s="798"/>
      <c r="WHI98" s="798"/>
      <c r="WHJ98" s="798"/>
      <c r="WHK98" s="798"/>
      <c r="WHL98" s="798"/>
      <c r="WHM98" s="798"/>
      <c r="WHN98" s="798"/>
      <c r="WHO98" s="798"/>
      <c r="WHP98" s="798"/>
      <c r="WHQ98" s="798"/>
      <c r="WHR98" s="798"/>
      <c r="WHS98" s="798"/>
      <c r="WHT98" s="798"/>
      <c r="WHU98" s="798"/>
      <c r="WHV98" s="798"/>
      <c r="WHW98" s="798"/>
      <c r="WHX98" s="798"/>
      <c r="WHY98" s="798"/>
      <c r="WHZ98" s="798"/>
      <c r="WIA98" s="798"/>
      <c r="WIB98" s="798"/>
      <c r="WIC98" s="798"/>
      <c r="WID98" s="798"/>
      <c r="WIE98" s="798"/>
      <c r="WIF98" s="798"/>
      <c r="WIG98" s="798"/>
      <c r="WIH98" s="798"/>
      <c r="WII98" s="798"/>
      <c r="WIJ98" s="798"/>
      <c r="WIK98" s="798"/>
      <c r="WIL98" s="798"/>
      <c r="WIM98" s="798"/>
      <c r="WIN98" s="798"/>
      <c r="WIO98" s="798"/>
      <c r="WIP98" s="798"/>
      <c r="WIQ98" s="798"/>
      <c r="WIR98" s="798"/>
      <c r="WIS98" s="798"/>
      <c r="WIT98" s="798"/>
      <c r="WIU98" s="798"/>
      <c r="WIV98" s="798"/>
      <c r="WIW98" s="798"/>
      <c r="WIX98" s="798"/>
      <c r="WIY98" s="798"/>
      <c r="WIZ98" s="798"/>
      <c r="WJA98" s="798"/>
      <c r="WJB98" s="798"/>
      <c r="WJC98" s="798"/>
      <c r="WJD98" s="798"/>
      <c r="WJE98" s="798"/>
      <c r="WJF98" s="798"/>
      <c r="WJG98" s="798"/>
      <c r="WJH98" s="798"/>
      <c r="WJI98" s="798"/>
      <c r="WJJ98" s="798"/>
      <c r="WJK98" s="798"/>
      <c r="WJL98" s="798"/>
      <c r="WJM98" s="798"/>
      <c r="WJN98" s="798"/>
      <c r="WJO98" s="798"/>
      <c r="WJP98" s="798"/>
      <c r="WJQ98" s="798"/>
      <c r="WJR98" s="798"/>
      <c r="WJS98" s="798"/>
      <c r="WJT98" s="798"/>
      <c r="WJU98" s="798"/>
      <c r="WJV98" s="798"/>
      <c r="WJW98" s="798"/>
      <c r="WJX98" s="798"/>
      <c r="WJY98" s="798"/>
      <c r="WJZ98" s="798"/>
      <c r="WKA98" s="798"/>
      <c r="WKB98" s="798"/>
      <c r="WKC98" s="798"/>
      <c r="WKD98" s="798"/>
      <c r="WKE98" s="798"/>
      <c r="WKF98" s="798"/>
      <c r="WKG98" s="798"/>
      <c r="WKH98" s="798"/>
      <c r="WKI98" s="798"/>
      <c r="WKJ98" s="798"/>
      <c r="WKK98" s="798"/>
      <c r="WKL98" s="798"/>
      <c r="WKM98" s="798"/>
      <c r="WKN98" s="798"/>
      <c r="WKO98" s="798"/>
      <c r="WKP98" s="798"/>
      <c r="WKQ98" s="798"/>
      <c r="WKR98" s="798"/>
      <c r="WKS98" s="798"/>
      <c r="WKT98" s="798"/>
      <c r="WKU98" s="798"/>
      <c r="WKV98" s="798"/>
      <c r="WKW98" s="798"/>
      <c r="WKX98" s="798"/>
      <c r="WKY98" s="798"/>
      <c r="WKZ98" s="798"/>
      <c r="WLA98" s="798"/>
      <c r="WLB98" s="798"/>
      <c r="WLC98" s="798"/>
      <c r="WLD98" s="798"/>
      <c r="WLE98" s="798"/>
      <c r="WLF98" s="798"/>
      <c r="WLG98" s="798"/>
      <c r="WLH98" s="798"/>
      <c r="WLI98" s="798"/>
      <c r="WLJ98" s="798"/>
      <c r="WLK98" s="798"/>
      <c r="WLL98" s="798"/>
      <c r="WLM98" s="798"/>
      <c r="WLN98" s="798"/>
      <c r="WLO98" s="798"/>
      <c r="WLP98" s="798"/>
      <c r="WLQ98" s="798"/>
      <c r="WLR98" s="798"/>
      <c r="WLS98" s="798"/>
      <c r="WLT98" s="798"/>
      <c r="WLU98" s="798"/>
      <c r="WLV98" s="798"/>
      <c r="WLW98" s="798"/>
      <c r="WLX98" s="798"/>
      <c r="WLY98" s="798"/>
      <c r="WLZ98" s="798"/>
      <c r="WMA98" s="798"/>
      <c r="WMB98" s="798"/>
      <c r="WMC98" s="798"/>
      <c r="WMD98" s="798"/>
      <c r="WME98" s="798"/>
      <c r="WMF98" s="798"/>
      <c r="WMG98" s="798"/>
      <c r="WMH98" s="798"/>
      <c r="WMI98" s="798"/>
      <c r="WMJ98" s="798"/>
      <c r="WMK98" s="798"/>
      <c r="WML98" s="798"/>
      <c r="WMM98" s="798"/>
      <c r="WMN98" s="798"/>
      <c r="WMO98" s="798"/>
      <c r="WMP98" s="798"/>
      <c r="WMQ98" s="798"/>
      <c r="WMR98" s="798"/>
      <c r="WMS98" s="798"/>
      <c r="WMT98" s="798"/>
      <c r="WMU98" s="798"/>
      <c r="WMV98" s="798"/>
      <c r="WMW98" s="798"/>
      <c r="WMX98" s="798"/>
      <c r="WMY98" s="798"/>
      <c r="WMZ98" s="798"/>
      <c r="WNA98" s="798"/>
      <c r="WNB98" s="798"/>
      <c r="WNC98" s="798"/>
      <c r="WND98" s="798"/>
      <c r="WNE98" s="798"/>
      <c r="WNF98" s="798"/>
      <c r="WNG98" s="798"/>
      <c r="WNH98" s="798"/>
      <c r="WNI98" s="798"/>
      <c r="WNJ98" s="798"/>
      <c r="WNK98" s="798"/>
      <c r="WNL98" s="798"/>
      <c r="WNM98" s="798"/>
      <c r="WNN98" s="798"/>
      <c r="WNO98" s="798"/>
      <c r="WNP98" s="798"/>
      <c r="WNQ98" s="798"/>
      <c r="WNR98" s="798"/>
      <c r="WNS98" s="798"/>
      <c r="WNT98" s="798"/>
      <c r="WNU98" s="798"/>
      <c r="WNV98" s="798"/>
      <c r="WNW98" s="798"/>
      <c r="WNX98" s="798"/>
      <c r="WNY98" s="798"/>
      <c r="WNZ98" s="798"/>
      <c r="WOA98" s="798"/>
      <c r="WOB98" s="798"/>
      <c r="WOC98" s="798"/>
      <c r="WOD98" s="798"/>
      <c r="WOE98" s="798"/>
      <c r="WOF98" s="798"/>
      <c r="WOG98" s="798"/>
      <c r="WOH98" s="798"/>
      <c r="WOI98" s="798"/>
      <c r="WOJ98" s="798"/>
      <c r="WOK98" s="798"/>
      <c r="WOL98" s="798"/>
      <c r="WOM98" s="798"/>
      <c r="WON98" s="798"/>
      <c r="WOO98" s="798"/>
      <c r="WOP98" s="798"/>
      <c r="WOQ98" s="798"/>
      <c r="WOR98" s="798"/>
      <c r="WOS98" s="798"/>
      <c r="WOT98" s="798"/>
      <c r="WOU98" s="798"/>
      <c r="WOV98" s="798"/>
      <c r="WOW98" s="798"/>
      <c r="WOX98" s="798"/>
      <c r="WOY98" s="798"/>
      <c r="WOZ98" s="798"/>
      <c r="WPA98" s="798"/>
      <c r="WPB98" s="798"/>
      <c r="WPC98" s="798"/>
      <c r="WPD98" s="798"/>
      <c r="WPE98" s="798"/>
      <c r="WPF98" s="798"/>
      <c r="WPG98" s="798"/>
      <c r="WPH98" s="798"/>
      <c r="WPI98" s="798"/>
      <c r="WPJ98" s="798"/>
      <c r="WPK98" s="798"/>
      <c r="WPL98" s="798"/>
      <c r="WPM98" s="798"/>
      <c r="WPN98" s="798"/>
      <c r="WPO98" s="798"/>
      <c r="WPP98" s="798"/>
      <c r="WPQ98" s="798"/>
      <c r="WPR98" s="798"/>
      <c r="WPS98" s="798"/>
      <c r="WPT98" s="798"/>
      <c r="WPU98" s="798"/>
      <c r="WPV98" s="798"/>
      <c r="WPW98" s="798"/>
      <c r="WPX98" s="798"/>
      <c r="WPY98" s="798"/>
      <c r="WPZ98" s="798"/>
      <c r="WQA98" s="798"/>
      <c r="WQB98" s="798"/>
      <c r="WQC98" s="798"/>
      <c r="WQD98" s="798"/>
      <c r="WQE98" s="798"/>
      <c r="WQF98" s="798"/>
      <c r="WQG98" s="798"/>
      <c r="WQH98" s="798"/>
      <c r="WQI98" s="798"/>
      <c r="WQJ98" s="798"/>
      <c r="WQK98" s="798"/>
      <c r="WQL98" s="798"/>
      <c r="WQM98" s="798"/>
      <c r="WQN98" s="798"/>
      <c r="WQO98" s="798"/>
      <c r="WQP98" s="798"/>
      <c r="WQQ98" s="798"/>
      <c r="WQR98" s="798"/>
      <c r="WQS98" s="798"/>
      <c r="WQT98" s="798"/>
      <c r="WQU98" s="798"/>
      <c r="WQV98" s="798"/>
      <c r="WQW98" s="798"/>
      <c r="WQX98" s="798"/>
      <c r="WQY98" s="798"/>
      <c r="WQZ98" s="798"/>
      <c r="WRA98" s="798"/>
      <c r="WRB98" s="798"/>
      <c r="WRC98" s="798"/>
      <c r="WRD98" s="798"/>
      <c r="WRE98" s="798"/>
      <c r="WRF98" s="798"/>
      <c r="WRG98" s="798"/>
      <c r="WRH98" s="798"/>
      <c r="WRI98" s="798"/>
      <c r="WRJ98" s="798"/>
      <c r="WRK98" s="798"/>
      <c r="WRL98" s="798"/>
      <c r="WRM98" s="798"/>
      <c r="WRN98" s="798"/>
      <c r="WRO98" s="798"/>
      <c r="WRP98" s="798"/>
      <c r="WRQ98" s="798"/>
      <c r="WRR98" s="798"/>
      <c r="WRS98" s="798"/>
      <c r="WRT98" s="798"/>
      <c r="WRU98" s="798"/>
      <c r="WRV98" s="798"/>
      <c r="WRW98" s="798"/>
      <c r="WRX98" s="798"/>
      <c r="WRY98" s="798"/>
      <c r="WRZ98" s="798"/>
      <c r="WSA98" s="798"/>
      <c r="WSB98" s="798"/>
      <c r="WSC98" s="798"/>
      <c r="WSD98" s="798"/>
      <c r="WSE98" s="798"/>
      <c r="WSF98" s="798"/>
      <c r="WSG98" s="798"/>
      <c r="WSH98" s="798"/>
      <c r="WSI98" s="798"/>
      <c r="WSJ98" s="798"/>
      <c r="WSK98" s="798"/>
      <c r="WSL98" s="798"/>
      <c r="WSM98" s="798"/>
      <c r="WSN98" s="798"/>
      <c r="WSO98" s="798"/>
      <c r="WSP98" s="798"/>
      <c r="WSQ98" s="798"/>
      <c r="WSR98" s="798"/>
      <c r="WSS98" s="798"/>
      <c r="WST98" s="798"/>
      <c r="WSU98" s="798"/>
      <c r="WSV98" s="798"/>
      <c r="WSW98" s="798"/>
      <c r="WSX98" s="798"/>
      <c r="WSY98" s="798"/>
      <c r="WSZ98" s="798"/>
      <c r="WTA98" s="798"/>
      <c r="WTB98" s="798"/>
      <c r="WTC98" s="798"/>
      <c r="WTD98" s="798"/>
      <c r="WTE98" s="798"/>
      <c r="WTF98" s="798"/>
      <c r="WTG98" s="798"/>
      <c r="WTH98" s="798"/>
      <c r="WTI98" s="798"/>
      <c r="WTJ98" s="798"/>
      <c r="WTK98" s="798"/>
      <c r="WTL98" s="798"/>
      <c r="WTM98" s="798"/>
      <c r="WTN98" s="798"/>
      <c r="WTO98" s="798"/>
      <c r="WTP98" s="798"/>
      <c r="WTQ98" s="798"/>
      <c r="WTR98" s="798"/>
      <c r="WTS98" s="798"/>
      <c r="WTT98" s="798"/>
      <c r="WTU98" s="798"/>
      <c r="WTV98" s="798"/>
      <c r="WTW98" s="798"/>
      <c r="WTX98" s="798"/>
      <c r="WTY98" s="798"/>
      <c r="WTZ98" s="798"/>
      <c r="WUA98" s="798"/>
      <c r="WUB98" s="798"/>
      <c r="WUC98" s="798"/>
      <c r="WUD98" s="798"/>
      <c r="WUE98" s="798"/>
      <c r="WUF98" s="798"/>
      <c r="WUG98" s="798"/>
      <c r="WUH98" s="798"/>
      <c r="WUI98" s="798"/>
      <c r="WUJ98" s="798"/>
      <c r="WUK98" s="798"/>
      <c r="WUL98" s="798"/>
      <c r="WUM98" s="798"/>
      <c r="WUN98" s="798"/>
      <c r="WUO98" s="798"/>
      <c r="WUP98" s="798"/>
      <c r="WUQ98" s="798"/>
      <c r="WUR98" s="798"/>
      <c r="WUS98" s="798"/>
      <c r="WUT98" s="798"/>
      <c r="WUU98" s="798"/>
      <c r="WUV98" s="798"/>
      <c r="WUW98" s="798"/>
      <c r="WUX98" s="798"/>
      <c r="WUY98" s="798"/>
      <c r="WUZ98" s="798"/>
      <c r="WVA98" s="798"/>
      <c r="WVB98" s="798"/>
      <c r="WVC98" s="798"/>
      <c r="WVD98" s="798"/>
      <c r="WVE98" s="798"/>
      <c r="WVF98" s="798"/>
      <c r="WVG98" s="798"/>
      <c r="WVH98" s="798"/>
      <c r="WVI98" s="798"/>
      <c r="WVJ98" s="798"/>
      <c r="WVK98" s="798"/>
      <c r="WVL98" s="798"/>
      <c r="WVM98" s="798"/>
      <c r="WVN98" s="798"/>
      <c r="WVO98" s="798"/>
      <c r="WVP98" s="798"/>
      <c r="WVQ98" s="798"/>
      <c r="WVR98" s="798"/>
      <c r="WVS98" s="798"/>
      <c r="WVT98" s="798"/>
      <c r="WVU98" s="798"/>
      <c r="WVV98" s="798"/>
      <c r="WVW98" s="798"/>
      <c r="WVX98" s="798"/>
      <c r="WVY98" s="798"/>
      <c r="WVZ98" s="798"/>
      <c r="WWA98" s="798"/>
      <c r="WWB98" s="798"/>
      <c r="WWC98" s="798"/>
      <c r="WWD98" s="798"/>
      <c r="WWE98" s="798"/>
      <c r="WWF98" s="798"/>
      <c r="WWG98" s="798"/>
      <c r="WWH98" s="798"/>
      <c r="WWI98" s="798"/>
      <c r="WWJ98" s="798"/>
      <c r="WWK98" s="798"/>
      <c r="WWL98" s="798"/>
      <c r="WWM98" s="798"/>
      <c r="WWN98" s="798"/>
      <c r="WWO98" s="798"/>
      <c r="WWP98" s="798"/>
      <c r="WWQ98" s="798"/>
      <c r="WWR98" s="798"/>
      <c r="WWS98" s="798"/>
      <c r="WWT98" s="798"/>
      <c r="WWU98" s="798"/>
      <c r="WWV98" s="798"/>
      <c r="WWW98" s="798"/>
      <c r="WWX98" s="798"/>
      <c r="WWY98" s="798"/>
      <c r="WWZ98" s="798"/>
      <c r="WXA98" s="798"/>
      <c r="WXB98" s="798"/>
      <c r="WXC98" s="798"/>
      <c r="WXD98" s="798"/>
      <c r="WXE98" s="798"/>
      <c r="WXF98" s="798"/>
      <c r="WXG98" s="798"/>
      <c r="WXH98" s="798"/>
      <c r="WXI98" s="798"/>
      <c r="WXJ98" s="798"/>
      <c r="WXK98" s="798"/>
      <c r="WXL98" s="798"/>
      <c r="WXM98" s="798"/>
      <c r="WXN98" s="798"/>
      <c r="WXO98" s="798"/>
      <c r="WXP98" s="798"/>
      <c r="WXQ98" s="798"/>
      <c r="WXR98" s="798"/>
      <c r="WXS98" s="798"/>
      <c r="WXT98" s="798"/>
      <c r="WXU98" s="798"/>
      <c r="WXV98" s="798"/>
      <c r="WXW98" s="798"/>
      <c r="WXX98" s="798"/>
      <c r="WXY98" s="798"/>
      <c r="WXZ98" s="798"/>
      <c r="WYA98" s="798"/>
      <c r="WYB98" s="798"/>
      <c r="WYC98" s="798"/>
      <c r="WYD98" s="798"/>
      <c r="WYE98" s="798"/>
      <c r="WYF98" s="798"/>
      <c r="WYG98" s="798"/>
      <c r="WYH98" s="798"/>
      <c r="WYI98" s="798"/>
      <c r="WYJ98" s="798"/>
      <c r="WYK98" s="798"/>
      <c r="WYL98" s="798"/>
      <c r="WYM98" s="798"/>
      <c r="WYN98" s="798"/>
      <c r="WYO98" s="798"/>
      <c r="WYP98" s="798"/>
      <c r="WYQ98" s="798"/>
      <c r="WYR98" s="798"/>
      <c r="WYS98" s="798"/>
      <c r="WYT98" s="798"/>
      <c r="WYU98" s="798"/>
      <c r="WYV98" s="798"/>
      <c r="WYW98" s="798"/>
      <c r="WYX98" s="798"/>
      <c r="WYY98" s="798"/>
      <c r="WYZ98" s="798"/>
      <c r="WZA98" s="798"/>
      <c r="WZB98" s="798"/>
      <c r="WZC98" s="798"/>
      <c r="WZD98" s="798"/>
      <c r="WZE98" s="798"/>
      <c r="WZF98" s="798"/>
      <c r="WZG98" s="798"/>
      <c r="WZH98" s="798"/>
      <c r="WZI98" s="798"/>
      <c r="WZJ98" s="798"/>
      <c r="WZK98" s="798"/>
      <c r="WZL98" s="798"/>
      <c r="WZM98" s="798"/>
      <c r="WZN98" s="798"/>
      <c r="WZO98" s="798"/>
      <c r="WZP98" s="798"/>
      <c r="WZQ98" s="798"/>
      <c r="WZR98" s="798"/>
      <c r="WZS98" s="798"/>
      <c r="WZT98" s="798"/>
      <c r="WZU98" s="798"/>
      <c r="WZV98" s="798"/>
      <c r="WZW98" s="798"/>
      <c r="WZX98" s="798"/>
      <c r="WZY98" s="798"/>
      <c r="WZZ98" s="798"/>
      <c r="XAA98" s="798"/>
      <c r="XAB98" s="798"/>
      <c r="XAC98" s="798"/>
      <c r="XAD98" s="798"/>
      <c r="XAE98" s="798"/>
      <c r="XAF98" s="798"/>
      <c r="XAG98" s="798"/>
      <c r="XAH98" s="798"/>
      <c r="XAI98" s="798"/>
      <c r="XAJ98" s="798"/>
      <c r="XAK98" s="798"/>
      <c r="XAL98" s="798"/>
      <c r="XAM98" s="798"/>
      <c r="XAN98" s="798"/>
      <c r="XAO98" s="798"/>
      <c r="XAP98" s="798"/>
      <c r="XAQ98" s="798"/>
      <c r="XAR98" s="798"/>
      <c r="XAS98" s="798"/>
      <c r="XAT98" s="798"/>
      <c r="XAU98" s="798"/>
      <c r="XAV98" s="798"/>
      <c r="XAW98" s="798"/>
      <c r="XAX98" s="798"/>
      <c r="XAY98" s="798"/>
      <c r="XAZ98" s="798"/>
      <c r="XBA98" s="798"/>
      <c r="XBB98" s="798"/>
      <c r="XBC98" s="798"/>
      <c r="XBD98" s="798"/>
    </row>
    <row r="99" spans="1:16280" ht="28.8" x14ac:dyDescent="0.3">
      <c r="A99" s="422">
        <v>96</v>
      </c>
      <c r="B99" s="373"/>
      <c r="C99" s="370" t="s">
        <v>417</v>
      </c>
      <c r="D99" s="279" t="s">
        <v>639</v>
      </c>
      <c r="E99" s="371" t="s">
        <v>677</v>
      </c>
      <c r="F99" s="372" t="s">
        <v>974</v>
      </c>
      <c r="G99" s="371" t="s">
        <v>941</v>
      </c>
      <c r="H99" s="276" t="s">
        <v>35</v>
      </c>
      <c r="I99" s="276" t="s">
        <v>414</v>
      </c>
      <c r="J99" s="276" t="s">
        <v>884</v>
      </c>
      <c r="K99" s="277" t="s">
        <v>642</v>
      </c>
      <c r="L99" s="277"/>
      <c r="M99" s="277"/>
      <c r="N99" s="374" t="s">
        <v>635</v>
      </c>
      <c r="O99" s="281"/>
      <c r="P99" s="291" t="s">
        <v>801</v>
      </c>
      <c r="Q99" s="192"/>
      <c r="R99" s="192"/>
      <c r="S99" s="192"/>
      <c r="T99" s="190"/>
      <c r="U99" s="190"/>
      <c r="V99" s="190"/>
      <c r="W99" s="190"/>
      <c r="X99" s="190"/>
      <c r="Y99" s="190"/>
      <c r="Z99" s="190"/>
      <c r="AA99" s="190"/>
      <c r="AB99" s="190"/>
      <c r="AC99" s="798"/>
      <c r="AD99" s="798"/>
      <c r="AE99" s="798"/>
      <c r="AF99" s="798"/>
      <c r="AG99" s="798"/>
      <c r="AH99" s="798"/>
      <c r="AI99" s="798"/>
      <c r="AJ99" s="798"/>
      <c r="AK99" s="798"/>
      <c r="AL99" s="798"/>
      <c r="AM99" s="798"/>
      <c r="AN99" s="798"/>
      <c r="AO99" s="798"/>
      <c r="AP99" s="798"/>
      <c r="AQ99" s="798"/>
      <c r="AR99" s="798"/>
      <c r="AS99" s="798"/>
      <c r="AT99" s="798"/>
      <c r="AU99" s="798"/>
      <c r="AV99" s="798"/>
      <c r="AW99" s="798"/>
      <c r="AX99" s="798"/>
      <c r="AY99" s="798"/>
      <c r="AZ99" s="798"/>
      <c r="BA99" s="798"/>
      <c r="BB99" s="798"/>
      <c r="BC99" s="798"/>
      <c r="BD99" s="798"/>
      <c r="BE99" s="798"/>
      <c r="BF99" s="798"/>
      <c r="BG99" s="798"/>
      <c r="BH99" s="798"/>
      <c r="BI99" s="798"/>
      <c r="BJ99" s="798"/>
      <c r="BK99" s="798"/>
      <c r="BL99" s="798"/>
      <c r="BM99" s="798"/>
      <c r="BN99" s="798"/>
      <c r="BO99" s="798"/>
      <c r="BP99" s="798"/>
      <c r="BQ99" s="798"/>
      <c r="BR99" s="798"/>
      <c r="BS99" s="798"/>
      <c r="BT99" s="798"/>
      <c r="BU99" s="798"/>
      <c r="BV99" s="798"/>
      <c r="BW99" s="798"/>
      <c r="BX99" s="798"/>
      <c r="BY99" s="798"/>
      <c r="BZ99" s="798"/>
      <c r="CA99" s="798"/>
      <c r="CB99" s="798"/>
      <c r="CC99" s="798"/>
      <c r="CD99" s="798"/>
      <c r="CE99" s="798"/>
      <c r="CF99" s="798"/>
      <c r="CG99" s="798"/>
      <c r="CH99" s="798"/>
      <c r="CI99" s="798"/>
      <c r="CJ99" s="798"/>
      <c r="CK99" s="798"/>
      <c r="CL99" s="798"/>
      <c r="CM99" s="798"/>
      <c r="CN99" s="798"/>
      <c r="CO99" s="798"/>
      <c r="CP99" s="798"/>
      <c r="CQ99" s="798"/>
      <c r="CR99" s="798"/>
      <c r="CS99" s="798"/>
      <c r="CT99" s="798"/>
      <c r="CU99" s="798"/>
      <c r="CV99" s="798"/>
      <c r="CW99" s="798"/>
      <c r="CX99" s="798"/>
      <c r="CY99" s="798"/>
      <c r="CZ99" s="798"/>
      <c r="DA99" s="798"/>
      <c r="DB99" s="798"/>
      <c r="DC99" s="798"/>
      <c r="DD99" s="798"/>
      <c r="DE99" s="798"/>
      <c r="DF99" s="798"/>
      <c r="DG99" s="798"/>
      <c r="DH99" s="798"/>
      <c r="DI99" s="798"/>
      <c r="DJ99" s="798"/>
      <c r="DK99" s="798"/>
      <c r="DL99" s="798"/>
      <c r="DM99" s="798"/>
      <c r="DN99" s="798"/>
      <c r="DO99" s="798"/>
      <c r="DP99" s="798"/>
      <c r="DQ99" s="798"/>
      <c r="DR99" s="798"/>
      <c r="DS99" s="798"/>
      <c r="DT99" s="798"/>
      <c r="DU99" s="798"/>
      <c r="DV99" s="798"/>
      <c r="DW99" s="798"/>
      <c r="DX99" s="798"/>
      <c r="DY99" s="798"/>
      <c r="DZ99" s="798"/>
      <c r="EA99" s="798"/>
      <c r="EB99" s="798"/>
      <c r="EC99" s="798"/>
      <c r="ED99" s="798"/>
      <c r="EE99" s="798"/>
      <c r="EF99" s="798"/>
      <c r="EG99" s="798"/>
      <c r="EH99" s="798"/>
      <c r="EI99" s="798"/>
      <c r="EJ99" s="798"/>
      <c r="EK99" s="798"/>
      <c r="EL99" s="798"/>
      <c r="EM99" s="798"/>
      <c r="EN99" s="798"/>
      <c r="EO99" s="798"/>
      <c r="EP99" s="798"/>
      <c r="EQ99" s="798"/>
      <c r="ER99" s="798"/>
      <c r="ES99" s="798"/>
      <c r="ET99" s="798"/>
      <c r="EU99" s="798"/>
      <c r="EV99" s="798"/>
      <c r="EW99" s="798"/>
      <c r="EX99" s="798"/>
      <c r="EY99" s="798"/>
      <c r="EZ99" s="798"/>
      <c r="FA99" s="798"/>
      <c r="FB99" s="798"/>
      <c r="FC99" s="798"/>
      <c r="FD99" s="798"/>
      <c r="FE99" s="798"/>
      <c r="FF99" s="798"/>
      <c r="FG99" s="798"/>
      <c r="FH99" s="798"/>
      <c r="FI99" s="798"/>
      <c r="FJ99" s="798"/>
      <c r="FK99" s="798"/>
      <c r="FL99" s="798"/>
      <c r="FM99" s="798"/>
      <c r="FN99" s="798"/>
      <c r="FO99" s="798"/>
      <c r="FP99" s="798"/>
      <c r="FQ99" s="798"/>
      <c r="FR99" s="798"/>
      <c r="FS99" s="798"/>
      <c r="FT99" s="798"/>
      <c r="FU99" s="798"/>
      <c r="FV99" s="798"/>
      <c r="FW99" s="798"/>
      <c r="FX99" s="798"/>
      <c r="FY99" s="798"/>
      <c r="FZ99" s="798"/>
      <c r="GA99" s="798"/>
      <c r="GB99" s="798"/>
      <c r="GC99" s="798"/>
      <c r="GD99" s="798"/>
      <c r="GE99" s="798"/>
      <c r="GF99" s="798"/>
      <c r="GG99" s="798"/>
      <c r="GH99" s="798"/>
      <c r="GI99" s="798"/>
      <c r="GJ99" s="798"/>
      <c r="GK99" s="798"/>
      <c r="GL99" s="798"/>
      <c r="GM99" s="798"/>
      <c r="GN99" s="798"/>
      <c r="GO99" s="798"/>
      <c r="GP99" s="798"/>
      <c r="GQ99" s="798"/>
      <c r="GR99" s="798"/>
      <c r="GS99" s="798"/>
      <c r="GT99" s="798"/>
      <c r="GU99" s="798"/>
      <c r="GV99" s="798"/>
      <c r="GW99" s="798"/>
      <c r="GX99" s="798"/>
      <c r="GY99" s="798"/>
      <c r="GZ99" s="798"/>
      <c r="HA99" s="798"/>
      <c r="HB99" s="798"/>
      <c r="HC99" s="798"/>
      <c r="HD99" s="798"/>
      <c r="HE99" s="798"/>
      <c r="HF99" s="798"/>
      <c r="HG99" s="798"/>
      <c r="HH99" s="798"/>
      <c r="HI99" s="798"/>
      <c r="HJ99" s="798"/>
      <c r="HK99" s="798"/>
      <c r="HL99" s="798"/>
      <c r="HM99" s="798"/>
      <c r="HN99" s="798"/>
      <c r="HO99" s="798"/>
      <c r="HP99" s="798"/>
      <c r="HQ99" s="798"/>
      <c r="HR99" s="798"/>
      <c r="HS99" s="798"/>
      <c r="HT99" s="798"/>
      <c r="HU99" s="798"/>
      <c r="HV99" s="798"/>
      <c r="HW99" s="798"/>
      <c r="HX99" s="798"/>
      <c r="HY99" s="798"/>
      <c r="HZ99" s="798"/>
      <c r="IA99" s="798"/>
      <c r="IB99" s="798"/>
      <c r="IC99" s="798"/>
      <c r="ID99" s="798"/>
      <c r="IE99" s="798"/>
      <c r="IF99" s="798"/>
      <c r="IG99" s="798"/>
      <c r="IH99" s="798"/>
      <c r="II99" s="798"/>
      <c r="IJ99" s="798"/>
      <c r="IK99" s="798"/>
      <c r="IL99" s="798"/>
      <c r="IM99" s="798"/>
      <c r="IN99" s="798"/>
      <c r="IO99" s="798"/>
      <c r="IP99" s="798"/>
      <c r="IQ99" s="798"/>
      <c r="IR99" s="798"/>
      <c r="IS99" s="798"/>
      <c r="IT99" s="798"/>
      <c r="IU99" s="798"/>
      <c r="IV99" s="798"/>
      <c r="IW99" s="798"/>
      <c r="IX99" s="798"/>
      <c r="IY99" s="798"/>
      <c r="IZ99" s="798"/>
      <c r="JA99" s="798"/>
      <c r="JB99" s="798"/>
      <c r="JC99" s="798"/>
      <c r="JD99" s="798"/>
      <c r="JE99" s="798"/>
      <c r="JF99" s="798"/>
      <c r="JG99" s="798"/>
      <c r="JH99" s="798"/>
      <c r="JI99" s="798"/>
      <c r="JJ99" s="798"/>
      <c r="JK99" s="798"/>
      <c r="JL99" s="798"/>
      <c r="JM99" s="798"/>
      <c r="JN99" s="798"/>
      <c r="JO99" s="798"/>
      <c r="JP99" s="798"/>
      <c r="JQ99" s="798"/>
      <c r="JR99" s="798"/>
      <c r="JS99" s="798"/>
      <c r="JT99" s="798"/>
      <c r="JU99" s="798"/>
      <c r="JV99" s="798"/>
      <c r="JW99" s="798"/>
      <c r="JX99" s="798"/>
      <c r="JY99" s="798"/>
      <c r="JZ99" s="798"/>
      <c r="KA99" s="798"/>
      <c r="KB99" s="798"/>
      <c r="KC99" s="798"/>
      <c r="KD99" s="798"/>
      <c r="KE99" s="798"/>
      <c r="KF99" s="798"/>
      <c r="KG99" s="798"/>
      <c r="KH99" s="798"/>
      <c r="KI99" s="798"/>
      <c r="KJ99" s="798"/>
      <c r="KK99" s="798"/>
      <c r="KL99" s="798"/>
      <c r="KM99" s="798"/>
      <c r="KN99" s="798"/>
      <c r="KO99" s="798"/>
      <c r="KP99" s="798"/>
      <c r="KQ99" s="798"/>
      <c r="KR99" s="798"/>
      <c r="KS99" s="798"/>
      <c r="KT99" s="798"/>
      <c r="KU99" s="798"/>
      <c r="KV99" s="798"/>
      <c r="KW99" s="798"/>
      <c r="KX99" s="798"/>
      <c r="KY99" s="798"/>
      <c r="KZ99" s="798"/>
      <c r="LA99" s="798"/>
      <c r="LB99" s="798"/>
      <c r="LC99" s="798"/>
      <c r="LD99" s="798"/>
      <c r="LE99" s="798"/>
      <c r="LF99" s="798"/>
      <c r="LG99" s="798"/>
      <c r="LH99" s="798"/>
      <c r="LI99" s="798"/>
      <c r="LJ99" s="798"/>
      <c r="LK99" s="798"/>
      <c r="LL99" s="798"/>
      <c r="LM99" s="798"/>
      <c r="LN99" s="798"/>
      <c r="LO99" s="798"/>
      <c r="LP99" s="798"/>
      <c r="LQ99" s="798"/>
      <c r="LR99" s="798"/>
      <c r="LS99" s="798"/>
      <c r="LT99" s="798"/>
      <c r="LU99" s="798"/>
      <c r="LV99" s="798"/>
      <c r="LW99" s="798"/>
      <c r="LX99" s="798"/>
      <c r="LY99" s="798"/>
      <c r="LZ99" s="798"/>
      <c r="MA99" s="798"/>
      <c r="MB99" s="798"/>
      <c r="MC99" s="798"/>
      <c r="MD99" s="798"/>
      <c r="ME99" s="798"/>
      <c r="MF99" s="798"/>
      <c r="MG99" s="798"/>
      <c r="MH99" s="798"/>
      <c r="MI99" s="798"/>
      <c r="MJ99" s="798"/>
      <c r="MK99" s="798"/>
      <c r="ML99" s="798"/>
      <c r="MM99" s="798"/>
      <c r="MN99" s="798"/>
      <c r="MO99" s="798"/>
      <c r="MP99" s="798"/>
      <c r="MQ99" s="798"/>
      <c r="MR99" s="798"/>
      <c r="MS99" s="798"/>
      <c r="MT99" s="798"/>
      <c r="MU99" s="798"/>
      <c r="MV99" s="798"/>
      <c r="MW99" s="798"/>
      <c r="MX99" s="798"/>
      <c r="MY99" s="798"/>
      <c r="MZ99" s="798"/>
      <c r="NA99" s="798"/>
      <c r="NB99" s="798"/>
      <c r="NC99" s="798"/>
      <c r="ND99" s="798"/>
      <c r="NE99" s="798"/>
      <c r="NF99" s="798"/>
      <c r="NG99" s="798"/>
      <c r="NH99" s="798"/>
      <c r="NI99" s="798"/>
      <c r="NJ99" s="798"/>
      <c r="NK99" s="798"/>
      <c r="NL99" s="798"/>
      <c r="NM99" s="798"/>
      <c r="NN99" s="798"/>
      <c r="NO99" s="798"/>
      <c r="NP99" s="798"/>
      <c r="NQ99" s="798"/>
      <c r="NR99" s="798"/>
      <c r="NS99" s="798"/>
      <c r="NT99" s="798"/>
      <c r="NU99" s="798"/>
      <c r="NV99" s="798"/>
      <c r="NW99" s="798"/>
      <c r="NX99" s="798"/>
      <c r="NY99" s="798"/>
      <c r="NZ99" s="798"/>
      <c r="OA99" s="798"/>
      <c r="OB99" s="798"/>
      <c r="OC99" s="798"/>
      <c r="OD99" s="798"/>
      <c r="OE99" s="798"/>
      <c r="OF99" s="798"/>
      <c r="OG99" s="798"/>
      <c r="OH99" s="798"/>
      <c r="OI99" s="798"/>
      <c r="OJ99" s="798"/>
      <c r="OK99" s="798"/>
      <c r="OL99" s="798"/>
      <c r="OM99" s="798"/>
      <c r="ON99" s="798"/>
      <c r="OO99" s="798"/>
      <c r="OP99" s="798"/>
      <c r="OQ99" s="798"/>
      <c r="OR99" s="798"/>
      <c r="OS99" s="798"/>
      <c r="OT99" s="798"/>
      <c r="OU99" s="798"/>
      <c r="OV99" s="798"/>
      <c r="OW99" s="798"/>
      <c r="OX99" s="798"/>
      <c r="OY99" s="798"/>
      <c r="OZ99" s="798"/>
      <c r="PA99" s="798"/>
      <c r="PB99" s="798"/>
      <c r="PC99" s="798"/>
      <c r="PD99" s="798"/>
      <c r="PE99" s="798"/>
      <c r="PF99" s="798"/>
      <c r="PG99" s="798"/>
      <c r="PH99" s="798"/>
      <c r="PI99" s="798"/>
      <c r="PJ99" s="798"/>
      <c r="PK99" s="798"/>
      <c r="PL99" s="798"/>
      <c r="PM99" s="798"/>
      <c r="PN99" s="798"/>
      <c r="PO99" s="798"/>
      <c r="PP99" s="798"/>
      <c r="PQ99" s="798"/>
      <c r="PR99" s="798"/>
      <c r="PS99" s="798"/>
      <c r="PT99" s="798"/>
      <c r="PU99" s="798"/>
      <c r="PV99" s="798"/>
      <c r="PW99" s="798"/>
      <c r="PX99" s="798"/>
      <c r="PY99" s="798"/>
      <c r="PZ99" s="798"/>
      <c r="QA99" s="798"/>
      <c r="QB99" s="798"/>
      <c r="QC99" s="798"/>
      <c r="QD99" s="798"/>
      <c r="QE99" s="798"/>
      <c r="QF99" s="798"/>
      <c r="QG99" s="798"/>
      <c r="QH99" s="798"/>
      <c r="QI99" s="798"/>
      <c r="QJ99" s="798"/>
      <c r="QK99" s="798"/>
      <c r="QL99" s="798"/>
      <c r="QM99" s="798"/>
      <c r="QN99" s="798"/>
      <c r="QO99" s="798"/>
      <c r="QP99" s="798"/>
      <c r="QQ99" s="798"/>
      <c r="QR99" s="798"/>
      <c r="QS99" s="798"/>
      <c r="QT99" s="798"/>
      <c r="QU99" s="798"/>
      <c r="QV99" s="798"/>
      <c r="QW99" s="798"/>
      <c r="QX99" s="798"/>
      <c r="QY99" s="798"/>
      <c r="QZ99" s="798"/>
      <c r="RA99" s="798"/>
      <c r="RB99" s="798"/>
      <c r="RC99" s="798"/>
      <c r="RD99" s="798"/>
      <c r="RE99" s="798"/>
      <c r="RF99" s="798"/>
      <c r="RG99" s="798"/>
      <c r="RH99" s="798"/>
      <c r="RI99" s="798"/>
      <c r="RJ99" s="798"/>
      <c r="RK99" s="798"/>
      <c r="RL99" s="798"/>
      <c r="RM99" s="798"/>
      <c r="RN99" s="798"/>
      <c r="RO99" s="798"/>
      <c r="RP99" s="798"/>
      <c r="RQ99" s="798"/>
      <c r="RR99" s="798"/>
      <c r="RS99" s="798"/>
      <c r="RT99" s="798"/>
      <c r="RU99" s="798"/>
      <c r="RV99" s="798"/>
      <c r="RW99" s="798"/>
      <c r="RX99" s="798"/>
      <c r="RY99" s="798"/>
      <c r="RZ99" s="798"/>
      <c r="SA99" s="798"/>
      <c r="SB99" s="798"/>
      <c r="SC99" s="798"/>
      <c r="SD99" s="798"/>
      <c r="SE99" s="798"/>
      <c r="SF99" s="798"/>
      <c r="SG99" s="798"/>
      <c r="SH99" s="798"/>
      <c r="SI99" s="798"/>
      <c r="SJ99" s="798"/>
      <c r="SK99" s="798"/>
      <c r="SL99" s="798"/>
      <c r="SM99" s="798"/>
      <c r="SN99" s="798"/>
      <c r="SO99" s="798"/>
      <c r="SP99" s="798"/>
      <c r="SQ99" s="798"/>
      <c r="SR99" s="798"/>
      <c r="SS99" s="798"/>
      <c r="ST99" s="798"/>
      <c r="SU99" s="798"/>
      <c r="SV99" s="798"/>
      <c r="SW99" s="798"/>
      <c r="SX99" s="798"/>
      <c r="SY99" s="798"/>
      <c r="SZ99" s="798"/>
      <c r="TA99" s="798"/>
      <c r="TB99" s="798"/>
      <c r="TC99" s="798"/>
      <c r="TD99" s="798"/>
      <c r="TE99" s="798"/>
      <c r="TF99" s="798"/>
      <c r="TG99" s="798"/>
      <c r="TH99" s="798"/>
      <c r="TI99" s="798"/>
      <c r="TJ99" s="798"/>
      <c r="TK99" s="798"/>
      <c r="TL99" s="798"/>
      <c r="TM99" s="798"/>
      <c r="TN99" s="798"/>
      <c r="TO99" s="798"/>
      <c r="TP99" s="798"/>
      <c r="TQ99" s="798"/>
      <c r="TR99" s="798"/>
      <c r="TS99" s="798"/>
      <c r="TT99" s="798"/>
      <c r="TU99" s="798"/>
      <c r="TV99" s="798"/>
      <c r="TW99" s="798"/>
      <c r="TX99" s="798"/>
      <c r="TY99" s="798"/>
      <c r="TZ99" s="798"/>
      <c r="UA99" s="798"/>
      <c r="UB99" s="798"/>
      <c r="UC99" s="798"/>
      <c r="UD99" s="798"/>
      <c r="UE99" s="798"/>
      <c r="UF99" s="798"/>
      <c r="UG99" s="798"/>
      <c r="UH99" s="798"/>
      <c r="UI99" s="798"/>
      <c r="UJ99" s="798"/>
      <c r="UK99" s="798"/>
      <c r="UL99" s="798"/>
      <c r="UM99" s="798"/>
      <c r="UN99" s="798"/>
      <c r="UO99" s="798"/>
      <c r="UP99" s="798"/>
      <c r="UQ99" s="798"/>
      <c r="UR99" s="798"/>
      <c r="US99" s="798"/>
      <c r="UT99" s="798"/>
      <c r="UU99" s="798"/>
      <c r="UV99" s="798"/>
      <c r="UW99" s="798"/>
      <c r="UX99" s="798"/>
      <c r="UY99" s="798"/>
      <c r="UZ99" s="798"/>
      <c r="VA99" s="798"/>
      <c r="VB99" s="798"/>
      <c r="VC99" s="798"/>
      <c r="VD99" s="798"/>
      <c r="VE99" s="798"/>
      <c r="VF99" s="798"/>
      <c r="VG99" s="798"/>
      <c r="VH99" s="798"/>
      <c r="VI99" s="798"/>
      <c r="VJ99" s="798"/>
      <c r="VK99" s="798"/>
      <c r="VL99" s="798"/>
      <c r="VM99" s="798"/>
      <c r="VN99" s="798"/>
      <c r="VO99" s="798"/>
      <c r="VP99" s="798"/>
      <c r="VQ99" s="798"/>
      <c r="VR99" s="798"/>
      <c r="VS99" s="798"/>
      <c r="VT99" s="798"/>
      <c r="VU99" s="798"/>
      <c r="VV99" s="798"/>
      <c r="VW99" s="798"/>
      <c r="VX99" s="798"/>
      <c r="VY99" s="798"/>
      <c r="VZ99" s="798"/>
      <c r="WA99" s="798"/>
      <c r="WB99" s="798"/>
      <c r="WC99" s="798"/>
      <c r="WD99" s="798"/>
      <c r="WE99" s="798"/>
      <c r="WF99" s="798"/>
      <c r="WG99" s="798"/>
      <c r="WH99" s="798"/>
      <c r="WI99" s="798"/>
      <c r="WJ99" s="798"/>
      <c r="WK99" s="798"/>
      <c r="WL99" s="798"/>
      <c r="WM99" s="798"/>
      <c r="WN99" s="798"/>
      <c r="WO99" s="798"/>
      <c r="WP99" s="798"/>
      <c r="WQ99" s="798"/>
      <c r="WR99" s="798"/>
      <c r="WS99" s="798"/>
      <c r="WT99" s="798"/>
      <c r="WU99" s="798"/>
      <c r="WV99" s="798"/>
      <c r="WW99" s="798"/>
      <c r="WX99" s="798"/>
      <c r="WY99" s="798"/>
      <c r="WZ99" s="798"/>
      <c r="XA99" s="798"/>
      <c r="XB99" s="798"/>
      <c r="XC99" s="798"/>
      <c r="XD99" s="798"/>
      <c r="XE99" s="798"/>
      <c r="XF99" s="798"/>
      <c r="XG99" s="798"/>
      <c r="XH99" s="798"/>
      <c r="XI99" s="798"/>
      <c r="XJ99" s="798"/>
      <c r="XK99" s="798"/>
      <c r="XL99" s="798"/>
      <c r="XM99" s="798"/>
      <c r="XN99" s="798"/>
      <c r="XO99" s="798"/>
      <c r="XP99" s="798"/>
      <c r="XQ99" s="798"/>
      <c r="XR99" s="798"/>
      <c r="XS99" s="798"/>
      <c r="XT99" s="798"/>
      <c r="XU99" s="798"/>
      <c r="XV99" s="798"/>
      <c r="XW99" s="798"/>
      <c r="XX99" s="798"/>
      <c r="XY99" s="798"/>
      <c r="XZ99" s="798"/>
      <c r="YA99" s="798"/>
      <c r="YB99" s="798"/>
      <c r="YC99" s="798"/>
      <c r="YD99" s="798"/>
      <c r="YE99" s="798"/>
      <c r="YF99" s="798"/>
      <c r="YG99" s="798"/>
      <c r="YH99" s="798"/>
      <c r="YI99" s="798"/>
      <c r="YJ99" s="798"/>
      <c r="YK99" s="798"/>
      <c r="YL99" s="798"/>
      <c r="YM99" s="798"/>
      <c r="YN99" s="798"/>
      <c r="YO99" s="798"/>
      <c r="YP99" s="798"/>
      <c r="YQ99" s="798"/>
      <c r="YR99" s="798"/>
      <c r="YS99" s="798"/>
      <c r="YT99" s="798"/>
      <c r="YU99" s="798"/>
      <c r="YV99" s="798"/>
      <c r="YW99" s="798"/>
      <c r="YX99" s="798"/>
      <c r="YY99" s="798"/>
      <c r="YZ99" s="798"/>
      <c r="ZA99" s="798"/>
      <c r="ZB99" s="798"/>
      <c r="ZC99" s="798"/>
      <c r="ZD99" s="798"/>
      <c r="ZE99" s="798"/>
      <c r="ZF99" s="798"/>
      <c r="ZG99" s="798"/>
      <c r="ZH99" s="798"/>
      <c r="ZI99" s="798"/>
      <c r="ZJ99" s="798"/>
      <c r="ZK99" s="798"/>
      <c r="ZL99" s="798"/>
      <c r="ZM99" s="798"/>
      <c r="ZN99" s="798"/>
      <c r="ZO99" s="798"/>
      <c r="ZP99" s="798"/>
      <c r="ZQ99" s="798"/>
      <c r="ZR99" s="798"/>
      <c r="ZS99" s="798"/>
      <c r="ZT99" s="798"/>
      <c r="ZU99" s="798"/>
      <c r="ZV99" s="798"/>
      <c r="ZW99" s="798"/>
      <c r="ZX99" s="798"/>
      <c r="ZY99" s="798"/>
      <c r="ZZ99" s="798"/>
      <c r="AAA99" s="798"/>
      <c r="AAB99" s="798"/>
      <c r="AAC99" s="798"/>
      <c r="AAD99" s="798"/>
      <c r="AAE99" s="798"/>
      <c r="AAF99" s="798"/>
      <c r="AAG99" s="798"/>
      <c r="AAH99" s="798"/>
      <c r="AAI99" s="798"/>
      <c r="AAJ99" s="798"/>
      <c r="AAK99" s="798"/>
      <c r="AAL99" s="798"/>
      <c r="AAM99" s="798"/>
      <c r="AAN99" s="798"/>
      <c r="AAO99" s="798"/>
      <c r="AAP99" s="798"/>
      <c r="AAQ99" s="798"/>
      <c r="AAR99" s="798"/>
      <c r="AAS99" s="798"/>
      <c r="AAT99" s="798"/>
      <c r="AAU99" s="798"/>
      <c r="AAV99" s="798"/>
      <c r="AAW99" s="798"/>
      <c r="AAX99" s="798"/>
      <c r="AAY99" s="798"/>
      <c r="AAZ99" s="798"/>
      <c r="ABA99" s="798"/>
      <c r="ABB99" s="798"/>
      <c r="ABC99" s="798"/>
      <c r="ABD99" s="798"/>
      <c r="ABE99" s="798"/>
      <c r="ABF99" s="798"/>
      <c r="ABG99" s="798"/>
      <c r="ABH99" s="798"/>
      <c r="ABI99" s="798"/>
      <c r="ABJ99" s="798"/>
      <c r="ABK99" s="798"/>
      <c r="ABL99" s="798"/>
      <c r="ABM99" s="798"/>
      <c r="ABN99" s="798"/>
      <c r="ABO99" s="798"/>
      <c r="ABP99" s="798"/>
      <c r="ABQ99" s="798"/>
      <c r="ABR99" s="798"/>
      <c r="ABS99" s="798"/>
      <c r="ABT99" s="798"/>
      <c r="ABU99" s="798"/>
      <c r="ABV99" s="798"/>
      <c r="ABW99" s="798"/>
      <c r="ABX99" s="798"/>
      <c r="ABY99" s="798"/>
      <c r="ABZ99" s="798"/>
      <c r="ACA99" s="798"/>
      <c r="ACB99" s="798"/>
      <c r="ACC99" s="798"/>
      <c r="ACD99" s="798"/>
      <c r="ACE99" s="798"/>
      <c r="ACF99" s="798"/>
      <c r="ACG99" s="798"/>
      <c r="ACH99" s="798"/>
      <c r="ACI99" s="798"/>
      <c r="ACJ99" s="798"/>
      <c r="ACK99" s="798"/>
      <c r="ACL99" s="798"/>
      <c r="ACM99" s="798"/>
      <c r="ACN99" s="798"/>
      <c r="ACO99" s="798"/>
      <c r="ACP99" s="798"/>
      <c r="ACQ99" s="798"/>
      <c r="ACR99" s="798"/>
      <c r="ACS99" s="798"/>
      <c r="ACT99" s="798"/>
      <c r="ACU99" s="798"/>
      <c r="ACV99" s="798"/>
      <c r="ACW99" s="798"/>
      <c r="ACX99" s="798"/>
      <c r="ACY99" s="798"/>
      <c r="ACZ99" s="798"/>
      <c r="ADA99" s="798"/>
      <c r="ADB99" s="798"/>
      <c r="ADC99" s="798"/>
      <c r="ADD99" s="798"/>
      <c r="ADE99" s="798"/>
      <c r="ADF99" s="798"/>
      <c r="ADG99" s="798"/>
      <c r="ADH99" s="798"/>
      <c r="ADI99" s="798"/>
      <c r="ADJ99" s="798"/>
      <c r="ADK99" s="798"/>
      <c r="ADL99" s="798"/>
      <c r="ADM99" s="798"/>
      <c r="ADN99" s="798"/>
      <c r="ADO99" s="798"/>
      <c r="ADP99" s="798"/>
      <c r="ADQ99" s="798"/>
      <c r="ADR99" s="798"/>
      <c r="ADS99" s="798"/>
      <c r="ADT99" s="798"/>
      <c r="ADU99" s="798"/>
      <c r="ADV99" s="798"/>
      <c r="ADW99" s="798"/>
      <c r="ADX99" s="798"/>
      <c r="ADY99" s="798"/>
      <c r="ADZ99" s="798"/>
      <c r="AEA99" s="798"/>
      <c r="AEB99" s="798"/>
      <c r="AEC99" s="798"/>
      <c r="AED99" s="798"/>
      <c r="AEE99" s="798"/>
      <c r="AEF99" s="798"/>
      <c r="AEG99" s="798"/>
      <c r="AEH99" s="798"/>
      <c r="AEI99" s="798"/>
      <c r="AEJ99" s="798"/>
      <c r="AEK99" s="798"/>
      <c r="AEL99" s="798"/>
      <c r="AEM99" s="798"/>
      <c r="AEN99" s="798"/>
      <c r="AEO99" s="798"/>
      <c r="AEP99" s="798"/>
      <c r="AEQ99" s="798"/>
      <c r="AER99" s="798"/>
      <c r="AES99" s="798"/>
      <c r="AET99" s="798"/>
      <c r="AEU99" s="798"/>
      <c r="AEV99" s="798"/>
      <c r="AEW99" s="798"/>
      <c r="AEX99" s="798"/>
      <c r="AEY99" s="798"/>
      <c r="AEZ99" s="798"/>
      <c r="AFA99" s="798"/>
      <c r="AFB99" s="798"/>
      <c r="AFC99" s="798"/>
      <c r="AFD99" s="798"/>
      <c r="AFE99" s="798"/>
      <c r="AFF99" s="798"/>
      <c r="AFG99" s="798"/>
      <c r="AFH99" s="798"/>
      <c r="AFI99" s="798"/>
      <c r="AFJ99" s="798"/>
      <c r="AFK99" s="798"/>
      <c r="AFL99" s="798"/>
      <c r="AFM99" s="798"/>
      <c r="AFN99" s="798"/>
      <c r="AFO99" s="798"/>
      <c r="AFP99" s="798"/>
      <c r="AFQ99" s="798"/>
      <c r="AFR99" s="798"/>
      <c r="AFS99" s="798"/>
      <c r="AFT99" s="798"/>
      <c r="AFU99" s="798"/>
      <c r="AFV99" s="798"/>
      <c r="AFW99" s="798"/>
      <c r="AFX99" s="798"/>
      <c r="AFY99" s="798"/>
      <c r="AFZ99" s="798"/>
      <c r="AGA99" s="798"/>
      <c r="AGB99" s="798"/>
      <c r="AGC99" s="798"/>
      <c r="AGD99" s="798"/>
      <c r="AGE99" s="798"/>
      <c r="AGF99" s="798"/>
      <c r="AGG99" s="798"/>
      <c r="AGH99" s="798"/>
      <c r="AGI99" s="798"/>
      <c r="AGJ99" s="798"/>
      <c r="AGK99" s="798"/>
      <c r="AGL99" s="798"/>
      <c r="AGM99" s="798"/>
      <c r="AGN99" s="798"/>
      <c r="AGO99" s="798"/>
      <c r="AGP99" s="798"/>
      <c r="AGQ99" s="798"/>
      <c r="AGR99" s="798"/>
      <c r="AGS99" s="798"/>
      <c r="AGT99" s="798"/>
      <c r="AGU99" s="798"/>
      <c r="AGV99" s="798"/>
      <c r="AGW99" s="798"/>
      <c r="AGX99" s="798"/>
      <c r="AGY99" s="798"/>
      <c r="AGZ99" s="798"/>
      <c r="AHA99" s="798"/>
      <c r="AHB99" s="798"/>
      <c r="AHC99" s="798"/>
      <c r="AHD99" s="798"/>
      <c r="AHE99" s="798"/>
      <c r="AHF99" s="798"/>
      <c r="AHG99" s="798"/>
      <c r="AHH99" s="798"/>
      <c r="AHI99" s="798"/>
      <c r="AHJ99" s="798"/>
      <c r="AHK99" s="798"/>
      <c r="AHL99" s="798"/>
      <c r="AHM99" s="798"/>
      <c r="AHN99" s="798"/>
      <c r="AHO99" s="798"/>
      <c r="AHP99" s="798"/>
      <c r="AHQ99" s="798"/>
      <c r="AHR99" s="798"/>
      <c r="AHS99" s="798"/>
      <c r="AHT99" s="798"/>
      <c r="AHU99" s="798"/>
      <c r="AHV99" s="798"/>
      <c r="AHW99" s="798"/>
      <c r="AHX99" s="798"/>
      <c r="AHY99" s="798"/>
      <c r="AHZ99" s="798"/>
      <c r="AIA99" s="798"/>
      <c r="AIB99" s="798"/>
      <c r="AIC99" s="798"/>
      <c r="AID99" s="798"/>
      <c r="AIE99" s="798"/>
      <c r="AIF99" s="798"/>
      <c r="AIG99" s="798"/>
      <c r="AIH99" s="798"/>
      <c r="AII99" s="798"/>
      <c r="AIJ99" s="798"/>
      <c r="AIK99" s="798"/>
      <c r="AIL99" s="798"/>
      <c r="AIM99" s="798"/>
      <c r="AIN99" s="798"/>
      <c r="AIO99" s="798"/>
      <c r="AIP99" s="798"/>
      <c r="AIQ99" s="798"/>
      <c r="AIR99" s="798"/>
      <c r="AIS99" s="798"/>
      <c r="AIT99" s="798"/>
      <c r="AIU99" s="798"/>
      <c r="AIV99" s="798"/>
      <c r="AIW99" s="798"/>
      <c r="AIX99" s="798"/>
      <c r="AIY99" s="798"/>
      <c r="AIZ99" s="798"/>
      <c r="AJA99" s="798"/>
      <c r="AJB99" s="798"/>
      <c r="AJC99" s="798"/>
      <c r="AJD99" s="798"/>
      <c r="AJE99" s="798"/>
      <c r="AJF99" s="798"/>
      <c r="AJG99" s="798"/>
      <c r="AJH99" s="798"/>
      <c r="AJI99" s="798"/>
      <c r="AJJ99" s="798"/>
      <c r="AJK99" s="798"/>
      <c r="AJL99" s="798"/>
      <c r="AJM99" s="798"/>
      <c r="AJN99" s="798"/>
      <c r="AJO99" s="798"/>
      <c r="AJP99" s="798"/>
      <c r="AJQ99" s="798"/>
      <c r="AJR99" s="798"/>
      <c r="AJS99" s="798"/>
      <c r="AJT99" s="798"/>
      <c r="AJU99" s="798"/>
      <c r="AJV99" s="798"/>
      <c r="AJW99" s="798"/>
      <c r="AJX99" s="798"/>
      <c r="AJY99" s="798"/>
      <c r="AJZ99" s="798"/>
      <c r="AKA99" s="798"/>
      <c r="AKB99" s="798"/>
      <c r="AKC99" s="798"/>
      <c r="AKD99" s="798"/>
      <c r="AKE99" s="798"/>
      <c r="AKF99" s="798"/>
      <c r="AKG99" s="798"/>
      <c r="AKH99" s="798"/>
      <c r="AKI99" s="798"/>
      <c r="AKJ99" s="798"/>
      <c r="AKK99" s="798"/>
      <c r="AKL99" s="798"/>
      <c r="AKM99" s="798"/>
      <c r="AKN99" s="798"/>
      <c r="AKO99" s="798"/>
      <c r="AKP99" s="798"/>
      <c r="AKQ99" s="798"/>
      <c r="AKR99" s="798"/>
      <c r="AKS99" s="798"/>
      <c r="AKT99" s="798"/>
      <c r="AKU99" s="798"/>
      <c r="AKV99" s="798"/>
      <c r="AKW99" s="798"/>
      <c r="AKX99" s="798"/>
      <c r="AKY99" s="798"/>
      <c r="AKZ99" s="798"/>
      <c r="ALA99" s="798"/>
      <c r="ALB99" s="798"/>
      <c r="ALC99" s="798"/>
      <c r="ALD99" s="798"/>
      <c r="ALE99" s="798"/>
      <c r="ALF99" s="798"/>
      <c r="ALG99" s="798"/>
      <c r="ALH99" s="798"/>
      <c r="ALI99" s="798"/>
      <c r="ALJ99" s="798"/>
      <c r="ALK99" s="798"/>
      <c r="ALL99" s="798"/>
      <c r="ALM99" s="798"/>
      <c r="ALN99" s="798"/>
      <c r="ALO99" s="798"/>
      <c r="ALP99" s="798"/>
      <c r="ALQ99" s="798"/>
      <c r="ALR99" s="798"/>
      <c r="ALS99" s="798"/>
      <c r="ALT99" s="798"/>
      <c r="ALU99" s="798"/>
      <c r="ALV99" s="798"/>
      <c r="ALW99" s="798"/>
      <c r="ALX99" s="798"/>
      <c r="ALY99" s="798"/>
      <c r="ALZ99" s="798"/>
      <c r="AMA99" s="798"/>
      <c r="AMB99" s="798"/>
      <c r="AMC99" s="798"/>
      <c r="AMD99" s="798"/>
      <c r="AME99" s="798"/>
      <c r="AMF99" s="798"/>
      <c r="AMG99" s="798"/>
      <c r="AMH99" s="798"/>
      <c r="AMI99" s="798"/>
      <c r="AMJ99" s="798"/>
      <c r="AMK99" s="798"/>
      <c r="AML99" s="798"/>
      <c r="AMM99" s="798"/>
      <c r="AMN99" s="798"/>
      <c r="AMO99" s="798"/>
      <c r="AMP99" s="798"/>
      <c r="AMQ99" s="798"/>
      <c r="AMR99" s="798"/>
      <c r="AMS99" s="798"/>
      <c r="AMT99" s="798"/>
      <c r="AMU99" s="798"/>
      <c r="AMV99" s="798"/>
      <c r="AMW99" s="798"/>
      <c r="AMX99" s="798"/>
      <c r="AMY99" s="798"/>
      <c r="AMZ99" s="798"/>
      <c r="ANA99" s="798"/>
      <c r="ANB99" s="798"/>
      <c r="ANC99" s="798"/>
      <c r="AND99" s="798"/>
      <c r="ANE99" s="798"/>
      <c r="ANF99" s="798"/>
      <c r="ANG99" s="798"/>
      <c r="ANH99" s="798"/>
      <c r="ANI99" s="798"/>
      <c r="ANJ99" s="798"/>
      <c r="ANK99" s="798"/>
      <c r="ANL99" s="798"/>
      <c r="ANM99" s="798"/>
      <c r="ANN99" s="798"/>
      <c r="ANO99" s="798"/>
      <c r="ANP99" s="798"/>
      <c r="ANQ99" s="798"/>
      <c r="ANR99" s="798"/>
      <c r="ANS99" s="798"/>
      <c r="ANT99" s="798"/>
      <c r="ANU99" s="798"/>
      <c r="ANV99" s="798"/>
      <c r="ANW99" s="798"/>
      <c r="ANX99" s="798"/>
      <c r="ANY99" s="798"/>
      <c r="ANZ99" s="798"/>
      <c r="AOA99" s="798"/>
      <c r="AOB99" s="798"/>
      <c r="AOC99" s="798"/>
      <c r="AOD99" s="798"/>
      <c r="AOE99" s="798"/>
      <c r="AOF99" s="798"/>
      <c r="AOG99" s="798"/>
      <c r="AOH99" s="798"/>
      <c r="AOI99" s="798"/>
      <c r="AOJ99" s="798"/>
      <c r="AOK99" s="798"/>
      <c r="AOL99" s="798"/>
      <c r="AOM99" s="798"/>
      <c r="AON99" s="798"/>
      <c r="AOO99" s="798"/>
      <c r="AOP99" s="798"/>
      <c r="AOQ99" s="798"/>
      <c r="AOR99" s="798"/>
      <c r="AOS99" s="798"/>
      <c r="AOT99" s="798"/>
      <c r="AOU99" s="798"/>
      <c r="AOV99" s="798"/>
      <c r="AOW99" s="798"/>
      <c r="AOX99" s="798"/>
      <c r="AOY99" s="798"/>
      <c r="AOZ99" s="798"/>
      <c r="APA99" s="798"/>
      <c r="APB99" s="798"/>
      <c r="APC99" s="798"/>
      <c r="APD99" s="798"/>
      <c r="APE99" s="798"/>
      <c r="APF99" s="798"/>
      <c r="APG99" s="798"/>
      <c r="APH99" s="798"/>
      <c r="API99" s="798"/>
      <c r="APJ99" s="798"/>
      <c r="APK99" s="798"/>
      <c r="APL99" s="798"/>
      <c r="APM99" s="798"/>
      <c r="APN99" s="798"/>
      <c r="APO99" s="798"/>
      <c r="APP99" s="798"/>
      <c r="APQ99" s="798"/>
      <c r="APR99" s="798"/>
      <c r="APS99" s="798"/>
      <c r="APT99" s="798"/>
      <c r="APU99" s="798"/>
      <c r="APV99" s="798"/>
      <c r="APW99" s="798"/>
      <c r="APX99" s="798"/>
      <c r="APY99" s="798"/>
      <c r="APZ99" s="798"/>
      <c r="AQA99" s="798"/>
      <c r="AQB99" s="798"/>
      <c r="AQC99" s="798"/>
      <c r="AQD99" s="798"/>
      <c r="AQE99" s="798"/>
      <c r="AQF99" s="798"/>
      <c r="AQG99" s="798"/>
      <c r="AQH99" s="798"/>
      <c r="AQI99" s="798"/>
      <c r="AQJ99" s="798"/>
      <c r="AQK99" s="798"/>
      <c r="AQL99" s="798"/>
      <c r="AQM99" s="798"/>
      <c r="AQN99" s="798"/>
      <c r="AQO99" s="798"/>
      <c r="AQP99" s="798"/>
      <c r="AQQ99" s="798"/>
      <c r="AQR99" s="798"/>
      <c r="AQS99" s="798"/>
      <c r="AQT99" s="798"/>
      <c r="AQU99" s="798"/>
      <c r="AQV99" s="798"/>
      <c r="AQW99" s="798"/>
      <c r="AQX99" s="798"/>
      <c r="AQY99" s="798"/>
      <c r="AQZ99" s="798"/>
      <c r="ARA99" s="798"/>
      <c r="ARB99" s="798"/>
      <c r="ARC99" s="798"/>
      <c r="ARD99" s="798"/>
      <c r="ARE99" s="798"/>
      <c r="ARF99" s="798"/>
      <c r="ARG99" s="798"/>
      <c r="ARH99" s="798"/>
      <c r="ARI99" s="798"/>
      <c r="ARJ99" s="798"/>
      <c r="ARK99" s="798"/>
      <c r="ARL99" s="798"/>
      <c r="ARM99" s="798"/>
      <c r="ARN99" s="798"/>
      <c r="ARO99" s="798"/>
      <c r="ARP99" s="798"/>
      <c r="ARQ99" s="798"/>
      <c r="ARR99" s="798"/>
      <c r="ARS99" s="798"/>
      <c r="ART99" s="798"/>
      <c r="ARU99" s="798"/>
      <c r="ARV99" s="798"/>
      <c r="ARW99" s="798"/>
      <c r="ARX99" s="798"/>
      <c r="ARY99" s="798"/>
      <c r="ARZ99" s="798"/>
      <c r="ASA99" s="798"/>
      <c r="ASB99" s="798"/>
      <c r="ASC99" s="798"/>
      <c r="ASD99" s="798"/>
      <c r="ASE99" s="798"/>
      <c r="ASF99" s="798"/>
      <c r="ASG99" s="798"/>
      <c r="ASH99" s="798"/>
      <c r="ASI99" s="798"/>
      <c r="ASJ99" s="798"/>
      <c r="ASK99" s="798"/>
      <c r="ASL99" s="798"/>
      <c r="ASM99" s="798"/>
      <c r="ASN99" s="798"/>
      <c r="ASO99" s="798"/>
      <c r="ASP99" s="798"/>
      <c r="ASQ99" s="798"/>
      <c r="ASR99" s="798"/>
      <c r="ASS99" s="798"/>
      <c r="AST99" s="798"/>
      <c r="ASU99" s="798"/>
      <c r="ASV99" s="798"/>
      <c r="ASW99" s="798"/>
      <c r="ASX99" s="798"/>
      <c r="ASY99" s="798"/>
      <c r="ASZ99" s="798"/>
      <c r="ATA99" s="798"/>
      <c r="ATB99" s="798"/>
      <c r="ATC99" s="798"/>
      <c r="ATD99" s="798"/>
      <c r="ATE99" s="798"/>
      <c r="ATF99" s="798"/>
      <c r="ATG99" s="798"/>
      <c r="ATH99" s="798"/>
      <c r="ATI99" s="798"/>
      <c r="ATJ99" s="798"/>
      <c r="ATK99" s="798"/>
      <c r="ATL99" s="798"/>
      <c r="ATM99" s="798"/>
      <c r="ATN99" s="798"/>
      <c r="ATO99" s="798"/>
      <c r="ATP99" s="798"/>
      <c r="ATQ99" s="798"/>
      <c r="ATR99" s="798"/>
      <c r="ATS99" s="798"/>
      <c r="ATT99" s="798"/>
      <c r="ATU99" s="798"/>
      <c r="ATV99" s="798"/>
      <c r="ATW99" s="798"/>
      <c r="ATX99" s="798"/>
      <c r="ATY99" s="798"/>
      <c r="ATZ99" s="798"/>
      <c r="AUA99" s="798"/>
      <c r="AUB99" s="798"/>
      <c r="AUC99" s="798"/>
      <c r="AUD99" s="798"/>
      <c r="AUE99" s="798"/>
      <c r="AUF99" s="798"/>
      <c r="AUG99" s="798"/>
      <c r="AUH99" s="798"/>
      <c r="AUI99" s="798"/>
      <c r="AUJ99" s="798"/>
      <c r="AUK99" s="798"/>
      <c r="AUL99" s="798"/>
      <c r="AUM99" s="798"/>
      <c r="AUN99" s="798"/>
      <c r="AUO99" s="798"/>
      <c r="AUP99" s="798"/>
      <c r="AUQ99" s="798"/>
      <c r="AUR99" s="798"/>
      <c r="AUS99" s="798"/>
      <c r="AUT99" s="798"/>
      <c r="AUU99" s="798"/>
      <c r="AUV99" s="798"/>
      <c r="AUW99" s="798"/>
      <c r="AUX99" s="798"/>
      <c r="AUY99" s="798"/>
      <c r="AUZ99" s="798"/>
      <c r="AVA99" s="798"/>
      <c r="AVB99" s="798"/>
      <c r="AVC99" s="798"/>
      <c r="AVD99" s="798"/>
      <c r="AVE99" s="798"/>
      <c r="AVF99" s="798"/>
      <c r="AVG99" s="798"/>
      <c r="AVH99" s="798"/>
      <c r="AVI99" s="798"/>
      <c r="AVJ99" s="798"/>
      <c r="AVK99" s="798"/>
      <c r="AVL99" s="798"/>
      <c r="AVM99" s="798"/>
      <c r="AVN99" s="798"/>
      <c r="AVO99" s="798"/>
      <c r="AVP99" s="798"/>
      <c r="AVQ99" s="798"/>
      <c r="AVR99" s="798"/>
      <c r="AVS99" s="798"/>
      <c r="AVT99" s="798"/>
      <c r="AVU99" s="798"/>
      <c r="AVV99" s="798"/>
      <c r="AVW99" s="798"/>
      <c r="AVX99" s="798"/>
      <c r="AVY99" s="798"/>
      <c r="AVZ99" s="798"/>
      <c r="AWA99" s="798"/>
      <c r="AWB99" s="798"/>
      <c r="AWC99" s="798"/>
      <c r="AWD99" s="798"/>
      <c r="AWE99" s="798"/>
      <c r="AWF99" s="798"/>
      <c r="AWG99" s="798"/>
      <c r="AWH99" s="798"/>
      <c r="AWI99" s="798"/>
      <c r="AWJ99" s="798"/>
      <c r="AWK99" s="798"/>
      <c r="AWL99" s="798"/>
      <c r="AWM99" s="798"/>
      <c r="AWN99" s="798"/>
      <c r="AWO99" s="798"/>
      <c r="AWP99" s="798"/>
      <c r="AWQ99" s="798"/>
      <c r="AWR99" s="798"/>
      <c r="AWS99" s="798"/>
      <c r="AWT99" s="798"/>
      <c r="AWU99" s="798"/>
      <c r="AWV99" s="798"/>
      <c r="AWW99" s="798"/>
      <c r="AWX99" s="798"/>
      <c r="AWY99" s="798"/>
      <c r="AWZ99" s="798"/>
      <c r="AXA99" s="798"/>
      <c r="AXB99" s="798"/>
      <c r="AXC99" s="798"/>
      <c r="AXD99" s="798"/>
      <c r="AXE99" s="798"/>
      <c r="AXF99" s="798"/>
      <c r="AXG99" s="798"/>
      <c r="AXH99" s="798"/>
      <c r="AXI99" s="798"/>
      <c r="AXJ99" s="798"/>
      <c r="AXK99" s="798"/>
      <c r="AXL99" s="798"/>
      <c r="AXM99" s="798"/>
      <c r="AXN99" s="798"/>
      <c r="AXO99" s="798"/>
      <c r="AXP99" s="798"/>
      <c r="AXQ99" s="798"/>
      <c r="AXR99" s="798"/>
      <c r="AXS99" s="798"/>
      <c r="AXT99" s="798"/>
      <c r="AXU99" s="798"/>
      <c r="AXV99" s="798"/>
      <c r="AXW99" s="798"/>
      <c r="AXX99" s="798"/>
      <c r="AXY99" s="798"/>
      <c r="AXZ99" s="798"/>
      <c r="AYA99" s="798"/>
      <c r="AYB99" s="798"/>
      <c r="AYC99" s="798"/>
      <c r="AYD99" s="798"/>
      <c r="AYE99" s="798"/>
      <c r="AYF99" s="798"/>
      <c r="AYG99" s="798"/>
      <c r="AYH99" s="798"/>
      <c r="AYI99" s="798"/>
      <c r="AYJ99" s="798"/>
      <c r="AYK99" s="798"/>
      <c r="AYL99" s="798"/>
      <c r="AYM99" s="798"/>
      <c r="AYN99" s="798"/>
      <c r="AYO99" s="798"/>
      <c r="AYP99" s="798"/>
      <c r="AYQ99" s="798"/>
      <c r="AYR99" s="798"/>
      <c r="AYS99" s="798"/>
      <c r="AYT99" s="798"/>
      <c r="AYU99" s="798"/>
      <c r="AYV99" s="798"/>
      <c r="AYW99" s="798"/>
      <c r="AYX99" s="798"/>
      <c r="AYY99" s="798"/>
      <c r="AYZ99" s="798"/>
      <c r="AZA99" s="798"/>
      <c r="AZB99" s="798"/>
      <c r="AZC99" s="798"/>
      <c r="AZD99" s="798"/>
      <c r="AZE99" s="798"/>
      <c r="AZF99" s="798"/>
      <c r="AZG99" s="798"/>
      <c r="AZH99" s="798"/>
      <c r="AZI99" s="798"/>
      <c r="AZJ99" s="798"/>
      <c r="AZK99" s="798"/>
      <c r="AZL99" s="798"/>
      <c r="AZM99" s="798"/>
      <c r="AZN99" s="798"/>
      <c r="AZO99" s="798"/>
      <c r="AZP99" s="798"/>
      <c r="AZQ99" s="798"/>
      <c r="AZR99" s="798"/>
      <c r="AZS99" s="798"/>
      <c r="AZT99" s="798"/>
      <c r="AZU99" s="798"/>
      <c r="AZV99" s="798"/>
      <c r="AZW99" s="798"/>
      <c r="AZX99" s="798"/>
      <c r="AZY99" s="798"/>
      <c r="AZZ99" s="798"/>
      <c r="BAA99" s="798"/>
      <c r="BAB99" s="798"/>
      <c r="BAC99" s="798"/>
      <c r="BAD99" s="798"/>
      <c r="BAE99" s="798"/>
      <c r="BAF99" s="798"/>
      <c r="BAG99" s="798"/>
      <c r="BAH99" s="798"/>
      <c r="BAI99" s="798"/>
      <c r="BAJ99" s="798"/>
      <c r="BAK99" s="798"/>
      <c r="BAL99" s="798"/>
      <c r="BAM99" s="798"/>
      <c r="BAN99" s="798"/>
      <c r="BAO99" s="798"/>
      <c r="BAP99" s="798"/>
      <c r="BAQ99" s="798"/>
      <c r="BAR99" s="798"/>
      <c r="BAS99" s="798"/>
      <c r="BAT99" s="798"/>
      <c r="BAU99" s="798"/>
      <c r="BAV99" s="798"/>
      <c r="BAW99" s="798"/>
      <c r="BAX99" s="798"/>
      <c r="BAY99" s="798"/>
      <c r="BAZ99" s="798"/>
      <c r="BBA99" s="798"/>
      <c r="BBB99" s="798"/>
      <c r="BBC99" s="798"/>
      <c r="BBD99" s="798"/>
      <c r="BBE99" s="798"/>
      <c r="BBF99" s="798"/>
      <c r="BBG99" s="798"/>
      <c r="BBH99" s="798"/>
      <c r="BBI99" s="798"/>
      <c r="BBJ99" s="798"/>
      <c r="BBK99" s="798"/>
      <c r="BBL99" s="798"/>
      <c r="BBM99" s="798"/>
      <c r="BBN99" s="798"/>
      <c r="BBO99" s="798"/>
      <c r="BBP99" s="798"/>
      <c r="BBQ99" s="798"/>
      <c r="BBR99" s="798"/>
      <c r="BBS99" s="798"/>
      <c r="BBT99" s="798"/>
      <c r="BBU99" s="798"/>
      <c r="BBV99" s="798"/>
      <c r="BBW99" s="798"/>
      <c r="BBX99" s="798"/>
      <c r="BBY99" s="798"/>
      <c r="BBZ99" s="798"/>
      <c r="BCA99" s="798"/>
      <c r="BCB99" s="798"/>
      <c r="BCC99" s="798"/>
      <c r="BCD99" s="798"/>
      <c r="BCE99" s="798"/>
      <c r="BCF99" s="798"/>
      <c r="BCG99" s="798"/>
      <c r="BCH99" s="798"/>
      <c r="BCI99" s="798"/>
      <c r="BCJ99" s="798"/>
      <c r="BCK99" s="798"/>
      <c r="BCL99" s="798"/>
      <c r="BCM99" s="798"/>
      <c r="BCN99" s="798"/>
      <c r="BCO99" s="798"/>
      <c r="BCP99" s="798"/>
      <c r="BCQ99" s="798"/>
      <c r="BCR99" s="798"/>
      <c r="BCS99" s="798"/>
      <c r="BCT99" s="798"/>
      <c r="BCU99" s="798"/>
      <c r="BCV99" s="798"/>
      <c r="BCW99" s="798"/>
      <c r="BCX99" s="798"/>
      <c r="BCY99" s="798"/>
      <c r="BCZ99" s="798"/>
      <c r="BDA99" s="798"/>
      <c r="BDB99" s="798"/>
      <c r="BDC99" s="798"/>
      <c r="BDD99" s="798"/>
      <c r="BDE99" s="798"/>
      <c r="BDF99" s="798"/>
      <c r="BDG99" s="798"/>
      <c r="BDH99" s="798"/>
      <c r="BDI99" s="798"/>
      <c r="BDJ99" s="798"/>
      <c r="BDK99" s="798"/>
      <c r="BDL99" s="798"/>
      <c r="BDM99" s="798"/>
      <c r="BDN99" s="798"/>
      <c r="BDO99" s="798"/>
      <c r="BDP99" s="798"/>
      <c r="BDQ99" s="798"/>
      <c r="BDR99" s="798"/>
      <c r="BDS99" s="798"/>
      <c r="BDT99" s="798"/>
      <c r="BDU99" s="798"/>
      <c r="BDV99" s="798"/>
      <c r="BDW99" s="798"/>
      <c r="BDX99" s="798"/>
      <c r="BDY99" s="798"/>
      <c r="BDZ99" s="798"/>
      <c r="BEA99" s="798"/>
      <c r="BEB99" s="798"/>
      <c r="BEC99" s="798"/>
      <c r="BED99" s="798"/>
      <c r="BEE99" s="798"/>
      <c r="BEF99" s="798"/>
      <c r="BEG99" s="798"/>
      <c r="BEH99" s="798"/>
      <c r="BEI99" s="798"/>
      <c r="BEJ99" s="798"/>
      <c r="BEK99" s="798"/>
      <c r="BEL99" s="798"/>
      <c r="BEM99" s="798"/>
      <c r="BEN99" s="798"/>
      <c r="BEO99" s="798"/>
      <c r="BEP99" s="798"/>
      <c r="BEQ99" s="798"/>
      <c r="BER99" s="798"/>
      <c r="BES99" s="798"/>
      <c r="BET99" s="798"/>
      <c r="BEU99" s="798"/>
      <c r="BEV99" s="798"/>
      <c r="BEW99" s="798"/>
      <c r="BEX99" s="798"/>
      <c r="BEY99" s="798"/>
      <c r="BEZ99" s="798"/>
      <c r="BFA99" s="798"/>
      <c r="BFB99" s="798"/>
      <c r="BFC99" s="798"/>
      <c r="BFD99" s="798"/>
      <c r="BFE99" s="798"/>
      <c r="BFF99" s="798"/>
      <c r="BFG99" s="798"/>
      <c r="BFH99" s="798"/>
      <c r="BFI99" s="798"/>
      <c r="BFJ99" s="798"/>
      <c r="BFK99" s="798"/>
      <c r="BFL99" s="798"/>
      <c r="BFM99" s="798"/>
      <c r="BFN99" s="798"/>
      <c r="BFO99" s="798"/>
      <c r="BFP99" s="798"/>
      <c r="BFQ99" s="798"/>
      <c r="BFR99" s="798"/>
      <c r="BFS99" s="798"/>
      <c r="BFT99" s="798"/>
      <c r="BFU99" s="798"/>
      <c r="BFV99" s="798"/>
      <c r="BFW99" s="798"/>
      <c r="BFX99" s="798"/>
      <c r="BFY99" s="798"/>
      <c r="BFZ99" s="798"/>
      <c r="BGA99" s="798"/>
      <c r="BGB99" s="798"/>
      <c r="BGC99" s="798"/>
      <c r="BGD99" s="798"/>
      <c r="BGE99" s="798"/>
      <c r="BGF99" s="798"/>
      <c r="BGG99" s="798"/>
      <c r="BGH99" s="798"/>
      <c r="BGI99" s="798"/>
      <c r="BGJ99" s="798"/>
      <c r="BGK99" s="798"/>
      <c r="BGL99" s="798"/>
      <c r="BGM99" s="798"/>
      <c r="BGN99" s="798"/>
      <c r="BGO99" s="798"/>
      <c r="BGP99" s="798"/>
      <c r="BGQ99" s="798"/>
      <c r="BGR99" s="798"/>
      <c r="BGS99" s="798"/>
      <c r="BGT99" s="798"/>
      <c r="BGU99" s="798"/>
      <c r="BGV99" s="798"/>
      <c r="BGW99" s="798"/>
      <c r="BGX99" s="798"/>
      <c r="BGY99" s="798"/>
      <c r="BGZ99" s="798"/>
      <c r="BHA99" s="798"/>
      <c r="BHB99" s="798"/>
      <c r="BHC99" s="798"/>
      <c r="BHD99" s="798"/>
      <c r="BHE99" s="798"/>
      <c r="BHF99" s="798"/>
      <c r="BHG99" s="798"/>
      <c r="BHH99" s="798"/>
      <c r="BHI99" s="798"/>
      <c r="BHJ99" s="798"/>
      <c r="BHK99" s="798"/>
      <c r="BHL99" s="798"/>
      <c r="BHM99" s="798"/>
      <c r="BHN99" s="798"/>
      <c r="BHO99" s="798"/>
      <c r="BHP99" s="798"/>
      <c r="BHQ99" s="798"/>
      <c r="BHR99" s="798"/>
      <c r="BHS99" s="798"/>
      <c r="BHT99" s="798"/>
      <c r="BHU99" s="798"/>
      <c r="BHV99" s="798"/>
      <c r="BHW99" s="798"/>
      <c r="BHX99" s="798"/>
      <c r="BHY99" s="798"/>
      <c r="BHZ99" s="798"/>
      <c r="BIA99" s="798"/>
      <c r="BIB99" s="798"/>
      <c r="BIC99" s="798"/>
      <c r="BID99" s="798"/>
      <c r="BIE99" s="798"/>
      <c r="BIF99" s="798"/>
      <c r="BIG99" s="798"/>
      <c r="BIH99" s="798"/>
      <c r="BII99" s="798"/>
      <c r="BIJ99" s="798"/>
      <c r="BIK99" s="798"/>
      <c r="BIL99" s="798"/>
      <c r="BIM99" s="798"/>
      <c r="BIN99" s="798"/>
      <c r="BIO99" s="798"/>
      <c r="BIP99" s="798"/>
      <c r="BIQ99" s="798"/>
      <c r="BIR99" s="798"/>
      <c r="BIS99" s="798"/>
      <c r="BIT99" s="798"/>
      <c r="BIU99" s="798"/>
      <c r="BIV99" s="798"/>
      <c r="BIW99" s="798"/>
      <c r="BIX99" s="798"/>
      <c r="BIY99" s="798"/>
      <c r="BIZ99" s="798"/>
      <c r="BJA99" s="798"/>
      <c r="BJB99" s="798"/>
      <c r="BJC99" s="798"/>
      <c r="BJD99" s="798"/>
      <c r="BJE99" s="798"/>
      <c r="BJF99" s="798"/>
      <c r="BJG99" s="798"/>
      <c r="BJH99" s="798"/>
      <c r="BJI99" s="798"/>
      <c r="BJJ99" s="798"/>
      <c r="BJK99" s="798"/>
      <c r="BJL99" s="798"/>
      <c r="BJM99" s="798"/>
      <c r="BJN99" s="798"/>
      <c r="BJO99" s="798"/>
      <c r="BJP99" s="798"/>
      <c r="BJQ99" s="798"/>
      <c r="BJR99" s="798"/>
      <c r="BJS99" s="798"/>
      <c r="BJT99" s="798"/>
      <c r="BJU99" s="798"/>
      <c r="BJV99" s="798"/>
      <c r="BJW99" s="798"/>
      <c r="BJX99" s="798"/>
      <c r="BJY99" s="798"/>
      <c r="BJZ99" s="798"/>
      <c r="BKA99" s="798"/>
      <c r="BKB99" s="798"/>
      <c r="BKC99" s="798"/>
      <c r="BKD99" s="798"/>
      <c r="BKE99" s="798"/>
      <c r="BKF99" s="798"/>
      <c r="BKG99" s="798"/>
      <c r="BKH99" s="798"/>
      <c r="BKI99" s="798"/>
      <c r="BKJ99" s="798"/>
      <c r="BKK99" s="798"/>
      <c r="BKL99" s="798"/>
      <c r="BKM99" s="798"/>
      <c r="BKN99" s="798"/>
      <c r="BKO99" s="798"/>
      <c r="BKP99" s="798"/>
      <c r="BKQ99" s="798"/>
      <c r="BKR99" s="798"/>
      <c r="BKS99" s="798"/>
      <c r="BKT99" s="798"/>
      <c r="BKU99" s="798"/>
      <c r="BKV99" s="798"/>
      <c r="BKW99" s="798"/>
      <c r="BKX99" s="798"/>
      <c r="BKY99" s="798"/>
      <c r="BKZ99" s="798"/>
      <c r="BLA99" s="798"/>
      <c r="BLB99" s="798"/>
      <c r="BLC99" s="798"/>
      <c r="BLD99" s="798"/>
      <c r="BLE99" s="798"/>
      <c r="BLF99" s="798"/>
      <c r="BLG99" s="798"/>
      <c r="BLH99" s="798"/>
      <c r="BLI99" s="798"/>
      <c r="BLJ99" s="798"/>
      <c r="BLK99" s="798"/>
      <c r="BLL99" s="798"/>
      <c r="BLM99" s="798"/>
      <c r="BLN99" s="798"/>
      <c r="BLO99" s="798"/>
      <c r="BLP99" s="798"/>
      <c r="BLQ99" s="798"/>
      <c r="BLR99" s="798"/>
      <c r="BLS99" s="798"/>
      <c r="BLT99" s="798"/>
      <c r="BLU99" s="798"/>
      <c r="BLV99" s="798"/>
      <c r="BLW99" s="798"/>
      <c r="BLX99" s="798"/>
      <c r="BLY99" s="798"/>
      <c r="BLZ99" s="798"/>
      <c r="BMA99" s="798"/>
      <c r="BMB99" s="798"/>
      <c r="BMC99" s="798"/>
      <c r="BMD99" s="798"/>
      <c r="BME99" s="798"/>
      <c r="BMF99" s="798"/>
      <c r="BMG99" s="798"/>
      <c r="BMH99" s="798"/>
      <c r="BMI99" s="798"/>
      <c r="BMJ99" s="798"/>
      <c r="BMK99" s="798"/>
      <c r="BML99" s="798"/>
      <c r="BMM99" s="798"/>
      <c r="BMN99" s="798"/>
      <c r="BMO99" s="798"/>
      <c r="BMP99" s="798"/>
      <c r="BMQ99" s="798"/>
      <c r="BMR99" s="798"/>
      <c r="BMS99" s="798"/>
      <c r="BMT99" s="798"/>
      <c r="BMU99" s="798"/>
      <c r="BMV99" s="798"/>
      <c r="BMW99" s="798"/>
      <c r="BMX99" s="798"/>
      <c r="BMY99" s="798"/>
      <c r="BMZ99" s="798"/>
      <c r="BNA99" s="798"/>
      <c r="BNB99" s="798"/>
      <c r="BNC99" s="798"/>
      <c r="BND99" s="798"/>
      <c r="BNE99" s="798"/>
      <c r="BNF99" s="798"/>
      <c r="BNG99" s="798"/>
      <c r="BNH99" s="798"/>
      <c r="BNI99" s="798"/>
      <c r="BNJ99" s="798"/>
      <c r="BNK99" s="798"/>
      <c r="BNL99" s="798"/>
      <c r="BNM99" s="798"/>
      <c r="BNN99" s="798"/>
      <c r="BNO99" s="798"/>
      <c r="BNP99" s="798"/>
      <c r="BNQ99" s="798"/>
      <c r="BNR99" s="798"/>
      <c r="BNS99" s="798"/>
      <c r="BNT99" s="798"/>
      <c r="BNU99" s="798"/>
      <c r="BNV99" s="798"/>
      <c r="BNW99" s="798"/>
      <c r="BNX99" s="798"/>
      <c r="BNY99" s="798"/>
      <c r="BNZ99" s="798"/>
      <c r="BOA99" s="798"/>
      <c r="BOB99" s="798"/>
      <c r="BOC99" s="798"/>
      <c r="BOD99" s="798"/>
      <c r="BOE99" s="798"/>
      <c r="BOF99" s="798"/>
      <c r="BOG99" s="798"/>
      <c r="BOH99" s="798"/>
      <c r="BOI99" s="798"/>
      <c r="BOJ99" s="798"/>
      <c r="BOK99" s="798"/>
      <c r="BOL99" s="798"/>
      <c r="BOM99" s="798"/>
      <c r="BON99" s="798"/>
      <c r="BOO99" s="798"/>
      <c r="BOP99" s="798"/>
      <c r="BOQ99" s="798"/>
      <c r="BOR99" s="798"/>
      <c r="BOS99" s="798"/>
      <c r="BOT99" s="798"/>
      <c r="BOU99" s="798"/>
      <c r="BOV99" s="798"/>
      <c r="BOW99" s="798"/>
      <c r="BOX99" s="798"/>
      <c r="BOY99" s="798"/>
      <c r="BOZ99" s="798"/>
      <c r="BPA99" s="798"/>
      <c r="BPB99" s="798"/>
      <c r="BPC99" s="798"/>
      <c r="BPD99" s="798"/>
      <c r="BPE99" s="798"/>
      <c r="BPF99" s="798"/>
      <c r="BPG99" s="798"/>
      <c r="BPH99" s="798"/>
      <c r="BPI99" s="798"/>
      <c r="BPJ99" s="798"/>
      <c r="BPK99" s="798"/>
      <c r="BPL99" s="798"/>
      <c r="BPM99" s="798"/>
      <c r="BPN99" s="798"/>
      <c r="BPO99" s="798"/>
      <c r="BPP99" s="798"/>
      <c r="BPQ99" s="798"/>
      <c r="BPR99" s="798"/>
      <c r="BPS99" s="798"/>
      <c r="BPT99" s="798"/>
      <c r="BPU99" s="798"/>
      <c r="BPV99" s="798"/>
      <c r="BPW99" s="798"/>
      <c r="BPX99" s="798"/>
      <c r="BPY99" s="798"/>
      <c r="BPZ99" s="798"/>
      <c r="BQA99" s="798"/>
      <c r="BQB99" s="798"/>
      <c r="BQC99" s="798"/>
      <c r="BQD99" s="798"/>
      <c r="BQE99" s="798"/>
      <c r="BQF99" s="798"/>
      <c r="BQG99" s="798"/>
      <c r="BQH99" s="798"/>
      <c r="BQI99" s="798"/>
      <c r="BQJ99" s="798"/>
      <c r="BQK99" s="798"/>
      <c r="BQL99" s="798"/>
      <c r="BQM99" s="798"/>
      <c r="BQN99" s="798"/>
      <c r="BQO99" s="798"/>
      <c r="BQP99" s="798"/>
      <c r="BQQ99" s="798"/>
      <c r="BQR99" s="798"/>
      <c r="BQS99" s="798"/>
      <c r="BQT99" s="798"/>
      <c r="BQU99" s="798"/>
      <c r="BQV99" s="798"/>
      <c r="BQW99" s="798"/>
      <c r="BQX99" s="798"/>
      <c r="BQY99" s="798"/>
      <c r="BQZ99" s="798"/>
      <c r="BRA99" s="798"/>
      <c r="BRB99" s="798"/>
      <c r="BRC99" s="798"/>
      <c r="BRD99" s="798"/>
      <c r="BRE99" s="798"/>
      <c r="BRF99" s="798"/>
      <c r="BRG99" s="798"/>
      <c r="BRH99" s="798"/>
      <c r="BRI99" s="798"/>
      <c r="BRJ99" s="798"/>
      <c r="BRK99" s="798"/>
      <c r="BRL99" s="798"/>
      <c r="BRM99" s="798"/>
      <c r="BRN99" s="798"/>
      <c r="BRO99" s="798"/>
      <c r="BRP99" s="798"/>
      <c r="BRQ99" s="798"/>
      <c r="BRR99" s="798"/>
      <c r="BRS99" s="798"/>
      <c r="BRT99" s="798"/>
      <c r="BRU99" s="798"/>
      <c r="BRV99" s="798"/>
      <c r="BRW99" s="798"/>
      <c r="BRX99" s="798"/>
      <c r="BRY99" s="798"/>
      <c r="BRZ99" s="798"/>
      <c r="BSA99" s="798"/>
      <c r="BSB99" s="798"/>
      <c r="BSC99" s="798"/>
      <c r="BSD99" s="798"/>
      <c r="BSE99" s="798"/>
      <c r="BSF99" s="798"/>
      <c r="BSG99" s="798"/>
      <c r="BSH99" s="798"/>
      <c r="BSI99" s="798"/>
      <c r="BSJ99" s="798"/>
      <c r="BSK99" s="798"/>
      <c r="BSL99" s="798"/>
      <c r="BSM99" s="798"/>
      <c r="BSN99" s="798"/>
      <c r="BSO99" s="798"/>
      <c r="BSP99" s="798"/>
      <c r="BSQ99" s="798"/>
      <c r="BSR99" s="798"/>
      <c r="BSS99" s="798"/>
      <c r="BST99" s="798"/>
      <c r="BSU99" s="798"/>
      <c r="BSV99" s="798"/>
      <c r="BSW99" s="798"/>
      <c r="BSX99" s="798"/>
      <c r="BSY99" s="798"/>
      <c r="BSZ99" s="798"/>
      <c r="BTA99" s="798"/>
      <c r="BTB99" s="798"/>
      <c r="BTC99" s="798"/>
      <c r="BTD99" s="798"/>
      <c r="BTE99" s="798"/>
      <c r="BTF99" s="798"/>
      <c r="BTG99" s="798"/>
      <c r="BTH99" s="798"/>
      <c r="BTI99" s="798"/>
      <c r="BTJ99" s="798"/>
      <c r="BTK99" s="798"/>
      <c r="BTL99" s="798"/>
      <c r="BTM99" s="798"/>
      <c r="BTN99" s="798"/>
      <c r="BTO99" s="798"/>
      <c r="BTP99" s="798"/>
      <c r="BTQ99" s="798"/>
      <c r="BTR99" s="798"/>
      <c r="BTS99" s="798"/>
      <c r="BTT99" s="798"/>
      <c r="BTU99" s="798"/>
      <c r="BTV99" s="798"/>
      <c r="BTW99" s="798"/>
      <c r="BTX99" s="798"/>
      <c r="BTY99" s="798"/>
      <c r="BTZ99" s="798"/>
      <c r="BUA99" s="798"/>
      <c r="BUB99" s="798"/>
      <c r="BUC99" s="798"/>
      <c r="BUD99" s="798"/>
      <c r="BUE99" s="798"/>
      <c r="BUF99" s="798"/>
      <c r="BUG99" s="798"/>
      <c r="BUH99" s="798"/>
      <c r="BUI99" s="798"/>
      <c r="BUJ99" s="798"/>
      <c r="BUK99" s="798"/>
      <c r="BUL99" s="798"/>
      <c r="BUM99" s="798"/>
      <c r="BUN99" s="798"/>
      <c r="BUO99" s="798"/>
      <c r="BUP99" s="798"/>
      <c r="BUQ99" s="798"/>
      <c r="BUR99" s="798"/>
      <c r="BUS99" s="798"/>
      <c r="BUT99" s="798"/>
      <c r="BUU99" s="798"/>
      <c r="BUV99" s="798"/>
      <c r="BUW99" s="798"/>
      <c r="BUX99" s="798"/>
      <c r="BUY99" s="798"/>
      <c r="BUZ99" s="798"/>
      <c r="BVA99" s="798"/>
      <c r="BVB99" s="798"/>
      <c r="BVC99" s="798"/>
      <c r="BVD99" s="798"/>
      <c r="BVE99" s="798"/>
      <c r="BVF99" s="798"/>
      <c r="BVG99" s="798"/>
      <c r="BVH99" s="798"/>
      <c r="BVI99" s="798"/>
      <c r="BVJ99" s="798"/>
      <c r="BVK99" s="798"/>
      <c r="BVL99" s="798"/>
      <c r="BVM99" s="798"/>
      <c r="BVN99" s="798"/>
      <c r="BVO99" s="798"/>
      <c r="BVP99" s="798"/>
      <c r="BVQ99" s="798"/>
      <c r="BVR99" s="798"/>
      <c r="BVS99" s="798"/>
      <c r="BVT99" s="798"/>
      <c r="BVU99" s="798"/>
      <c r="BVV99" s="798"/>
      <c r="BVW99" s="798"/>
      <c r="BVX99" s="798"/>
      <c r="BVY99" s="798"/>
      <c r="BVZ99" s="798"/>
      <c r="BWA99" s="798"/>
      <c r="BWB99" s="798"/>
      <c r="BWC99" s="798"/>
      <c r="BWD99" s="798"/>
      <c r="BWE99" s="798"/>
      <c r="BWF99" s="798"/>
      <c r="BWG99" s="798"/>
      <c r="BWH99" s="798"/>
      <c r="BWI99" s="798"/>
      <c r="BWJ99" s="798"/>
      <c r="BWK99" s="798"/>
      <c r="BWL99" s="798"/>
      <c r="BWM99" s="798"/>
      <c r="BWN99" s="798"/>
      <c r="BWO99" s="798"/>
      <c r="BWP99" s="798"/>
      <c r="BWQ99" s="798"/>
      <c r="BWR99" s="798"/>
      <c r="BWS99" s="798"/>
      <c r="BWT99" s="798"/>
      <c r="BWU99" s="798"/>
      <c r="BWV99" s="798"/>
      <c r="BWW99" s="798"/>
      <c r="BWX99" s="798"/>
      <c r="BWY99" s="798"/>
      <c r="BWZ99" s="798"/>
      <c r="BXA99" s="798"/>
      <c r="BXB99" s="798"/>
      <c r="BXC99" s="798"/>
      <c r="BXD99" s="798"/>
      <c r="BXE99" s="798"/>
      <c r="BXF99" s="798"/>
      <c r="BXG99" s="798"/>
      <c r="BXH99" s="798"/>
      <c r="BXI99" s="798"/>
      <c r="BXJ99" s="798"/>
      <c r="BXK99" s="798"/>
      <c r="BXL99" s="798"/>
      <c r="BXM99" s="798"/>
      <c r="BXN99" s="798"/>
      <c r="BXO99" s="798"/>
      <c r="BXP99" s="798"/>
      <c r="BXQ99" s="798"/>
      <c r="BXR99" s="798"/>
      <c r="BXS99" s="798"/>
      <c r="BXT99" s="798"/>
      <c r="BXU99" s="798"/>
      <c r="BXV99" s="798"/>
      <c r="BXW99" s="798"/>
      <c r="BXX99" s="798"/>
      <c r="BXY99" s="798"/>
      <c r="BXZ99" s="798"/>
      <c r="BYA99" s="798"/>
      <c r="BYB99" s="798"/>
      <c r="BYC99" s="798"/>
      <c r="BYD99" s="798"/>
      <c r="BYE99" s="798"/>
      <c r="BYF99" s="798"/>
      <c r="BYG99" s="798"/>
      <c r="BYH99" s="798"/>
      <c r="BYI99" s="798"/>
      <c r="BYJ99" s="798"/>
      <c r="BYK99" s="798"/>
      <c r="BYL99" s="798"/>
      <c r="BYM99" s="798"/>
      <c r="BYN99" s="798"/>
      <c r="BYO99" s="798"/>
      <c r="BYP99" s="798"/>
      <c r="BYQ99" s="798"/>
      <c r="BYR99" s="798"/>
      <c r="BYS99" s="798"/>
      <c r="BYT99" s="798"/>
      <c r="BYU99" s="798"/>
      <c r="BYV99" s="798"/>
      <c r="BYW99" s="798"/>
      <c r="BYX99" s="798"/>
      <c r="BYY99" s="798"/>
      <c r="BYZ99" s="798"/>
      <c r="BZA99" s="798"/>
      <c r="BZB99" s="798"/>
      <c r="BZC99" s="798"/>
      <c r="BZD99" s="798"/>
      <c r="BZE99" s="798"/>
      <c r="BZF99" s="798"/>
      <c r="BZG99" s="798"/>
      <c r="BZH99" s="798"/>
      <c r="BZI99" s="798"/>
      <c r="BZJ99" s="798"/>
      <c r="BZK99" s="798"/>
      <c r="BZL99" s="798"/>
      <c r="BZM99" s="798"/>
      <c r="BZN99" s="798"/>
      <c r="BZO99" s="798"/>
      <c r="BZP99" s="798"/>
      <c r="BZQ99" s="798"/>
      <c r="BZR99" s="798"/>
      <c r="BZS99" s="798"/>
      <c r="BZT99" s="798"/>
      <c r="BZU99" s="798"/>
      <c r="BZV99" s="798"/>
      <c r="BZW99" s="798"/>
      <c r="BZX99" s="798"/>
      <c r="BZY99" s="798"/>
      <c r="BZZ99" s="798"/>
      <c r="CAA99" s="798"/>
      <c r="CAB99" s="798"/>
      <c r="CAC99" s="798"/>
      <c r="CAD99" s="798"/>
      <c r="CAE99" s="798"/>
      <c r="CAF99" s="798"/>
      <c r="CAG99" s="798"/>
      <c r="CAH99" s="798"/>
      <c r="CAI99" s="798"/>
      <c r="CAJ99" s="798"/>
      <c r="CAK99" s="798"/>
      <c r="CAL99" s="798"/>
      <c r="CAM99" s="798"/>
      <c r="CAN99" s="798"/>
      <c r="CAO99" s="798"/>
      <c r="CAP99" s="798"/>
      <c r="CAQ99" s="798"/>
      <c r="CAR99" s="798"/>
      <c r="CAS99" s="798"/>
      <c r="CAT99" s="798"/>
      <c r="CAU99" s="798"/>
      <c r="CAV99" s="798"/>
      <c r="CAW99" s="798"/>
      <c r="CAX99" s="798"/>
      <c r="CAY99" s="798"/>
      <c r="CAZ99" s="798"/>
      <c r="CBA99" s="798"/>
      <c r="CBB99" s="798"/>
      <c r="CBC99" s="798"/>
      <c r="CBD99" s="798"/>
      <c r="CBE99" s="798"/>
      <c r="CBF99" s="798"/>
      <c r="CBG99" s="798"/>
      <c r="CBH99" s="798"/>
      <c r="CBI99" s="798"/>
      <c r="CBJ99" s="798"/>
      <c r="CBK99" s="798"/>
      <c r="CBL99" s="798"/>
      <c r="CBM99" s="798"/>
      <c r="CBN99" s="798"/>
      <c r="CBO99" s="798"/>
      <c r="CBP99" s="798"/>
      <c r="CBQ99" s="798"/>
      <c r="CBR99" s="798"/>
      <c r="CBS99" s="798"/>
      <c r="CBT99" s="798"/>
      <c r="CBU99" s="798"/>
      <c r="CBV99" s="798"/>
      <c r="CBW99" s="798"/>
      <c r="CBX99" s="798"/>
      <c r="CBY99" s="798"/>
      <c r="CBZ99" s="798"/>
      <c r="CCA99" s="798"/>
      <c r="CCB99" s="798"/>
      <c r="CCC99" s="798"/>
      <c r="CCD99" s="798"/>
      <c r="CCE99" s="798"/>
      <c r="CCF99" s="798"/>
      <c r="CCG99" s="798"/>
      <c r="CCH99" s="798"/>
      <c r="CCI99" s="798"/>
      <c r="CCJ99" s="798"/>
      <c r="CCK99" s="798"/>
      <c r="CCL99" s="798"/>
      <c r="CCM99" s="798"/>
      <c r="CCN99" s="798"/>
      <c r="CCO99" s="798"/>
      <c r="CCP99" s="798"/>
      <c r="CCQ99" s="798"/>
      <c r="CCR99" s="798"/>
      <c r="CCS99" s="798"/>
      <c r="CCT99" s="798"/>
      <c r="CCU99" s="798"/>
      <c r="CCV99" s="798"/>
      <c r="CCW99" s="798"/>
      <c r="CCX99" s="798"/>
      <c r="CCY99" s="798"/>
      <c r="CCZ99" s="798"/>
      <c r="CDA99" s="798"/>
      <c r="CDB99" s="798"/>
      <c r="CDC99" s="798"/>
      <c r="CDD99" s="798"/>
      <c r="CDE99" s="798"/>
      <c r="CDF99" s="798"/>
      <c r="CDG99" s="798"/>
      <c r="CDH99" s="798"/>
      <c r="CDI99" s="798"/>
      <c r="CDJ99" s="798"/>
      <c r="CDK99" s="798"/>
      <c r="CDL99" s="798"/>
      <c r="CDM99" s="798"/>
      <c r="CDN99" s="798"/>
      <c r="CDO99" s="798"/>
      <c r="CDP99" s="798"/>
      <c r="CDQ99" s="798"/>
      <c r="CDR99" s="798"/>
      <c r="CDS99" s="798"/>
      <c r="CDT99" s="798"/>
      <c r="CDU99" s="798"/>
      <c r="CDV99" s="798"/>
      <c r="CDW99" s="798"/>
      <c r="CDX99" s="798"/>
      <c r="CDY99" s="798"/>
      <c r="CDZ99" s="798"/>
      <c r="CEA99" s="798"/>
      <c r="CEB99" s="798"/>
      <c r="CEC99" s="798"/>
      <c r="CED99" s="798"/>
      <c r="CEE99" s="798"/>
      <c r="CEF99" s="798"/>
      <c r="CEG99" s="798"/>
      <c r="CEH99" s="798"/>
      <c r="CEI99" s="798"/>
      <c r="CEJ99" s="798"/>
      <c r="CEK99" s="798"/>
      <c r="CEL99" s="798"/>
      <c r="CEM99" s="798"/>
      <c r="CEN99" s="798"/>
      <c r="CEO99" s="798"/>
      <c r="CEP99" s="798"/>
      <c r="CEQ99" s="798"/>
      <c r="CER99" s="798"/>
      <c r="CES99" s="798"/>
      <c r="CET99" s="798"/>
      <c r="CEU99" s="798"/>
      <c r="CEV99" s="798"/>
      <c r="CEW99" s="798"/>
      <c r="CEX99" s="798"/>
      <c r="CEY99" s="798"/>
      <c r="CEZ99" s="798"/>
      <c r="CFA99" s="798"/>
      <c r="CFB99" s="798"/>
      <c r="CFC99" s="798"/>
      <c r="CFD99" s="798"/>
      <c r="CFE99" s="798"/>
      <c r="CFF99" s="798"/>
      <c r="CFG99" s="798"/>
      <c r="CFH99" s="798"/>
      <c r="CFI99" s="798"/>
      <c r="CFJ99" s="798"/>
      <c r="CFK99" s="798"/>
      <c r="CFL99" s="798"/>
      <c r="CFM99" s="798"/>
      <c r="CFN99" s="798"/>
      <c r="CFO99" s="798"/>
      <c r="CFP99" s="798"/>
      <c r="CFQ99" s="798"/>
      <c r="CFR99" s="798"/>
      <c r="CFS99" s="798"/>
      <c r="CFT99" s="798"/>
      <c r="CFU99" s="798"/>
      <c r="CFV99" s="798"/>
      <c r="CFW99" s="798"/>
      <c r="CFX99" s="798"/>
      <c r="CFY99" s="798"/>
      <c r="CFZ99" s="798"/>
      <c r="CGA99" s="798"/>
      <c r="CGB99" s="798"/>
      <c r="CGC99" s="798"/>
      <c r="CGD99" s="798"/>
      <c r="CGE99" s="798"/>
      <c r="CGF99" s="798"/>
      <c r="CGG99" s="798"/>
      <c r="CGH99" s="798"/>
      <c r="CGI99" s="798"/>
      <c r="CGJ99" s="798"/>
      <c r="CGK99" s="798"/>
      <c r="CGL99" s="798"/>
      <c r="CGM99" s="798"/>
      <c r="CGN99" s="798"/>
      <c r="CGO99" s="798"/>
      <c r="CGP99" s="798"/>
      <c r="CGQ99" s="798"/>
      <c r="CGR99" s="798"/>
      <c r="CGS99" s="798"/>
      <c r="CGT99" s="798"/>
      <c r="CGU99" s="798"/>
      <c r="CGV99" s="798"/>
      <c r="CGW99" s="798"/>
      <c r="CGX99" s="798"/>
      <c r="CGY99" s="798"/>
      <c r="CGZ99" s="798"/>
      <c r="CHA99" s="798"/>
      <c r="CHB99" s="798"/>
      <c r="CHC99" s="798"/>
      <c r="CHD99" s="798"/>
      <c r="CHE99" s="798"/>
      <c r="CHF99" s="798"/>
      <c r="CHG99" s="798"/>
      <c r="CHH99" s="798"/>
      <c r="CHI99" s="798"/>
      <c r="CHJ99" s="798"/>
      <c r="CHK99" s="798"/>
      <c r="CHL99" s="798"/>
      <c r="CHM99" s="798"/>
      <c r="CHN99" s="798"/>
      <c r="CHO99" s="798"/>
      <c r="CHP99" s="798"/>
      <c r="CHQ99" s="798"/>
      <c r="CHR99" s="798"/>
      <c r="CHS99" s="798"/>
      <c r="CHT99" s="798"/>
      <c r="CHU99" s="798"/>
      <c r="CHV99" s="798"/>
      <c r="CHW99" s="798"/>
      <c r="CHX99" s="798"/>
      <c r="CHY99" s="798"/>
      <c r="CHZ99" s="798"/>
      <c r="CIA99" s="798"/>
      <c r="CIB99" s="798"/>
      <c r="CIC99" s="798"/>
      <c r="CID99" s="798"/>
      <c r="CIE99" s="798"/>
      <c r="CIF99" s="798"/>
      <c r="CIG99" s="798"/>
      <c r="CIH99" s="798"/>
      <c r="CII99" s="798"/>
      <c r="CIJ99" s="798"/>
      <c r="CIK99" s="798"/>
      <c r="CIL99" s="798"/>
      <c r="CIM99" s="798"/>
      <c r="CIN99" s="798"/>
      <c r="CIO99" s="798"/>
      <c r="CIP99" s="798"/>
      <c r="CIQ99" s="798"/>
      <c r="CIR99" s="798"/>
      <c r="CIS99" s="798"/>
      <c r="CIT99" s="798"/>
      <c r="CIU99" s="798"/>
      <c r="CIV99" s="798"/>
      <c r="CIW99" s="798"/>
      <c r="CIX99" s="798"/>
      <c r="CIY99" s="798"/>
      <c r="CIZ99" s="798"/>
      <c r="CJA99" s="798"/>
      <c r="CJB99" s="798"/>
      <c r="CJC99" s="798"/>
      <c r="CJD99" s="798"/>
      <c r="CJE99" s="798"/>
      <c r="CJF99" s="798"/>
      <c r="CJG99" s="798"/>
      <c r="CJH99" s="798"/>
      <c r="CJI99" s="798"/>
      <c r="CJJ99" s="798"/>
      <c r="CJK99" s="798"/>
      <c r="CJL99" s="798"/>
      <c r="CJM99" s="798"/>
      <c r="CJN99" s="798"/>
      <c r="CJO99" s="798"/>
      <c r="CJP99" s="798"/>
      <c r="CJQ99" s="798"/>
      <c r="CJR99" s="798"/>
      <c r="CJS99" s="798"/>
      <c r="CJT99" s="798"/>
      <c r="CJU99" s="798"/>
      <c r="CJV99" s="798"/>
      <c r="CJW99" s="798"/>
      <c r="CJX99" s="798"/>
      <c r="CJY99" s="798"/>
      <c r="CJZ99" s="798"/>
      <c r="CKA99" s="798"/>
      <c r="CKB99" s="798"/>
      <c r="CKC99" s="798"/>
      <c r="CKD99" s="798"/>
      <c r="CKE99" s="798"/>
      <c r="CKF99" s="798"/>
      <c r="CKG99" s="798"/>
      <c r="CKH99" s="798"/>
      <c r="CKI99" s="798"/>
      <c r="CKJ99" s="798"/>
      <c r="CKK99" s="798"/>
      <c r="CKL99" s="798"/>
      <c r="CKM99" s="798"/>
      <c r="CKN99" s="798"/>
      <c r="CKO99" s="798"/>
      <c r="CKP99" s="798"/>
      <c r="CKQ99" s="798"/>
      <c r="CKR99" s="798"/>
      <c r="CKS99" s="798"/>
      <c r="CKT99" s="798"/>
      <c r="CKU99" s="798"/>
      <c r="CKV99" s="798"/>
      <c r="CKW99" s="798"/>
      <c r="CKX99" s="798"/>
      <c r="CKY99" s="798"/>
      <c r="CKZ99" s="798"/>
      <c r="CLA99" s="798"/>
      <c r="CLB99" s="798"/>
      <c r="CLC99" s="798"/>
      <c r="CLD99" s="798"/>
      <c r="CLE99" s="798"/>
      <c r="CLF99" s="798"/>
      <c r="CLG99" s="798"/>
      <c r="CLH99" s="798"/>
      <c r="CLI99" s="798"/>
      <c r="CLJ99" s="798"/>
      <c r="CLK99" s="798"/>
      <c r="CLL99" s="798"/>
      <c r="CLM99" s="798"/>
      <c r="CLN99" s="798"/>
      <c r="CLO99" s="798"/>
      <c r="CLP99" s="798"/>
      <c r="CLQ99" s="798"/>
      <c r="CLR99" s="798"/>
      <c r="CLS99" s="798"/>
      <c r="CLT99" s="798"/>
      <c r="CLU99" s="798"/>
      <c r="CLV99" s="798"/>
      <c r="CLW99" s="798"/>
      <c r="CLX99" s="798"/>
      <c r="CLY99" s="798"/>
      <c r="CLZ99" s="798"/>
      <c r="CMA99" s="798"/>
      <c r="CMB99" s="798"/>
      <c r="CMC99" s="798"/>
      <c r="CMD99" s="798"/>
      <c r="CME99" s="798"/>
      <c r="CMF99" s="798"/>
      <c r="CMG99" s="798"/>
      <c r="CMH99" s="798"/>
      <c r="CMI99" s="798"/>
      <c r="CMJ99" s="798"/>
      <c r="CMK99" s="798"/>
      <c r="CML99" s="798"/>
      <c r="CMM99" s="798"/>
      <c r="CMN99" s="798"/>
      <c r="CMO99" s="798"/>
      <c r="CMP99" s="798"/>
      <c r="CMQ99" s="798"/>
      <c r="CMR99" s="798"/>
      <c r="CMS99" s="798"/>
      <c r="CMT99" s="798"/>
      <c r="CMU99" s="798"/>
      <c r="CMV99" s="798"/>
      <c r="CMW99" s="798"/>
      <c r="CMX99" s="798"/>
      <c r="CMY99" s="798"/>
      <c r="CMZ99" s="798"/>
      <c r="CNA99" s="798"/>
      <c r="CNB99" s="798"/>
      <c r="CNC99" s="798"/>
      <c r="CND99" s="798"/>
      <c r="CNE99" s="798"/>
      <c r="CNF99" s="798"/>
      <c r="CNG99" s="798"/>
      <c r="CNH99" s="798"/>
      <c r="CNI99" s="798"/>
      <c r="CNJ99" s="798"/>
      <c r="CNK99" s="798"/>
      <c r="CNL99" s="798"/>
      <c r="CNM99" s="798"/>
      <c r="CNN99" s="798"/>
      <c r="CNO99" s="798"/>
      <c r="CNP99" s="798"/>
      <c r="CNQ99" s="798"/>
      <c r="CNR99" s="798"/>
      <c r="CNS99" s="798"/>
      <c r="CNT99" s="798"/>
      <c r="CNU99" s="798"/>
      <c r="CNV99" s="798"/>
      <c r="CNW99" s="798"/>
      <c r="CNX99" s="798"/>
      <c r="CNY99" s="798"/>
      <c r="CNZ99" s="798"/>
      <c r="COA99" s="798"/>
      <c r="COB99" s="798"/>
      <c r="COC99" s="798"/>
      <c r="COD99" s="798"/>
      <c r="COE99" s="798"/>
      <c r="COF99" s="798"/>
      <c r="COG99" s="798"/>
      <c r="COH99" s="798"/>
      <c r="COI99" s="798"/>
      <c r="COJ99" s="798"/>
      <c r="COK99" s="798"/>
      <c r="COL99" s="798"/>
      <c r="COM99" s="798"/>
      <c r="CON99" s="798"/>
      <c r="COO99" s="798"/>
      <c r="COP99" s="798"/>
      <c r="COQ99" s="798"/>
      <c r="COR99" s="798"/>
      <c r="COS99" s="798"/>
      <c r="COT99" s="798"/>
      <c r="COU99" s="798"/>
      <c r="COV99" s="798"/>
      <c r="COW99" s="798"/>
      <c r="COX99" s="798"/>
      <c r="COY99" s="798"/>
      <c r="COZ99" s="798"/>
      <c r="CPA99" s="798"/>
      <c r="CPB99" s="798"/>
      <c r="CPC99" s="798"/>
      <c r="CPD99" s="798"/>
      <c r="CPE99" s="798"/>
      <c r="CPF99" s="798"/>
      <c r="CPG99" s="798"/>
      <c r="CPH99" s="798"/>
      <c r="CPI99" s="798"/>
      <c r="CPJ99" s="798"/>
      <c r="CPK99" s="798"/>
      <c r="CPL99" s="798"/>
      <c r="CPM99" s="798"/>
      <c r="CPN99" s="798"/>
      <c r="CPO99" s="798"/>
      <c r="CPP99" s="798"/>
      <c r="CPQ99" s="798"/>
      <c r="CPR99" s="798"/>
      <c r="CPS99" s="798"/>
      <c r="CPT99" s="798"/>
      <c r="CPU99" s="798"/>
      <c r="CPV99" s="798"/>
      <c r="CPW99" s="798"/>
      <c r="CPX99" s="798"/>
      <c r="CPY99" s="798"/>
      <c r="CPZ99" s="798"/>
      <c r="CQA99" s="798"/>
      <c r="CQB99" s="798"/>
      <c r="CQC99" s="798"/>
      <c r="CQD99" s="798"/>
      <c r="CQE99" s="798"/>
      <c r="CQF99" s="798"/>
      <c r="CQG99" s="798"/>
      <c r="CQH99" s="798"/>
      <c r="CQI99" s="798"/>
      <c r="CQJ99" s="798"/>
      <c r="CQK99" s="798"/>
      <c r="CQL99" s="798"/>
      <c r="CQM99" s="798"/>
      <c r="CQN99" s="798"/>
      <c r="CQO99" s="798"/>
      <c r="CQP99" s="798"/>
      <c r="CQQ99" s="798"/>
      <c r="CQR99" s="798"/>
      <c r="CQS99" s="798"/>
      <c r="CQT99" s="798"/>
      <c r="CQU99" s="798"/>
      <c r="CQV99" s="798"/>
      <c r="CQW99" s="798"/>
      <c r="CQX99" s="798"/>
      <c r="CQY99" s="798"/>
      <c r="CQZ99" s="798"/>
      <c r="CRA99" s="798"/>
      <c r="CRB99" s="798"/>
      <c r="CRC99" s="798"/>
      <c r="CRD99" s="798"/>
      <c r="CRE99" s="798"/>
      <c r="CRF99" s="798"/>
      <c r="CRG99" s="798"/>
      <c r="CRH99" s="798"/>
      <c r="CRI99" s="798"/>
      <c r="CRJ99" s="798"/>
      <c r="CRK99" s="798"/>
      <c r="CRL99" s="798"/>
      <c r="CRM99" s="798"/>
      <c r="CRN99" s="798"/>
      <c r="CRO99" s="798"/>
      <c r="CRP99" s="798"/>
      <c r="CRQ99" s="798"/>
      <c r="CRR99" s="798"/>
      <c r="CRS99" s="798"/>
      <c r="CRT99" s="798"/>
      <c r="CRU99" s="798"/>
      <c r="CRV99" s="798"/>
      <c r="CRW99" s="798"/>
      <c r="CRX99" s="798"/>
      <c r="CRY99" s="798"/>
      <c r="CRZ99" s="798"/>
      <c r="CSA99" s="798"/>
      <c r="CSB99" s="798"/>
      <c r="CSC99" s="798"/>
      <c r="CSD99" s="798"/>
      <c r="CSE99" s="798"/>
      <c r="CSF99" s="798"/>
      <c r="CSG99" s="798"/>
      <c r="CSH99" s="798"/>
      <c r="CSI99" s="798"/>
      <c r="CSJ99" s="798"/>
      <c r="CSK99" s="798"/>
      <c r="CSL99" s="798"/>
      <c r="CSM99" s="798"/>
      <c r="CSN99" s="798"/>
      <c r="CSO99" s="798"/>
      <c r="CSP99" s="798"/>
      <c r="CSQ99" s="798"/>
      <c r="CSR99" s="798"/>
      <c r="CSS99" s="798"/>
      <c r="CST99" s="798"/>
      <c r="CSU99" s="798"/>
      <c r="CSV99" s="798"/>
      <c r="CSW99" s="798"/>
      <c r="CSX99" s="798"/>
      <c r="CSY99" s="798"/>
      <c r="CSZ99" s="798"/>
      <c r="CTA99" s="798"/>
      <c r="CTB99" s="798"/>
      <c r="CTC99" s="798"/>
      <c r="CTD99" s="798"/>
      <c r="CTE99" s="798"/>
      <c r="CTF99" s="798"/>
      <c r="CTG99" s="798"/>
      <c r="CTH99" s="798"/>
      <c r="CTI99" s="798"/>
      <c r="CTJ99" s="798"/>
      <c r="CTK99" s="798"/>
      <c r="CTL99" s="798"/>
      <c r="CTM99" s="798"/>
      <c r="CTN99" s="798"/>
      <c r="CTO99" s="798"/>
      <c r="CTP99" s="798"/>
      <c r="CTQ99" s="798"/>
      <c r="CTR99" s="798"/>
      <c r="CTS99" s="798"/>
      <c r="CTT99" s="798"/>
      <c r="CTU99" s="798"/>
      <c r="CTV99" s="798"/>
      <c r="CTW99" s="798"/>
      <c r="CTX99" s="798"/>
      <c r="CTY99" s="798"/>
      <c r="CTZ99" s="798"/>
      <c r="CUA99" s="798"/>
      <c r="CUB99" s="798"/>
      <c r="CUC99" s="798"/>
      <c r="CUD99" s="798"/>
      <c r="CUE99" s="798"/>
      <c r="CUF99" s="798"/>
      <c r="CUG99" s="798"/>
      <c r="CUH99" s="798"/>
      <c r="CUI99" s="798"/>
      <c r="CUJ99" s="798"/>
      <c r="CUK99" s="798"/>
      <c r="CUL99" s="798"/>
      <c r="CUM99" s="798"/>
      <c r="CUN99" s="798"/>
      <c r="CUO99" s="798"/>
      <c r="CUP99" s="798"/>
      <c r="CUQ99" s="798"/>
      <c r="CUR99" s="798"/>
      <c r="CUS99" s="798"/>
      <c r="CUT99" s="798"/>
      <c r="CUU99" s="798"/>
      <c r="CUV99" s="798"/>
      <c r="CUW99" s="798"/>
      <c r="CUX99" s="798"/>
      <c r="CUY99" s="798"/>
      <c r="CUZ99" s="798"/>
      <c r="CVA99" s="798"/>
      <c r="CVB99" s="798"/>
      <c r="CVC99" s="798"/>
      <c r="CVD99" s="798"/>
      <c r="CVE99" s="798"/>
      <c r="CVF99" s="798"/>
      <c r="CVG99" s="798"/>
      <c r="CVH99" s="798"/>
      <c r="CVI99" s="798"/>
      <c r="CVJ99" s="798"/>
      <c r="CVK99" s="798"/>
      <c r="CVL99" s="798"/>
      <c r="CVM99" s="798"/>
      <c r="CVN99" s="798"/>
      <c r="CVO99" s="798"/>
      <c r="CVP99" s="798"/>
      <c r="CVQ99" s="798"/>
      <c r="CVR99" s="798"/>
      <c r="CVS99" s="798"/>
      <c r="CVT99" s="798"/>
      <c r="CVU99" s="798"/>
      <c r="CVV99" s="798"/>
      <c r="CVW99" s="798"/>
      <c r="CVX99" s="798"/>
      <c r="CVY99" s="798"/>
      <c r="CVZ99" s="798"/>
      <c r="CWA99" s="798"/>
      <c r="CWB99" s="798"/>
      <c r="CWC99" s="798"/>
      <c r="CWD99" s="798"/>
      <c r="CWE99" s="798"/>
      <c r="CWF99" s="798"/>
      <c r="CWG99" s="798"/>
      <c r="CWH99" s="798"/>
      <c r="CWI99" s="798"/>
      <c r="CWJ99" s="798"/>
      <c r="CWK99" s="798"/>
      <c r="CWL99" s="798"/>
      <c r="CWM99" s="798"/>
      <c r="CWN99" s="798"/>
      <c r="CWO99" s="798"/>
      <c r="CWP99" s="798"/>
      <c r="CWQ99" s="798"/>
      <c r="CWR99" s="798"/>
      <c r="CWS99" s="798"/>
      <c r="CWT99" s="798"/>
      <c r="CWU99" s="798"/>
      <c r="CWV99" s="798"/>
      <c r="CWW99" s="798"/>
      <c r="CWX99" s="798"/>
      <c r="CWY99" s="798"/>
      <c r="CWZ99" s="798"/>
      <c r="CXA99" s="798"/>
      <c r="CXB99" s="798"/>
      <c r="CXC99" s="798"/>
      <c r="CXD99" s="798"/>
      <c r="CXE99" s="798"/>
      <c r="CXF99" s="798"/>
      <c r="CXG99" s="798"/>
      <c r="CXH99" s="798"/>
      <c r="CXI99" s="798"/>
      <c r="CXJ99" s="798"/>
      <c r="CXK99" s="798"/>
      <c r="CXL99" s="798"/>
      <c r="CXM99" s="798"/>
      <c r="CXN99" s="798"/>
      <c r="CXO99" s="798"/>
      <c r="CXP99" s="798"/>
      <c r="CXQ99" s="798"/>
      <c r="CXR99" s="798"/>
      <c r="CXS99" s="798"/>
      <c r="CXT99" s="798"/>
      <c r="CXU99" s="798"/>
      <c r="CXV99" s="798"/>
      <c r="CXW99" s="798"/>
      <c r="CXX99" s="798"/>
      <c r="CXY99" s="798"/>
      <c r="CXZ99" s="798"/>
      <c r="CYA99" s="798"/>
      <c r="CYB99" s="798"/>
      <c r="CYC99" s="798"/>
      <c r="CYD99" s="798"/>
      <c r="CYE99" s="798"/>
      <c r="CYF99" s="798"/>
      <c r="CYG99" s="798"/>
      <c r="CYH99" s="798"/>
      <c r="CYI99" s="798"/>
      <c r="CYJ99" s="798"/>
      <c r="CYK99" s="798"/>
      <c r="CYL99" s="798"/>
      <c r="CYM99" s="798"/>
      <c r="CYN99" s="798"/>
      <c r="CYO99" s="798"/>
      <c r="CYP99" s="798"/>
      <c r="CYQ99" s="798"/>
      <c r="CYR99" s="798"/>
      <c r="CYS99" s="798"/>
      <c r="CYT99" s="798"/>
      <c r="CYU99" s="798"/>
      <c r="CYV99" s="798"/>
      <c r="CYW99" s="798"/>
      <c r="CYX99" s="798"/>
      <c r="CYY99" s="798"/>
      <c r="CYZ99" s="798"/>
      <c r="CZA99" s="798"/>
      <c r="CZB99" s="798"/>
      <c r="CZC99" s="798"/>
      <c r="CZD99" s="798"/>
      <c r="CZE99" s="798"/>
      <c r="CZF99" s="798"/>
      <c r="CZG99" s="798"/>
      <c r="CZH99" s="798"/>
      <c r="CZI99" s="798"/>
      <c r="CZJ99" s="798"/>
      <c r="CZK99" s="798"/>
      <c r="CZL99" s="798"/>
      <c r="CZM99" s="798"/>
      <c r="CZN99" s="798"/>
      <c r="CZO99" s="798"/>
      <c r="CZP99" s="798"/>
      <c r="CZQ99" s="798"/>
      <c r="CZR99" s="798"/>
      <c r="CZS99" s="798"/>
      <c r="CZT99" s="798"/>
      <c r="CZU99" s="798"/>
      <c r="CZV99" s="798"/>
      <c r="CZW99" s="798"/>
      <c r="CZX99" s="798"/>
      <c r="CZY99" s="798"/>
      <c r="CZZ99" s="798"/>
      <c r="DAA99" s="798"/>
      <c r="DAB99" s="798"/>
      <c r="DAC99" s="798"/>
      <c r="DAD99" s="798"/>
      <c r="DAE99" s="798"/>
      <c r="DAF99" s="798"/>
      <c r="DAG99" s="798"/>
      <c r="DAH99" s="798"/>
      <c r="DAI99" s="798"/>
      <c r="DAJ99" s="798"/>
      <c r="DAK99" s="798"/>
      <c r="DAL99" s="798"/>
      <c r="DAM99" s="798"/>
      <c r="DAN99" s="798"/>
      <c r="DAO99" s="798"/>
      <c r="DAP99" s="798"/>
      <c r="DAQ99" s="798"/>
      <c r="DAR99" s="798"/>
      <c r="DAS99" s="798"/>
      <c r="DAT99" s="798"/>
      <c r="DAU99" s="798"/>
      <c r="DAV99" s="798"/>
      <c r="DAW99" s="798"/>
      <c r="DAX99" s="798"/>
      <c r="DAY99" s="798"/>
      <c r="DAZ99" s="798"/>
      <c r="DBA99" s="798"/>
      <c r="DBB99" s="798"/>
      <c r="DBC99" s="798"/>
      <c r="DBD99" s="798"/>
      <c r="DBE99" s="798"/>
      <c r="DBF99" s="798"/>
      <c r="DBG99" s="798"/>
      <c r="DBH99" s="798"/>
      <c r="DBI99" s="798"/>
      <c r="DBJ99" s="798"/>
      <c r="DBK99" s="798"/>
      <c r="DBL99" s="798"/>
      <c r="DBM99" s="798"/>
      <c r="DBN99" s="798"/>
      <c r="DBO99" s="798"/>
      <c r="DBP99" s="798"/>
      <c r="DBQ99" s="798"/>
      <c r="DBR99" s="798"/>
      <c r="DBS99" s="798"/>
      <c r="DBT99" s="798"/>
      <c r="DBU99" s="798"/>
      <c r="DBV99" s="798"/>
      <c r="DBW99" s="798"/>
      <c r="DBX99" s="798"/>
      <c r="DBY99" s="798"/>
      <c r="DBZ99" s="798"/>
      <c r="DCA99" s="798"/>
      <c r="DCB99" s="798"/>
      <c r="DCC99" s="798"/>
      <c r="DCD99" s="798"/>
      <c r="DCE99" s="798"/>
      <c r="DCF99" s="798"/>
      <c r="DCG99" s="798"/>
      <c r="DCH99" s="798"/>
      <c r="DCI99" s="798"/>
      <c r="DCJ99" s="798"/>
      <c r="DCK99" s="798"/>
      <c r="DCL99" s="798"/>
      <c r="DCM99" s="798"/>
      <c r="DCN99" s="798"/>
      <c r="DCO99" s="798"/>
      <c r="DCP99" s="798"/>
      <c r="DCQ99" s="798"/>
      <c r="DCR99" s="798"/>
      <c r="DCS99" s="798"/>
      <c r="DCT99" s="798"/>
      <c r="DCU99" s="798"/>
      <c r="DCV99" s="798"/>
      <c r="DCW99" s="798"/>
      <c r="DCX99" s="798"/>
      <c r="DCY99" s="798"/>
      <c r="DCZ99" s="798"/>
      <c r="DDA99" s="798"/>
      <c r="DDB99" s="798"/>
      <c r="DDC99" s="798"/>
      <c r="DDD99" s="798"/>
      <c r="DDE99" s="798"/>
      <c r="DDF99" s="798"/>
      <c r="DDG99" s="798"/>
      <c r="DDH99" s="798"/>
      <c r="DDI99" s="798"/>
      <c r="DDJ99" s="798"/>
      <c r="DDK99" s="798"/>
      <c r="DDL99" s="798"/>
      <c r="DDM99" s="798"/>
      <c r="DDN99" s="798"/>
      <c r="DDO99" s="798"/>
      <c r="DDP99" s="798"/>
      <c r="DDQ99" s="798"/>
      <c r="DDR99" s="798"/>
      <c r="DDS99" s="798"/>
      <c r="DDT99" s="798"/>
      <c r="DDU99" s="798"/>
      <c r="DDV99" s="798"/>
      <c r="DDW99" s="798"/>
      <c r="DDX99" s="798"/>
      <c r="DDY99" s="798"/>
      <c r="DDZ99" s="798"/>
      <c r="DEA99" s="798"/>
      <c r="DEB99" s="798"/>
      <c r="DEC99" s="798"/>
      <c r="DED99" s="798"/>
      <c r="DEE99" s="798"/>
      <c r="DEF99" s="798"/>
      <c r="DEG99" s="798"/>
      <c r="DEH99" s="798"/>
      <c r="DEI99" s="798"/>
      <c r="DEJ99" s="798"/>
      <c r="DEK99" s="798"/>
      <c r="DEL99" s="798"/>
      <c r="DEM99" s="798"/>
      <c r="DEN99" s="798"/>
      <c r="DEO99" s="798"/>
      <c r="DEP99" s="798"/>
      <c r="DEQ99" s="798"/>
      <c r="DER99" s="798"/>
      <c r="DES99" s="798"/>
      <c r="DET99" s="798"/>
      <c r="DEU99" s="798"/>
      <c r="DEV99" s="798"/>
      <c r="DEW99" s="798"/>
      <c r="DEX99" s="798"/>
      <c r="DEY99" s="798"/>
      <c r="DEZ99" s="798"/>
      <c r="DFA99" s="798"/>
      <c r="DFB99" s="798"/>
      <c r="DFC99" s="798"/>
      <c r="DFD99" s="798"/>
      <c r="DFE99" s="798"/>
      <c r="DFF99" s="798"/>
      <c r="DFG99" s="798"/>
      <c r="DFH99" s="798"/>
      <c r="DFI99" s="798"/>
      <c r="DFJ99" s="798"/>
      <c r="DFK99" s="798"/>
      <c r="DFL99" s="798"/>
      <c r="DFM99" s="798"/>
      <c r="DFN99" s="798"/>
      <c r="DFO99" s="798"/>
      <c r="DFP99" s="798"/>
      <c r="DFQ99" s="798"/>
      <c r="DFR99" s="798"/>
      <c r="DFS99" s="798"/>
      <c r="DFT99" s="798"/>
      <c r="DFU99" s="798"/>
      <c r="DFV99" s="798"/>
      <c r="DFW99" s="798"/>
      <c r="DFX99" s="798"/>
      <c r="DFY99" s="798"/>
      <c r="DFZ99" s="798"/>
      <c r="DGA99" s="798"/>
      <c r="DGB99" s="798"/>
      <c r="DGC99" s="798"/>
      <c r="DGD99" s="798"/>
      <c r="DGE99" s="798"/>
      <c r="DGF99" s="798"/>
      <c r="DGG99" s="798"/>
      <c r="DGH99" s="798"/>
      <c r="DGI99" s="798"/>
      <c r="DGJ99" s="798"/>
      <c r="DGK99" s="798"/>
      <c r="DGL99" s="798"/>
      <c r="DGM99" s="798"/>
      <c r="DGN99" s="798"/>
      <c r="DGO99" s="798"/>
      <c r="DGP99" s="798"/>
      <c r="DGQ99" s="798"/>
      <c r="DGR99" s="798"/>
      <c r="DGS99" s="798"/>
      <c r="DGT99" s="798"/>
      <c r="DGU99" s="798"/>
      <c r="DGV99" s="798"/>
      <c r="DGW99" s="798"/>
      <c r="DGX99" s="798"/>
      <c r="DGY99" s="798"/>
      <c r="DGZ99" s="798"/>
      <c r="DHA99" s="798"/>
      <c r="DHB99" s="798"/>
      <c r="DHC99" s="798"/>
      <c r="DHD99" s="798"/>
      <c r="DHE99" s="798"/>
      <c r="DHF99" s="798"/>
      <c r="DHG99" s="798"/>
      <c r="DHH99" s="798"/>
      <c r="DHI99" s="798"/>
      <c r="DHJ99" s="798"/>
      <c r="DHK99" s="798"/>
      <c r="DHL99" s="798"/>
      <c r="DHM99" s="798"/>
      <c r="DHN99" s="798"/>
      <c r="DHO99" s="798"/>
      <c r="DHP99" s="798"/>
      <c r="DHQ99" s="798"/>
      <c r="DHR99" s="798"/>
      <c r="DHS99" s="798"/>
      <c r="DHT99" s="798"/>
      <c r="DHU99" s="798"/>
      <c r="DHV99" s="798"/>
      <c r="DHW99" s="798"/>
      <c r="DHX99" s="798"/>
      <c r="DHY99" s="798"/>
      <c r="DHZ99" s="798"/>
      <c r="DIA99" s="798"/>
      <c r="DIB99" s="798"/>
      <c r="DIC99" s="798"/>
      <c r="DID99" s="798"/>
      <c r="DIE99" s="798"/>
      <c r="DIF99" s="798"/>
      <c r="DIG99" s="798"/>
      <c r="DIH99" s="798"/>
      <c r="DII99" s="798"/>
      <c r="DIJ99" s="798"/>
      <c r="DIK99" s="798"/>
      <c r="DIL99" s="798"/>
      <c r="DIM99" s="798"/>
      <c r="DIN99" s="798"/>
      <c r="DIO99" s="798"/>
      <c r="DIP99" s="798"/>
      <c r="DIQ99" s="798"/>
      <c r="DIR99" s="798"/>
      <c r="DIS99" s="798"/>
      <c r="DIT99" s="798"/>
      <c r="DIU99" s="798"/>
      <c r="DIV99" s="798"/>
      <c r="DIW99" s="798"/>
      <c r="DIX99" s="798"/>
      <c r="DIY99" s="798"/>
      <c r="DIZ99" s="798"/>
      <c r="DJA99" s="798"/>
      <c r="DJB99" s="798"/>
      <c r="DJC99" s="798"/>
      <c r="DJD99" s="798"/>
      <c r="DJE99" s="798"/>
      <c r="DJF99" s="798"/>
      <c r="DJG99" s="798"/>
      <c r="DJH99" s="798"/>
      <c r="DJI99" s="798"/>
      <c r="DJJ99" s="798"/>
      <c r="DJK99" s="798"/>
      <c r="DJL99" s="798"/>
      <c r="DJM99" s="798"/>
      <c r="DJN99" s="798"/>
      <c r="DJO99" s="798"/>
      <c r="DJP99" s="798"/>
      <c r="DJQ99" s="798"/>
      <c r="DJR99" s="798"/>
      <c r="DJS99" s="798"/>
      <c r="DJT99" s="798"/>
      <c r="DJU99" s="798"/>
      <c r="DJV99" s="798"/>
      <c r="DJW99" s="798"/>
      <c r="DJX99" s="798"/>
      <c r="DJY99" s="798"/>
      <c r="DJZ99" s="798"/>
      <c r="DKA99" s="798"/>
      <c r="DKB99" s="798"/>
      <c r="DKC99" s="798"/>
      <c r="DKD99" s="798"/>
      <c r="DKE99" s="798"/>
      <c r="DKF99" s="798"/>
      <c r="DKG99" s="798"/>
      <c r="DKH99" s="798"/>
      <c r="DKI99" s="798"/>
      <c r="DKJ99" s="798"/>
      <c r="DKK99" s="798"/>
      <c r="DKL99" s="798"/>
      <c r="DKM99" s="798"/>
      <c r="DKN99" s="798"/>
      <c r="DKO99" s="798"/>
      <c r="DKP99" s="798"/>
      <c r="DKQ99" s="798"/>
      <c r="DKR99" s="798"/>
      <c r="DKS99" s="798"/>
      <c r="DKT99" s="798"/>
      <c r="DKU99" s="798"/>
      <c r="DKV99" s="798"/>
      <c r="DKW99" s="798"/>
      <c r="DKX99" s="798"/>
      <c r="DKY99" s="798"/>
      <c r="DKZ99" s="798"/>
      <c r="DLA99" s="798"/>
      <c r="DLB99" s="798"/>
      <c r="DLC99" s="798"/>
      <c r="DLD99" s="798"/>
      <c r="DLE99" s="798"/>
      <c r="DLF99" s="798"/>
      <c r="DLG99" s="798"/>
      <c r="DLH99" s="798"/>
      <c r="DLI99" s="798"/>
      <c r="DLJ99" s="798"/>
      <c r="DLK99" s="798"/>
      <c r="DLL99" s="798"/>
      <c r="DLM99" s="798"/>
      <c r="DLN99" s="798"/>
      <c r="DLO99" s="798"/>
      <c r="DLP99" s="798"/>
      <c r="DLQ99" s="798"/>
      <c r="DLR99" s="798"/>
      <c r="DLS99" s="798"/>
      <c r="DLT99" s="798"/>
      <c r="DLU99" s="798"/>
      <c r="DLV99" s="798"/>
      <c r="DLW99" s="798"/>
      <c r="DLX99" s="798"/>
      <c r="DLY99" s="798"/>
      <c r="DLZ99" s="798"/>
      <c r="DMA99" s="798"/>
      <c r="DMB99" s="798"/>
      <c r="DMC99" s="798"/>
      <c r="DMD99" s="798"/>
      <c r="DME99" s="798"/>
      <c r="DMF99" s="798"/>
      <c r="DMG99" s="798"/>
      <c r="DMH99" s="798"/>
      <c r="DMI99" s="798"/>
      <c r="DMJ99" s="798"/>
      <c r="DMK99" s="798"/>
      <c r="DML99" s="798"/>
      <c r="DMM99" s="798"/>
      <c r="DMN99" s="798"/>
      <c r="DMO99" s="798"/>
      <c r="DMP99" s="798"/>
      <c r="DMQ99" s="798"/>
      <c r="DMR99" s="798"/>
      <c r="DMS99" s="798"/>
      <c r="DMT99" s="798"/>
      <c r="DMU99" s="798"/>
      <c r="DMV99" s="798"/>
      <c r="DMW99" s="798"/>
      <c r="DMX99" s="798"/>
      <c r="DMY99" s="798"/>
      <c r="DMZ99" s="798"/>
      <c r="DNA99" s="798"/>
      <c r="DNB99" s="798"/>
      <c r="DNC99" s="798"/>
      <c r="DND99" s="798"/>
      <c r="DNE99" s="798"/>
      <c r="DNF99" s="798"/>
      <c r="DNG99" s="798"/>
      <c r="DNH99" s="798"/>
      <c r="DNI99" s="798"/>
      <c r="DNJ99" s="798"/>
      <c r="DNK99" s="798"/>
      <c r="DNL99" s="798"/>
      <c r="DNM99" s="798"/>
      <c r="DNN99" s="798"/>
      <c r="DNO99" s="798"/>
      <c r="DNP99" s="798"/>
      <c r="DNQ99" s="798"/>
      <c r="DNR99" s="798"/>
      <c r="DNS99" s="798"/>
      <c r="DNT99" s="798"/>
      <c r="DNU99" s="798"/>
      <c r="DNV99" s="798"/>
      <c r="DNW99" s="798"/>
      <c r="DNX99" s="798"/>
      <c r="DNY99" s="798"/>
      <c r="DNZ99" s="798"/>
      <c r="DOA99" s="798"/>
      <c r="DOB99" s="798"/>
      <c r="DOC99" s="798"/>
      <c r="DOD99" s="798"/>
      <c r="DOE99" s="798"/>
      <c r="DOF99" s="798"/>
      <c r="DOG99" s="798"/>
      <c r="DOH99" s="798"/>
      <c r="DOI99" s="798"/>
      <c r="DOJ99" s="798"/>
      <c r="DOK99" s="798"/>
      <c r="DOL99" s="798"/>
      <c r="DOM99" s="798"/>
      <c r="DON99" s="798"/>
      <c r="DOO99" s="798"/>
      <c r="DOP99" s="798"/>
      <c r="DOQ99" s="798"/>
      <c r="DOR99" s="798"/>
      <c r="DOS99" s="798"/>
      <c r="DOT99" s="798"/>
      <c r="DOU99" s="798"/>
      <c r="DOV99" s="798"/>
      <c r="DOW99" s="798"/>
      <c r="DOX99" s="798"/>
      <c r="DOY99" s="798"/>
      <c r="DOZ99" s="798"/>
      <c r="DPA99" s="798"/>
      <c r="DPB99" s="798"/>
      <c r="DPC99" s="798"/>
      <c r="DPD99" s="798"/>
      <c r="DPE99" s="798"/>
      <c r="DPF99" s="798"/>
      <c r="DPG99" s="798"/>
      <c r="DPH99" s="798"/>
      <c r="DPI99" s="798"/>
      <c r="DPJ99" s="798"/>
      <c r="DPK99" s="798"/>
      <c r="DPL99" s="798"/>
      <c r="DPM99" s="798"/>
      <c r="DPN99" s="798"/>
      <c r="DPO99" s="798"/>
      <c r="DPP99" s="798"/>
      <c r="DPQ99" s="798"/>
      <c r="DPR99" s="798"/>
      <c r="DPS99" s="798"/>
      <c r="DPT99" s="798"/>
      <c r="DPU99" s="798"/>
      <c r="DPV99" s="798"/>
      <c r="DPW99" s="798"/>
      <c r="DPX99" s="798"/>
      <c r="DPY99" s="798"/>
      <c r="DPZ99" s="798"/>
      <c r="DQA99" s="798"/>
      <c r="DQB99" s="798"/>
      <c r="DQC99" s="798"/>
      <c r="DQD99" s="798"/>
      <c r="DQE99" s="798"/>
      <c r="DQF99" s="798"/>
      <c r="DQG99" s="798"/>
      <c r="DQH99" s="798"/>
      <c r="DQI99" s="798"/>
      <c r="DQJ99" s="798"/>
      <c r="DQK99" s="798"/>
      <c r="DQL99" s="798"/>
      <c r="DQM99" s="798"/>
      <c r="DQN99" s="798"/>
      <c r="DQO99" s="798"/>
      <c r="DQP99" s="798"/>
      <c r="DQQ99" s="798"/>
      <c r="DQR99" s="798"/>
      <c r="DQS99" s="798"/>
      <c r="DQT99" s="798"/>
      <c r="DQU99" s="798"/>
      <c r="DQV99" s="798"/>
      <c r="DQW99" s="798"/>
      <c r="DQX99" s="798"/>
      <c r="DQY99" s="798"/>
      <c r="DQZ99" s="798"/>
      <c r="DRA99" s="798"/>
      <c r="DRB99" s="798"/>
      <c r="DRC99" s="798"/>
      <c r="DRD99" s="798"/>
      <c r="DRE99" s="798"/>
      <c r="DRF99" s="798"/>
      <c r="DRG99" s="798"/>
      <c r="DRH99" s="798"/>
      <c r="DRI99" s="798"/>
      <c r="DRJ99" s="798"/>
      <c r="DRK99" s="798"/>
      <c r="DRL99" s="798"/>
      <c r="DRM99" s="798"/>
      <c r="DRN99" s="798"/>
      <c r="DRO99" s="798"/>
      <c r="DRP99" s="798"/>
      <c r="DRQ99" s="798"/>
      <c r="DRR99" s="798"/>
      <c r="DRS99" s="798"/>
      <c r="DRT99" s="798"/>
      <c r="DRU99" s="798"/>
      <c r="DRV99" s="798"/>
      <c r="DRW99" s="798"/>
      <c r="DRX99" s="798"/>
      <c r="DRY99" s="798"/>
      <c r="DRZ99" s="798"/>
      <c r="DSA99" s="798"/>
      <c r="DSB99" s="798"/>
      <c r="DSC99" s="798"/>
      <c r="DSD99" s="798"/>
      <c r="DSE99" s="798"/>
      <c r="DSF99" s="798"/>
      <c r="DSG99" s="798"/>
      <c r="DSH99" s="798"/>
      <c r="DSI99" s="798"/>
      <c r="DSJ99" s="798"/>
      <c r="DSK99" s="798"/>
      <c r="DSL99" s="798"/>
      <c r="DSM99" s="798"/>
      <c r="DSN99" s="798"/>
      <c r="DSO99" s="798"/>
      <c r="DSP99" s="798"/>
      <c r="DSQ99" s="798"/>
      <c r="DSR99" s="798"/>
      <c r="DSS99" s="798"/>
      <c r="DST99" s="798"/>
      <c r="DSU99" s="798"/>
      <c r="DSV99" s="798"/>
      <c r="DSW99" s="798"/>
      <c r="DSX99" s="798"/>
      <c r="DSY99" s="798"/>
      <c r="DSZ99" s="798"/>
      <c r="DTA99" s="798"/>
      <c r="DTB99" s="798"/>
      <c r="DTC99" s="798"/>
      <c r="DTD99" s="798"/>
      <c r="DTE99" s="798"/>
      <c r="DTF99" s="798"/>
      <c r="DTG99" s="798"/>
      <c r="DTH99" s="798"/>
      <c r="DTI99" s="798"/>
      <c r="DTJ99" s="798"/>
      <c r="DTK99" s="798"/>
      <c r="DTL99" s="798"/>
      <c r="DTM99" s="798"/>
      <c r="DTN99" s="798"/>
      <c r="DTO99" s="798"/>
      <c r="DTP99" s="798"/>
      <c r="DTQ99" s="798"/>
      <c r="DTR99" s="798"/>
      <c r="DTS99" s="798"/>
      <c r="DTT99" s="798"/>
      <c r="DTU99" s="798"/>
      <c r="DTV99" s="798"/>
      <c r="DTW99" s="798"/>
      <c r="DTX99" s="798"/>
      <c r="DTY99" s="798"/>
      <c r="DTZ99" s="798"/>
      <c r="DUA99" s="798"/>
      <c r="DUB99" s="798"/>
      <c r="DUC99" s="798"/>
      <c r="DUD99" s="798"/>
      <c r="DUE99" s="798"/>
      <c r="DUF99" s="798"/>
      <c r="DUG99" s="798"/>
      <c r="DUH99" s="798"/>
      <c r="DUI99" s="798"/>
      <c r="DUJ99" s="798"/>
      <c r="DUK99" s="798"/>
      <c r="DUL99" s="798"/>
      <c r="DUM99" s="798"/>
      <c r="DUN99" s="798"/>
      <c r="DUO99" s="798"/>
      <c r="DUP99" s="798"/>
      <c r="DUQ99" s="798"/>
      <c r="DUR99" s="798"/>
      <c r="DUS99" s="798"/>
      <c r="DUT99" s="798"/>
      <c r="DUU99" s="798"/>
      <c r="DUV99" s="798"/>
      <c r="DUW99" s="798"/>
      <c r="DUX99" s="798"/>
      <c r="DUY99" s="798"/>
      <c r="DUZ99" s="798"/>
      <c r="DVA99" s="798"/>
      <c r="DVB99" s="798"/>
      <c r="DVC99" s="798"/>
      <c r="DVD99" s="798"/>
      <c r="DVE99" s="798"/>
      <c r="DVF99" s="798"/>
      <c r="DVG99" s="798"/>
      <c r="DVH99" s="798"/>
      <c r="DVI99" s="798"/>
      <c r="DVJ99" s="798"/>
      <c r="DVK99" s="798"/>
      <c r="DVL99" s="798"/>
      <c r="DVM99" s="798"/>
      <c r="DVN99" s="798"/>
      <c r="DVO99" s="798"/>
      <c r="DVP99" s="798"/>
      <c r="DVQ99" s="798"/>
      <c r="DVR99" s="798"/>
      <c r="DVS99" s="798"/>
      <c r="DVT99" s="798"/>
      <c r="DVU99" s="798"/>
      <c r="DVV99" s="798"/>
      <c r="DVW99" s="798"/>
      <c r="DVX99" s="798"/>
      <c r="DVY99" s="798"/>
      <c r="DVZ99" s="798"/>
      <c r="DWA99" s="798"/>
      <c r="DWB99" s="798"/>
      <c r="DWC99" s="798"/>
      <c r="DWD99" s="798"/>
      <c r="DWE99" s="798"/>
      <c r="DWF99" s="798"/>
      <c r="DWG99" s="798"/>
      <c r="DWH99" s="798"/>
      <c r="DWI99" s="798"/>
      <c r="DWJ99" s="798"/>
      <c r="DWK99" s="798"/>
      <c r="DWL99" s="798"/>
      <c r="DWM99" s="798"/>
      <c r="DWN99" s="798"/>
      <c r="DWO99" s="798"/>
      <c r="DWP99" s="798"/>
      <c r="DWQ99" s="798"/>
      <c r="DWR99" s="798"/>
      <c r="DWS99" s="798"/>
      <c r="DWT99" s="798"/>
      <c r="DWU99" s="798"/>
      <c r="DWV99" s="798"/>
      <c r="DWW99" s="798"/>
      <c r="DWX99" s="798"/>
      <c r="DWY99" s="798"/>
      <c r="DWZ99" s="798"/>
      <c r="DXA99" s="798"/>
      <c r="DXB99" s="798"/>
      <c r="DXC99" s="798"/>
      <c r="DXD99" s="798"/>
      <c r="DXE99" s="798"/>
      <c r="DXF99" s="798"/>
      <c r="DXG99" s="798"/>
      <c r="DXH99" s="798"/>
      <c r="DXI99" s="798"/>
      <c r="DXJ99" s="798"/>
      <c r="DXK99" s="798"/>
      <c r="DXL99" s="798"/>
      <c r="DXM99" s="798"/>
      <c r="DXN99" s="798"/>
      <c r="DXO99" s="798"/>
      <c r="DXP99" s="798"/>
      <c r="DXQ99" s="798"/>
      <c r="DXR99" s="798"/>
      <c r="DXS99" s="798"/>
      <c r="DXT99" s="798"/>
      <c r="DXU99" s="798"/>
      <c r="DXV99" s="798"/>
      <c r="DXW99" s="798"/>
      <c r="DXX99" s="798"/>
      <c r="DXY99" s="798"/>
      <c r="DXZ99" s="798"/>
      <c r="DYA99" s="798"/>
      <c r="DYB99" s="798"/>
      <c r="DYC99" s="798"/>
      <c r="DYD99" s="798"/>
      <c r="DYE99" s="798"/>
      <c r="DYF99" s="798"/>
      <c r="DYG99" s="798"/>
      <c r="DYH99" s="798"/>
      <c r="DYI99" s="798"/>
      <c r="DYJ99" s="798"/>
      <c r="DYK99" s="798"/>
      <c r="DYL99" s="798"/>
      <c r="DYM99" s="798"/>
      <c r="DYN99" s="798"/>
      <c r="DYO99" s="798"/>
      <c r="DYP99" s="798"/>
      <c r="DYQ99" s="798"/>
      <c r="DYR99" s="798"/>
      <c r="DYS99" s="798"/>
      <c r="DYT99" s="798"/>
      <c r="DYU99" s="798"/>
      <c r="DYV99" s="798"/>
      <c r="DYW99" s="798"/>
      <c r="DYX99" s="798"/>
      <c r="DYY99" s="798"/>
      <c r="DYZ99" s="798"/>
      <c r="DZA99" s="798"/>
      <c r="DZB99" s="798"/>
      <c r="DZC99" s="798"/>
      <c r="DZD99" s="798"/>
      <c r="DZE99" s="798"/>
      <c r="DZF99" s="798"/>
      <c r="DZG99" s="798"/>
      <c r="DZH99" s="798"/>
      <c r="DZI99" s="798"/>
      <c r="DZJ99" s="798"/>
      <c r="DZK99" s="798"/>
      <c r="DZL99" s="798"/>
      <c r="DZM99" s="798"/>
      <c r="DZN99" s="798"/>
      <c r="DZO99" s="798"/>
      <c r="DZP99" s="798"/>
      <c r="DZQ99" s="798"/>
      <c r="DZR99" s="798"/>
      <c r="DZS99" s="798"/>
      <c r="DZT99" s="798"/>
      <c r="DZU99" s="798"/>
      <c r="DZV99" s="798"/>
      <c r="DZW99" s="798"/>
      <c r="DZX99" s="798"/>
      <c r="DZY99" s="798"/>
      <c r="DZZ99" s="798"/>
      <c r="EAA99" s="798"/>
      <c r="EAB99" s="798"/>
      <c r="EAC99" s="798"/>
      <c r="EAD99" s="798"/>
      <c r="EAE99" s="798"/>
      <c r="EAF99" s="798"/>
      <c r="EAG99" s="798"/>
      <c r="EAH99" s="798"/>
      <c r="EAI99" s="798"/>
      <c r="EAJ99" s="798"/>
      <c r="EAK99" s="798"/>
      <c r="EAL99" s="798"/>
      <c r="EAM99" s="798"/>
      <c r="EAN99" s="798"/>
      <c r="EAO99" s="798"/>
      <c r="EAP99" s="798"/>
      <c r="EAQ99" s="798"/>
      <c r="EAR99" s="798"/>
      <c r="EAS99" s="798"/>
      <c r="EAT99" s="798"/>
      <c r="EAU99" s="798"/>
      <c r="EAV99" s="798"/>
      <c r="EAW99" s="798"/>
      <c r="EAX99" s="798"/>
      <c r="EAY99" s="798"/>
      <c r="EAZ99" s="798"/>
      <c r="EBA99" s="798"/>
      <c r="EBB99" s="798"/>
      <c r="EBC99" s="798"/>
      <c r="EBD99" s="798"/>
      <c r="EBE99" s="798"/>
      <c r="EBF99" s="798"/>
      <c r="EBG99" s="798"/>
      <c r="EBH99" s="798"/>
      <c r="EBI99" s="798"/>
      <c r="EBJ99" s="798"/>
      <c r="EBK99" s="798"/>
      <c r="EBL99" s="798"/>
      <c r="EBM99" s="798"/>
      <c r="EBN99" s="798"/>
      <c r="EBO99" s="798"/>
      <c r="EBP99" s="798"/>
      <c r="EBQ99" s="798"/>
      <c r="EBR99" s="798"/>
      <c r="EBS99" s="798"/>
      <c r="EBT99" s="798"/>
      <c r="EBU99" s="798"/>
      <c r="EBV99" s="798"/>
      <c r="EBW99" s="798"/>
      <c r="EBX99" s="798"/>
      <c r="EBY99" s="798"/>
      <c r="EBZ99" s="798"/>
      <c r="ECA99" s="798"/>
      <c r="ECB99" s="798"/>
      <c r="ECC99" s="798"/>
      <c r="ECD99" s="798"/>
      <c r="ECE99" s="798"/>
      <c r="ECF99" s="798"/>
      <c r="ECG99" s="798"/>
      <c r="ECH99" s="798"/>
      <c r="ECI99" s="798"/>
      <c r="ECJ99" s="798"/>
      <c r="ECK99" s="798"/>
      <c r="ECL99" s="798"/>
      <c r="ECM99" s="798"/>
      <c r="ECN99" s="798"/>
      <c r="ECO99" s="798"/>
      <c r="ECP99" s="798"/>
      <c r="ECQ99" s="798"/>
      <c r="ECR99" s="798"/>
      <c r="ECS99" s="798"/>
      <c r="ECT99" s="798"/>
      <c r="ECU99" s="798"/>
      <c r="ECV99" s="798"/>
      <c r="ECW99" s="798"/>
      <c r="ECX99" s="798"/>
      <c r="ECY99" s="798"/>
      <c r="ECZ99" s="798"/>
      <c r="EDA99" s="798"/>
      <c r="EDB99" s="798"/>
      <c r="EDC99" s="798"/>
      <c r="EDD99" s="798"/>
      <c r="EDE99" s="798"/>
      <c r="EDF99" s="798"/>
      <c r="EDG99" s="798"/>
      <c r="EDH99" s="798"/>
      <c r="EDI99" s="798"/>
      <c r="EDJ99" s="798"/>
      <c r="EDK99" s="798"/>
      <c r="EDL99" s="798"/>
      <c r="EDM99" s="798"/>
      <c r="EDN99" s="798"/>
      <c r="EDO99" s="798"/>
      <c r="EDP99" s="798"/>
      <c r="EDQ99" s="798"/>
      <c r="EDR99" s="798"/>
      <c r="EDS99" s="798"/>
      <c r="EDT99" s="798"/>
      <c r="EDU99" s="798"/>
      <c r="EDV99" s="798"/>
      <c r="EDW99" s="798"/>
      <c r="EDX99" s="798"/>
      <c r="EDY99" s="798"/>
      <c r="EDZ99" s="798"/>
      <c r="EEA99" s="798"/>
      <c r="EEB99" s="798"/>
      <c r="EEC99" s="798"/>
      <c r="EED99" s="798"/>
      <c r="EEE99" s="798"/>
      <c r="EEF99" s="798"/>
      <c r="EEG99" s="798"/>
      <c r="EEH99" s="798"/>
      <c r="EEI99" s="798"/>
      <c r="EEJ99" s="798"/>
      <c r="EEK99" s="798"/>
      <c r="EEL99" s="798"/>
      <c r="EEM99" s="798"/>
      <c r="EEN99" s="798"/>
      <c r="EEO99" s="798"/>
      <c r="EEP99" s="798"/>
      <c r="EEQ99" s="798"/>
      <c r="EER99" s="798"/>
      <c r="EES99" s="798"/>
      <c r="EET99" s="798"/>
      <c r="EEU99" s="798"/>
      <c r="EEV99" s="798"/>
      <c r="EEW99" s="798"/>
      <c r="EEX99" s="798"/>
      <c r="EEY99" s="798"/>
      <c r="EEZ99" s="798"/>
      <c r="EFA99" s="798"/>
      <c r="EFB99" s="798"/>
      <c r="EFC99" s="798"/>
      <c r="EFD99" s="798"/>
      <c r="EFE99" s="798"/>
      <c r="EFF99" s="798"/>
      <c r="EFG99" s="798"/>
      <c r="EFH99" s="798"/>
      <c r="EFI99" s="798"/>
      <c r="EFJ99" s="798"/>
      <c r="EFK99" s="798"/>
      <c r="EFL99" s="798"/>
      <c r="EFM99" s="798"/>
      <c r="EFN99" s="798"/>
      <c r="EFO99" s="798"/>
      <c r="EFP99" s="798"/>
      <c r="EFQ99" s="798"/>
      <c r="EFR99" s="798"/>
      <c r="EFS99" s="798"/>
      <c r="EFT99" s="798"/>
      <c r="EFU99" s="798"/>
      <c r="EFV99" s="798"/>
      <c r="EFW99" s="798"/>
      <c r="EFX99" s="798"/>
      <c r="EFY99" s="798"/>
      <c r="EFZ99" s="798"/>
      <c r="EGA99" s="798"/>
      <c r="EGB99" s="798"/>
      <c r="EGC99" s="798"/>
      <c r="EGD99" s="798"/>
      <c r="EGE99" s="798"/>
      <c r="EGF99" s="798"/>
      <c r="EGG99" s="798"/>
      <c r="EGH99" s="798"/>
      <c r="EGI99" s="798"/>
      <c r="EGJ99" s="798"/>
      <c r="EGK99" s="798"/>
      <c r="EGL99" s="798"/>
      <c r="EGM99" s="798"/>
      <c r="EGN99" s="798"/>
      <c r="EGO99" s="798"/>
      <c r="EGP99" s="798"/>
      <c r="EGQ99" s="798"/>
      <c r="EGR99" s="798"/>
      <c r="EGS99" s="798"/>
      <c r="EGT99" s="798"/>
      <c r="EGU99" s="798"/>
      <c r="EGV99" s="798"/>
      <c r="EGW99" s="798"/>
      <c r="EGX99" s="798"/>
      <c r="EGY99" s="798"/>
      <c r="EGZ99" s="798"/>
      <c r="EHA99" s="798"/>
      <c r="EHB99" s="798"/>
      <c r="EHC99" s="798"/>
      <c r="EHD99" s="798"/>
      <c r="EHE99" s="798"/>
      <c r="EHF99" s="798"/>
      <c r="EHG99" s="798"/>
      <c r="EHH99" s="798"/>
      <c r="EHI99" s="798"/>
      <c r="EHJ99" s="798"/>
      <c r="EHK99" s="798"/>
      <c r="EHL99" s="798"/>
      <c r="EHM99" s="798"/>
      <c r="EHN99" s="798"/>
      <c r="EHO99" s="798"/>
      <c r="EHP99" s="798"/>
      <c r="EHQ99" s="798"/>
      <c r="EHR99" s="798"/>
      <c r="EHS99" s="798"/>
      <c r="EHT99" s="798"/>
      <c r="EHU99" s="798"/>
      <c r="EHV99" s="798"/>
      <c r="EHW99" s="798"/>
      <c r="EHX99" s="798"/>
      <c r="EHY99" s="798"/>
      <c r="EHZ99" s="798"/>
      <c r="EIA99" s="798"/>
      <c r="EIB99" s="798"/>
      <c r="EIC99" s="798"/>
      <c r="EID99" s="798"/>
      <c r="EIE99" s="798"/>
      <c r="EIF99" s="798"/>
      <c r="EIG99" s="798"/>
      <c r="EIH99" s="798"/>
      <c r="EII99" s="798"/>
      <c r="EIJ99" s="798"/>
      <c r="EIK99" s="798"/>
      <c r="EIL99" s="798"/>
      <c r="EIM99" s="798"/>
      <c r="EIN99" s="798"/>
      <c r="EIO99" s="798"/>
      <c r="EIP99" s="798"/>
      <c r="EIQ99" s="798"/>
      <c r="EIR99" s="798"/>
      <c r="EIS99" s="798"/>
      <c r="EIT99" s="798"/>
      <c r="EIU99" s="798"/>
      <c r="EIV99" s="798"/>
      <c r="EIW99" s="798"/>
      <c r="EIX99" s="798"/>
      <c r="EIY99" s="798"/>
      <c r="EIZ99" s="798"/>
      <c r="EJA99" s="798"/>
      <c r="EJB99" s="798"/>
      <c r="EJC99" s="798"/>
      <c r="EJD99" s="798"/>
      <c r="EJE99" s="798"/>
      <c r="EJF99" s="798"/>
      <c r="EJG99" s="798"/>
      <c r="EJH99" s="798"/>
      <c r="EJI99" s="798"/>
      <c r="EJJ99" s="798"/>
      <c r="EJK99" s="798"/>
      <c r="EJL99" s="798"/>
      <c r="EJM99" s="798"/>
      <c r="EJN99" s="798"/>
      <c r="EJO99" s="798"/>
      <c r="EJP99" s="798"/>
      <c r="EJQ99" s="798"/>
      <c r="EJR99" s="798"/>
      <c r="EJS99" s="798"/>
      <c r="EJT99" s="798"/>
      <c r="EJU99" s="798"/>
      <c r="EJV99" s="798"/>
      <c r="EJW99" s="798"/>
      <c r="EJX99" s="798"/>
      <c r="EJY99" s="798"/>
      <c r="EJZ99" s="798"/>
      <c r="EKA99" s="798"/>
      <c r="EKB99" s="798"/>
      <c r="EKC99" s="798"/>
      <c r="EKD99" s="798"/>
      <c r="EKE99" s="798"/>
      <c r="EKF99" s="798"/>
      <c r="EKG99" s="798"/>
      <c r="EKH99" s="798"/>
      <c r="EKI99" s="798"/>
      <c r="EKJ99" s="798"/>
      <c r="EKK99" s="798"/>
      <c r="EKL99" s="798"/>
      <c r="EKM99" s="798"/>
      <c r="EKN99" s="798"/>
      <c r="EKO99" s="798"/>
      <c r="EKP99" s="798"/>
      <c r="EKQ99" s="798"/>
      <c r="EKR99" s="798"/>
      <c r="EKS99" s="798"/>
      <c r="EKT99" s="798"/>
      <c r="EKU99" s="798"/>
      <c r="EKV99" s="798"/>
      <c r="EKW99" s="798"/>
      <c r="EKX99" s="798"/>
      <c r="EKY99" s="798"/>
      <c r="EKZ99" s="798"/>
      <c r="ELA99" s="798"/>
      <c r="ELB99" s="798"/>
      <c r="ELC99" s="798"/>
      <c r="ELD99" s="798"/>
      <c r="ELE99" s="798"/>
      <c r="ELF99" s="798"/>
      <c r="ELG99" s="798"/>
      <c r="ELH99" s="798"/>
      <c r="ELI99" s="798"/>
      <c r="ELJ99" s="798"/>
      <c r="ELK99" s="798"/>
      <c r="ELL99" s="798"/>
      <c r="ELM99" s="798"/>
      <c r="ELN99" s="798"/>
      <c r="ELO99" s="798"/>
      <c r="ELP99" s="798"/>
      <c r="ELQ99" s="798"/>
      <c r="ELR99" s="798"/>
      <c r="ELS99" s="798"/>
      <c r="ELT99" s="798"/>
      <c r="ELU99" s="798"/>
      <c r="ELV99" s="798"/>
      <c r="ELW99" s="798"/>
      <c r="ELX99" s="798"/>
      <c r="ELY99" s="798"/>
      <c r="ELZ99" s="798"/>
      <c r="EMA99" s="798"/>
      <c r="EMB99" s="798"/>
      <c r="EMC99" s="798"/>
      <c r="EMD99" s="798"/>
      <c r="EME99" s="798"/>
      <c r="EMF99" s="798"/>
      <c r="EMG99" s="798"/>
      <c r="EMH99" s="798"/>
      <c r="EMI99" s="798"/>
      <c r="EMJ99" s="798"/>
      <c r="EMK99" s="798"/>
      <c r="EML99" s="798"/>
      <c r="EMM99" s="798"/>
      <c r="EMN99" s="798"/>
      <c r="EMO99" s="798"/>
      <c r="EMP99" s="798"/>
      <c r="EMQ99" s="798"/>
      <c r="EMR99" s="798"/>
      <c r="EMS99" s="798"/>
      <c r="EMT99" s="798"/>
      <c r="EMU99" s="798"/>
      <c r="EMV99" s="798"/>
      <c r="EMW99" s="798"/>
      <c r="EMX99" s="798"/>
      <c r="EMY99" s="798"/>
      <c r="EMZ99" s="798"/>
      <c r="ENA99" s="798"/>
      <c r="ENB99" s="798"/>
      <c r="ENC99" s="798"/>
      <c r="END99" s="798"/>
      <c r="ENE99" s="798"/>
      <c r="ENF99" s="798"/>
      <c r="ENG99" s="798"/>
      <c r="ENH99" s="798"/>
      <c r="ENI99" s="798"/>
      <c r="ENJ99" s="798"/>
      <c r="ENK99" s="798"/>
      <c r="ENL99" s="798"/>
      <c r="ENM99" s="798"/>
      <c r="ENN99" s="798"/>
      <c r="ENO99" s="798"/>
      <c r="ENP99" s="798"/>
      <c r="ENQ99" s="798"/>
      <c r="ENR99" s="798"/>
      <c r="ENS99" s="798"/>
      <c r="ENT99" s="798"/>
      <c r="ENU99" s="798"/>
      <c r="ENV99" s="798"/>
      <c r="ENW99" s="798"/>
      <c r="ENX99" s="798"/>
      <c r="ENY99" s="798"/>
      <c r="ENZ99" s="798"/>
      <c r="EOA99" s="798"/>
      <c r="EOB99" s="798"/>
      <c r="EOC99" s="798"/>
      <c r="EOD99" s="798"/>
      <c r="EOE99" s="798"/>
      <c r="EOF99" s="798"/>
      <c r="EOG99" s="798"/>
      <c r="EOH99" s="798"/>
      <c r="EOI99" s="798"/>
      <c r="EOJ99" s="798"/>
      <c r="EOK99" s="798"/>
      <c r="EOL99" s="798"/>
      <c r="EOM99" s="798"/>
      <c r="EON99" s="798"/>
      <c r="EOO99" s="798"/>
      <c r="EOP99" s="798"/>
      <c r="EOQ99" s="798"/>
      <c r="EOR99" s="798"/>
      <c r="EOS99" s="798"/>
      <c r="EOT99" s="798"/>
      <c r="EOU99" s="798"/>
      <c r="EOV99" s="798"/>
      <c r="EOW99" s="798"/>
      <c r="EOX99" s="798"/>
      <c r="EOY99" s="798"/>
      <c r="EOZ99" s="798"/>
      <c r="EPA99" s="798"/>
      <c r="EPB99" s="798"/>
      <c r="EPC99" s="798"/>
      <c r="EPD99" s="798"/>
      <c r="EPE99" s="798"/>
      <c r="EPF99" s="798"/>
      <c r="EPG99" s="798"/>
      <c r="EPH99" s="798"/>
      <c r="EPI99" s="798"/>
      <c r="EPJ99" s="798"/>
      <c r="EPK99" s="798"/>
      <c r="EPL99" s="798"/>
      <c r="EPM99" s="798"/>
      <c r="EPN99" s="798"/>
      <c r="EPO99" s="798"/>
      <c r="EPP99" s="798"/>
      <c r="EPQ99" s="798"/>
      <c r="EPR99" s="798"/>
      <c r="EPS99" s="798"/>
      <c r="EPT99" s="798"/>
      <c r="EPU99" s="798"/>
      <c r="EPV99" s="798"/>
      <c r="EPW99" s="798"/>
      <c r="EPX99" s="798"/>
      <c r="EPY99" s="798"/>
      <c r="EPZ99" s="798"/>
      <c r="EQA99" s="798"/>
      <c r="EQB99" s="798"/>
      <c r="EQC99" s="798"/>
      <c r="EQD99" s="798"/>
      <c r="EQE99" s="798"/>
      <c r="EQF99" s="798"/>
      <c r="EQG99" s="798"/>
      <c r="EQH99" s="798"/>
      <c r="EQI99" s="798"/>
      <c r="EQJ99" s="798"/>
      <c r="EQK99" s="798"/>
      <c r="EQL99" s="798"/>
      <c r="EQM99" s="798"/>
      <c r="EQN99" s="798"/>
      <c r="EQO99" s="798"/>
      <c r="EQP99" s="798"/>
      <c r="EQQ99" s="798"/>
      <c r="EQR99" s="798"/>
      <c r="EQS99" s="798"/>
      <c r="EQT99" s="798"/>
      <c r="EQU99" s="798"/>
      <c r="EQV99" s="798"/>
      <c r="EQW99" s="798"/>
      <c r="EQX99" s="798"/>
      <c r="EQY99" s="798"/>
      <c r="EQZ99" s="798"/>
      <c r="ERA99" s="798"/>
      <c r="ERB99" s="798"/>
      <c r="ERC99" s="798"/>
      <c r="ERD99" s="798"/>
      <c r="ERE99" s="798"/>
      <c r="ERF99" s="798"/>
      <c r="ERG99" s="798"/>
      <c r="ERH99" s="798"/>
      <c r="ERI99" s="798"/>
      <c r="ERJ99" s="798"/>
      <c r="ERK99" s="798"/>
      <c r="ERL99" s="798"/>
      <c r="ERM99" s="798"/>
      <c r="ERN99" s="798"/>
      <c r="ERO99" s="798"/>
      <c r="ERP99" s="798"/>
      <c r="ERQ99" s="798"/>
      <c r="ERR99" s="798"/>
      <c r="ERS99" s="798"/>
      <c r="ERT99" s="798"/>
      <c r="ERU99" s="798"/>
      <c r="ERV99" s="798"/>
      <c r="ERW99" s="798"/>
      <c r="ERX99" s="798"/>
      <c r="ERY99" s="798"/>
      <c r="ERZ99" s="798"/>
      <c r="ESA99" s="798"/>
      <c r="ESB99" s="798"/>
      <c r="ESC99" s="798"/>
      <c r="ESD99" s="798"/>
      <c r="ESE99" s="798"/>
      <c r="ESF99" s="798"/>
      <c r="ESG99" s="798"/>
      <c r="ESH99" s="798"/>
      <c r="ESI99" s="798"/>
      <c r="ESJ99" s="798"/>
      <c r="ESK99" s="798"/>
      <c r="ESL99" s="798"/>
      <c r="ESM99" s="798"/>
      <c r="ESN99" s="798"/>
      <c r="ESO99" s="798"/>
      <c r="ESP99" s="798"/>
      <c r="ESQ99" s="798"/>
      <c r="ESR99" s="798"/>
      <c r="ESS99" s="798"/>
      <c r="EST99" s="798"/>
      <c r="ESU99" s="798"/>
      <c r="ESV99" s="798"/>
      <c r="ESW99" s="798"/>
      <c r="ESX99" s="798"/>
      <c r="ESY99" s="798"/>
      <c r="ESZ99" s="798"/>
      <c r="ETA99" s="798"/>
      <c r="ETB99" s="798"/>
      <c r="ETC99" s="798"/>
      <c r="ETD99" s="798"/>
      <c r="ETE99" s="798"/>
      <c r="ETF99" s="798"/>
      <c r="ETG99" s="798"/>
      <c r="ETH99" s="798"/>
      <c r="ETI99" s="798"/>
      <c r="ETJ99" s="798"/>
      <c r="ETK99" s="798"/>
      <c r="ETL99" s="798"/>
      <c r="ETM99" s="798"/>
      <c r="ETN99" s="798"/>
      <c r="ETO99" s="798"/>
      <c r="ETP99" s="798"/>
      <c r="ETQ99" s="798"/>
      <c r="ETR99" s="798"/>
      <c r="ETS99" s="798"/>
      <c r="ETT99" s="798"/>
      <c r="ETU99" s="798"/>
      <c r="ETV99" s="798"/>
      <c r="ETW99" s="798"/>
      <c r="ETX99" s="798"/>
      <c r="ETY99" s="798"/>
      <c r="ETZ99" s="798"/>
      <c r="EUA99" s="798"/>
      <c r="EUB99" s="798"/>
      <c r="EUC99" s="798"/>
      <c r="EUD99" s="798"/>
      <c r="EUE99" s="798"/>
      <c r="EUF99" s="798"/>
      <c r="EUG99" s="798"/>
      <c r="EUH99" s="798"/>
      <c r="EUI99" s="798"/>
      <c r="EUJ99" s="798"/>
      <c r="EUK99" s="798"/>
      <c r="EUL99" s="798"/>
      <c r="EUM99" s="798"/>
      <c r="EUN99" s="798"/>
      <c r="EUO99" s="798"/>
      <c r="EUP99" s="798"/>
      <c r="EUQ99" s="798"/>
      <c r="EUR99" s="798"/>
      <c r="EUS99" s="798"/>
      <c r="EUT99" s="798"/>
      <c r="EUU99" s="798"/>
      <c r="EUV99" s="798"/>
      <c r="EUW99" s="798"/>
      <c r="EUX99" s="798"/>
      <c r="EUY99" s="798"/>
      <c r="EUZ99" s="798"/>
      <c r="EVA99" s="798"/>
      <c r="EVB99" s="798"/>
      <c r="EVC99" s="798"/>
      <c r="EVD99" s="798"/>
      <c r="EVE99" s="798"/>
      <c r="EVF99" s="798"/>
      <c r="EVG99" s="798"/>
      <c r="EVH99" s="798"/>
      <c r="EVI99" s="798"/>
      <c r="EVJ99" s="798"/>
      <c r="EVK99" s="798"/>
      <c r="EVL99" s="798"/>
      <c r="EVM99" s="798"/>
      <c r="EVN99" s="798"/>
      <c r="EVO99" s="798"/>
      <c r="EVP99" s="798"/>
      <c r="EVQ99" s="798"/>
      <c r="EVR99" s="798"/>
      <c r="EVS99" s="798"/>
      <c r="EVT99" s="798"/>
      <c r="EVU99" s="798"/>
      <c r="EVV99" s="798"/>
      <c r="EVW99" s="798"/>
      <c r="EVX99" s="798"/>
      <c r="EVY99" s="798"/>
      <c r="EVZ99" s="798"/>
      <c r="EWA99" s="798"/>
      <c r="EWB99" s="798"/>
      <c r="EWC99" s="798"/>
      <c r="EWD99" s="798"/>
      <c r="EWE99" s="798"/>
      <c r="EWF99" s="798"/>
      <c r="EWG99" s="798"/>
      <c r="EWH99" s="798"/>
      <c r="EWI99" s="798"/>
      <c r="EWJ99" s="798"/>
      <c r="EWK99" s="798"/>
      <c r="EWL99" s="798"/>
      <c r="EWM99" s="798"/>
      <c r="EWN99" s="798"/>
      <c r="EWO99" s="798"/>
      <c r="EWP99" s="798"/>
      <c r="EWQ99" s="798"/>
      <c r="EWR99" s="798"/>
      <c r="EWS99" s="798"/>
      <c r="EWT99" s="798"/>
      <c r="EWU99" s="798"/>
      <c r="EWV99" s="798"/>
      <c r="EWW99" s="798"/>
      <c r="EWX99" s="798"/>
      <c r="EWY99" s="798"/>
      <c r="EWZ99" s="798"/>
      <c r="EXA99" s="798"/>
      <c r="EXB99" s="798"/>
      <c r="EXC99" s="798"/>
      <c r="EXD99" s="798"/>
      <c r="EXE99" s="798"/>
      <c r="EXF99" s="798"/>
      <c r="EXG99" s="798"/>
      <c r="EXH99" s="798"/>
      <c r="EXI99" s="798"/>
      <c r="EXJ99" s="798"/>
      <c r="EXK99" s="798"/>
      <c r="EXL99" s="798"/>
      <c r="EXM99" s="798"/>
      <c r="EXN99" s="798"/>
      <c r="EXO99" s="798"/>
      <c r="EXP99" s="798"/>
      <c r="EXQ99" s="798"/>
      <c r="EXR99" s="798"/>
      <c r="EXS99" s="798"/>
      <c r="EXT99" s="798"/>
      <c r="EXU99" s="798"/>
      <c r="EXV99" s="798"/>
      <c r="EXW99" s="798"/>
      <c r="EXX99" s="798"/>
      <c r="EXY99" s="798"/>
      <c r="EXZ99" s="798"/>
      <c r="EYA99" s="798"/>
      <c r="EYB99" s="798"/>
      <c r="EYC99" s="798"/>
      <c r="EYD99" s="798"/>
      <c r="EYE99" s="798"/>
      <c r="EYF99" s="798"/>
      <c r="EYG99" s="798"/>
      <c r="EYH99" s="798"/>
      <c r="EYI99" s="798"/>
      <c r="EYJ99" s="798"/>
      <c r="EYK99" s="798"/>
      <c r="EYL99" s="798"/>
      <c r="EYM99" s="798"/>
      <c r="EYN99" s="798"/>
      <c r="EYO99" s="798"/>
      <c r="EYP99" s="798"/>
      <c r="EYQ99" s="798"/>
      <c r="EYR99" s="798"/>
      <c r="EYS99" s="798"/>
      <c r="EYT99" s="798"/>
      <c r="EYU99" s="798"/>
      <c r="EYV99" s="798"/>
      <c r="EYW99" s="798"/>
      <c r="EYX99" s="798"/>
      <c r="EYY99" s="798"/>
      <c r="EYZ99" s="798"/>
      <c r="EZA99" s="798"/>
      <c r="EZB99" s="798"/>
      <c r="EZC99" s="798"/>
      <c r="EZD99" s="798"/>
      <c r="EZE99" s="798"/>
      <c r="EZF99" s="798"/>
      <c r="EZG99" s="798"/>
      <c r="EZH99" s="798"/>
      <c r="EZI99" s="798"/>
      <c r="EZJ99" s="798"/>
      <c r="EZK99" s="798"/>
      <c r="EZL99" s="798"/>
      <c r="EZM99" s="798"/>
      <c r="EZN99" s="798"/>
      <c r="EZO99" s="798"/>
      <c r="EZP99" s="798"/>
      <c r="EZQ99" s="798"/>
      <c r="EZR99" s="798"/>
      <c r="EZS99" s="798"/>
      <c r="EZT99" s="798"/>
      <c r="EZU99" s="798"/>
      <c r="EZV99" s="798"/>
      <c r="EZW99" s="798"/>
      <c r="EZX99" s="798"/>
      <c r="EZY99" s="798"/>
      <c r="EZZ99" s="798"/>
      <c r="FAA99" s="798"/>
      <c r="FAB99" s="798"/>
      <c r="FAC99" s="798"/>
      <c r="FAD99" s="798"/>
      <c r="FAE99" s="798"/>
      <c r="FAF99" s="798"/>
      <c r="FAG99" s="798"/>
      <c r="FAH99" s="798"/>
      <c r="FAI99" s="798"/>
      <c r="FAJ99" s="798"/>
      <c r="FAK99" s="798"/>
      <c r="FAL99" s="798"/>
      <c r="FAM99" s="798"/>
      <c r="FAN99" s="798"/>
      <c r="FAO99" s="798"/>
      <c r="FAP99" s="798"/>
      <c r="FAQ99" s="798"/>
      <c r="FAR99" s="798"/>
      <c r="FAS99" s="798"/>
      <c r="FAT99" s="798"/>
      <c r="FAU99" s="798"/>
      <c r="FAV99" s="798"/>
      <c r="FAW99" s="798"/>
      <c r="FAX99" s="798"/>
      <c r="FAY99" s="798"/>
      <c r="FAZ99" s="798"/>
      <c r="FBA99" s="798"/>
      <c r="FBB99" s="798"/>
      <c r="FBC99" s="798"/>
      <c r="FBD99" s="798"/>
      <c r="FBE99" s="798"/>
      <c r="FBF99" s="798"/>
      <c r="FBG99" s="798"/>
      <c r="FBH99" s="798"/>
      <c r="FBI99" s="798"/>
      <c r="FBJ99" s="798"/>
      <c r="FBK99" s="798"/>
      <c r="FBL99" s="798"/>
      <c r="FBM99" s="798"/>
      <c r="FBN99" s="798"/>
      <c r="FBO99" s="798"/>
      <c r="FBP99" s="798"/>
      <c r="FBQ99" s="798"/>
      <c r="FBR99" s="798"/>
      <c r="FBS99" s="798"/>
      <c r="FBT99" s="798"/>
      <c r="FBU99" s="798"/>
      <c r="FBV99" s="798"/>
      <c r="FBW99" s="798"/>
      <c r="FBX99" s="798"/>
      <c r="FBY99" s="798"/>
      <c r="FBZ99" s="798"/>
      <c r="FCA99" s="798"/>
      <c r="FCB99" s="798"/>
      <c r="FCC99" s="798"/>
      <c r="FCD99" s="798"/>
      <c r="FCE99" s="798"/>
      <c r="FCF99" s="798"/>
      <c r="FCG99" s="798"/>
      <c r="FCH99" s="798"/>
      <c r="FCI99" s="798"/>
      <c r="FCJ99" s="798"/>
      <c r="FCK99" s="798"/>
      <c r="FCL99" s="798"/>
      <c r="FCM99" s="798"/>
      <c r="FCN99" s="798"/>
      <c r="FCO99" s="798"/>
      <c r="FCP99" s="798"/>
      <c r="FCQ99" s="798"/>
      <c r="FCR99" s="798"/>
      <c r="FCS99" s="798"/>
      <c r="FCT99" s="798"/>
      <c r="FCU99" s="798"/>
      <c r="FCV99" s="798"/>
      <c r="FCW99" s="798"/>
      <c r="FCX99" s="798"/>
      <c r="FCY99" s="798"/>
      <c r="FCZ99" s="798"/>
      <c r="FDA99" s="798"/>
      <c r="FDB99" s="798"/>
      <c r="FDC99" s="798"/>
      <c r="FDD99" s="798"/>
      <c r="FDE99" s="798"/>
      <c r="FDF99" s="798"/>
      <c r="FDG99" s="798"/>
      <c r="FDH99" s="798"/>
      <c r="FDI99" s="798"/>
      <c r="FDJ99" s="798"/>
      <c r="FDK99" s="798"/>
      <c r="FDL99" s="798"/>
      <c r="FDM99" s="798"/>
      <c r="FDN99" s="798"/>
      <c r="FDO99" s="798"/>
      <c r="FDP99" s="798"/>
      <c r="FDQ99" s="798"/>
      <c r="FDR99" s="798"/>
      <c r="FDS99" s="798"/>
      <c r="FDT99" s="798"/>
      <c r="FDU99" s="798"/>
      <c r="FDV99" s="798"/>
      <c r="FDW99" s="798"/>
      <c r="FDX99" s="798"/>
      <c r="FDY99" s="798"/>
      <c r="FDZ99" s="798"/>
      <c r="FEA99" s="798"/>
      <c r="FEB99" s="798"/>
      <c r="FEC99" s="798"/>
      <c r="FED99" s="798"/>
      <c r="FEE99" s="798"/>
      <c r="FEF99" s="798"/>
      <c r="FEG99" s="798"/>
      <c r="FEH99" s="798"/>
      <c r="FEI99" s="798"/>
      <c r="FEJ99" s="798"/>
      <c r="FEK99" s="798"/>
      <c r="FEL99" s="798"/>
      <c r="FEM99" s="798"/>
      <c r="FEN99" s="798"/>
      <c r="FEO99" s="798"/>
      <c r="FEP99" s="798"/>
      <c r="FEQ99" s="798"/>
      <c r="FER99" s="798"/>
      <c r="FES99" s="798"/>
      <c r="FET99" s="798"/>
      <c r="FEU99" s="798"/>
      <c r="FEV99" s="798"/>
      <c r="FEW99" s="798"/>
      <c r="FEX99" s="798"/>
      <c r="FEY99" s="798"/>
      <c r="FEZ99" s="798"/>
      <c r="FFA99" s="798"/>
      <c r="FFB99" s="798"/>
      <c r="FFC99" s="798"/>
      <c r="FFD99" s="798"/>
      <c r="FFE99" s="798"/>
      <c r="FFF99" s="798"/>
      <c r="FFG99" s="798"/>
      <c r="FFH99" s="798"/>
      <c r="FFI99" s="798"/>
      <c r="FFJ99" s="798"/>
      <c r="FFK99" s="798"/>
      <c r="FFL99" s="798"/>
      <c r="FFM99" s="798"/>
      <c r="FFN99" s="798"/>
      <c r="FFO99" s="798"/>
      <c r="FFP99" s="798"/>
      <c r="FFQ99" s="798"/>
      <c r="FFR99" s="798"/>
      <c r="FFS99" s="798"/>
      <c r="FFT99" s="798"/>
      <c r="FFU99" s="798"/>
      <c r="FFV99" s="798"/>
      <c r="FFW99" s="798"/>
      <c r="FFX99" s="798"/>
      <c r="FFY99" s="798"/>
      <c r="FFZ99" s="798"/>
      <c r="FGA99" s="798"/>
      <c r="FGB99" s="798"/>
      <c r="FGC99" s="798"/>
      <c r="FGD99" s="798"/>
      <c r="FGE99" s="798"/>
      <c r="FGF99" s="798"/>
      <c r="FGG99" s="798"/>
      <c r="FGH99" s="798"/>
      <c r="FGI99" s="798"/>
      <c r="FGJ99" s="798"/>
      <c r="FGK99" s="798"/>
      <c r="FGL99" s="798"/>
      <c r="FGM99" s="798"/>
      <c r="FGN99" s="798"/>
      <c r="FGO99" s="798"/>
      <c r="FGP99" s="798"/>
      <c r="FGQ99" s="798"/>
      <c r="FGR99" s="798"/>
      <c r="FGS99" s="798"/>
      <c r="FGT99" s="798"/>
      <c r="FGU99" s="798"/>
      <c r="FGV99" s="798"/>
      <c r="FGW99" s="798"/>
      <c r="FGX99" s="798"/>
      <c r="FGY99" s="798"/>
      <c r="FGZ99" s="798"/>
      <c r="FHA99" s="798"/>
      <c r="FHB99" s="798"/>
      <c r="FHC99" s="798"/>
      <c r="FHD99" s="798"/>
      <c r="FHE99" s="798"/>
      <c r="FHF99" s="798"/>
      <c r="FHG99" s="798"/>
      <c r="FHH99" s="798"/>
      <c r="FHI99" s="798"/>
      <c r="FHJ99" s="798"/>
      <c r="FHK99" s="798"/>
      <c r="FHL99" s="798"/>
      <c r="FHM99" s="798"/>
      <c r="FHN99" s="798"/>
      <c r="FHO99" s="798"/>
      <c r="FHP99" s="798"/>
      <c r="FHQ99" s="798"/>
      <c r="FHR99" s="798"/>
      <c r="FHS99" s="798"/>
      <c r="FHT99" s="798"/>
      <c r="FHU99" s="798"/>
      <c r="FHV99" s="798"/>
      <c r="FHW99" s="798"/>
      <c r="FHX99" s="798"/>
      <c r="FHY99" s="798"/>
      <c r="FHZ99" s="798"/>
      <c r="FIA99" s="798"/>
      <c r="FIB99" s="798"/>
      <c r="FIC99" s="798"/>
      <c r="FID99" s="798"/>
      <c r="FIE99" s="798"/>
      <c r="FIF99" s="798"/>
      <c r="FIG99" s="798"/>
      <c r="FIH99" s="798"/>
      <c r="FII99" s="798"/>
      <c r="FIJ99" s="798"/>
      <c r="FIK99" s="798"/>
      <c r="FIL99" s="798"/>
      <c r="FIM99" s="798"/>
      <c r="FIN99" s="798"/>
      <c r="FIO99" s="798"/>
      <c r="FIP99" s="798"/>
      <c r="FIQ99" s="798"/>
      <c r="FIR99" s="798"/>
      <c r="FIS99" s="798"/>
      <c r="FIT99" s="798"/>
      <c r="FIU99" s="798"/>
      <c r="FIV99" s="798"/>
      <c r="FIW99" s="798"/>
      <c r="FIX99" s="798"/>
      <c r="FIY99" s="798"/>
      <c r="FIZ99" s="798"/>
      <c r="FJA99" s="798"/>
      <c r="FJB99" s="798"/>
      <c r="FJC99" s="798"/>
      <c r="FJD99" s="798"/>
      <c r="FJE99" s="798"/>
      <c r="FJF99" s="798"/>
      <c r="FJG99" s="798"/>
      <c r="FJH99" s="798"/>
      <c r="FJI99" s="798"/>
      <c r="FJJ99" s="798"/>
      <c r="FJK99" s="798"/>
      <c r="FJL99" s="798"/>
      <c r="FJM99" s="798"/>
      <c r="FJN99" s="798"/>
      <c r="FJO99" s="798"/>
      <c r="FJP99" s="798"/>
      <c r="FJQ99" s="798"/>
      <c r="FJR99" s="798"/>
      <c r="FJS99" s="798"/>
      <c r="FJT99" s="798"/>
      <c r="FJU99" s="798"/>
      <c r="FJV99" s="798"/>
      <c r="FJW99" s="798"/>
      <c r="FJX99" s="798"/>
      <c r="FJY99" s="798"/>
      <c r="FJZ99" s="798"/>
      <c r="FKA99" s="798"/>
      <c r="FKB99" s="798"/>
      <c r="FKC99" s="798"/>
      <c r="FKD99" s="798"/>
      <c r="FKE99" s="798"/>
      <c r="FKF99" s="798"/>
      <c r="FKG99" s="798"/>
      <c r="FKH99" s="798"/>
      <c r="FKI99" s="798"/>
      <c r="FKJ99" s="798"/>
      <c r="FKK99" s="798"/>
      <c r="FKL99" s="798"/>
      <c r="FKM99" s="798"/>
      <c r="FKN99" s="798"/>
      <c r="FKO99" s="798"/>
      <c r="FKP99" s="798"/>
      <c r="FKQ99" s="798"/>
      <c r="FKR99" s="798"/>
      <c r="FKS99" s="798"/>
      <c r="FKT99" s="798"/>
      <c r="FKU99" s="798"/>
      <c r="FKV99" s="798"/>
      <c r="FKW99" s="798"/>
      <c r="FKX99" s="798"/>
      <c r="FKY99" s="798"/>
      <c r="FKZ99" s="798"/>
      <c r="FLA99" s="798"/>
      <c r="FLB99" s="798"/>
      <c r="FLC99" s="798"/>
      <c r="FLD99" s="798"/>
      <c r="FLE99" s="798"/>
      <c r="FLF99" s="798"/>
      <c r="FLG99" s="798"/>
      <c r="FLH99" s="798"/>
      <c r="FLI99" s="798"/>
      <c r="FLJ99" s="798"/>
      <c r="FLK99" s="798"/>
      <c r="FLL99" s="798"/>
      <c r="FLM99" s="798"/>
      <c r="FLN99" s="798"/>
      <c r="FLO99" s="798"/>
      <c r="FLP99" s="798"/>
      <c r="FLQ99" s="798"/>
      <c r="FLR99" s="798"/>
      <c r="FLS99" s="798"/>
      <c r="FLT99" s="798"/>
      <c r="FLU99" s="798"/>
      <c r="FLV99" s="798"/>
      <c r="FLW99" s="798"/>
      <c r="FLX99" s="798"/>
      <c r="FLY99" s="798"/>
      <c r="FLZ99" s="798"/>
      <c r="FMA99" s="798"/>
      <c r="FMB99" s="798"/>
      <c r="FMC99" s="798"/>
      <c r="FMD99" s="798"/>
      <c r="FME99" s="798"/>
      <c r="FMF99" s="798"/>
      <c r="FMG99" s="798"/>
      <c r="FMH99" s="798"/>
      <c r="FMI99" s="798"/>
      <c r="FMJ99" s="798"/>
      <c r="FMK99" s="798"/>
      <c r="FML99" s="798"/>
      <c r="FMM99" s="798"/>
      <c r="FMN99" s="798"/>
      <c r="FMO99" s="798"/>
      <c r="FMP99" s="798"/>
      <c r="FMQ99" s="798"/>
      <c r="FMR99" s="798"/>
      <c r="FMS99" s="798"/>
      <c r="FMT99" s="798"/>
      <c r="FMU99" s="798"/>
      <c r="FMV99" s="798"/>
      <c r="FMW99" s="798"/>
      <c r="FMX99" s="798"/>
      <c r="FMY99" s="798"/>
      <c r="FMZ99" s="798"/>
      <c r="FNA99" s="798"/>
      <c r="FNB99" s="798"/>
      <c r="FNC99" s="798"/>
      <c r="FND99" s="798"/>
      <c r="FNE99" s="798"/>
      <c r="FNF99" s="798"/>
      <c r="FNG99" s="798"/>
      <c r="FNH99" s="798"/>
      <c r="FNI99" s="798"/>
      <c r="FNJ99" s="798"/>
      <c r="FNK99" s="798"/>
      <c r="FNL99" s="798"/>
      <c r="FNM99" s="798"/>
      <c r="FNN99" s="798"/>
      <c r="FNO99" s="798"/>
      <c r="FNP99" s="798"/>
      <c r="FNQ99" s="798"/>
      <c r="FNR99" s="798"/>
      <c r="FNS99" s="798"/>
      <c r="FNT99" s="798"/>
      <c r="FNU99" s="798"/>
      <c r="FNV99" s="798"/>
      <c r="FNW99" s="798"/>
      <c r="FNX99" s="798"/>
      <c r="FNY99" s="798"/>
      <c r="FNZ99" s="798"/>
      <c r="FOA99" s="798"/>
      <c r="FOB99" s="798"/>
      <c r="FOC99" s="798"/>
      <c r="FOD99" s="798"/>
      <c r="FOE99" s="798"/>
      <c r="FOF99" s="798"/>
      <c r="FOG99" s="798"/>
      <c r="FOH99" s="798"/>
      <c r="FOI99" s="798"/>
      <c r="FOJ99" s="798"/>
      <c r="FOK99" s="798"/>
      <c r="FOL99" s="798"/>
      <c r="FOM99" s="798"/>
      <c r="FON99" s="798"/>
      <c r="FOO99" s="798"/>
      <c r="FOP99" s="798"/>
      <c r="FOQ99" s="798"/>
      <c r="FOR99" s="798"/>
      <c r="FOS99" s="798"/>
      <c r="FOT99" s="798"/>
      <c r="FOU99" s="798"/>
      <c r="FOV99" s="798"/>
      <c r="FOW99" s="798"/>
      <c r="FOX99" s="798"/>
      <c r="FOY99" s="798"/>
      <c r="FOZ99" s="798"/>
      <c r="FPA99" s="798"/>
      <c r="FPB99" s="798"/>
      <c r="FPC99" s="798"/>
      <c r="FPD99" s="798"/>
      <c r="FPE99" s="798"/>
      <c r="FPF99" s="798"/>
      <c r="FPG99" s="798"/>
      <c r="FPH99" s="798"/>
      <c r="FPI99" s="798"/>
      <c r="FPJ99" s="798"/>
      <c r="FPK99" s="798"/>
      <c r="FPL99" s="798"/>
      <c r="FPM99" s="798"/>
      <c r="FPN99" s="798"/>
      <c r="FPO99" s="798"/>
      <c r="FPP99" s="798"/>
      <c r="FPQ99" s="798"/>
      <c r="FPR99" s="798"/>
      <c r="FPS99" s="798"/>
      <c r="FPT99" s="798"/>
      <c r="FPU99" s="798"/>
      <c r="FPV99" s="798"/>
      <c r="FPW99" s="798"/>
      <c r="FPX99" s="798"/>
      <c r="FPY99" s="798"/>
      <c r="FPZ99" s="798"/>
      <c r="FQA99" s="798"/>
      <c r="FQB99" s="798"/>
      <c r="FQC99" s="798"/>
      <c r="FQD99" s="798"/>
      <c r="FQE99" s="798"/>
      <c r="FQF99" s="798"/>
      <c r="FQG99" s="798"/>
      <c r="FQH99" s="798"/>
      <c r="FQI99" s="798"/>
      <c r="FQJ99" s="798"/>
      <c r="FQK99" s="798"/>
      <c r="FQL99" s="798"/>
      <c r="FQM99" s="798"/>
      <c r="FQN99" s="798"/>
      <c r="FQO99" s="798"/>
      <c r="FQP99" s="798"/>
      <c r="FQQ99" s="798"/>
      <c r="FQR99" s="798"/>
      <c r="FQS99" s="798"/>
      <c r="FQT99" s="798"/>
      <c r="FQU99" s="798"/>
      <c r="FQV99" s="798"/>
      <c r="FQW99" s="798"/>
      <c r="FQX99" s="798"/>
      <c r="FQY99" s="798"/>
      <c r="FQZ99" s="798"/>
      <c r="FRA99" s="798"/>
      <c r="FRB99" s="798"/>
      <c r="FRC99" s="798"/>
      <c r="FRD99" s="798"/>
      <c r="FRE99" s="798"/>
      <c r="FRF99" s="798"/>
      <c r="FRG99" s="798"/>
      <c r="FRH99" s="798"/>
      <c r="FRI99" s="798"/>
      <c r="FRJ99" s="798"/>
      <c r="FRK99" s="798"/>
      <c r="FRL99" s="798"/>
      <c r="FRM99" s="798"/>
      <c r="FRN99" s="798"/>
      <c r="FRO99" s="798"/>
      <c r="FRP99" s="798"/>
      <c r="FRQ99" s="798"/>
      <c r="FRR99" s="798"/>
      <c r="FRS99" s="798"/>
      <c r="FRT99" s="798"/>
      <c r="FRU99" s="798"/>
      <c r="FRV99" s="798"/>
      <c r="FRW99" s="798"/>
      <c r="FRX99" s="798"/>
      <c r="FRY99" s="798"/>
      <c r="FRZ99" s="798"/>
      <c r="FSA99" s="798"/>
      <c r="FSB99" s="798"/>
      <c r="FSC99" s="798"/>
      <c r="FSD99" s="798"/>
      <c r="FSE99" s="798"/>
      <c r="FSF99" s="798"/>
      <c r="FSG99" s="798"/>
      <c r="FSH99" s="798"/>
      <c r="FSI99" s="798"/>
      <c r="FSJ99" s="798"/>
      <c r="FSK99" s="798"/>
      <c r="FSL99" s="798"/>
      <c r="FSM99" s="798"/>
      <c r="FSN99" s="798"/>
      <c r="FSO99" s="798"/>
      <c r="FSP99" s="798"/>
      <c r="FSQ99" s="798"/>
      <c r="FSR99" s="798"/>
      <c r="FSS99" s="798"/>
      <c r="FST99" s="798"/>
      <c r="FSU99" s="798"/>
      <c r="FSV99" s="798"/>
      <c r="FSW99" s="798"/>
      <c r="FSX99" s="798"/>
      <c r="FSY99" s="798"/>
      <c r="FSZ99" s="798"/>
      <c r="FTA99" s="798"/>
      <c r="FTB99" s="798"/>
      <c r="FTC99" s="798"/>
      <c r="FTD99" s="798"/>
      <c r="FTE99" s="798"/>
      <c r="FTF99" s="798"/>
      <c r="FTG99" s="798"/>
      <c r="FTH99" s="798"/>
      <c r="FTI99" s="798"/>
      <c r="FTJ99" s="798"/>
      <c r="FTK99" s="798"/>
      <c r="FTL99" s="798"/>
      <c r="FTM99" s="798"/>
      <c r="FTN99" s="798"/>
      <c r="FTO99" s="798"/>
      <c r="FTP99" s="798"/>
      <c r="FTQ99" s="798"/>
      <c r="FTR99" s="798"/>
      <c r="FTS99" s="798"/>
      <c r="FTT99" s="798"/>
      <c r="FTU99" s="798"/>
      <c r="FTV99" s="798"/>
      <c r="FTW99" s="798"/>
      <c r="FTX99" s="798"/>
      <c r="FTY99" s="798"/>
      <c r="FTZ99" s="798"/>
      <c r="FUA99" s="798"/>
      <c r="FUB99" s="798"/>
      <c r="FUC99" s="798"/>
      <c r="FUD99" s="798"/>
      <c r="FUE99" s="798"/>
      <c r="FUF99" s="798"/>
      <c r="FUG99" s="798"/>
      <c r="FUH99" s="798"/>
      <c r="FUI99" s="798"/>
      <c r="FUJ99" s="798"/>
      <c r="FUK99" s="798"/>
      <c r="FUL99" s="798"/>
      <c r="FUM99" s="798"/>
      <c r="FUN99" s="798"/>
      <c r="FUO99" s="798"/>
      <c r="FUP99" s="798"/>
      <c r="FUQ99" s="798"/>
      <c r="FUR99" s="798"/>
      <c r="FUS99" s="798"/>
      <c r="FUT99" s="798"/>
      <c r="FUU99" s="798"/>
      <c r="FUV99" s="798"/>
      <c r="FUW99" s="798"/>
      <c r="FUX99" s="798"/>
      <c r="FUY99" s="798"/>
      <c r="FUZ99" s="798"/>
      <c r="FVA99" s="798"/>
      <c r="FVB99" s="798"/>
      <c r="FVC99" s="798"/>
      <c r="FVD99" s="798"/>
      <c r="FVE99" s="798"/>
      <c r="FVF99" s="798"/>
      <c r="FVG99" s="798"/>
      <c r="FVH99" s="798"/>
      <c r="FVI99" s="798"/>
      <c r="FVJ99" s="798"/>
      <c r="FVK99" s="798"/>
      <c r="FVL99" s="798"/>
      <c r="FVM99" s="798"/>
      <c r="FVN99" s="798"/>
      <c r="FVO99" s="798"/>
      <c r="FVP99" s="798"/>
      <c r="FVQ99" s="798"/>
      <c r="FVR99" s="798"/>
      <c r="FVS99" s="798"/>
      <c r="FVT99" s="798"/>
      <c r="FVU99" s="798"/>
      <c r="FVV99" s="798"/>
      <c r="FVW99" s="798"/>
      <c r="FVX99" s="798"/>
      <c r="FVY99" s="798"/>
      <c r="FVZ99" s="798"/>
      <c r="FWA99" s="798"/>
      <c r="FWB99" s="798"/>
      <c r="FWC99" s="798"/>
      <c r="FWD99" s="798"/>
      <c r="FWE99" s="798"/>
      <c r="FWF99" s="798"/>
      <c r="FWG99" s="798"/>
      <c r="FWH99" s="798"/>
      <c r="FWI99" s="798"/>
      <c r="FWJ99" s="798"/>
      <c r="FWK99" s="798"/>
      <c r="FWL99" s="798"/>
      <c r="FWM99" s="798"/>
      <c r="FWN99" s="798"/>
      <c r="FWO99" s="798"/>
      <c r="FWP99" s="798"/>
      <c r="FWQ99" s="798"/>
      <c r="FWR99" s="798"/>
      <c r="FWS99" s="798"/>
      <c r="FWT99" s="798"/>
      <c r="FWU99" s="798"/>
      <c r="FWV99" s="798"/>
      <c r="FWW99" s="798"/>
      <c r="FWX99" s="798"/>
      <c r="FWY99" s="798"/>
      <c r="FWZ99" s="798"/>
      <c r="FXA99" s="798"/>
      <c r="FXB99" s="798"/>
      <c r="FXC99" s="798"/>
      <c r="FXD99" s="798"/>
      <c r="FXE99" s="798"/>
      <c r="FXF99" s="798"/>
      <c r="FXG99" s="798"/>
      <c r="FXH99" s="798"/>
      <c r="FXI99" s="798"/>
      <c r="FXJ99" s="798"/>
      <c r="FXK99" s="798"/>
      <c r="FXL99" s="798"/>
      <c r="FXM99" s="798"/>
      <c r="FXN99" s="798"/>
      <c r="FXO99" s="798"/>
      <c r="FXP99" s="798"/>
      <c r="FXQ99" s="798"/>
      <c r="FXR99" s="798"/>
      <c r="FXS99" s="798"/>
      <c r="FXT99" s="798"/>
      <c r="FXU99" s="798"/>
      <c r="FXV99" s="798"/>
      <c r="FXW99" s="798"/>
      <c r="FXX99" s="798"/>
      <c r="FXY99" s="798"/>
      <c r="FXZ99" s="798"/>
      <c r="FYA99" s="798"/>
      <c r="FYB99" s="798"/>
      <c r="FYC99" s="798"/>
      <c r="FYD99" s="798"/>
      <c r="FYE99" s="798"/>
      <c r="FYF99" s="798"/>
      <c r="FYG99" s="798"/>
      <c r="FYH99" s="798"/>
      <c r="FYI99" s="798"/>
      <c r="FYJ99" s="798"/>
      <c r="FYK99" s="798"/>
      <c r="FYL99" s="798"/>
      <c r="FYM99" s="798"/>
      <c r="FYN99" s="798"/>
      <c r="FYO99" s="798"/>
      <c r="FYP99" s="798"/>
      <c r="FYQ99" s="798"/>
      <c r="FYR99" s="798"/>
      <c r="FYS99" s="798"/>
      <c r="FYT99" s="798"/>
      <c r="FYU99" s="798"/>
      <c r="FYV99" s="798"/>
      <c r="FYW99" s="798"/>
      <c r="FYX99" s="798"/>
      <c r="FYY99" s="798"/>
      <c r="FYZ99" s="798"/>
      <c r="FZA99" s="798"/>
      <c r="FZB99" s="798"/>
      <c r="FZC99" s="798"/>
      <c r="FZD99" s="798"/>
      <c r="FZE99" s="798"/>
      <c r="FZF99" s="798"/>
      <c r="FZG99" s="798"/>
      <c r="FZH99" s="798"/>
      <c r="FZI99" s="798"/>
      <c r="FZJ99" s="798"/>
      <c r="FZK99" s="798"/>
      <c r="FZL99" s="798"/>
      <c r="FZM99" s="798"/>
      <c r="FZN99" s="798"/>
      <c r="FZO99" s="798"/>
      <c r="FZP99" s="798"/>
      <c r="FZQ99" s="798"/>
      <c r="FZR99" s="798"/>
      <c r="FZS99" s="798"/>
      <c r="FZT99" s="798"/>
      <c r="FZU99" s="798"/>
      <c r="FZV99" s="798"/>
      <c r="FZW99" s="798"/>
      <c r="FZX99" s="798"/>
      <c r="FZY99" s="798"/>
      <c r="FZZ99" s="798"/>
      <c r="GAA99" s="798"/>
      <c r="GAB99" s="798"/>
      <c r="GAC99" s="798"/>
      <c r="GAD99" s="798"/>
      <c r="GAE99" s="798"/>
      <c r="GAF99" s="798"/>
      <c r="GAG99" s="798"/>
      <c r="GAH99" s="798"/>
      <c r="GAI99" s="798"/>
      <c r="GAJ99" s="798"/>
      <c r="GAK99" s="798"/>
      <c r="GAL99" s="798"/>
      <c r="GAM99" s="798"/>
      <c r="GAN99" s="798"/>
      <c r="GAO99" s="798"/>
      <c r="GAP99" s="798"/>
      <c r="GAQ99" s="798"/>
      <c r="GAR99" s="798"/>
      <c r="GAS99" s="798"/>
      <c r="GAT99" s="798"/>
      <c r="GAU99" s="798"/>
      <c r="GAV99" s="798"/>
      <c r="GAW99" s="798"/>
      <c r="GAX99" s="798"/>
      <c r="GAY99" s="798"/>
      <c r="GAZ99" s="798"/>
      <c r="GBA99" s="798"/>
      <c r="GBB99" s="798"/>
      <c r="GBC99" s="798"/>
      <c r="GBD99" s="798"/>
      <c r="GBE99" s="798"/>
      <c r="GBF99" s="798"/>
      <c r="GBG99" s="798"/>
      <c r="GBH99" s="798"/>
      <c r="GBI99" s="798"/>
      <c r="GBJ99" s="798"/>
      <c r="GBK99" s="798"/>
      <c r="GBL99" s="798"/>
      <c r="GBM99" s="798"/>
      <c r="GBN99" s="798"/>
      <c r="GBO99" s="798"/>
      <c r="GBP99" s="798"/>
      <c r="GBQ99" s="798"/>
      <c r="GBR99" s="798"/>
      <c r="GBS99" s="798"/>
      <c r="GBT99" s="798"/>
      <c r="GBU99" s="798"/>
      <c r="GBV99" s="798"/>
      <c r="GBW99" s="798"/>
      <c r="GBX99" s="798"/>
      <c r="GBY99" s="798"/>
      <c r="GBZ99" s="798"/>
      <c r="GCA99" s="798"/>
      <c r="GCB99" s="798"/>
      <c r="GCC99" s="798"/>
      <c r="GCD99" s="798"/>
      <c r="GCE99" s="798"/>
      <c r="GCF99" s="798"/>
      <c r="GCG99" s="798"/>
      <c r="GCH99" s="798"/>
      <c r="GCI99" s="798"/>
      <c r="GCJ99" s="798"/>
      <c r="GCK99" s="798"/>
      <c r="GCL99" s="798"/>
      <c r="GCM99" s="798"/>
      <c r="GCN99" s="798"/>
      <c r="GCO99" s="798"/>
      <c r="GCP99" s="798"/>
      <c r="GCQ99" s="798"/>
      <c r="GCR99" s="798"/>
      <c r="GCS99" s="798"/>
      <c r="GCT99" s="798"/>
      <c r="GCU99" s="798"/>
      <c r="GCV99" s="798"/>
      <c r="GCW99" s="798"/>
      <c r="GCX99" s="798"/>
      <c r="GCY99" s="798"/>
      <c r="GCZ99" s="798"/>
      <c r="GDA99" s="798"/>
      <c r="GDB99" s="798"/>
      <c r="GDC99" s="798"/>
      <c r="GDD99" s="798"/>
      <c r="GDE99" s="798"/>
      <c r="GDF99" s="798"/>
      <c r="GDG99" s="798"/>
      <c r="GDH99" s="798"/>
      <c r="GDI99" s="798"/>
      <c r="GDJ99" s="798"/>
      <c r="GDK99" s="798"/>
      <c r="GDL99" s="798"/>
      <c r="GDM99" s="798"/>
      <c r="GDN99" s="798"/>
      <c r="GDO99" s="798"/>
      <c r="GDP99" s="798"/>
      <c r="GDQ99" s="798"/>
      <c r="GDR99" s="798"/>
      <c r="GDS99" s="798"/>
      <c r="GDT99" s="798"/>
      <c r="GDU99" s="798"/>
      <c r="GDV99" s="798"/>
      <c r="GDW99" s="798"/>
      <c r="GDX99" s="798"/>
      <c r="GDY99" s="798"/>
      <c r="GDZ99" s="798"/>
      <c r="GEA99" s="798"/>
      <c r="GEB99" s="798"/>
      <c r="GEC99" s="798"/>
      <c r="GED99" s="798"/>
      <c r="GEE99" s="798"/>
      <c r="GEF99" s="798"/>
      <c r="GEG99" s="798"/>
      <c r="GEH99" s="798"/>
      <c r="GEI99" s="798"/>
      <c r="GEJ99" s="798"/>
      <c r="GEK99" s="798"/>
      <c r="GEL99" s="798"/>
      <c r="GEM99" s="798"/>
      <c r="GEN99" s="798"/>
      <c r="GEO99" s="798"/>
      <c r="GEP99" s="798"/>
      <c r="GEQ99" s="798"/>
      <c r="GER99" s="798"/>
      <c r="GES99" s="798"/>
      <c r="GET99" s="798"/>
      <c r="GEU99" s="798"/>
      <c r="GEV99" s="798"/>
      <c r="GEW99" s="798"/>
      <c r="GEX99" s="798"/>
      <c r="GEY99" s="798"/>
      <c r="GEZ99" s="798"/>
      <c r="GFA99" s="798"/>
      <c r="GFB99" s="798"/>
      <c r="GFC99" s="798"/>
      <c r="GFD99" s="798"/>
      <c r="GFE99" s="798"/>
      <c r="GFF99" s="798"/>
      <c r="GFG99" s="798"/>
      <c r="GFH99" s="798"/>
      <c r="GFI99" s="798"/>
      <c r="GFJ99" s="798"/>
      <c r="GFK99" s="798"/>
      <c r="GFL99" s="798"/>
      <c r="GFM99" s="798"/>
      <c r="GFN99" s="798"/>
      <c r="GFO99" s="798"/>
      <c r="GFP99" s="798"/>
      <c r="GFQ99" s="798"/>
      <c r="GFR99" s="798"/>
      <c r="GFS99" s="798"/>
      <c r="GFT99" s="798"/>
      <c r="GFU99" s="798"/>
      <c r="GFV99" s="798"/>
      <c r="GFW99" s="798"/>
      <c r="GFX99" s="798"/>
      <c r="GFY99" s="798"/>
      <c r="GFZ99" s="798"/>
      <c r="GGA99" s="798"/>
      <c r="GGB99" s="798"/>
      <c r="GGC99" s="798"/>
      <c r="GGD99" s="798"/>
      <c r="GGE99" s="798"/>
      <c r="GGF99" s="798"/>
      <c r="GGG99" s="798"/>
      <c r="GGH99" s="798"/>
      <c r="GGI99" s="798"/>
      <c r="GGJ99" s="798"/>
      <c r="GGK99" s="798"/>
      <c r="GGL99" s="798"/>
      <c r="GGM99" s="798"/>
      <c r="GGN99" s="798"/>
      <c r="GGO99" s="798"/>
      <c r="GGP99" s="798"/>
      <c r="GGQ99" s="798"/>
      <c r="GGR99" s="798"/>
      <c r="GGS99" s="798"/>
      <c r="GGT99" s="798"/>
      <c r="GGU99" s="798"/>
      <c r="GGV99" s="798"/>
      <c r="GGW99" s="798"/>
      <c r="GGX99" s="798"/>
      <c r="GGY99" s="798"/>
      <c r="GGZ99" s="798"/>
      <c r="GHA99" s="798"/>
      <c r="GHB99" s="798"/>
      <c r="GHC99" s="798"/>
      <c r="GHD99" s="798"/>
      <c r="GHE99" s="798"/>
      <c r="GHF99" s="798"/>
      <c r="GHG99" s="798"/>
      <c r="GHH99" s="798"/>
      <c r="GHI99" s="798"/>
      <c r="GHJ99" s="798"/>
      <c r="GHK99" s="798"/>
      <c r="GHL99" s="798"/>
      <c r="GHM99" s="798"/>
      <c r="GHN99" s="798"/>
      <c r="GHO99" s="798"/>
      <c r="GHP99" s="798"/>
      <c r="GHQ99" s="798"/>
      <c r="GHR99" s="798"/>
      <c r="GHS99" s="798"/>
      <c r="GHT99" s="798"/>
      <c r="GHU99" s="798"/>
      <c r="GHV99" s="798"/>
      <c r="GHW99" s="798"/>
      <c r="GHX99" s="798"/>
      <c r="GHY99" s="798"/>
      <c r="GHZ99" s="798"/>
      <c r="GIA99" s="798"/>
      <c r="GIB99" s="798"/>
      <c r="GIC99" s="798"/>
      <c r="GID99" s="798"/>
      <c r="GIE99" s="798"/>
      <c r="GIF99" s="798"/>
      <c r="GIG99" s="798"/>
      <c r="GIH99" s="798"/>
      <c r="GII99" s="798"/>
      <c r="GIJ99" s="798"/>
      <c r="GIK99" s="798"/>
      <c r="GIL99" s="798"/>
      <c r="GIM99" s="798"/>
      <c r="GIN99" s="798"/>
      <c r="GIO99" s="798"/>
      <c r="GIP99" s="798"/>
      <c r="GIQ99" s="798"/>
      <c r="GIR99" s="798"/>
      <c r="GIS99" s="798"/>
      <c r="GIT99" s="798"/>
      <c r="GIU99" s="798"/>
      <c r="GIV99" s="798"/>
      <c r="GIW99" s="798"/>
      <c r="GIX99" s="798"/>
      <c r="GIY99" s="798"/>
      <c r="GIZ99" s="798"/>
      <c r="GJA99" s="798"/>
      <c r="GJB99" s="798"/>
      <c r="GJC99" s="798"/>
      <c r="GJD99" s="798"/>
      <c r="GJE99" s="798"/>
      <c r="GJF99" s="798"/>
      <c r="GJG99" s="798"/>
      <c r="GJH99" s="798"/>
      <c r="GJI99" s="798"/>
      <c r="GJJ99" s="798"/>
      <c r="GJK99" s="798"/>
      <c r="GJL99" s="798"/>
      <c r="GJM99" s="798"/>
      <c r="GJN99" s="798"/>
      <c r="GJO99" s="798"/>
      <c r="GJP99" s="798"/>
      <c r="GJQ99" s="798"/>
      <c r="GJR99" s="798"/>
      <c r="GJS99" s="798"/>
      <c r="GJT99" s="798"/>
      <c r="GJU99" s="798"/>
      <c r="GJV99" s="798"/>
      <c r="GJW99" s="798"/>
      <c r="GJX99" s="798"/>
      <c r="GJY99" s="798"/>
      <c r="GJZ99" s="798"/>
      <c r="GKA99" s="798"/>
      <c r="GKB99" s="798"/>
      <c r="GKC99" s="798"/>
      <c r="GKD99" s="798"/>
      <c r="GKE99" s="798"/>
      <c r="GKF99" s="798"/>
      <c r="GKG99" s="798"/>
      <c r="GKH99" s="798"/>
      <c r="GKI99" s="798"/>
      <c r="GKJ99" s="798"/>
      <c r="GKK99" s="798"/>
      <c r="GKL99" s="798"/>
      <c r="GKM99" s="798"/>
      <c r="GKN99" s="798"/>
      <c r="GKO99" s="798"/>
      <c r="GKP99" s="798"/>
      <c r="GKQ99" s="798"/>
      <c r="GKR99" s="798"/>
      <c r="GKS99" s="798"/>
      <c r="GKT99" s="798"/>
      <c r="GKU99" s="798"/>
      <c r="GKV99" s="798"/>
      <c r="GKW99" s="798"/>
      <c r="GKX99" s="798"/>
      <c r="GKY99" s="798"/>
      <c r="GKZ99" s="798"/>
      <c r="GLA99" s="798"/>
      <c r="GLB99" s="798"/>
      <c r="GLC99" s="798"/>
      <c r="GLD99" s="798"/>
      <c r="GLE99" s="798"/>
      <c r="GLF99" s="798"/>
      <c r="GLG99" s="798"/>
      <c r="GLH99" s="798"/>
      <c r="GLI99" s="798"/>
      <c r="GLJ99" s="798"/>
      <c r="GLK99" s="798"/>
      <c r="GLL99" s="798"/>
      <c r="GLM99" s="798"/>
      <c r="GLN99" s="798"/>
      <c r="GLO99" s="798"/>
      <c r="GLP99" s="798"/>
      <c r="GLQ99" s="798"/>
      <c r="GLR99" s="798"/>
      <c r="GLS99" s="798"/>
      <c r="GLT99" s="798"/>
      <c r="GLU99" s="798"/>
      <c r="GLV99" s="798"/>
      <c r="GLW99" s="798"/>
      <c r="GLX99" s="798"/>
      <c r="GLY99" s="798"/>
      <c r="GLZ99" s="798"/>
      <c r="GMA99" s="798"/>
      <c r="GMB99" s="798"/>
      <c r="GMC99" s="798"/>
      <c r="GMD99" s="798"/>
      <c r="GME99" s="798"/>
      <c r="GMF99" s="798"/>
      <c r="GMG99" s="798"/>
      <c r="GMH99" s="798"/>
      <c r="GMI99" s="798"/>
      <c r="GMJ99" s="798"/>
      <c r="GMK99" s="798"/>
      <c r="GML99" s="798"/>
      <c r="GMM99" s="798"/>
      <c r="GMN99" s="798"/>
      <c r="GMO99" s="798"/>
      <c r="GMP99" s="798"/>
      <c r="GMQ99" s="798"/>
      <c r="GMR99" s="798"/>
      <c r="GMS99" s="798"/>
      <c r="GMT99" s="798"/>
      <c r="GMU99" s="798"/>
      <c r="GMV99" s="798"/>
      <c r="GMW99" s="798"/>
      <c r="GMX99" s="798"/>
      <c r="GMY99" s="798"/>
      <c r="GMZ99" s="798"/>
      <c r="GNA99" s="798"/>
      <c r="GNB99" s="798"/>
      <c r="GNC99" s="798"/>
      <c r="GND99" s="798"/>
      <c r="GNE99" s="798"/>
      <c r="GNF99" s="798"/>
      <c r="GNG99" s="798"/>
      <c r="GNH99" s="798"/>
      <c r="GNI99" s="798"/>
      <c r="GNJ99" s="798"/>
      <c r="GNK99" s="798"/>
      <c r="GNL99" s="798"/>
      <c r="GNM99" s="798"/>
      <c r="GNN99" s="798"/>
      <c r="GNO99" s="798"/>
      <c r="GNP99" s="798"/>
      <c r="GNQ99" s="798"/>
      <c r="GNR99" s="798"/>
      <c r="GNS99" s="798"/>
      <c r="GNT99" s="798"/>
      <c r="GNU99" s="798"/>
      <c r="GNV99" s="798"/>
      <c r="GNW99" s="798"/>
      <c r="GNX99" s="798"/>
      <c r="GNY99" s="798"/>
      <c r="GNZ99" s="798"/>
      <c r="GOA99" s="798"/>
      <c r="GOB99" s="798"/>
      <c r="GOC99" s="798"/>
      <c r="GOD99" s="798"/>
      <c r="GOE99" s="798"/>
      <c r="GOF99" s="798"/>
      <c r="GOG99" s="798"/>
      <c r="GOH99" s="798"/>
      <c r="GOI99" s="798"/>
      <c r="GOJ99" s="798"/>
      <c r="GOK99" s="798"/>
      <c r="GOL99" s="798"/>
      <c r="GOM99" s="798"/>
      <c r="GON99" s="798"/>
      <c r="GOO99" s="798"/>
      <c r="GOP99" s="798"/>
      <c r="GOQ99" s="798"/>
      <c r="GOR99" s="798"/>
      <c r="GOS99" s="798"/>
      <c r="GOT99" s="798"/>
      <c r="GOU99" s="798"/>
      <c r="GOV99" s="798"/>
      <c r="GOW99" s="798"/>
      <c r="GOX99" s="798"/>
      <c r="GOY99" s="798"/>
      <c r="GOZ99" s="798"/>
      <c r="GPA99" s="798"/>
      <c r="GPB99" s="798"/>
      <c r="GPC99" s="798"/>
      <c r="GPD99" s="798"/>
      <c r="GPE99" s="798"/>
      <c r="GPF99" s="798"/>
      <c r="GPG99" s="798"/>
      <c r="GPH99" s="798"/>
      <c r="GPI99" s="798"/>
      <c r="GPJ99" s="798"/>
      <c r="GPK99" s="798"/>
      <c r="GPL99" s="798"/>
      <c r="GPM99" s="798"/>
      <c r="GPN99" s="798"/>
      <c r="GPO99" s="798"/>
      <c r="GPP99" s="798"/>
      <c r="GPQ99" s="798"/>
      <c r="GPR99" s="798"/>
      <c r="GPS99" s="798"/>
      <c r="GPT99" s="798"/>
      <c r="GPU99" s="798"/>
      <c r="GPV99" s="798"/>
      <c r="GPW99" s="798"/>
      <c r="GPX99" s="798"/>
      <c r="GPY99" s="798"/>
      <c r="GPZ99" s="798"/>
      <c r="GQA99" s="798"/>
      <c r="GQB99" s="798"/>
      <c r="GQC99" s="798"/>
      <c r="GQD99" s="798"/>
      <c r="GQE99" s="798"/>
      <c r="GQF99" s="798"/>
      <c r="GQG99" s="798"/>
      <c r="GQH99" s="798"/>
      <c r="GQI99" s="798"/>
      <c r="GQJ99" s="798"/>
      <c r="GQK99" s="798"/>
      <c r="GQL99" s="798"/>
      <c r="GQM99" s="798"/>
      <c r="GQN99" s="798"/>
      <c r="GQO99" s="798"/>
      <c r="GQP99" s="798"/>
      <c r="GQQ99" s="798"/>
      <c r="GQR99" s="798"/>
      <c r="GQS99" s="798"/>
      <c r="GQT99" s="798"/>
      <c r="GQU99" s="798"/>
      <c r="GQV99" s="798"/>
      <c r="GQW99" s="798"/>
      <c r="GQX99" s="798"/>
      <c r="GQY99" s="798"/>
      <c r="GQZ99" s="798"/>
      <c r="GRA99" s="798"/>
      <c r="GRB99" s="798"/>
      <c r="GRC99" s="798"/>
      <c r="GRD99" s="798"/>
      <c r="GRE99" s="798"/>
      <c r="GRF99" s="798"/>
      <c r="GRG99" s="798"/>
      <c r="GRH99" s="798"/>
      <c r="GRI99" s="798"/>
      <c r="GRJ99" s="798"/>
      <c r="GRK99" s="798"/>
      <c r="GRL99" s="798"/>
      <c r="GRM99" s="798"/>
      <c r="GRN99" s="798"/>
      <c r="GRO99" s="798"/>
      <c r="GRP99" s="798"/>
      <c r="GRQ99" s="798"/>
      <c r="GRR99" s="798"/>
      <c r="GRS99" s="798"/>
      <c r="GRT99" s="798"/>
      <c r="GRU99" s="798"/>
      <c r="GRV99" s="798"/>
      <c r="GRW99" s="798"/>
      <c r="GRX99" s="798"/>
      <c r="GRY99" s="798"/>
      <c r="GRZ99" s="798"/>
      <c r="GSA99" s="798"/>
      <c r="GSB99" s="798"/>
      <c r="GSC99" s="798"/>
      <c r="GSD99" s="798"/>
      <c r="GSE99" s="798"/>
      <c r="GSF99" s="798"/>
      <c r="GSG99" s="798"/>
      <c r="GSH99" s="798"/>
      <c r="GSI99" s="798"/>
      <c r="GSJ99" s="798"/>
      <c r="GSK99" s="798"/>
      <c r="GSL99" s="798"/>
      <c r="GSM99" s="798"/>
      <c r="GSN99" s="798"/>
      <c r="GSO99" s="798"/>
      <c r="GSP99" s="798"/>
      <c r="GSQ99" s="798"/>
      <c r="GSR99" s="798"/>
      <c r="GSS99" s="798"/>
      <c r="GST99" s="798"/>
      <c r="GSU99" s="798"/>
      <c r="GSV99" s="798"/>
      <c r="GSW99" s="798"/>
      <c r="GSX99" s="798"/>
      <c r="GSY99" s="798"/>
      <c r="GSZ99" s="798"/>
      <c r="GTA99" s="798"/>
      <c r="GTB99" s="798"/>
      <c r="GTC99" s="798"/>
      <c r="GTD99" s="798"/>
      <c r="GTE99" s="798"/>
      <c r="GTF99" s="798"/>
      <c r="GTG99" s="798"/>
      <c r="GTH99" s="798"/>
      <c r="GTI99" s="798"/>
      <c r="GTJ99" s="798"/>
      <c r="GTK99" s="798"/>
      <c r="GTL99" s="798"/>
      <c r="GTM99" s="798"/>
      <c r="GTN99" s="798"/>
      <c r="GTO99" s="798"/>
      <c r="GTP99" s="798"/>
      <c r="GTQ99" s="798"/>
      <c r="GTR99" s="798"/>
      <c r="GTS99" s="798"/>
      <c r="GTT99" s="798"/>
      <c r="GTU99" s="798"/>
      <c r="GTV99" s="798"/>
      <c r="GTW99" s="798"/>
      <c r="GTX99" s="798"/>
      <c r="GTY99" s="798"/>
      <c r="GTZ99" s="798"/>
      <c r="GUA99" s="798"/>
      <c r="GUB99" s="798"/>
      <c r="GUC99" s="798"/>
      <c r="GUD99" s="798"/>
      <c r="GUE99" s="798"/>
      <c r="GUF99" s="798"/>
      <c r="GUG99" s="798"/>
      <c r="GUH99" s="798"/>
      <c r="GUI99" s="798"/>
      <c r="GUJ99" s="798"/>
      <c r="GUK99" s="798"/>
      <c r="GUL99" s="798"/>
      <c r="GUM99" s="798"/>
      <c r="GUN99" s="798"/>
      <c r="GUO99" s="798"/>
      <c r="GUP99" s="798"/>
      <c r="GUQ99" s="798"/>
      <c r="GUR99" s="798"/>
      <c r="GUS99" s="798"/>
      <c r="GUT99" s="798"/>
      <c r="GUU99" s="798"/>
      <c r="GUV99" s="798"/>
      <c r="GUW99" s="798"/>
      <c r="GUX99" s="798"/>
      <c r="GUY99" s="798"/>
      <c r="GUZ99" s="798"/>
      <c r="GVA99" s="798"/>
      <c r="GVB99" s="798"/>
      <c r="GVC99" s="798"/>
      <c r="GVD99" s="798"/>
      <c r="GVE99" s="798"/>
      <c r="GVF99" s="798"/>
      <c r="GVG99" s="798"/>
      <c r="GVH99" s="798"/>
      <c r="GVI99" s="798"/>
      <c r="GVJ99" s="798"/>
      <c r="GVK99" s="798"/>
      <c r="GVL99" s="798"/>
      <c r="GVM99" s="798"/>
      <c r="GVN99" s="798"/>
      <c r="GVO99" s="798"/>
      <c r="GVP99" s="798"/>
      <c r="GVQ99" s="798"/>
      <c r="GVR99" s="798"/>
      <c r="GVS99" s="798"/>
      <c r="GVT99" s="798"/>
      <c r="GVU99" s="798"/>
      <c r="GVV99" s="798"/>
      <c r="GVW99" s="798"/>
      <c r="GVX99" s="798"/>
      <c r="GVY99" s="798"/>
      <c r="GVZ99" s="798"/>
      <c r="GWA99" s="798"/>
      <c r="GWB99" s="798"/>
      <c r="GWC99" s="798"/>
      <c r="GWD99" s="798"/>
      <c r="GWE99" s="798"/>
      <c r="GWF99" s="798"/>
      <c r="GWG99" s="798"/>
      <c r="GWH99" s="798"/>
      <c r="GWI99" s="798"/>
      <c r="GWJ99" s="798"/>
      <c r="GWK99" s="798"/>
      <c r="GWL99" s="798"/>
      <c r="GWM99" s="798"/>
      <c r="GWN99" s="798"/>
      <c r="GWO99" s="798"/>
      <c r="GWP99" s="798"/>
      <c r="GWQ99" s="798"/>
      <c r="GWR99" s="798"/>
      <c r="GWS99" s="798"/>
      <c r="GWT99" s="798"/>
      <c r="GWU99" s="798"/>
      <c r="GWV99" s="798"/>
      <c r="GWW99" s="798"/>
      <c r="GWX99" s="798"/>
      <c r="GWY99" s="798"/>
      <c r="GWZ99" s="798"/>
      <c r="GXA99" s="798"/>
      <c r="GXB99" s="798"/>
      <c r="GXC99" s="798"/>
      <c r="GXD99" s="798"/>
      <c r="GXE99" s="798"/>
      <c r="GXF99" s="798"/>
      <c r="GXG99" s="798"/>
      <c r="GXH99" s="798"/>
      <c r="GXI99" s="798"/>
      <c r="GXJ99" s="798"/>
      <c r="GXK99" s="798"/>
      <c r="GXL99" s="798"/>
      <c r="GXM99" s="798"/>
      <c r="GXN99" s="798"/>
      <c r="GXO99" s="798"/>
      <c r="GXP99" s="798"/>
      <c r="GXQ99" s="798"/>
      <c r="GXR99" s="798"/>
      <c r="GXS99" s="798"/>
      <c r="GXT99" s="798"/>
      <c r="GXU99" s="798"/>
      <c r="GXV99" s="798"/>
      <c r="GXW99" s="798"/>
      <c r="GXX99" s="798"/>
      <c r="GXY99" s="798"/>
      <c r="GXZ99" s="798"/>
      <c r="GYA99" s="798"/>
      <c r="GYB99" s="798"/>
      <c r="GYC99" s="798"/>
      <c r="GYD99" s="798"/>
      <c r="GYE99" s="798"/>
      <c r="GYF99" s="798"/>
      <c r="GYG99" s="798"/>
      <c r="GYH99" s="798"/>
      <c r="GYI99" s="798"/>
      <c r="GYJ99" s="798"/>
      <c r="GYK99" s="798"/>
      <c r="GYL99" s="798"/>
      <c r="GYM99" s="798"/>
      <c r="GYN99" s="798"/>
      <c r="GYO99" s="798"/>
      <c r="GYP99" s="798"/>
      <c r="GYQ99" s="798"/>
      <c r="GYR99" s="798"/>
      <c r="GYS99" s="798"/>
      <c r="GYT99" s="798"/>
      <c r="GYU99" s="798"/>
      <c r="GYV99" s="798"/>
      <c r="GYW99" s="798"/>
      <c r="GYX99" s="798"/>
      <c r="GYY99" s="798"/>
      <c r="GYZ99" s="798"/>
      <c r="GZA99" s="798"/>
      <c r="GZB99" s="798"/>
      <c r="GZC99" s="798"/>
      <c r="GZD99" s="798"/>
      <c r="GZE99" s="798"/>
      <c r="GZF99" s="798"/>
      <c r="GZG99" s="798"/>
      <c r="GZH99" s="798"/>
      <c r="GZI99" s="798"/>
      <c r="GZJ99" s="798"/>
      <c r="GZK99" s="798"/>
      <c r="GZL99" s="798"/>
      <c r="GZM99" s="798"/>
      <c r="GZN99" s="798"/>
      <c r="GZO99" s="798"/>
      <c r="GZP99" s="798"/>
      <c r="GZQ99" s="798"/>
      <c r="GZR99" s="798"/>
      <c r="GZS99" s="798"/>
      <c r="GZT99" s="798"/>
      <c r="GZU99" s="798"/>
      <c r="GZV99" s="798"/>
      <c r="GZW99" s="798"/>
      <c r="GZX99" s="798"/>
      <c r="GZY99" s="798"/>
      <c r="GZZ99" s="798"/>
      <c r="HAA99" s="798"/>
      <c r="HAB99" s="798"/>
      <c r="HAC99" s="798"/>
      <c r="HAD99" s="798"/>
      <c r="HAE99" s="798"/>
      <c r="HAF99" s="798"/>
      <c r="HAG99" s="798"/>
      <c r="HAH99" s="798"/>
      <c r="HAI99" s="798"/>
      <c r="HAJ99" s="798"/>
      <c r="HAK99" s="798"/>
      <c r="HAL99" s="798"/>
      <c r="HAM99" s="798"/>
      <c r="HAN99" s="798"/>
      <c r="HAO99" s="798"/>
      <c r="HAP99" s="798"/>
      <c r="HAQ99" s="798"/>
      <c r="HAR99" s="798"/>
      <c r="HAS99" s="798"/>
      <c r="HAT99" s="798"/>
      <c r="HAU99" s="798"/>
      <c r="HAV99" s="798"/>
      <c r="HAW99" s="798"/>
      <c r="HAX99" s="798"/>
      <c r="HAY99" s="798"/>
      <c r="HAZ99" s="798"/>
      <c r="HBA99" s="798"/>
      <c r="HBB99" s="798"/>
      <c r="HBC99" s="798"/>
      <c r="HBD99" s="798"/>
      <c r="HBE99" s="798"/>
      <c r="HBF99" s="798"/>
      <c r="HBG99" s="798"/>
      <c r="HBH99" s="798"/>
      <c r="HBI99" s="798"/>
      <c r="HBJ99" s="798"/>
      <c r="HBK99" s="798"/>
      <c r="HBL99" s="798"/>
      <c r="HBM99" s="798"/>
      <c r="HBN99" s="798"/>
      <c r="HBO99" s="798"/>
      <c r="HBP99" s="798"/>
      <c r="HBQ99" s="798"/>
      <c r="HBR99" s="798"/>
      <c r="HBS99" s="798"/>
      <c r="HBT99" s="798"/>
      <c r="HBU99" s="798"/>
      <c r="HBV99" s="798"/>
      <c r="HBW99" s="798"/>
      <c r="HBX99" s="798"/>
      <c r="HBY99" s="798"/>
      <c r="HBZ99" s="798"/>
      <c r="HCA99" s="798"/>
      <c r="HCB99" s="798"/>
      <c r="HCC99" s="798"/>
      <c r="HCD99" s="798"/>
      <c r="HCE99" s="798"/>
      <c r="HCF99" s="798"/>
      <c r="HCG99" s="798"/>
      <c r="HCH99" s="798"/>
      <c r="HCI99" s="798"/>
      <c r="HCJ99" s="798"/>
      <c r="HCK99" s="798"/>
      <c r="HCL99" s="798"/>
      <c r="HCM99" s="798"/>
      <c r="HCN99" s="798"/>
      <c r="HCO99" s="798"/>
      <c r="HCP99" s="798"/>
      <c r="HCQ99" s="798"/>
      <c r="HCR99" s="798"/>
      <c r="HCS99" s="798"/>
      <c r="HCT99" s="798"/>
      <c r="HCU99" s="798"/>
      <c r="HCV99" s="798"/>
      <c r="HCW99" s="798"/>
      <c r="HCX99" s="798"/>
      <c r="HCY99" s="798"/>
      <c r="HCZ99" s="798"/>
      <c r="HDA99" s="798"/>
      <c r="HDB99" s="798"/>
      <c r="HDC99" s="798"/>
      <c r="HDD99" s="798"/>
      <c r="HDE99" s="798"/>
      <c r="HDF99" s="798"/>
      <c r="HDG99" s="798"/>
      <c r="HDH99" s="798"/>
      <c r="HDI99" s="798"/>
      <c r="HDJ99" s="798"/>
      <c r="HDK99" s="798"/>
      <c r="HDL99" s="798"/>
      <c r="HDM99" s="798"/>
      <c r="HDN99" s="798"/>
      <c r="HDO99" s="798"/>
      <c r="HDP99" s="798"/>
      <c r="HDQ99" s="798"/>
      <c r="HDR99" s="798"/>
      <c r="HDS99" s="798"/>
      <c r="HDT99" s="798"/>
      <c r="HDU99" s="798"/>
      <c r="HDV99" s="798"/>
      <c r="HDW99" s="798"/>
      <c r="HDX99" s="798"/>
      <c r="HDY99" s="798"/>
      <c r="HDZ99" s="798"/>
      <c r="HEA99" s="798"/>
      <c r="HEB99" s="798"/>
      <c r="HEC99" s="798"/>
      <c r="HED99" s="798"/>
      <c r="HEE99" s="798"/>
      <c r="HEF99" s="798"/>
      <c r="HEG99" s="798"/>
      <c r="HEH99" s="798"/>
      <c r="HEI99" s="798"/>
      <c r="HEJ99" s="798"/>
      <c r="HEK99" s="798"/>
      <c r="HEL99" s="798"/>
      <c r="HEM99" s="798"/>
      <c r="HEN99" s="798"/>
      <c r="HEO99" s="798"/>
      <c r="HEP99" s="798"/>
      <c r="HEQ99" s="798"/>
      <c r="HER99" s="798"/>
      <c r="HES99" s="798"/>
      <c r="HET99" s="798"/>
      <c r="HEU99" s="798"/>
      <c r="HEV99" s="798"/>
      <c r="HEW99" s="798"/>
      <c r="HEX99" s="798"/>
      <c r="HEY99" s="798"/>
      <c r="HEZ99" s="798"/>
      <c r="HFA99" s="798"/>
      <c r="HFB99" s="798"/>
      <c r="HFC99" s="798"/>
      <c r="HFD99" s="798"/>
      <c r="HFE99" s="798"/>
      <c r="HFF99" s="798"/>
      <c r="HFG99" s="798"/>
      <c r="HFH99" s="798"/>
      <c r="HFI99" s="798"/>
      <c r="HFJ99" s="798"/>
      <c r="HFK99" s="798"/>
      <c r="HFL99" s="798"/>
      <c r="HFM99" s="798"/>
      <c r="HFN99" s="798"/>
      <c r="HFO99" s="798"/>
      <c r="HFP99" s="798"/>
      <c r="HFQ99" s="798"/>
      <c r="HFR99" s="798"/>
      <c r="HFS99" s="798"/>
      <c r="HFT99" s="798"/>
      <c r="HFU99" s="798"/>
      <c r="HFV99" s="798"/>
      <c r="HFW99" s="798"/>
      <c r="HFX99" s="798"/>
      <c r="HFY99" s="798"/>
      <c r="HFZ99" s="798"/>
      <c r="HGA99" s="798"/>
      <c r="HGB99" s="798"/>
      <c r="HGC99" s="798"/>
      <c r="HGD99" s="798"/>
      <c r="HGE99" s="798"/>
      <c r="HGF99" s="798"/>
      <c r="HGG99" s="798"/>
      <c r="HGH99" s="798"/>
      <c r="HGI99" s="798"/>
      <c r="HGJ99" s="798"/>
      <c r="HGK99" s="798"/>
      <c r="HGL99" s="798"/>
      <c r="HGM99" s="798"/>
      <c r="HGN99" s="798"/>
      <c r="HGO99" s="798"/>
      <c r="HGP99" s="798"/>
      <c r="HGQ99" s="798"/>
      <c r="HGR99" s="798"/>
      <c r="HGS99" s="798"/>
      <c r="HGT99" s="798"/>
      <c r="HGU99" s="798"/>
      <c r="HGV99" s="798"/>
      <c r="HGW99" s="798"/>
      <c r="HGX99" s="798"/>
      <c r="HGY99" s="798"/>
      <c r="HGZ99" s="798"/>
      <c r="HHA99" s="798"/>
      <c r="HHB99" s="798"/>
      <c r="HHC99" s="798"/>
      <c r="HHD99" s="798"/>
      <c r="HHE99" s="798"/>
      <c r="HHF99" s="798"/>
      <c r="HHG99" s="798"/>
      <c r="HHH99" s="798"/>
      <c r="HHI99" s="798"/>
      <c r="HHJ99" s="798"/>
      <c r="HHK99" s="798"/>
      <c r="HHL99" s="798"/>
      <c r="HHM99" s="798"/>
      <c r="HHN99" s="798"/>
      <c r="HHO99" s="798"/>
      <c r="HHP99" s="798"/>
      <c r="HHQ99" s="798"/>
      <c r="HHR99" s="798"/>
      <c r="HHS99" s="798"/>
      <c r="HHT99" s="798"/>
      <c r="HHU99" s="798"/>
      <c r="HHV99" s="798"/>
      <c r="HHW99" s="798"/>
      <c r="HHX99" s="798"/>
      <c r="HHY99" s="798"/>
      <c r="HHZ99" s="798"/>
      <c r="HIA99" s="798"/>
      <c r="HIB99" s="798"/>
      <c r="HIC99" s="798"/>
      <c r="HID99" s="798"/>
      <c r="HIE99" s="798"/>
      <c r="HIF99" s="798"/>
      <c r="HIG99" s="798"/>
      <c r="HIH99" s="798"/>
      <c r="HII99" s="798"/>
      <c r="HIJ99" s="798"/>
      <c r="HIK99" s="798"/>
      <c r="HIL99" s="798"/>
      <c r="HIM99" s="798"/>
      <c r="HIN99" s="798"/>
      <c r="HIO99" s="798"/>
      <c r="HIP99" s="798"/>
      <c r="HIQ99" s="798"/>
      <c r="HIR99" s="798"/>
      <c r="HIS99" s="798"/>
      <c r="HIT99" s="798"/>
      <c r="HIU99" s="798"/>
      <c r="HIV99" s="798"/>
      <c r="HIW99" s="798"/>
      <c r="HIX99" s="798"/>
      <c r="HIY99" s="798"/>
      <c r="HIZ99" s="798"/>
      <c r="HJA99" s="798"/>
      <c r="HJB99" s="798"/>
      <c r="HJC99" s="798"/>
      <c r="HJD99" s="798"/>
      <c r="HJE99" s="798"/>
      <c r="HJF99" s="798"/>
      <c r="HJG99" s="798"/>
      <c r="HJH99" s="798"/>
      <c r="HJI99" s="798"/>
      <c r="HJJ99" s="798"/>
      <c r="HJK99" s="798"/>
      <c r="HJL99" s="798"/>
      <c r="HJM99" s="798"/>
      <c r="HJN99" s="798"/>
      <c r="HJO99" s="798"/>
      <c r="HJP99" s="798"/>
      <c r="HJQ99" s="798"/>
      <c r="HJR99" s="798"/>
      <c r="HJS99" s="798"/>
      <c r="HJT99" s="798"/>
      <c r="HJU99" s="798"/>
      <c r="HJV99" s="798"/>
      <c r="HJW99" s="798"/>
      <c r="HJX99" s="798"/>
      <c r="HJY99" s="798"/>
      <c r="HJZ99" s="798"/>
      <c r="HKA99" s="798"/>
      <c r="HKB99" s="798"/>
      <c r="HKC99" s="798"/>
      <c r="HKD99" s="798"/>
      <c r="HKE99" s="798"/>
      <c r="HKF99" s="798"/>
      <c r="HKG99" s="798"/>
      <c r="HKH99" s="798"/>
      <c r="HKI99" s="798"/>
      <c r="HKJ99" s="798"/>
      <c r="HKK99" s="798"/>
      <c r="HKL99" s="798"/>
      <c r="HKM99" s="798"/>
      <c r="HKN99" s="798"/>
      <c r="HKO99" s="798"/>
      <c r="HKP99" s="798"/>
      <c r="HKQ99" s="798"/>
      <c r="HKR99" s="798"/>
      <c r="HKS99" s="798"/>
      <c r="HKT99" s="798"/>
      <c r="HKU99" s="798"/>
      <c r="HKV99" s="798"/>
      <c r="HKW99" s="798"/>
      <c r="HKX99" s="798"/>
      <c r="HKY99" s="798"/>
      <c r="HKZ99" s="798"/>
      <c r="HLA99" s="798"/>
      <c r="HLB99" s="798"/>
      <c r="HLC99" s="798"/>
      <c r="HLD99" s="798"/>
      <c r="HLE99" s="798"/>
      <c r="HLF99" s="798"/>
      <c r="HLG99" s="798"/>
      <c r="HLH99" s="798"/>
      <c r="HLI99" s="798"/>
      <c r="HLJ99" s="798"/>
      <c r="HLK99" s="798"/>
      <c r="HLL99" s="798"/>
      <c r="HLM99" s="798"/>
      <c r="HLN99" s="798"/>
      <c r="HLO99" s="798"/>
      <c r="HLP99" s="798"/>
      <c r="HLQ99" s="798"/>
      <c r="HLR99" s="798"/>
      <c r="HLS99" s="798"/>
      <c r="HLT99" s="798"/>
      <c r="HLU99" s="798"/>
      <c r="HLV99" s="798"/>
      <c r="HLW99" s="798"/>
      <c r="HLX99" s="798"/>
      <c r="HLY99" s="798"/>
      <c r="HLZ99" s="798"/>
      <c r="HMA99" s="798"/>
      <c r="HMB99" s="798"/>
      <c r="HMC99" s="798"/>
      <c r="HMD99" s="798"/>
      <c r="HME99" s="798"/>
      <c r="HMF99" s="798"/>
      <c r="HMG99" s="798"/>
      <c r="HMH99" s="798"/>
      <c r="HMI99" s="798"/>
      <c r="HMJ99" s="798"/>
      <c r="HMK99" s="798"/>
      <c r="HML99" s="798"/>
      <c r="HMM99" s="798"/>
      <c r="HMN99" s="798"/>
      <c r="HMO99" s="798"/>
      <c r="HMP99" s="798"/>
      <c r="HMQ99" s="798"/>
      <c r="HMR99" s="798"/>
      <c r="HMS99" s="798"/>
      <c r="HMT99" s="798"/>
      <c r="HMU99" s="798"/>
      <c r="HMV99" s="798"/>
      <c r="HMW99" s="798"/>
      <c r="HMX99" s="798"/>
      <c r="HMY99" s="798"/>
      <c r="HMZ99" s="798"/>
      <c r="HNA99" s="798"/>
      <c r="HNB99" s="798"/>
      <c r="HNC99" s="798"/>
      <c r="HND99" s="798"/>
      <c r="HNE99" s="798"/>
      <c r="HNF99" s="798"/>
      <c r="HNG99" s="798"/>
      <c r="HNH99" s="798"/>
      <c r="HNI99" s="798"/>
      <c r="HNJ99" s="798"/>
      <c r="HNK99" s="798"/>
      <c r="HNL99" s="798"/>
      <c r="HNM99" s="798"/>
      <c r="HNN99" s="798"/>
      <c r="HNO99" s="798"/>
      <c r="HNP99" s="798"/>
      <c r="HNQ99" s="798"/>
      <c r="HNR99" s="798"/>
      <c r="HNS99" s="798"/>
      <c r="HNT99" s="798"/>
      <c r="HNU99" s="798"/>
      <c r="HNV99" s="798"/>
      <c r="HNW99" s="798"/>
      <c r="HNX99" s="798"/>
      <c r="HNY99" s="798"/>
      <c r="HNZ99" s="798"/>
      <c r="HOA99" s="798"/>
      <c r="HOB99" s="798"/>
      <c r="HOC99" s="798"/>
      <c r="HOD99" s="798"/>
      <c r="HOE99" s="798"/>
      <c r="HOF99" s="798"/>
      <c r="HOG99" s="798"/>
      <c r="HOH99" s="798"/>
      <c r="HOI99" s="798"/>
      <c r="HOJ99" s="798"/>
      <c r="HOK99" s="798"/>
      <c r="HOL99" s="798"/>
      <c r="HOM99" s="798"/>
      <c r="HON99" s="798"/>
      <c r="HOO99" s="798"/>
      <c r="HOP99" s="798"/>
      <c r="HOQ99" s="798"/>
      <c r="HOR99" s="798"/>
      <c r="HOS99" s="798"/>
      <c r="HOT99" s="798"/>
      <c r="HOU99" s="798"/>
      <c r="HOV99" s="798"/>
      <c r="HOW99" s="798"/>
      <c r="HOX99" s="798"/>
      <c r="HOY99" s="798"/>
      <c r="HOZ99" s="798"/>
      <c r="HPA99" s="798"/>
      <c r="HPB99" s="798"/>
      <c r="HPC99" s="798"/>
      <c r="HPD99" s="798"/>
      <c r="HPE99" s="798"/>
      <c r="HPF99" s="798"/>
      <c r="HPG99" s="798"/>
      <c r="HPH99" s="798"/>
      <c r="HPI99" s="798"/>
      <c r="HPJ99" s="798"/>
      <c r="HPK99" s="798"/>
      <c r="HPL99" s="798"/>
      <c r="HPM99" s="798"/>
      <c r="HPN99" s="798"/>
      <c r="HPO99" s="798"/>
      <c r="HPP99" s="798"/>
      <c r="HPQ99" s="798"/>
      <c r="HPR99" s="798"/>
      <c r="HPS99" s="798"/>
      <c r="HPT99" s="798"/>
      <c r="HPU99" s="798"/>
      <c r="HPV99" s="798"/>
      <c r="HPW99" s="798"/>
      <c r="HPX99" s="798"/>
      <c r="HPY99" s="798"/>
      <c r="HPZ99" s="798"/>
      <c r="HQA99" s="798"/>
      <c r="HQB99" s="798"/>
      <c r="HQC99" s="798"/>
      <c r="HQD99" s="798"/>
      <c r="HQE99" s="798"/>
      <c r="HQF99" s="798"/>
      <c r="HQG99" s="798"/>
      <c r="HQH99" s="798"/>
      <c r="HQI99" s="798"/>
      <c r="HQJ99" s="798"/>
      <c r="HQK99" s="798"/>
      <c r="HQL99" s="798"/>
      <c r="HQM99" s="798"/>
      <c r="HQN99" s="798"/>
      <c r="HQO99" s="798"/>
      <c r="HQP99" s="798"/>
      <c r="HQQ99" s="798"/>
      <c r="HQR99" s="798"/>
      <c r="HQS99" s="798"/>
      <c r="HQT99" s="798"/>
      <c r="HQU99" s="798"/>
      <c r="HQV99" s="798"/>
      <c r="HQW99" s="798"/>
      <c r="HQX99" s="798"/>
      <c r="HQY99" s="798"/>
      <c r="HQZ99" s="798"/>
      <c r="HRA99" s="798"/>
      <c r="HRB99" s="798"/>
      <c r="HRC99" s="798"/>
      <c r="HRD99" s="798"/>
      <c r="HRE99" s="798"/>
      <c r="HRF99" s="798"/>
      <c r="HRG99" s="798"/>
      <c r="HRH99" s="798"/>
      <c r="HRI99" s="798"/>
      <c r="HRJ99" s="798"/>
      <c r="HRK99" s="798"/>
      <c r="HRL99" s="798"/>
      <c r="HRM99" s="798"/>
      <c r="HRN99" s="798"/>
      <c r="HRO99" s="798"/>
      <c r="HRP99" s="798"/>
      <c r="HRQ99" s="798"/>
      <c r="HRR99" s="798"/>
      <c r="HRS99" s="798"/>
      <c r="HRT99" s="798"/>
      <c r="HRU99" s="798"/>
      <c r="HRV99" s="798"/>
      <c r="HRW99" s="798"/>
      <c r="HRX99" s="798"/>
      <c r="HRY99" s="798"/>
      <c r="HRZ99" s="798"/>
      <c r="HSA99" s="798"/>
      <c r="HSB99" s="798"/>
      <c r="HSC99" s="798"/>
      <c r="HSD99" s="798"/>
      <c r="HSE99" s="798"/>
      <c r="HSF99" s="798"/>
      <c r="HSG99" s="798"/>
      <c r="HSH99" s="798"/>
      <c r="HSI99" s="798"/>
      <c r="HSJ99" s="798"/>
      <c r="HSK99" s="798"/>
      <c r="HSL99" s="798"/>
      <c r="HSM99" s="798"/>
      <c r="HSN99" s="798"/>
      <c r="HSO99" s="798"/>
      <c r="HSP99" s="798"/>
      <c r="HSQ99" s="798"/>
      <c r="HSR99" s="798"/>
      <c r="HSS99" s="798"/>
      <c r="HST99" s="798"/>
      <c r="HSU99" s="798"/>
      <c r="HSV99" s="798"/>
      <c r="HSW99" s="798"/>
      <c r="HSX99" s="798"/>
      <c r="HSY99" s="798"/>
      <c r="HSZ99" s="798"/>
      <c r="HTA99" s="798"/>
      <c r="HTB99" s="798"/>
      <c r="HTC99" s="798"/>
      <c r="HTD99" s="798"/>
      <c r="HTE99" s="798"/>
      <c r="HTF99" s="798"/>
      <c r="HTG99" s="798"/>
      <c r="HTH99" s="798"/>
      <c r="HTI99" s="798"/>
      <c r="HTJ99" s="798"/>
      <c r="HTK99" s="798"/>
      <c r="HTL99" s="798"/>
      <c r="HTM99" s="798"/>
      <c r="HTN99" s="798"/>
      <c r="HTO99" s="798"/>
      <c r="HTP99" s="798"/>
      <c r="HTQ99" s="798"/>
      <c r="HTR99" s="798"/>
      <c r="HTS99" s="798"/>
      <c r="HTT99" s="798"/>
      <c r="HTU99" s="798"/>
      <c r="HTV99" s="798"/>
      <c r="HTW99" s="798"/>
      <c r="HTX99" s="798"/>
      <c r="HTY99" s="798"/>
      <c r="HTZ99" s="798"/>
      <c r="HUA99" s="798"/>
      <c r="HUB99" s="798"/>
      <c r="HUC99" s="798"/>
      <c r="HUD99" s="798"/>
      <c r="HUE99" s="798"/>
      <c r="HUF99" s="798"/>
      <c r="HUG99" s="798"/>
      <c r="HUH99" s="798"/>
      <c r="HUI99" s="798"/>
      <c r="HUJ99" s="798"/>
      <c r="HUK99" s="798"/>
      <c r="HUL99" s="798"/>
      <c r="HUM99" s="798"/>
      <c r="HUN99" s="798"/>
      <c r="HUO99" s="798"/>
      <c r="HUP99" s="798"/>
      <c r="HUQ99" s="798"/>
      <c r="HUR99" s="798"/>
      <c r="HUS99" s="798"/>
      <c r="HUT99" s="798"/>
      <c r="HUU99" s="798"/>
      <c r="HUV99" s="798"/>
      <c r="HUW99" s="798"/>
      <c r="HUX99" s="798"/>
      <c r="HUY99" s="798"/>
      <c r="HUZ99" s="798"/>
      <c r="HVA99" s="798"/>
      <c r="HVB99" s="798"/>
      <c r="HVC99" s="798"/>
      <c r="HVD99" s="798"/>
      <c r="HVE99" s="798"/>
      <c r="HVF99" s="798"/>
      <c r="HVG99" s="798"/>
      <c r="HVH99" s="798"/>
      <c r="HVI99" s="798"/>
      <c r="HVJ99" s="798"/>
      <c r="HVK99" s="798"/>
      <c r="HVL99" s="798"/>
      <c r="HVM99" s="798"/>
      <c r="HVN99" s="798"/>
      <c r="HVO99" s="798"/>
      <c r="HVP99" s="798"/>
      <c r="HVQ99" s="798"/>
      <c r="HVR99" s="798"/>
      <c r="HVS99" s="798"/>
      <c r="HVT99" s="798"/>
      <c r="HVU99" s="798"/>
      <c r="HVV99" s="798"/>
      <c r="HVW99" s="798"/>
      <c r="HVX99" s="798"/>
      <c r="HVY99" s="798"/>
      <c r="HVZ99" s="798"/>
      <c r="HWA99" s="798"/>
      <c r="HWB99" s="798"/>
      <c r="HWC99" s="798"/>
      <c r="HWD99" s="798"/>
      <c r="HWE99" s="798"/>
      <c r="HWF99" s="798"/>
      <c r="HWG99" s="798"/>
      <c r="HWH99" s="798"/>
      <c r="HWI99" s="798"/>
      <c r="HWJ99" s="798"/>
      <c r="HWK99" s="798"/>
      <c r="HWL99" s="798"/>
      <c r="HWM99" s="798"/>
      <c r="HWN99" s="798"/>
      <c r="HWO99" s="798"/>
      <c r="HWP99" s="798"/>
      <c r="HWQ99" s="798"/>
      <c r="HWR99" s="798"/>
      <c r="HWS99" s="798"/>
      <c r="HWT99" s="798"/>
      <c r="HWU99" s="798"/>
      <c r="HWV99" s="798"/>
      <c r="HWW99" s="798"/>
      <c r="HWX99" s="798"/>
      <c r="HWY99" s="798"/>
      <c r="HWZ99" s="798"/>
      <c r="HXA99" s="798"/>
      <c r="HXB99" s="798"/>
      <c r="HXC99" s="798"/>
      <c r="HXD99" s="798"/>
      <c r="HXE99" s="798"/>
      <c r="HXF99" s="798"/>
      <c r="HXG99" s="798"/>
      <c r="HXH99" s="798"/>
      <c r="HXI99" s="798"/>
      <c r="HXJ99" s="798"/>
      <c r="HXK99" s="798"/>
      <c r="HXL99" s="798"/>
      <c r="HXM99" s="798"/>
      <c r="HXN99" s="798"/>
      <c r="HXO99" s="798"/>
      <c r="HXP99" s="798"/>
      <c r="HXQ99" s="798"/>
      <c r="HXR99" s="798"/>
      <c r="HXS99" s="798"/>
      <c r="HXT99" s="798"/>
      <c r="HXU99" s="798"/>
      <c r="HXV99" s="798"/>
      <c r="HXW99" s="798"/>
      <c r="HXX99" s="798"/>
      <c r="HXY99" s="798"/>
      <c r="HXZ99" s="798"/>
      <c r="HYA99" s="798"/>
      <c r="HYB99" s="798"/>
      <c r="HYC99" s="798"/>
      <c r="HYD99" s="798"/>
      <c r="HYE99" s="798"/>
      <c r="HYF99" s="798"/>
      <c r="HYG99" s="798"/>
      <c r="HYH99" s="798"/>
      <c r="HYI99" s="798"/>
      <c r="HYJ99" s="798"/>
      <c r="HYK99" s="798"/>
      <c r="HYL99" s="798"/>
      <c r="HYM99" s="798"/>
      <c r="HYN99" s="798"/>
      <c r="HYO99" s="798"/>
      <c r="HYP99" s="798"/>
      <c r="HYQ99" s="798"/>
      <c r="HYR99" s="798"/>
      <c r="HYS99" s="798"/>
      <c r="HYT99" s="798"/>
      <c r="HYU99" s="798"/>
      <c r="HYV99" s="798"/>
      <c r="HYW99" s="798"/>
      <c r="HYX99" s="798"/>
      <c r="HYY99" s="798"/>
      <c r="HYZ99" s="798"/>
      <c r="HZA99" s="798"/>
      <c r="HZB99" s="798"/>
      <c r="HZC99" s="798"/>
      <c r="HZD99" s="798"/>
      <c r="HZE99" s="798"/>
      <c r="HZF99" s="798"/>
      <c r="HZG99" s="798"/>
      <c r="HZH99" s="798"/>
      <c r="HZI99" s="798"/>
      <c r="HZJ99" s="798"/>
      <c r="HZK99" s="798"/>
      <c r="HZL99" s="798"/>
      <c r="HZM99" s="798"/>
      <c r="HZN99" s="798"/>
      <c r="HZO99" s="798"/>
      <c r="HZP99" s="798"/>
      <c r="HZQ99" s="798"/>
      <c r="HZR99" s="798"/>
      <c r="HZS99" s="798"/>
      <c r="HZT99" s="798"/>
      <c r="HZU99" s="798"/>
      <c r="HZV99" s="798"/>
      <c r="HZW99" s="798"/>
      <c r="HZX99" s="798"/>
      <c r="HZY99" s="798"/>
      <c r="HZZ99" s="798"/>
      <c r="IAA99" s="798"/>
      <c r="IAB99" s="798"/>
      <c r="IAC99" s="798"/>
      <c r="IAD99" s="798"/>
      <c r="IAE99" s="798"/>
      <c r="IAF99" s="798"/>
      <c r="IAG99" s="798"/>
      <c r="IAH99" s="798"/>
      <c r="IAI99" s="798"/>
      <c r="IAJ99" s="798"/>
      <c r="IAK99" s="798"/>
      <c r="IAL99" s="798"/>
      <c r="IAM99" s="798"/>
      <c r="IAN99" s="798"/>
      <c r="IAO99" s="798"/>
      <c r="IAP99" s="798"/>
      <c r="IAQ99" s="798"/>
      <c r="IAR99" s="798"/>
      <c r="IAS99" s="798"/>
      <c r="IAT99" s="798"/>
      <c r="IAU99" s="798"/>
      <c r="IAV99" s="798"/>
      <c r="IAW99" s="798"/>
      <c r="IAX99" s="798"/>
      <c r="IAY99" s="798"/>
      <c r="IAZ99" s="798"/>
      <c r="IBA99" s="798"/>
      <c r="IBB99" s="798"/>
      <c r="IBC99" s="798"/>
      <c r="IBD99" s="798"/>
      <c r="IBE99" s="798"/>
      <c r="IBF99" s="798"/>
      <c r="IBG99" s="798"/>
      <c r="IBH99" s="798"/>
      <c r="IBI99" s="798"/>
      <c r="IBJ99" s="798"/>
      <c r="IBK99" s="798"/>
      <c r="IBL99" s="798"/>
      <c r="IBM99" s="798"/>
      <c r="IBN99" s="798"/>
      <c r="IBO99" s="798"/>
      <c r="IBP99" s="798"/>
      <c r="IBQ99" s="798"/>
      <c r="IBR99" s="798"/>
      <c r="IBS99" s="798"/>
      <c r="IBT99" s="798"/>
      <c r="IBU99" s="798"/>
      <c r="IBV99" s="798"/>
      <c r="IBW99" s="798"/>
      <c r="IBX99" s="798"/>
      <c r="IBY99" s="798"/>
      <c r="IBZ99" s="798"/>
      <c r="ICA99" s="798"/>
      <c r="ICB99" s="798"/>
      <c r="ICC99" s="798"/>
      <c r="ICD99" s="798"/>
      <c r="ICE99" s="798"/>
      <c r="ICF99" s="798"/>
      <c r="ICG99" s="798"/>
      <c r="ICH99" s="798"/>
      <c r="ICI99" s="798"/>
      <c r="ICJ99" s="798"/>
      <c r="ICK99" s="798"/>
      <c r="ICL99" s="798"/>
      <c r="ICM99" s="798"/>
      <c r="ICN99" s="798"/>
      <c r="ICO99" s="798"/>
      <c r="ICP99" s="798"/>
      <c r="ICQ99" s="798"/>
      <c r="ICR99" s="798"/>
      <c r="ICS99" s="798"/>
      <c r="ICT99" s="798"/>
      <c r="ICU99" s="798"/>
      <c r="ICV99" s="798"/>
      <c r="ICW99" s="798"/>
      <c r="ICX99" s="798"/>
      <c r="ICY99" s="798"/>
      <c r="ICZ99" s="798"/>
      <c r="IDA99" s="798"/>
      <c r="IDB99" s="798"/>
      <c r="IDC99" s="798"/>
      <c r="IDD99" s="798"/>
      <c r="IDE99" s="798"/>
      <c r="IDF99" s="798"/>
      <c r="IDG99" s="798"/>
      <c r="IDH99" s="798"/>
      <c r="IDI99" s="798"/>
      <c r="IDJ99" s="798"/>
      <c r="IDK99" s="798"/>
      <c r="IDL99" s="798"/>
      <c r="IDM99" s="798"/>
      <c r="IDN99" s="798"/>
      <c r="IDO99" s="798"/>
      <c r="IDP99" s="798"/>
      <c r="IDQ99" s="798"/>
      <c r="IDR99" s="798"/>
      <c r="IDS99" s="798"/>
      <c r="IDT99" s="798"/>
      <c r="IDU99" s="798"/>
      <c r="IDV99" s="798"/>
      <c r="IDW99" s="798"/>
      <c r="IDX99" s="798"/>
      <c r="IDY99" s="798"/>
      <c r="IDZ99" s="798"/>
      <c r="IEA99" s="798"/>
      <c r="IEB99" s="798"/>
      <c r="IEC99" s="798"/>
      <c r="IED99" s="798"/>
      <c r="IEE99" s="798"/>
      <c r="IEF99" s="798"/>
      <c r="IEG99" s="798"/>
      <c r="IEH99" s="798"/>
      <c r="IEI99" s="798"/>
      <c r="IEJ99" s="798"/>
      <c r="IEK99" s="798"/>
      <c r="IEL99" s="798"/>
      <c r="IEM99" s="798"/>
      <c r="IEN99" s="798"/>
      <c r="IEO99" s="798"/>
      <c r="IEP99" s="798"/>
      <c r="IEQ99" s="798"/>
      <c r="IER99" s="798"/>
      <c r="IES99" s="798"/>
      <c r="IET99" s="798"/>
      <c r="IEU99" s="798"/>
      <c r="IEV99" s="798"/>
      <c r="IEW99" s="798"/>
      <c r="IEX99" s="798"/>
      <c r="IEY99" s="798"/>
      <c r="IEZ99" s="798"/>
      <c r="IFA99" s="798"/>
      <c r="IFB99" s="798"/>
      <c r="IFC99" s="798"/>
      <c r="IFD99" s="798"/>
      <c r="IFE99" s="798"/>
      <c r="IFF99" s="798"/>
      <c r="IFG99" s="798"/>
      <c r="IFH99" s="798"/>
      <c r="IFI99" s="798"/>
      <c r="IFJ99" s="798"/>
      <c r="IFK99" s="798"/>
      <c r="IFL99" s="798"/>
      <c r="IFM99" s="798"/>
      <c r="IFN99" s="798"/>
      <c r="IFO99" s="798"/>
      <c r="IFP99" s="798"/>
      <c r="IFQ99" s="798"/>
      <c r="IFR99" s="798"/>
      <c r="IFS99" s="798"/>
      <c r="IFT99" s="798"/>
      <c r="IFU99" s="798"/>
      <c r="IFV99" s="798"/>
      <c r="IFW99" s="798"/>
      <c r="IFX99" s="798"/>
      <c r="IFY99" s="798"/>
      <c r="IFZ99" s="798"/>
      <c r="IGA99" s="798"/>
      <c r="IGB99" s="798"/>
      <c r="IGC99" s="798"/>
      <c r="IGD99" s="798"/>
      <c r="IGE99" s="798"/>
      <c r="IGF99" s="798"/>
      <c r="IGG99" s="798"/>
      <c r="IGH99" s="798"/>
      <c r="IGI99" s="798"/>
      <c r="IGJ99" s="798"/>
      <c r="IGK99" s="798"/>
      <c r="IGL99" s="798"/>
      <c r="IGM99" s="798"/>
      <c r="IGN99" s="798"/>
      <c r="IGO99" s="798"/>
      <c r="IGP99" s="798"/>
      <c r="IGQ99" s="798"/>
      <c r="IGR99" s="798"/>
      <c r="IGS99" s="798"/>
      <c r="IGT99" s="798"/>
      <c r="IGU99" s="798"/>
      <c r="IGV99" s="798"/>
      <c r="IGW99" s="798"/>
      <c r="IGX99" s="798"/>
      <c r="IGY99" s="798"/>
      <c r="IGZ99" s="798"/>
      <c r="IHA99" s="798"/>
      <c r="IHB99" s="798"/>
      <c r="IHC99" s="798"/>
      <c r="IHD99" s="798"/>
      <c r="IHE99" s="798"/>
      <c r="IHF99" s="798"/>
      <c r="IHG99" s="798"/>
      <c r="IHH99" s="798"/>
      <c r="IHI99" s="798"/>
      <c r="IHJ99" s="798"/>
      <c r="IHK99" s="798"/>
      <c r="IHL99" s="798"/>
      <c r="IHM99" s="798"/>
      <c r="IHN99" s="798"/>
      <c r="IHO99" s="798"/>
      <c r="IHP99" s="798"/>
      <c r="IHQ99" s="798"/>
      <c r="IHR99" s="798"/>
      <c r="IHS99" s="798"/>
      <c r="IHT99" s="798"/>
      <c r="IHU99" s="798"/>
      <c r="IHV99" s="798"/>
      <c r="IHW99" s="798"/>
      <c r="IHX99" s="798"/>
      <c r="IHY99" s="798"/>
      <c r="IHZ99" s="798"/>
      <c r="IIA99" s="798"/>
      <c r="IIB99" s="798"/>
      <c r="IIC99" s="798"/>
      <c r="IID99" s="798"/>
      <c r="IIE99" s="798"/>
      <c r="IIF99" s="798"/>
      <c r="IIG99" s="798"/>
      <c r="IIH99" s="798"/>
      <c r="III99" s="798"/>
      <c r="IIJ99" s="798"/>
      <c r="IIK99" s="798"/>
      <c r="IIL99" s="798"/>
      <c r="IIM99" s="798"/>
      <c r="IIN99" s="798"/>
      <c r="IIO99" s="798"/>
      <c r="IIP99" s="798"/>
      <c r="IIQ99" s="798"/>
      <c r="IIR99" s="798"/>
      <c r="IIS99" s="798"/>
      <c r="IIT99" s="798"/>
      <c r="IIU99" s="798"/>
      <c r="IIV99" s="798"/>
      <c r="IIW99" s="798"/>
      <c r="IIX99" s="798"/>
      <c r="IIY99" s="798"/>
      <c r="IIZ99" s="798"/>
      <c r="IJA99" s="798"/>
      <c r="IJB99" s="798"/>
      <c r="IJC99" s="798"/>
      <c r="IJD99" s="798"/>
      <c r="IJE99" s="798"/>
      <c r="IJF99" s="798"/>
      <c r="IJG99" s="798"/>
      <c r="IJH99" s="798"/>
      <c r="IJI99" s="798"/>
      <c r="IJJ99" s="798"/>
      <c r="IJK99" s="798"/>
      <c r="IJL99" s="798"/>
      <c r="IJM99" s="798"/>
      <c r="IJN99" s="798"/>
      <c r="IJO99" s="798"/>
      <c r="IJP99" s="798"/>
      <c r="IJQ99" s="798"/>
      <c r="IJR99" s="798"/>
      <c r="IJS99" s="798"/>
      <c r="IJT99" s="798"/>
      <c r="IJU99" s="798"/>
      <c r="IJV99" s="798"/>
      <c r="IJW99" s="798"/>
      <c r="IJX99" s="798"/>
      <c r="IJY99" s="798"/>
      <c r="IJZ99" s="798"/>
      <c r="IKA99" s="798"/>
      <c r="IKB99" s="798"/>
      <c r="IKC99" s="798"/>
      <c r="IKD99" s="798"/>
      <c r="IKE99" s="798"/>
      <c r="IKF99" s="798"/>
      <c r="IKG99" s="798"/>
      <c r="IKH99" s="798"/>
      <c r="IKI99" s="798"/>
      <c r="IKJ99" s="798"/>
      <c r="IKK99" s="798"/>
      <c r="IKL99" s="798"/>
      <c r="IKM99" s="798"/>
      <c r="IKN99" s="798"/>
      <c r="IKO99" s="798"/>
      <c r="IKP99" s="798"/>
      <c r="IKQ99" s="798"/>
      <c r="IKR99" s="798"/>
      <c r="IKS99" s="798"/>
      <c r="IKT99" s="798"/>
      <c r="IKU99" s="798"/>
      <c r="IKV99" s="798"/>
      <c r="IKW99" s="798"/>
      <c r="IKX99" s="798"/>
      <c r="IKY99" s="798"/>
      <c r="IKZ99" s="798"/>
      <c r="ILA99" s="798"/>
      <c r="ILB99" s="798"/>
      <c r="ILC99" s="798"/>
      <c r="ILD99" s="798"/>
      <c r="ILE99" s="798"/>
      <c r="ILF99" s="798"/>
      <c r="ILG99" s="798"/>
      <c r="ILH99" s="798"/>
      <c r="ILI99" s="798"/>
      <c r="ILJ99" s="798"/>
      <c r="ILK99" s="798"/>
      <c r="ILL99" s="798"/>
      <c r="ILM99" s="798"/>
      <c r="ILN99" s="798"/>
      <c r="ILO99" s="798"/>
      <c r="ILP99" s="798"/>
      <c r="ILQ99" s="798"/>
      <c r="ILR99" s="798"/>
      <c r="ILS99" s="798"/>
      <c r="ILT99" s="798"/>
      <c r="ILU99" s="798"/>
      <c r="ILV99" s="798"/>
      <c r="ILW99" s="798"/>
      <c r="ILX99" s="798"/>
      <c r="ILY99" s="798"/>
      <c r="ILZ99" s="798"/>
      <c r="IMA99" s="798"/>
      <c r="IMB99" s="798"/>
      <c r="IMC99" s="798"/>
      <c r="IMD99" s="798"/>
      <c r="IME99" s="798"/>
      <c r="IMF99" s="798"/>
      <c r="IMG99" s="798"/>
      <c r="IMH99" s="798"/>
      <c r="IMI99" s="798"/>
      <c r="IMJ99" s="798"/>
      <c r="IMK99" s="798"/>
      <c r="IML99" s="798"/>
      <c r="IMM99" s="798"/>
      <c r="IMN99" s="798"/>
      <c r="IMO99" s="798"/>
      <c r="IMP99" s="798"/>
      <c r="IMQ99" s="798"/>
      <c r="IMR99" s="798"/>
      <c r="IMS99" s="798"/>
      <c r="IMT99" s="798"/>
      <c r="IMU99" s="798"/>
      <c r="IMV99" s="798"/>
      <c r="IMW99" s="798"/>
      <c r="IMX99" s="798"/>
      <c r="IMY99" s="798"/>
      <c r="IMZ99" s="798"/>
      <c r="INA99" s="798"/>
      <c r="INB99" s="798"/>
      <c r="INC99" s="798"/>
      <c r="IND99" s="798"/>
      <c r="INE99" s="798"/>
      <c r="INF99" s="798"/>
      <c r="ING99" s="798"/>
      <c r="INH99" s="798"/>
      <c r="INI99" s="798"/>
      <c r="INJ99" s="798"/>
      <c r="INK99" s="798"/>
      <c r="INL99" s="798"/>
      <c r="INM99" s="798"/>
      <c r="INN99" s="798"/>
      <c r="INO99" s="798"/>
      <c r="INP99" s="798"/>
      <c r="INQ99" s="798"/>
      <c r="INR99" s="798"/>
      <c r="INS99" s="798"/>
      <c r="INT99" s="798"/>
      <c r="INU99" s="798"/>
      <c r="INV99" s="798"/>
      <c r="INW99" s="798"/>
      <c r="INX99" s="798"/>
      <c r="INY99" s="798"/>
      <c r="INZ99" s="798"/>
      <c r="IOA99" s="798"/>
      <c r="IOB99" s="798"/>
      <c r="IOC99" s="798"/>
      <c r="IOD99" s="798"/>
      <c r="IOE99" s="798"/>
      <c r="IOF99" s="798"/>
      <c r="IOG99" s="798"/>
      <c r="IOH99" s="798"/>
      <c r="IOI99" s="798"/>
      <c r="IOJ99" s="798"/>
      <c r="IOK99" s="798"/>
      <c r="IOL99" s="798"/>
      <c r="IOM99" s="798"/>
      <c r="ION99" s="798"/>
      <c r="IOO99" s="798"/>
      <c r="IOP99" s="798"/>
      <c r="IOQ99" s="798"/>
      <c r="IOR99" s="798"/>
      <c r="IOS99" s="798"/>
      <c r="IOT99" s="798"/>
      <c r="IOU99" s="798"/>
      <c r="IOV99" s="798"/>
      <c r="IOW99" s="798"/>
      <c r="IOX99" s="798"/>
      <c r="IOY99" s="798"/>
      <c r="IOZ99" s="798"/>
      <c r="IPA99" s="798"/>
      <c r="IPB99" s="798"/>
      <c r="IPC99" s="798"/>
      <c r="IPD99" s="798"/>
      <c r="IPE99" s="798"/>
      <c r="IPF99" s="798"/>
      <c r="IPG99" s="798"/>
      <c r="IPH99" s="798"/>
      <c r="IPI99" s="798"/>
      <c r="IPJ99" s="798"/>
      <c r="IPK99" s="798"/>
      <c r="IPL99" s="798"/>
      <c r="IPM99" s="798"/>
      <c r="IPN99" s="798"/>
      <c r="IPO99" s="798"/>
      <c r="IPP99" s="798"/>
      <c r="IPQ99" s="798"/>
      <c r="IPR99" s="798"/>
      <c r="IPS99" s="798"/>
      <c r="IPT99" s="798"/>
      <c r="IPU99" s="798"/>
      <c r="IPV99" s="798"/>
      <c r="IPW99" s="798"/>
      <c r="IPX99" s="798"/>
      <c r="IPY99" s="798"/>
      <c r="IPZ99" s="798"/>
      <c r="IQA99" s="798"/>
      <c r="IQB99" s="798"/>
      <c r="IQC99" s="798"/>
      <c r="IQD99" s="798"/>
      <c r="IQE99" s="798"/>
      <c r="IQF99" s="798"/>
      <c r="IQG99" s="798"/>
      <c r="IQH99" s="798"/>
      <c r="IQI99" s="798"/>
      <c r="IQJ99" s="798"/>
      <c r="IQK99" s="798"/>
      <c r="IQL99" s="798"/>
      <c r="IQM99" s="798"/>
      <c r="IQN99" s="798"/>
      <c r="IQO99" s="798"/>
      <c r="IQP99" s="798"/>
      <c r="IQQ99" s="798"/>
      <c r="IQR99" s="798"/>
      <c r="IQS99" s="798"/>
      <c r="IQT99" s="798"/>
      <c r="IQU99" s="798"/>
      <c r="IQV99" s="798"/>
      <c r="IQW99" s="798"/>
      <c r="IQX99" s="798"/>
      <c r="IQY99" s="798"/>
      <c r="IQZ99" s="798"/>
      <c r="IRA99" s="798"/>
      <c r="IRB99" s="798"/>
      <c r="IRC99" s="798"/>
      <c r="IRD99" s="798"/>
      <c r="IRE99" s="798"/>
      <c r="IRF99" s="798"/>
      <c r="IRG99" s="798"/>
      <c r="IRH99" s="798"/>
      <c r="IRI99" s="798"/>
      <c r="IRJ99" s="798"/>
      <c r="IRK99" s="798"/>
      <c r="IRL99" s="798"/>
      <c r="IRM99" s="798"/>
      <c r="IRN99" s="798"/>
      <c r="IRO99" s="798"/>
      <c r="IRP99" s="798"/>
      <c r="IRQ99" s="798"/>
      <c r="IRR99" s="798"/>
      <c r="IRS99" s="798"/>
      <c r="IRT99" s="798"/>
      <c r="IRU99" s="798"/>
      <c r="IRV99" s="798"/>
      <c r="IRW99" s="798"/>
      <c r="IRX99" s="798"/>
      <c r="IRY99" s="798"/>
      <c r="IRZ99" s="798"/>
      <c r="ISA99" s="798"/>
      <c r="ISB99" s="798"/>
      <c r="ISC99" s="798"/>
      <c r="ISD99" s="798"/>
      <c r="ISE99" s="798"/>
      <c r="ISF99" s="798"/>
      <c r="ISG99" s="798"/>
      <c r="ISH99" s="798"/>
      <c r="ISI99" s="798"/>
      <c r="ISJ99" s="798"/>
      <c r="ISK99" s="798"/>
      <c r="ISL99" s="798"/>
      <c r="ISM99" s="798"/>
      <c r="ISN99" s="798"/>
      <c r="ISO99" s="798"/>
      <c r="ISP99" s="798"/>
      <c r="ISQ99" s="798"/>
      <c r="ISR99" s="798"/>
      <c r="ISS99" s="798"/>
      <c r="IST99" s="798"/>
      <c r="ISU99" s="798"/>
      <c r="ISV99" s="798"/>
      <c r="ISW99" s="798"/>
      <c r="ISX99" s="798"/>
      <c r="ISY99" s="798"/>
      <c r="ISZ99" s="798"/>
      <c r="ITA99" s="798"/>
      <c r="ITB99" s="798"/>
      <c r="ITC99" s="798"/>
      <c r="ITD99" s="798"/>
      <c r="ITE99" s="798"/>
      <c r="ITF99" s="798"/>
      <c r="ITG99" s="798"/>
      <c r="ITH99" s="798"/>
      <c r="ITI99" s="798"/>
      <c r="ITJ99" s="798"/>
      <c r="ITK99" s="798"/>
      <c r="ITL99" s="798"/>
      <c r="ITM99" s="798"/>
      <c r="ITN99" s="798"/>
      <c r="ITO99" s="798"/>
      <c r="ITP99" s="798"/>
      <c r="ITQ99" s="798"/>
      <c r="ITR99" s="798"/>
      <c r="ITS99" s="798"/>
      <c r="ITT99" s="798"/>
      <c r="ITU99" s="798"/>
      <c r="ITV99" s="798"/>
      <c r="ITW99" s="798"/>
      <c r="ITX99" s="798"/>
      <c r="ITY99" s="798"/>
      <c r="ITZ99" s="798"/>
      <c r="IUA99" s="798"/>
      <c r="IUB99" s="798"/>
      <c r="IUC99" s="798"/>
      <c r="IUD99" s="798"/>
      <c r="IUE99" s="798"/>
      <c r="IUF99" s="798"/>
      <c r="IUG99" s="798"/>
      <c r="IUH99" s="798"/>
      <c r="IUI99" s="798"/>
      <c r="IUJ99" s="798"/>
      <c r="IUK99" s="798"/>
      <c r="IUL99" s="798"/>
      <c r="IUM99" s="798"/>
      <c r="IUN99" s="798"/>
      <c r="IUO99" s="798"/>
      <c r="IUP99" s="798"/>
      <c r="IUQ99" s="798"/>
      <c r="IUR99" s="798"/>
      <c r="IUS99" s="798"/>
      <c r="IUT99" s="798"/>
      <c r="IUU99" s="798"/>
      <c r="IUV99" s="798"/>
      <c r="IUW99" s="798"/>
      <c r="IUX99" s="798"/>
      <c r="IUY99" s="798"/>
      <c r="IUZ99" s="798"/>
      <c r="IVA99" s="798"/>
      <c r="IVB99" s="798"/>
      <c r="IVC99" s="798"/>
      <c r="IVD99" s="798"/>
      <c r="IVE99" s="798"/>
      <c r="IVF99" s="798"/>
      <c r="IVG99" s="798"/>
      <c r="IVH99" s="798"/>
      <c r="IVI99" s="798"/>
      <c r="IVJ99" s="798"/>
      <c r="IVK99" s="798"/>
      <c r="IVL99" s="798"/>
      <c r="IVM99" s="798"/>
      <c r="IVN99" s="798"/>
      <c r="IVO99" s="798"/>
      <c r="IVP99" s="798"/>
      <c r="IVQ99" s="798"/>
      <c r="IVR99" s="798"/>
      <c r="IVS99" s="798"/>
      <c r="IVT99" s="798"/>
      <c r="IVU99" s="798"/>
      <c r="IVV99" s="798"/>
      <c r="IVW99" s="798"/>
      <c r="IVX99" s="798"/>
      <c r="IVY99" s="798"/>
      <c r="IVZ99" s="798"/>
      <c r="IWA99" s="798"/>
      <c r="IWB99" s="798"/>
      <c r="IWC99" s="798"/>
      <c r="IWD99" s="798"/>
      <c r="IWE99" s="798"/>
      <c r="IWF99" s="798"/>
      <c r="IWG99" s="798"/>
      <c r="IWH99" s="798"/>
      <c r="IWI99" s="798"/>
      <c r="IWJ99" s="798"/>
      <c r="IWK99" s="798"/>
      <c r="IWL99" s="798"/>
      <c r="IWM99" s="798"/>
      <c r="IWN99" s="798"/>
      <c r="IWO99" s="798"/>
      <c r="IWP99" s="798"/>
      <c r="IWQ99" s="798"/>
      <c r="IWR99" s="798"/>
      <c r="IWS99" s="798"/>
      <c r="IWT99" s="798"/>
      <c r="IWU99" s="798"/>
      <c r="IWV99" s="798"/>
      <c r="IWW99" s="798"/>
      <c r="IWX99" s="798"/>
      <c r="IWY99" s="798"/>
      <c r="IWZ99" s="798"/>
      <c r="IXA99" s="798"/>
      <c r="IXB99" s="798"/>
      <c r="IXC99" s="798"/>
      <c r="IXD99" s="798"/>
      <c r="IXE99" s="798"/>
      <c r="IXF99" s="798"/>
      <c r="IXG99" s="798"/>
      <c r="IXH99" s="798"/>
      <c r="IXI99" s="798"/>
      <c r="IXJ99" s="798"/>
      <c r="IXK99" s="798"/>
      <c r="IXL99" s="798"/>
      <c r="IXM99" s="798"/>
      <c r="IXN99" s="798"/>
      <c r="IXO99" s="798"/>
      <c r="IXP99" s="798"/>
      <c r="IXQ99" s="798"/>
      <c r="IXR99" s="798"/>
      <c r="IXS99" s="798"/>
      <c r="IXT99" s="798"/>
      <c r="IXU99" s="798"/>
      <c r="IXV99" s="798"/>
      <c r="IXW99" s="798"/>
      <c r="IXX99" s="798"/>
      <c r="IXY99" s="798"/>
      <c r="IXZ99" s="798"/>
      <c r="IYA99" s="798"/>
      <c r="IYB99" s="798"/>
      <c r="IYC99" s="798"/>
      <c r="IYD99" s="798"/>
      <c r="IYE99" s="798"/>
      <c r="IYF99" s="798"/>
      <c r="IYG99" s="798"/>
      <c r="IYH99" s="798"/>
      <c r="IYI99" s="798"/>
      <c r="IYJ99" s="798"/>
      <c r="IYK99" s="798"/>
      <c r="IYL99" s="798"/>
      <c r="IYM99" s="798"/>
      <c r="IYN99" s="798"/>
      <c r="IYO99" s="798"/>
      <c r="IYP99" s="798"/>
      <c r="IYQ99" s="798"/>
      <c r="IYR99" s="798"/>
      <c r="IYS99" s="798"/>
      <c r="IYT99" s="798"/>
      <c r="IYU99" s="798"/>
      <c r="IYV99" s="798"/>
      <c r="IYW99" s="798"/>
      <c r="IYX99" s="798"/>
      <c r="IYY99" s="798"/>
      <c r="IYZ99" s="798"/>
      <c r="IZA99" s="798"/>
      <c r="IZB99" s="798"/>
      <c r="IZC99" s="798"/>
      <c r="IZD99" s="798"/>
      <c r="IZE99" s="798"/>
      <c r="IZF99" s="798"/>
      <c r="IZG99" s="798"/>
      <c r="IZH99" s="798"/>
      <c r="IZI99" s="798"/>
      <c r="IZJ99" s="798"/>
      <c r="IZK99" s="798"/>
      <c r="IZL99" s="798"/>
      <c r="IZM99" s="798"/>
      <c r="IZN99" s="798"/>
      <c r="IZO99" s="798"/>
      <c r="IZP99" s="798"/>
      <c r="IZQ99" s="798"/>
      <c r="IZR99" s="798"/>
      <c r="IZS99" s="798"/>
      <c r="IZT99" s="798"/>
      <c r="IZU99" s="798"/>
      <c r="IZV99" s="798"/>
      <c r="IZW99" s="798"/>
      <c r="IZX99" s="798"/>
      <c r="IZY99" s="798"/>
      <c r="IZZ99" s="798"/>
      <c r="JAA99" s="798"/>
      <c r="JAB99" s="798"/>
      <c r="JAC99" s="798"/>
      <c r="JAD99" s="798"/>
      <c r="JAE99" s="798"/>
      <c r="JAF99" s="798"/>
      <c r="JAG99" s="798"/>
      <c r="JAH99" s="798"/>
      <c r="JAI99" s="798"/>
      <c r="JAJ99" s="798"/>
      <c r="JAK99" s="798"/>
      <c r="JAL99" s="798"/>
      <c r="JAM99" s="798"/>
      <c r="JAN99" s="798"/>
      <c r="JAO99" s="798"/>
      <c r="JAP99" s="798"/>
      <c r="JAQ99" s="798"/>
      <c r="JAR99" s="798"/>
      <c r="JAS99" s="798"/>
      <c r="JAT99" s="798"/>
      <c r="JAU99" s="798"/>
      <c r="JAV99" s="798"/>
      <c r="JAW99" s="798"/>
      <c r="JAX99" s="798"/>
      <c r="JAY99" s="798"/>
      <c r="JAZ99" s="798"/>
      <c r="JBA99" s="798"/>
      <c r="JBB99" s="798"/>
      <c r="JBC99" s="798"/>
      <c r="JBD99" s="798"/>
      <c r="JBE99" s="798"/>
      <c r="JBF99" s="798"/>
      <c r="JBG99" s="798"/>
      <c r="JBH99" s="798"/>
      <c r="JBI99" s="798"/>
      <c r="JBJ99" s="798"/>
      <c r="JBK99" s="798"/>
      <c r="JBL99" s="798"/>
      <c r="JBM99" s="798"/>
      <c r="JBN99" s="798"/>
      <c r="JBO99" s="798"/>
      <c r="JBP99" s="798"/>
      <c r="JBQ99" s="798"/>
      <c r="JBR99" s="798"/>
      <c r="JBS99" s="798"/>
      <c r="JBT99" s="798"/>
      <c r="JBU99" s="798"/>
      <c r="JBV99" s="798"/>
      <c r="JBW99" s="798"/>
      <c r="JBX99" s="798"/>
      <c r="JBY99" s="798"/>
      <c r="JBZ99" s="798"/>
      <c r="JCA99" s="798"/>
      <c r="JCB99" s="798"/>
      <c r="JCC99" s="798"/>
      <c r="JCD99" s="798"/>
      <c r="JCE99" s="798"/>
      <c r="JCF99" s="798"/>
      <c r="JCG99" s="798"/>
      <c r="JCH99" s="798"/>
      <c r="JCI99" s="798"/>
      <c r="JCJ99" s="798"/>
      <c r="JCK99" s="798"/>
      <c r="JCL99" s="798"/>
      <c r="JCM99" s="798"/>
      <c r="JCN99" s="798"/>
      <c r="JCO99" s="798"/>
      <c r="JCP99" s="798"/>
      <c r="JCQ99" s="798"/>
      <c r="JCR99" s="798"/>
      <c r="JCS99" s="798"/>
      <c r="JCT99" s="798"/>
      <c r="JCU99" s="798"/>
      <c r="JCV99" s="798"/>
      <c r="JCW99" s="798"/>
      <c r="JCX99" s="798"/>
      <c r="JCY99" s="798"/>
      <c r="JCZ99" s="798"/>
      <c r="JDA99" s="798"/>
      <c r="JDB99" s="798"/>
      <c r="JDC99" s="798"/>
      <c r="JDD99" s="798"/>
      <c r="JDE99" s="798"/>
      <c r="JDF99" s="798"/>
      <c r="JDG99" s="798"/>
      <c r="JDH99" s="798"/>
      <c r="JDI99" s="798"/>
      <c r="JDJ99" s="798"/>
      <c r="JDK99" s="798"/>
      <c r="JDL99" s="798"/>
      <c r="JDM99" s="798"/>
      <c r="JDN99" s="798"/>
      <c r="JDO99" s="798"/>
      <c r="JDP99" s="798"/>
      <c r="JDQ99" s="798"/>
      <c r="JDR99" s="798"/>
      <c r="JDS99" s="798"/>
      <c r="JDT99" s="798"/>
      <c r="JDU99" s="798"/>
      <c r="JDV99" s="798"/>
      <c r="JDW99" s="798"/>
      <c r="JDX99" s="798"/>
      <c r="JDY99" s="798"/>
      <c r="JDZ99" s="798"/>
      <c r="JEA99" s="798"/>
      <c r="JEB99" s="798"/>
      <c r="JEC99" s="798"/>
      <c r="JED99" s="798"/>
      <c r="JEE99" s="798"/>
      <c r="JEF99" s="798"/>
      <c r="JEG99" s="798"/>
      <c r="JEH99" s="798"/>
      <c r="JEI99" s="798"/>
      <c r="JEJ99" s="798"/>
      <c r="JEK99" s="798"/>
      <c r="JEL99" s="798"/>
      <c r="JEM99" s="798"/>
      <c r="JEN99" s="798"/>
      <c r="JEO99" s="798"/>
      <c r="JEP99" s="798"/>
      <c r="JEQ99" s="798"/>
      <c r="JER99" s="798"/>
      <c r="JES99" s="798"/>
      <c r="JET99" s="798"/>
      <c r="JEU99" s="798"/>
      <c r="JEV99" s="798"/>
      <c r="JEW99" s="798"/>
      <c r="JEX99" s="798"/>
      <c r="JEY99" s="798"/>
      <c r="JEZ99" s="798"/>
      <c r="JFA99" s="798"/>
      <c r="JFB99" s="798"/>
      <c r="JFC99" s="798"/>
      <c r="JFD99" s="798"/>
      <c r="JFE99" s="798"/>
      <c r="JFF99" s="798"/>
      <c r="JFG99" s="798"/>
      <c r="JFH99" s="798"/>
      <c r="JFI99" s="798"/>
      <c r="JFJ99" s="798"/>
      <c r="JFK99" s="798"/>
      <c r="JFL99" s="798"/>
      <c r="JFM99" s="798"/>
      <c r="JFN99" s="798"/>
      <c r="JFO99" s="798"/>
      <c r="JFP99" s="798"/>
      <c r="JFQ99" s="798"/>
      <c r="JFR99" s="798"/>
      <c r="JFS99" s="798"/>
      <c r="JFT99" s="798"/>
      <c r="JFU99" s="798"/>
      <c r="JFV99" s="798"/>
      <c r="JFW99" s="798"/>
      <c r="JFX99" s="798"/>
      <c r="JFY99" s="798"/>
      <c r="JFZ99" s="798"/>
      <c r="JGA99" s="798"/>
      <c r="JGB99" s="798"/>
      <c r="JGC99" s="798"/>
      <c r="JGD99" s="798"/>
      <c r="JGE99" s="798"/>
      <c r="JGF99" s="798"/>
      <c r="JGG99" s="798"/>
      <c r="JGH99" s="798"/>
      <c r="JGI99" s="798"/>
      <c r="JGJ99" s="798"/>
      <c r="JGK99" s="798"/>
      <c r="JGL99" s="798"/>
      <c r="JGM99" s="798"/>
      <c r="JGN99" s="798"/>
      <c r="JGO99" s="798"/>
      <c r="JGP99" s="798"/>
      <c r="JGQ99" s="798"/>
      <c r="JGR99" s="798"/>
      <c r="JGS99" s="798"/>
      <c r="JGT99" s="798"/>
      <c r="JGU99" s="798"/>
      <c r="JGV99" s="798"/>
      <c r="JGW99" s="798"/>
      <c r="JGX99" s="798"/>
      <c r="JGY99" s="798"/>
      <c r="JGZ99" s="798"/>
      <c r="JHA99" s="798"/>
      <c r="JHB99" s="798"/>
      <c r="JHC99" s="798"/>
      <c r="JHD99" s="798"/>
      <c r="JHE99" s="798"/>
      <c r="JHF99" s="798"/>
      <c r="JHG99" s="798"/>
      <c r="JHH99" s="798"/>
      <c r="JHI99" s="798"/>
      <c r="JHJ99" s="798"/>
      <c r="JHK99" s="798"/>
      <c r="JHL99" s="798"/>
      <c r="JHM99" s="798"/>
      <c r="JHN99" s="798"/>
      <c r="JHO99" s="798"/>
      <c r="JHP99" s="798"/>
      <c r="JHQ99" s="798"/>
      <c r="JHR99" s="798"/>
      <c r="JHS99" s="798"/>
      <c r="JHT99" s="798"/>
      <c r="JHU99" s="798"/>
      <c r="JHV99" s="798"/>
      <c r="JHW99" s="798"/>
      <c r="JHX99" s="798"/>
      <c r="JHY99" s="798"/>
      <c r="JHZ99" s="798"/>
      <c r="JIA99" s="798"/>
      <c r="JIB99" s="798"/>
      <c r="JIC99" s="798"/>
      <c r="JID99" s="798"/>
      <c r="JIE99" s="798"/>
      <c r="JIF99" s="798"/>
      <c r="JIG99" s="798"/>
      <c r="JIH99" s="798"/>
      <c r="JII99" s="798"/>
      <c r="JIJ99" s="798"/>
      <c r="JIK99" s="798"/>
      <c r="JIL99" s="798"/>
      <c r="JIM99" s="798"/>
      <c r="JIN99" s="798"/>
      <c r="JIO99" s="798"/>
      <c r="JIP99" s="798"/>
      <c r="JIQ99" s="798"/>
      <c r="JIR99" s="798"/>
      <c r="JIS99" s="798"/>
      <c r="JIT99" s="798"/>
      <c r="JIU99" s="798"/>
      <c r="JIV99" s="798"/>
      <c r="JIW99" s="798"/>
      <c r="JIX99" s="798"/>
      <c r="JIY99" s="798"/>
      <c r="JIZ99" s="798"/>
      <c r="JJA99" s="798"/>
      <c r="JJB99" s="798"/>
      <c r="JJC99" s="798"/>
      <c r="JJD99" s="798"/>
      <c r="JJE99" s="798"/>
      <c r="JJF99" s="798"/>
      <c r="JJG99" s="798"/>
      <c r="JJH99" s="798"/>
      <c r="JJI99" s="798"/>
      <c r="JJJ99" s="798"/>
      <c r="JJK99" s="798"/>
      <c r="JJL99" s="798"/>
      <c r="JJM99" s="798"/>
      <c r="JJN99" s="798"/>
      <c r="JJO99" s="798"/>
      <c r="JJP99" s="798"/>
      <c r="JJQ99" s="798"/>
      <c r="JJR99" s="798"/>
      <c r="JJS99" s="798"/>
      <c r="JJT99" s="798"/>
      <c r="JJU99" s="798"/>
      <c r="JJV99" s="798"/>
      <c r="JJW99" s="798"/>
      <c r="JJX99" s="798"/>
      <c r="JJY99" s="798"/>
      <c r="JJZ99" s="798"/>
      <c r="JKA99" s="798"/>
      <c r="JKB99" s="798"/>
      <c r="JKC99" s="798"/>
      <c r="JKD99" s="798"/>
      <c r="JKE99" s="798"/>
      <c r="JKF99" s="798"/>
      <c r="JKG99" s="798"/>
      <c r="JKH99" s="798"/>
      <c r="JKI99" s="798"/>
      <c r="JKJ99" s="798"/>
      <c r="JKK99" s="798"/>
      <c r="JKL99" s="798"/>
      <c r="JKM99" s="798"/>
      <c r="JKN99" s="798"/>
      <c r="JKO99" s="798"/>
      <c r="JKP99" s="798"/>
      <c r="JKQ99" s="798"/>
      <c r="JKR99" s="798"/>
      <c r="JKS99" s="798"/>
      <c r="JKT99" s="798"/>
      <c r="JKU99" s="798"/>
      <c r="JKV99" s="798"/>
      <c r="JKW99" s="798"/>
      <c r="JKX99" s="798"/>
      <c r="JKY99" s="798"/>
      <c r="JKZ99" s="798"/>
      <c r="JLA99" s="798"/>
      <c r="JLB99" s="798"/>
      <c r="JLC99" s="798"/>
      <c r="JLD99" s="798"/>
      <c r="JLE99" s="798"/>
      <c r="JLF99" s="798"/>
      <c r="JLG99" s="798"/>
      <c r="JLH99" s="798"/>
      <c r="JLI99" s="798"/>
      <c r="JLJ99" s="798"/>
      <c r="JLK99" s="798"/>
      <c r="JLL99" s="798"/>
      <c r="JLM99" s="798"/>
      <c r="JLN99" s="798"/>
      <c r="JLO99" s="798"/>
      <c r="JLP99" s="798"/>
      <c r="JLQ99" s="798"/>
      <c r="JLR99" s="798"/>
      <c r="JLS99" s="798"/>
      <c r="JLT99" s="798"/>
      <c r="JLU99" s="798"/>
      <c r="JLV99" s="798"/>
      <c r="JLW99" s="798"/>
      <c r="JLX99" s="798"/>
      <c r="JLY99" s="798"/>
      <c r="JLZ99" s="798"/>
      <c r="JMA99" s="798"/>
      <c r="JMB99" s="798"/>
      <c r="JMC99" s="798"/>
      <c r="JMD99" s="798"/>
      <c r="JME99" s="798"/>
      <c r="JMF99" s="798"/>
      <c r="JMG99" s="798"/>
      <c r="JMH99" s="798"/>
      <c r="JMI99" s="798"/>
      <c r="JMJ99" s="798"/>
      <c r="JMK99" s="798"/>
      <c r="JML99" s="798"/>
      <c r="JMM99" s="798"/>
      <c r="JMN99" s="798"/>
      <c r="JMO99" s="798"/>
      <c r="JMP99" s="798"/>
      <c r="JMQ99" s="798"/>
      <c r="JMR99" s="798"/>
      <c r="JMS99" s="798"/>
      <c r="JMT99" s="798"/>
      <c r="JMU99" s="798"/>
      <c r="JMV99" s="798"/>
      <c r="JMW99" s="798"/>
      <c r="JMX99" s="798"/>
      <c r="JMY99" s="798"/>
      <c r="JMZ99" s="798"/>
      <c r="JNA99" s="798"/>
      <c r="JNB99" s="798"/>
      <c r="JNC99" s="798"/>
      <c r="JND99" s="798"/>
      <c r="JNE99" s="798"/>
      <c r="JNF99" s="798"/>
      <c r="JNG99" s="798"/>
      <c r="JNH99" s="798"/>
      <c r="JNI99" s="798"/>
      <c r="JNJ99" s="798"/>
      <c r="JNK99" s="798"/>
      <c r="JNL99" s="798"/>
      <c r="JNM99" s="798"/>
      <c r="JNN99" s="798"/>
      <c r="JNO99" s="798"/>
      <c r="JNP99" s="798"/>
      <c r="JNQ99" s="798"/>
      <c r="JNR99" s="798"/>
      <c r="JNS99" s="798"/>
      <c r="JNT99" s="798"/>
      <c r="JNU99" s="798"/>
      <c r="JNV99" s="798"/>
      <c r="JNW99" s="798"/>
      <c r="JNX99" s="798"/>
      <c r="JNY99" s="798"/>
      <c r="JNZ99" s="798"/>
      <c r="JOA99" s="798"/>
      <c r="JOB99" s="798"/>
      <c r="JOC99" s="798"/>
      <c r="JOD99" s="798"/>
      <c r="JOE99" s="798"/>
      <c r="JOF99" s="798"/>
      <c r="JOG99" s="798"/>
      <c r="JOH99" s="798"/>
      <c r="JOI99" s="798"/>
      <c r="JOJ99" s="798"/>
      <c r="JOK99" s="798"/>
      <c r="JOL99" s="798"/>
      <c r="JOM99" s="798"/>
      <c r="JON99" s="798"/>
      <c r="JOO99" s="798"/>
      <c r="JOP99" s="798"/>
      <c r="JOQ99" s="798"/>
      <c r="JOR99" s="798"/>
      <c r="JOS99" s="798"/>
      <c r="JOT99" s="798"/>
      <c r="JOU99" s="798"/>
      <c r="JOV99" s="798"/>
      <c r="JOW99" s="798"/>
      <c r="JOX99" s="798"/>
      <c r="JOY99" s="798"/>
      <c r="JOZ99" s="798"/>
      <c r="JPA99" s="798"/>
      <c r="JPB99" s="798"/>
      <c r="JPC99" s="798"/>
      <c r="JPD99" s="798"/>
      <c r="JPE99" s="798"/>
      <c r="JPF99" s="798"/>
      <c r="JPG99" s="798"/>
      <c r="JPH99" s="798"/>
      <c r="JPI99" s="798"/>
      <c r="JPJ99" s="798"/>
      <c r="JPK99" s="798"/>
      <c r="JPL99" s="798"/>
      <c r="JPM99" s="798"/>
      <c r="JPN99" s="798"/>
      <c r="JPO99" s="798"/>
      <c r="JPP99" s="798"/>
      <c r="JPQ99" s="798"/>
      <c r="JPR99" s="798"/>
      <c r="JPS99" s="798"/>
      <c r="JPT99" s="798"/>
      <c r="JPU99" s="798"/>
      <c r="JPV99" s="798"/>
      <c r="JPW99" s="798"/>
      <c r="JPX99" s="798"/>
      <c r="JPY99" s="798"/>
      <c r="JPZ99" s="798"/>
      <c r="JQA99" s="798"/>
      <c r="JQB99" s="798"/>
      <c r="JQC99" s="798"/>
      <c r="JQD99" s="798"/>
      <c r="JQE99" s="798"/>
      <c r="JQF99" s="798"/>
      <c r="JQG99" s="798"/>
      <c r="JQH99" s="798"/>
      <c r="JQI99" s="798"/>
      <c r="JQJ99" s="798"/>
      <c r="JQK99" s="798"/>
      <c r="JQL99" s="798"/>
      <c r="JQM99" s="798"/>
      <c r="JQN99" s="798"/>
      <c r="JQO99" s="798"/>
      <c r="JQP99" s="798"/>
      <c r="JQQ99" s="798"/>
      <c r="JQR99" s="798"/>
      <c r="JQS99" s="798"/>
      <c r="JQT99" s="798"/>
      <c r="JQU99" s="798"/>
      <c r="JQV99" s="798"/>
      <c r="JQW99" s="798"/>
      <c r="JQX99" s="798"/>
      <c r="JQY99" s="798"/>
      <c r="JQZ99" s="798"/>
      <c r="JRA99" s="798"/>
      <c r="JRB99" s="798"/>
      <c r="JRC99" s="798"/>
      <c r="JRD99" s="798"/>
      <c r="JRE99" s="798"/>
      <c r="JRF99" s="798"/>
      <c r="JRG99" s="798"/>
      <c r="JRH99" s="798"/>
      <c r="JRI99" s="798"/>
      <c r="JRJ99" s="798"/>
      <c r="JRK99" s="798"/>
      <c r="JRL99" s="798"/>
      <c r="JRM99" s="798"/>
      <c r="JRN99" s="798"/>
      <c r="JRO99" s="798"/>
      <c r="JRP99" s="798"/>
      <c r="JRQ99" s="798"/>
      <c r="JRR99" s="798"/>
      <c r="JRS99" s="798"/>
      <c r="JRT99" s="798"/>
      <c r="JRU99" s="798"/>
      <c r="JRV99" s="798"/>
      <c r="JRW99" s="798"/>
      <c r="JRX99" s="798"/>
      <c r="JRY99" s="798"/>
      <c r="JRZ99" s="798"/>
      <c r="JSA99" s="798"/>
      <c r="JSB99" s="798"/>
      <c r="JSC99" s="798"/>
      <c r="JSD99" s="798"/>
      <c r="JSE99" s="798"/>
      <c r="JSF99" s="798"/>
      <c r="JSG99" s="798"/>
      <c r="JSH99" s="798"/>
      <c r="JSI99" s="798"/>
      <c r="JSJ99" s="798"/>
      <c r="JSK99" s="798"/>
      <c r="JSL99" s="798"/>
      <c r="JSM99" s="798"/>
      <c r="JSN99" s="798"/>
      <c r="JSO99" s="798"/>
      <c r="JSP99" s="798"/>
      <c r="JSQ99" s="798"/>
      <c r="JSR99" s="798"/>
      <c r="JSS99" s="798"/>
      <c r="JST99" s="798"/>
      <c r="JSU99" s="798"/>
      <c r="JSV99" s="798"/>
      <c r="JSW99" s="798"/>
      <c r="JSX99" s="798"/>
      <c r="JSY99" s="798"/>
      <c r="JSZ99" s="798"/>
      <c r="JTA99" s="798"/>
      <c r="JTB99" s="798"/>
      <c r="JTC99" s="798"/>
      <c r="JTD99" s="798"/>
      <c r="JTE99" s="798"/>
      <c r="JTF99" s="798"/>
      <c r="JTG99" s="798"/>
      <c r="JTH99" s="798"/>
      <c r="JTI99" s="798"/>
      <c r="JTJ99" s="798"/>
      <c r="JTK99" s="798"/>
      <c r="JTL99" s="798"/>
      <c r="JTM99" s="798"/>
      <c r="JTN99" s="798"/>
      <c r="JTO99" s="798"/>
      <c r="JTP99" s="798"/>
      <c r="JTQ99" s="798"/>
      <c r="JTR99" s="798"/>
      <c r="JTS99" s="798"/>
      <c r="JTT99" s="798"/>
      <c r="JTU99" s="798"/>
      <c r="JTV99" s="798"/>
      <c r="JTW99" s="798"/>
      <c r="JTX99" s="798"/>
      <c r="JTY99" s="798"/>
      <c r="JTZ99" s="798"/>
      <c r="JUA99" s="798"/>
      <c r="JUB99" s="798"/>
      <c r="JUC99" s="798"/>
      <c r="JUD99" s="798"/>
      <c r="JUE99" s="798"/>
      <c r="JUF99" s="798"/>
      <c r="JUG99" s="798"/>
      <c r="JUH99" s="798"/>
      <c r="JUI99" s="798"/>
      <c r="JUJ99" s="798"/>
      <c r="JUK99" s="798"/>
      <c r="JUL99" s="798"/>
      <c r="JUM99" s="798"/>
      <c r="JUN99" s="798"/>
      <c r="JUO99" s="798"/>
      <c r="JUP99" s="798"/>
      <c r="JUQ99" s="798"/>
      <c r="JUR99" s="798"/>
      <c r="JUS99" s="798"/>
      <c r="JUT99" s="798"/>
      <c r="JUU99" s="798"/>
      <c r="JUV99" s="798"/>
      <c r="JUW99" s="798"/>
      <c r="JUX99" s="798"/>
      <c r="JUY99" s="798"/>
      <c r="JUZ99" s="798"/>
      <c r="JVA99" s="798"/>
      <c r="JVB99" s="798"/>
      <c r="JVC99" s="798"/>
      <c r="JVD99" s="798"/>
      <c r="JVE99" s="798"/>
      <c r="JVF99" s="798"/>
      <c r="JVG99" s="798"/>
      <c r="JVH99" s="798"/>
      <c r="JVI99" s="798"/>
      <c r="JVJ99" s="798"/>
      <c r="JVK99" s="798"/>
      <c r="JVL99" s="798"/>
      <c r="JVM99" s="798"/>
      <c r="JVN99" s="798"/>
      <c r="JVO99" s="798"/>
      <c r="JVP99" s="798"/>
      <c r="JVQ99" s="798"/>
      <c r="JVR99" s="798"/>
      <c r="JVS99" s="798"/>
      <c r="JVT99" s="798"/>
      <c r="JVU99" s="798"/>
      <c r="JVV99" s="798"/>
      <c r="JVW99" s="798"/>
      <c r="JVX99" s="798"/>
      <c r="JVY99" s="798"/>
      <c r="JVZ99" s="798"/>
      <c r="JWA99" s="798"/>
      <c r="JWB99" s="798"/>
      <c r="JWC99" s="798"/>
      <c r="JWD99" s="798"/>
      <c r="JWE99" s="798"/>
      <c r="JWF99" s="798"/>
      <c r="JWG99" s="798"/>
      <c r="JWH99" s="798"/>
      <c r="JWI99" s="798"/>
      <c r="JWJ99" s="798"/>
      <c r="JWK99" s="798"/>
      <c r="JWL99" s="798"/>
      <c r="JWM99" s="798"/>
      <c r="JWN99" s="798"/>
      <c r="JWO99" s="798"/>
      <c r="JWP99" s="798"/>
      <c r="JWQ99" s="798"/>
      <c r="JWR99" s="798"/>
      <c r="JWS99" s="798"/>
      <c r="JWT99" s="798"/>
      <c r="JWU99" s="798"/>
      <c r="JWV99" s="798"/>
      <c r="JWW99" s="798"/>
      <c r="JWX99" s="798"/>
      <c r="JWY99" s="798"/>
      <c r="JWZ99" s="798"/>
      <c r="JXA99" s="798"/>
      <c r="JXB99" s="798"/>
      <c r="JXC99" s="798"/>
      <c r="JXD99" s="798"/>
      <c r="JXE99" s="798"/>
      <c r="JXF99" s="798"/>
      <c r="JXG99" s="798"/>
      <c r="JXH99" s="798"/>
      <c r="JXI99" s="798"/>
      <c r="JXJ99" s="798"/>
      <c r="JXK99" s="798"/>
      <c r="JXL99" s="798"/>
      <c r="JXM99" s="798"/>
      <c r="JXN99" s="798"/>
      <c r="JXO99" s="798"/>
      <c r="JXP99" s="798"/>
      <c r="JXQ99" s="798"/>
      <c r="JXR99" s="798"/>
      <c r="JXS99" s="798"/>
      <c r="JXT99" s="798"/>
      <c r="JXU99" s="798"/>
      <c r="JXV99" s="798"/>
      <c r="JXW99" s="798"/>
      <c r="JXX99" s="798"/>
      <c r="JXY99" s="798"/>
      <c r="JXZ99" s="798"/>
      <c r="JYA99" s="798"/>
      <c r="JYB99" s="798"/>
      <c r="JYC99" s="798"/>
      <c r="JYD99" s="798"/>
      <c r="JYE99" s="798"/>
      <c r="JYF99" s="798"/>
      <c r="JYG99" s="798"/>
      <c r="JYH99" s="798"/>
      <c r="JYI99" s="798"/>
      <c r="JYJ99" s="798"/>
      <c r="JYK99" s="798"/>
      <c r="JYL99" s="798"/>
      <c r="JYM99" s="798"/>
      <c r="JYN99" s="798"/>
      <c r="JYO99" s="798"/>
      <c r="JYP99" s="798"/>
      <c r="JYQ99" s="798"/>
      <c r="JYR99" s="798"/>
      <c r="JYS99" s="798"/>
      <c r="JYT99" s="798"/>
      <c r="JYU99" s="798"/>
      <c r="JYV99" s="798"/>
      <c r="JYW99" s="798"/>
      <c r="JYX99" s="798"/>
      <c r="JYY99" s="798"/>
      <c r="JYZ99" s="798"/>
      <c r="JZA99" s="798"/>
      <c r="JZB99" s="798"/>
      <c r="JZC99" s="798"/>
      <c r="JZD99" s="798"/>
      <c r="JZE99" s="798"/>
      <c r="JZF99" s="798"/>
      <c r="JZG99" s="798"/>
      <c r="JZH99" s="798"/>
      <c r="JZI99" s="798"/>
      <c r="JZJ99" s="798"/>
      <c r="JZK99" s="798"/>
      <c r="JZL99" s="798"/>
      <c r="JZM99" s="798"/>
      <c r="JZN99" s="798"/>
      <c r="JZO99" s="798"/>
      <c r="JZP99" s="798"/>
      <c r="JZQ99" s="798"/>
      <c r="JZR99" s="798"/>
      <c r="JZS99" s="798"/>
      <c r="JZT99" s="798"/>
      <c r="JZU99" s="798"/>
      <c r="JZV99" s="798"/>
      <c r="JZW99" s="798"/>
      <c r="JZX99" s="798"/>
      <c r="JZY99" s="798"/>
      <c r="JZZ99" s="798"/>
      <c r="KAA99" s="798"/>
      <c r="KAB99" s="798"/>
      <c r="KAC99" s="798"/>
      <c r="KAD99" s="798"/>
      <c r="KAE99" s="798"/>
      <c r="KAF99" s="798"/>
      <c r="KAG99" s="798"/>
      <c r="KAH99" s="798"/>
      <c r="KAI99" s="798"/>
      <c r="KAJ99" s="798"/>
      <c r="KAK99" s="798"/>
      <c r="KAL99" s="798"/>
      <c r="KAM99" s="798"/>
      <c r="KAN99" s="798"/>
      <c r="KAO99" s="798"/>
      <c r="KAP99" s="798"/>
      <c r="KAQ99" s="798"/>
      <c r="KAR99" s="798"/>
      <c r="KAS99" s="798"/>
      <c r="KAT99" s="798"/>
      <c r="KAU99" s="798"/>
      <c r="KAV99" s="798"/>
      <c r="KAW99" s="798"/>
      <c r="KAX99" s="798"/>
      <c r="KAY99" s="798"/>
      <c r="KAZ99" s="798"/>
      <c r="KBA99" s="798"/>
      <c r="KBB99" s="798"/>
      <c r="KBC99" s="798"/>
      <c r="KBD99" s="798"/>
      <c r="KBE99" s="798"/>
      <c r="KBF99" s="798"/>
      <c r="KBG99" s="798"/>
      <c r="KBH99" s="798"/>
      <c r="KBI99" s="798"/>
      <c r="KBJ99" s="798"/>
      <c r="KBK99" s="798"/>
      <c r="KBL99" s="798"/>
      <c r="KBM99" s="798"/>
      <c r="KBN99" s="798"/>
      <c r="KBO99" s="798"/>
      <c r="KBP99" s="798"/>
      <c r="KBQ99" s="798"/>
      <c r="KBR99" s="798"/>
      <c r="KBS99" s="798"/>
      <c r="KBT99" s="798"/>
      <c r="KBU99" s="798"/>
      <c r="KBV99" s="798"/>
      <c r="KBW99" s="798"/>
      <c r="KBX99" s="798"/>
      <c r="KBY99" s="798"/>
      <c r="KBZ99" s="798"/>
      <c r="KCA99" s="798"/>
      <c r="KCB99" s="798"/>
      <c r="KCC99" s="798"/>
      <c r="KCD99" s="798"/>
      <c r="KCE99" s="798"/>
      <c r="KCF99" s="798"/>
      <c r="KCG99" s="798"/>
      <c r="KCH99" s="798"/>
      <c r="KCI99" s="798"/>
      <c r="KCJ99" s="798"/>
      <c r="KCK99" s="798"/>
      <c r="KCL99" s="798"/>
      <c r="KCM99" s="798"/>
      <c r="KCN99" s="798"/>
      <c r="KCO99" s="798"/>
      <c r="KCP99" s="798"/>
      <c r="KCQ99" s="798"/>
      <c r="KCR99" s="798"/>
      <c r="KCS99" s="798"/>
      <c r="KCT99" s="798"/>
      <c r="KCU99" s="798"/>
      <c r="KCV99" s="798"/>
      <c r="KCW99" s="798"/>
      <c r="KCX99" s="798"/>
      <c r="KCY99" s="798"/>
      <c r="KCZ99" s="798"/>
      <c r="KDA99" s="798"/>
      <c r="KDB99" s="798"/>
      <c r="KDC99" s="798"/>
      <c r="KDD99" s="798"/>
      <c r="KDE99" s="798"/>
      <c r="KDF99" s="798"/>
      <c r="KDG99" s="798"/>
      <c r="KDH99" s="798"/>
      <c r="KDI99" s="798"/>
      <c r="KDJ99" s="798"/>
      <c r="KDK99" s="798"/>
      <c r="KDL99" s="798"/>
      <c r="KDM99" s="798"/>
      <c r="KDN99" s="798"/>
      <c r="KDO99" s="798"/>
      <c r="KDP99" s="798"/>
      <c r="KDQ99" s="798"/>
      <c r="KDR99" s="798"/>
      <c r="KDS99" s="798"/>
      <c r="KDT99" s="798"/>
      <c r="KDU99" s="798"/>
      <c r="KDV99" s="798"/>
      <c r="KDW99" s="798"/>
      <c r="KDX99" s="798"/>
      <c r="KDY99" s="798"/>
      <c r="KDZ99" s="798"/>
      <c r="KEA99" s="798"/>
      <c r="KEB99" s="798"/>
      <c r="KEC99" s="798"/>
      <c r="KED99" s="798"/>
      <c r="KEE99" s="798"/>
      <c r="KEF99" s="798"/>
      <c r="KEG99" s="798"/>
      <c r="KEH99" s="798"/>
      <c r="KEI99" s="798"/>
      <c r="KEJ99" s="798"/>
      <c r="KEK99" s="798"/>
      <c r="KEL99" s="798"/>
      <c r="KEM99" s="798"/>
      <c r="KEN99" s="798"/>
      <c r="KEO99" s="798"/>
      <c r="KEP99" s="798"/>
      <c r="KEQ99" s="798"/>
      <c r="KER99" s="798"/>
      <c r="KES99" s="798"/>
      <c r="KET99" s="798"/>
      <c r="KEU99" s="798"/>
      <c r="KEV99" s="798"/>
      <c r="KEW99" s="798"/>
      <c r="KEX99" s="798"/>
      <c r="KEY99" s="798"/>
      <c r="KEZ99" s="798"/>
      <c r="KFA99" s="798"/>
      <c r="KFB99" s="798"/>
      <c r="KFC99" s="798"/>
      <c r="KFD99" s="798"/>
      <c r="KFE99" s="798"/>
      <c r="KFF99" s="798"/>
      <c r="KFG99" s="798"/>
      <c r="KFH99" s="798"/>
      <c r="KFI99" s="798"/>
      <c r="KFJ99" s="798"/>
      <c r="KFK99" s="798"/>
      <c r="KFL99" s="798"/>
      <c r="KFM99" s="798"/>
      <c r="KFN99" s="798"/>
      <c r="KFO99" s="798"/>
      <c r="KFP99" s="798"/>
      <c r="KFQ99" s="798"/>
      <c r="KFR99" s="798"/>
      <c r="KFS99" s="798"/>
      <c r="KFT99" s="798"/>
      <c r="KFU99" s="798"/>
      <c r="KFV99" s="798"/>
      <c r="KFW99" s="798"/>
      <c r="KFX99" s="798"/>
      <c r="KFY99" s="798"/>
      <c r="KFZ99" s="798"/>
      <c r="KGA99" s="798"/>
      <c r="KGB99" s="798"/>
      <c r="KGC99" s="798"/>
      <c r="KGD99" s="798"/>
      <c r="KGE99" s="798"/>
      <c r="KGF99" s="798"/>
      <c r="KGG99" s="798"/>
      <c r="KGH99" s="798"/>
      <c r="KGI99" s="798"/>
      <c r="KGJ99" s="798"/>
      <c r="KGK99" s="798"/>
      <c r="KGL99" s="798"/>
      <c r="KGM99" s="798"/>
      <c r="KGN99" s="798"/>
      <c r="KGO99" s="798"/>
      <c r="KGP99" s="798"/>
      <c r="KGQ99" s="798"/>
      <c r="KGR99" s="798"/>
      <c r="KGS99" s="798"/>
      <c r="KGT99" s="798"/>
      <c r="KGU99" s="798"/>
      <c r="KGV99" s="798"/>
      <c r="KGW99" s="798"/>
      <c r="KGX99" s="798"/>
      <c r="KGY99" s="798"/>
      <c r="KGZ99" s="798"/>
      <c r="KHA99" s="798"/>
      <c r="KHB99" s="798"/>
      <c r="KHC99" s="798"/>
      <c r="KHD99" s="798"/>
      <c r="KHE99" s="798"/>
      <c r="KHF99" s="798"/>
      <c r="KHG99" s="798"/>
      <c r="KHH99" s="798"/>
      <c r="KHI99" s="798"/>
      <c r="KHJ99" s="798"/>
      <c r="KHK99" s="798"/>
      <c r="KHL99" s="798"/>
      <c r="KHM99" s="798"/>
      <c r="KHN99" s="798"/>
      <c r="KHO99" s="798"/>
      <c r="KHP99" s="798"/>
      <c r="KHQ99" s="798"/>
      <c r="KHR99" s="798"/>
      <c r="KHS99" s="798"/>
      <c r="KHT99" s="798"/>
      <c r="KHU99" s="798"/>
      <c r="KHV99" s="798"/>
      <c r="KHW99" s="798"/>
      <c r="KHX99" s="798"/>
      <c r="KHY99" s="798"/>
      <c r="KHZ99" s="798"/>
      <c r="KIA99" s="798"/>
      <c r="KIB99" s="798"/>
      <c r="KIC99" s="798"/>
      <c r="KID99" s="798"/>
      <c r="KIE99" s="798"/>
      <c r="KIF99" s="798"/>
      <c r="KIG99" s="798"/>
      <c r="KIH99" s="798"/>
      <c r="KII99" s="798"/>
      <c r="KIJ99" s="798"/>
      <c r="KIK99" s="798"/>
      <c r="KIL99" s="798"/>
      <c r="KIM99" s="798"/>
      <c r="KIN99" s="798"/>
      <c r="KIO99" s="798"/>
      <c r="KIP99" s="798"/>
      <c r="KIQ99" s="798"/>
      <c r="KIR99" s="798"/>
      <c r="KIS99" s="798"/>
      <c r="KIT99" s="798"/>
      <c r="KIU99" s="798"/>
      <c r="KIV99" s="798"/>
      <c r="KIW99" s="798"/>
      <c r="KIX99" s="798"/>
      <c r="KIY99" s="798"/>
      <c r="KIZ99" s="798"/>
      <c r="KJA99" s="798"/>
      <c r="KJB99" s="798"/>
      <c r="KJC99" s="798"/>
      <c r="KJD99" s="798"/>
      <c r="KJE99" s="798"/>
      <c r="KJF99" s="798"/>
      <c r="KJG99" s="798"/>
      <c r="KJH99" s="798"/>
      <c r="KJI99" s="798"/>
      <c r="KJJ99" s="798"/>
      <c r="KJK99" s="798"/>
      <c r="KJL99" s="798"/>
      <c r="KJM99" s="798"/>
      <c r="KJN99" s="798"/>
      <c r="KJO99" s="798"/>
      <c r="KJP99" s="798"/>
      <c r="KJQ99" s="798"/>
      <c r="KJR99" s="798"/>
      <c r="KJS99" s="798"/>
      <c r="KJT99" s="798"/>
      <c r="KJU99" s="798"/>
      <c r="KJV99" s="798"/>
      <c r="KJW99" s="798"/>
      <c r="KJX99" s="798"/>
      <c r="KJY99" s="798"/>
      <c r="KJZ99" s="798"/>
      <c r="KKA99" s="798"/>
      <c r="KKB99" s="798"/>
      <c r="KKC99" s="798"/>
      <c r="KKD99" s="798"/>
      <c r="KKE99" s="798"/>
      <c r="KKF99" s="798"/>
      <c r="KKG99" s="798"/>
      <c r="KKH99" s="798"/>
      <c r="KKI99" s="798"/>
      <c r="KKJ99" s="798"/>
      <c r="KKK99" s="798"/>
      <c r="KKL99" s="798"/>
      <c r="KKM99" s="798"/>
      <c r="KKN99" s="798"/>
      <c r="KKO99" s="798"/>
      <c r="KKP99" s="798"/>
      <c r="KKQ99" s="798"/>
      <c r="KKR99" s="798"/>
      <c r="KKS99" s="798"/>
      <c r="KKT99" s="798"/>
      <c r="KKU99" s="798"/>
      <c r="KKV99" s="798"/>
      <c r="KKW99" s="798"/>
      <c r="KKX99" s="798"/>
      <c r="KKY99" s="798"/>
      <c r="KKZ99" s="798"/>
      <c r="KLA99" s="798"/>
      <c r="KLB99" s="798"/>
      <c r="KLC99" s="798"/>
      <c r="KLD99" s="798"/>
      <c r="KLE99" s="798"/>
      <c r="KLF99" s="798"/>
      <c r="KLG99" s="798"/>
      <c r="KLH99" s="798"/>
      <c r="KLI99" s="798"/>
      <c r="KLJ99" s="798"/>
      <c r="KLK99" s="798"/>
      <c r="KLL99" s="798"/>
      <c r="KLM99" s="798"/>
      <c r="KLN99" s="798"/>
      <c r="KLO99" s="798"/>
      <c r="KLP99" s="798"/>
      <c r="KLQ99" s="798"/>
      <c r="KLR99" s="798"/>
      <c r="KLS99" s="798"/>
      <c r="KLT99" s="798"/>
      <c r="KLU99" s="798"/>
      <c r="KLV99" s="798"/>
      <c r="KLW99" s="798"/>
      <c r="KLX99" s="798"/>
      <c r="KLY99" s="798"/>
      <c r="KLZ99" s="798"/>
      <c r="KMA99" s="798"/>
      <c r="KMB99" s="798"/>
      <c r="KMC99" s="798"/>
      <c r="KMD99" s="798"/>
      <c r="KME99" s="798"/>
      <c r="KMF99" s="798"/>
      <c r="KMG99" s="798"/>
      <c r="KMH99" s="798"/>
      <c r="KMI99" s="798"/>
      <c r="KMJ99" s="798"/>
      <c r="KMK99" s="798"/>
      <c r="KML99" s="798"/>
      <c r="KMM99" s="798"/>
      <c r="KMN99" s="798"/>
      <c r="KMO99" s="798"/>
      <c r="KMP99" s="798"/>
      <c r="KMQ99" s="798"/>
      <c r="KMR99" s="798"/>
      <c r="KMS99" s="798"/>
      <c r="KMT99" s="798"/>
      <c r="KMU99" s="798"/>
      <c r="KMV99" s="798"/>
      <c r="KMW99" s="798"/>
      <c r="KMX99" s="798"/>
      <c r="KMY99" s="798"/>
      <c r="KMZ99" s="798"/>
      <c r="KNA99" s="798"/>
      <c r="KNB99" s="798"/>
      <c r="KNC99" s="798"/>
      <c r="KND99" s="798"/>
      <c r="KNE99" s="798"/>
      <c r="KNF99" s="798"/>
      <c r="KNG99" s="798"/>
      <c r="KNH99" s="798"/>
      <c r="KNI99" s="798"/>
      <c r="KNJ99" s="798"/>
      <c r="KNK99" s="798"/>
      <c r="KNL99" s="798"/>
      <c r="KNM99" s="798"/>
      <c r="KNN99" s="798"/>
      <c r="KNO99" s="798"/>
      <c r="KNP99" s="798"/>
      <c r="KNQ99" s="798"/>
      <c r="KNR99" s="798"/>
      <c r="KNS99" s="798"/>
      <c r="KNT99" s="798"/>
      <c r="KNU99" s="798"/>
      <c r="KNV99" s="798"/>
      <c r="KNW99" s="798"/>
      <c r="KNX99" s="798"/>
      <c r="KNY99" s="798"/>
      <c r="KNZ99" s="798"/>
      <c r="KOA99" s="798"/>
      <c r="KOB99" s="798"/>
      <c r="KOC99" s="798"/>
      <c r="KOD99" s="798"/>
      <c r="KOE99" s="798"/>
      <c r="KOF99" s="798"/>
      <c r="KOG99" s="798"/>
      <c r="KOH99" s="798"/>
      <c r="KOI99" s="798"/>
      <c r="KOJ99" s="798"/>
      <c r="KOK99" s="798"/>
      <c r="KOL99" s="798"/>
      <c r="KOM99" s="798"/>
      <c r="KON99" s="798"/>
      <c r="KOO99" s="798"/>
      <c r="KOP99" s="798"/>
      <c r="KOQ99" s="798"/>
      <c r="KOR99" s="798"/>
      <c r="KOS99" s="798"/>
      <c r="KOT99" s="798"/>
      <c r="KOU99" s="798"/>
      <c r="KOV99" s="798"/>
      <c r="KOW99" s="798"/>
      <c r="KOX99" s="798"/>
      <c r="KOY99" s="798"/>
      <c r="KOZ99" s="798"/>
      <c r="KPA99" s="798"/>
      <c r="KPB99" s="798"/>
      <c r="KPC99" s="798"/>
      <c r="KPD99" s="798"/>
      <c r="KPE99" s="798"/>
      <c r="KPF99" s="798"/>
      <c r="KPG99" s="798"/>
      <c r="KPH99" s="798"/>
      <c r="KPI99" s="798"/>
      <c r="KPJ99" s="798"/>
      <c r="KPK99" s="798"/>
      <c r="KPL99" s="798"/>
      <c r="KPM99" s="798"/>
      <c r="KPN99" s="798"/>
      <c r="KPO99" s="798"/>
      <c r="KPP99" s="798"/>
      <c r="KPQ99" s="798"/>
      <c r="KPR99" s="798"/>
      <c r="KPS99" s="798"/>
      <c r="KPT99" s="798"/>
      <c r="KPU99" s="798"/>
      <c r="KPV99" s="798"/>
      <c r="KPW99" s="798"/>
      <c r="KPX99" s="798"/>
      <c r="KPY99" s="798"/>
      <c r="KPZ99" s="798"/>
      <c r="KQA99" s="798"/>
      <c r="KQB99" s="798"/>
      <c r="KQC99" s="798"/>
      <c r="KQD99" s="798"/>
      <c r="KQE99" s="798"/>
      <c r="KQF99" s="798"/>
      <c r="KQG99" s="798"/>
      <c r="KQH99" s="798"/>
      <c r="KQI99" s="798"/>
      <c r="KQJ99" s="798"/>
      <c r="KQK99" s="798"/>
      <c r="KQL99" s="798"/>
      <c r="KQM99" s="798"/>
      <c r="KQN99" s="798"/>
      <c r="KQO99" s="798"/>
      <c r="KQP99" s="798"/>
      <c r="KQQ99" s="798"/>
      <c r="KQR99" s="798"/>
      <c r="KQS99" s="798"/>
      <c r="KQT99" s="798"/>
      <c r="KQU99" s="798"/>
      <c r="KQV99" s="798"/>
      <c r="KQW99" s="798"/>
      <c r="KQX99" s="798"/>
      <c r="KQY99" s="798"/>
      <c r="KQZ99" s="798"/>
      <c r="KRA99" s="798"/>
      <c r="KRB99" s="798"/>
      <c r="KRC99" s="798"/>
      <c r="KRD99" s="798"/>
      <c r="KRE99" s="798"/>
      <c r="KRF99" s="798"/>
      <c r="KRG99" s="798"/>
      <c r="KRH99" s="798"/>
      <c r="KRI99" s="798"/>
      <c r="KRJ99" s="798"/>
      <c r="KRK99" s="798"/>
      <c r="KRL99" s="798"/>
      <c r="KRM99" s="798"/>
      <c r="KRN99" s="798"/>
      <c r="KRO99" s="798"/>
      <c r="KRP99" s="798"/>
      <c r="KRQ99" s="798"/>
      <c r="KRR99" s="798"/>
      <c r="KRS99" s="798"/>
      <c r="KRT99" s="798"/>
      <c r="KRU99" s="798"/>
      <c r="KRV99" s="798"/>
      <c r="KRW99" s="798"/>
      <c r="KRX99" s="798"/>
      <c r="KRY99" s="798"/>
      <c r="KRZ99" s="798"/>
      <c r="KSA99" s="798"/>
      <c r="KSB99" s="798"/>
      <c r="KSC99" s="798"/>
      <c r="KSD99" s="798"/>
      <c r="KSE99" s="798"/>
      <c r="KSF99" s="798"/>
      <c r="KSG99" s="798"/>
      <c r="KSH99" s="798"/>
      <c r="KSI99" s="798"/>
      <c r="KSJ99" s="798"/>
      <c r="KSK99" s="798"/>
      <c r="KSL99" s="798"/>
      <c r="KSM99" s="798"/>
      <c r="KSN99" s="798"/>
      <c r="KSO99" s="798"/>
      <c r="KSP99" s="798"/>
      <c r="KSQ99" s="798"/>
      <c r="KSR99" s="798"/>
      <c r="KSS99" s="798"/>
      <c r="KST99" s="798"/>
      <c r="KSU99" s="798"/>
      <c r="KSV99" s="798"/>
      <c r="KSW99" s="798"/>
      <c r="KSX99" s="798"/>
      <c r="KSY99" s="798"/>
      <c r="KSZ99" s="798"/>
      <c r="KTA99" s="798"/>
      <c r="KTB99" s="798"/>
      <c r="KTC99" s="798"/>
      <c r="KTD99" s="798"/>
      <c r="KTE99" s="798"/>
      <c r="KTF99" s="798"/>
      <c r="KTG99" s="798"/>
      <c r="KTH99" s="798"/>
      <c r="KTI99" s="798"/>
      <c r="KTJ99" s="798"/>
      <c r="KTK99" s="798"/>
      <c r="KTL99" s="798"/>
      <c r="KTM99" s="798"/>
      <c r="KTN99" s="798"/>
      <c r="KTO99" s="798"/>
      <c r="KTP99" s="798"/>
      <c r="KTQ99" s="798"/>
      <c r="KTR99" s="798"/>
      <c r="KTS99" s="798"/>
      <c r="KTT99" s="798"/>
      <c r="KTU99" s="798"/>
      <c r="KTV99" s="798"/>
      <c r="KTW99" s="798"/>
      <c r="KTX99" s="798"/>
      <c r="KTY99" s="798"/>
      <c r="KTZ99" s="798"/>
      <c r="KUA99" s="798"/>
      <c r="KUB99" s="798"/>
      <c r="KUC99" s="798"/>
      <c r="KUD99" s="798"/>
      <c r="KUE99" s="798"/>
      <c r="KUF99" s="798"/>
      <c r="KUG99" s="798"/>
      <c r="KUH99" s="798"/>
      <c r="KUI99" s="798"/>
      <c r="KUJ99" s="798"/>
      <c r="KUK99" s="798"/>
      <c r="KUL99" s="798"/>
      <c r="KUM99" s="798"/>
      <c r="KUN99" s="798"/>
      <c r="KUO99" s="798"/>
      <c r="KUP99" s="798"/>
      <c r="KUQ99" s="798"/>
      <c r="KUR99" s="798"/>
      <c r="KUS99" s="798"/>
      <c r="KUT99" s="798"/>
      <c r="KUU99" s="798"/>
      <c r="KUV99" s="798"/>
      <c r="KUW99" s="798"/>
      <c r="KUX99" s="798"/>
      <c r="KUY99" s="798"/>
      <c r="KUZ99" s="798"/>
      <c r="KVA99" s="798"/>
      <c r="KVB99" s="798"/>
      <c r="KVC99" s="798"/>
      <c r="KVD99" s="798"/>
      <c r="KVE99" s="798"/>
      <c r="KVF99" s="798"/>
      <c r="KVG99" s="798"/>
      <c r="KVH99" s="798"/>
      <c r="KVI99" s="798"/>
      <c r="KVJ99" s="798"/>
      <c r="KVK99" s="798"/>
      <c r="KVL99" s="798"/>
      <c r="KVM99" s="798"/>
      <c r="KVN99" s="798"/>
      <c r="KVO99" s="798"/>
      <c r="KVP99" s="798"/>
      <c r="KVQ99" s="798"/>
      <c r="KVR99" s="798"/>
      <c r="KVS99" s="798"/>
      <c r="KVT99" s="798"/>
      <c r="KVU99" s="798"/>
      <c r="KVV99" s="798"/>
      <c r="KVW99" s="798"/>
      <c r="KVX99" s="798"/>
      <c r="KVY99" s="798"/>
      <c r="KVZ99" s="798"/>
      <c r="KWA99" s="798"/>
      <c r="KWB99" s="798"/>
      <c r="KWC99" s="798"/>
      <c r="KWD99" s="798"/>
      <c r="KWE99" s="798"/>
      <c r="KWF99" s="798"/>
      <c r="KWG99" s="798"/>
      <c r="KWH99" s="798"/>
      <c r="KWI99" s="798"/>
      <c r="KWJ99" s="798"/>
      <c r="KWK99" s="798"/>
      <c r="KWL99" s="798"/>
      <c r="KWM99" s="798"/>
      <c r="KWN99" s="798"/>
      <c r="KWO99" s="798"/>
      <c r="KWP99" s="798"/>
      <c r="KWQ99" s="798"/>
      <c r="KWR99" s="798"/>
      <c r="KWS99" s="798"/>
      <c r="KWT99" s="798"/>
      <c r="KWU99" s="798"/>
      <c r="KWV99" s="798"/>
      <c r="KWW99" s="798"/>
      <c r="KWX99" s="798"/>
      <c r="KWY99" s="798"/>
      <c r="KWZ99" s="798"/>
      <c r="KXA99" s="798"/>
      <c r="KXB99" s="798"/>
      <c r="KXC99" s="798"/>
      <c r="KXD99" s="798"/>
      <c r="KXE99" s="798"/>
      <c r="KXF99" s="798"/>
      <c r="KXG99" s="798"/>
      <c r="KXH99" s="798"/>
      <c r="KXI99" s="798"/>
      <c r="KXJ99" s="798"/>
      <c r="KXK99" s="798"/>
      <c r="KXL99" s="798"/>
      <c r="KXM99" s="798"/>
      <c r="KXN99" s="798"/>
      <c r="KXO99" s="798"/>
      <c r="KXP99" s="798"/>
      <c r="KXQ99" s="798"/>
      <c r="KXR99" s="798"/>
      <c r="KXS99" s="798"/>
      <c r="KXT99" s="798"/>
      <c r="KXU99" s="798"/>
      <c r="KXV99" s="798"/>
      <c r="KXW99" s="798"/>
      <c r="KXX99" s="798"/>
      <c r="KXY99" s="798"/>
      <c r="KXZ99" s="798"/>
      <c r="KYA99" s="798"/>
      <c r="KYB99" s="798"/>
      <c r="KYC99" s="798"/>
      <c r="KYD99" s="798"/>
      <c r="KYE99" s="798"/>
      <c r="KYF99" s="798"/>
      <c r="KYG99" s="798"/>
      <c r="KYH99" s="798"/>
      <c r="KYI99" s="798"/>
      <c r="KYJ99" s="798"/>
      <c r="KYK99" s="798"/>
      <c r="KYL99" s="798"/>
      <c r="KYM99" s="798"/>
      <c r="KYN99" s="798"/>
      <c r="KYO99" s="798"/>
      <c r="KYP99" s="798"/>
      <c r="KYQ99" s="798"/>
      <c r="KYR99" s="798"/>
      <c r="KYS99" s="798"/>
      <c r="KYT99" s="798"/>
      <c r="KYU99" s="798"/>
      <c r="KYV99" s="798"/>
      <c r="KYW99" s="798"/>
      <c r="KYX99" s="798"/>
      <c r="KYY99" s="798"/>
      <c r="KYZ99" s="798"/>
      <c r="KZA99" s="798"/>
      <c r="KZB99" s="798"/>
      <c r="KZC99" s="798"/>
      <c r="KZD99" s="798"/>
      <c r="KZE99" s="798"/>
      <c r="KZF99" s="798"/>
      <c r="KZG99" s="798"/>
      <c r="KZH99" s="798"/>
      <c r="KZI99" s="798"/>
      <c r="KZJ99" s="798"/>
      <c r="KZK99" s="798"/>
      <c r="KZL99" s="798"/>
      <c r="KZM99" s="798"/>
      <c r="KZN99" s="798"/>
      <c r="KZO99" s="798"/>
      <c r="KZP99" s="798"/>
      <c r="KZQ99" s="798"/>
      <c r="KZR99" s="798"/>
      <c r="KZS99" s="798"/>
      <c r="KZT99" s="798"/>
      <c r="KZU99" s="798"/>
      <c r="KZV99" s="798"/>
      <c r="KZW99" s="798"/>
      <c r="KZX99" s="798"/>
      <c r="KZY99" s="798"/>
      <c r="KZZ99" s="798"/>
      <c r="LAA99" s="798"/>
      <c r="LAB99" s="798"/>
      <c r="LAC99" s="798"/>
      <c r="LAD99" s="798"/>
      <c r="LAE99" s="798"/>
      <c r="LAF99" s="798"/>
      <c r="LAG99" s="798"/>
      <c r="LAH99" s="798"/>
      <c r="LAI99" s="798"/>
      <c r="LAJ99" s="798"/>
      <c r="LAK99" s="798"/>
      <c r="LAL99" s="798"/>
      <c r="LAM99" s="798"/>
      <c r="LAN99" s="798"/>
      <c r="LAO99" s="798"/>
      <c r="LAP99" s="798"/>
      <c r="LAQ99" s="798"/>
      <c r="LAR99" s="798"/>
      <c r="LAS99" s="798"/>
      <c r="LAT99" s="798"/>
      <c r="LAU99" s="798"/>
      <c r="LAV99" s="798"/>
      <c r="LAW99" s="798"/>
      <c r="LAX99" s="798"/>
      <c r="LAY99" s="798"/>
      <c r="LAZ99" s="798"/>
      <c r="LBA99" s="798"/>
      <c r="LBB99" s="798"/>
      <c r="LBC99" s="798"/>
      <c r="LBD99" s="798"/>
      <c r="LBE99" s="798"/>
      <c r="LBF99" s="798"/>
      <c r="LBG99" s="798"/>
      <c r="LBH99" s="798"/>
      <c r="LBI99" s="798"/>
      <c r="LBJ99" s="798"/>
      <c r="LBK99" s="798"/>
      <c r="LBL99" s="798"/>
      <c r="LBM99" s="798"/>
      <c r="LBN99" s="798"/>
      <c r="LBO99" s="798"/>
      <c r="LBP99" s="798"/>
      <c r="LBQ99" s="798"/>
      <c r="LBR99" s="798"/>
      <c r="LBS99" s="798"/>
      <c r="LBT99" s="798"/>
      <c r="LBU99" s="798"/>
      <c r="LBV99" s="798"/>
      <c r="LBW99" s="798"/>
      <c r="LBX99" s="798"/>
      <c r="LBY99" s="798"/>
      <c r="LBZ99" s="798"/>
      <c r="LCA99" s="798"/>
      <c r="LCB99" s="798"/>
      <c r="LCC99" s="798"/>
      <c r="LCD99" s="798"/>
      <c r="LCE99" s="798"/>
      <c r="LCF99" s="798"/>
      <c r="LCG99" s="798"/>
      <c r="LCH99" s="798"/>
      <c r="LCI99" s="798"/>
      <c r="LCJ99" s="798"/>
      <c r="LCK99" s="798"/>
      <c r="LCL99" s="798"/>
      <c r="LCM99" s="798"/>
      <c r="LCN99" s="798"/>
      <c r="LCO99" s="798"/>
      <c r="LCP99" s="798"/>
      <c r="LCQ99" s="798"/>
      <c r="LCR99" s="798"/>
      <c r="LCS99" s="798"/>
      <c r="LCT99" s="798"/>
      <c r="LCU99" s="798"/>
      <c r="LCV99" s="798"/>
      <c r="LCW99" s="798"/>
      <c r="LCX99" s="798"/>
      <c r="LCY99" s="798"/>
      <c r="LCZ99" s="798"/>
      <c r="LDA99" s="798"/>
      <c r="LDB99" s="798"/>
      <c r="LDC99" s="798"/>
      <c r="LDD99" s="798"/>
      <c r="LDE99" s="798"/>
      <c r="LDF99" s="798"/>
      <c r="LDG99" s="798"/>
      <c r="LDH99" s="798"/>
      <c r="LDI99" s="798"/>
      <c r="LDJ99" s="798"/>
      <c r="LDK99" s="798"/>
      <c r="LDL99" s="798"/>
      <c r="LDM99" s="798"/>
      <c r="LDN99" s="798"/>
      <c r="LDO99" s="798"/>
      <c r="LDP99" s="798"/>
      <c r="LDQ99" s="798"/>
      <c r="LDR99" s="798"/>
      <c r="LDS99" s="798"/>
      <c r="LDT99" s="798"/>
      <c r="LDU99" s="798"/>
      <c r="LDV99" s="798"/>
      <c r="LDW99" s="798"/>
      <c r="LDX99" s="798"/>
      <c r="LDY99" s="798"/>
      <c r="LDZ99" s="798"/>
      <c r="LEA99" s="798"/>
      <c r="LEB99" s="798"/>
      <c r="LEC99" s="798"/>
      <c r="LED99" s="798"/>
      <c r="LEE99" s="798"/>
      <c r="LEF99" s="798"/>
      <c r="LEG99" s="798"/>
      <c r="LEH99" s="798"/>
      <c r="LEI99" s="798"/>
      <c r="LEJ99" s="798"/>
      <c r="LEK99" s="798"/>
      <c r="LEL99" s="798"/>
      <c r="LEM99" s="798"/>
      <c r="LEN99" s="798"/>
      <c r="LEO99" s="798"/>
      <c r="LEP99" s="798"/>
      <c r="LEQ99" s="798"/>
      <c r="LER99" s="798"/>
      <c r="LES99" s="798"/>
      <c r="LET99" s="798"/>
      <c r="LEU99" s="798"/>
      <c r="LEV99" s="798"/>
      <c r="LEW99" s="798"/>
      <c r="LEX99" s="798"/>
      <c r="LEY99" s="798"/>
      <c r="LEZ99" s="798"/>
      <c r="LFA99" s="798"/>
      <c r="LFB99" s="798"/>
      <c r="LFC99" s="798"/>
      <c r="LFD99" s="798"/>
      <c r="LFE99" s="798"/>
      <c r="LFF99" s="798"/>
      <c r="LFG99" s="798"/>
      <c r="LFH99" s="798"/>
      <c r="LFI99" s="798"/>
      <c r="LFJ99" s="798"/>
      <c r="LFK99" s="798"/>
      <c r="LFL99" s="798"/>
      <c r="LFM99" s="798"/>
      <c r="LFN99" s="798"/>
      <c r="LFO99" s="798"/>
      <c r="LFP99" s="798"/>
      <c r="LFQ99" s="798"/>
      <c r="LFR99" s="798"/>
      <c r="LFS99" s="798"/>
      <c r="LFT99" s="798"/>
      <c r="LFU99" s="798"/>
      <c r="LFV99" s="798"/>
      <c r="LFW99" s="798"/>
      <c r="LFX99" s="798"/>
      <c r="LFY99" s="798"/>
      <c r="LFZ99" s="798"/>
      <c r="LGA99" s="798"/>
      <c r="LGB99" s="798"/>
      <c r="LGC99" s="798"/>
      <c r="LGD99" s="798"/>
      <c r="LGE99" s="798"/>
      <c r="LGF99" s="798"/>
      <c r="LGG99" s="798"/>
      <c r="LGH99" s="798"/>
      <c r="LGI99" s="798"/>
      <c r="LGJ99" s="798"/>
      <c r="LGK99" s="798"/>
      <c r="LGL99" s="798"/>
      <c r="LGM99" s="798"/>
      <c r="LGN99" s="798"/>
      <c r="LGO99" s="798"/>
      <c r="LGP99" s="798"/>
      <c r="LGQ99" s="798"/>
      <c r="LGR99" s="798"/>
      <c r="LGS99" s="798"/>
      <c r="LGT99" s="798"/>
      <c r="LGU99" s="798"/>
      <c r="LGV99" s="798"/>
      <c r="LGW99" s="798"/>
      <c r="LGX99" s="798"/>
      <c r="LGY99" s="798"/>
      <c r="LGZ99" s="798"/>
      <c r="LHA99" s="798"/>
      <c r="LHB99" s="798"/>
      <c r="LHC99" s="798"/>
      <c r="LHD99" s="798"/>
      <c r="LHE99" s="798"/>
      <c r="LHF99" s="798"/>
      <c r="LHG99" s="798"/>
      <c r="LHH99" s="798"/>
      <c r="LHI99" s="798"/>
      <c r="LHJ99" s="798"/>
      <c r="LHK99" s="798"/>
      <c r="LHL99" s="798"/>
      <c r="LHM99" s="798"/>
      <c r="LHN99" s="798"/>
      <c r="LHO99" s="798"/>
      <c r="LHP99" s="798"/>
      <c r="LHQ99" s="798"/>
      <c r="LHR99" s="798"/>
      <c r="LHS99" s="798"/>
      <c r="LHT99" s="798"/>
      <c r="LHU99" s="798"/>
      <c r="LHV99" s="798"/>
      <c r="LHW99" s="798"/>
      <c r="LHX99" s="798"/>
      <c r="LHY99" s="798"/>
      <c r="LHZ99" s="798"/>
      <c r="LIA99" s="798"/>
      <c r="LIB99" s="798"/>
      <c r="LIC99" s="798"/>
      <c r="LID99" s="798"/>
      <c r="LIE99" s="798"/>
      <c r="LIF99" s="798"/>
      <c r="LIG99" s="798"/>
      <c r="LIH99" s="798"/>
      <c r="LII99" s="798"/>
      <c r="LIJ99" s="798"/>
      <c r="LIK99" s="798"/>
      <c r="LIL99" s="798"/>
      <c r="LIM99" s="798"/>
      <c r="LIN99" s="798"/>
      <c r="LIO99" s="798"/>
      <c r="LIP99" s="798"/>
      <c r="LIQ99" s="798"/>
      <c r="LIR99" s="798"/>
      <c r="LIS99" s="798"/>
      <c r="LIT99" s="798"/>
      <c r="LIU99" s="798"/>
      <c r="LIV99" s="798"/>
      <c r="LIW99" s="798"/>
      <c r="LIX99" s="798"/>
      <c r="LIY99" s="798"/>
      <c r="LIZ99" s="798"/>
      <c r="LJA99" s="798"/>
      <c r="LJB99" s="798"/>
      <c r="LJC99" s="798"/>
      <c r="LJD99" s="798"/>
      <c r="LJE99" s="798"/>
      <c r="LJF99" s="798"/>
      <c r="LJG99" s="798"/>
      <c r="LJH99" s="798"/>
      <c r="LJI99" s="798"/>
      <c r="LJJ99" s="798"/>
      <c r="LJK99" s="798"/>
      <c r="LJL99" s="798"/>
      <c r="LJM99" s="798"/>
      <c r="LJN99" s="798"/>
      <c r="LJO99" s="798"/>
      <c r="LJP99" s="798"/>
      <c r="LJQ99" s="798"/>
      <c r="LJR99" s="798"/>
      <c r="LJS99" s="798"/>
      <c r="LJT99" s="798"/>
      <c r="LJU99" s="798"/>
      <c r="LJV99" s="798"/>
      <c r="LJW99" s="798"/>
      <c r="LJX99" s="798"/>
      <c r="LJY99" s="798"/>
      <c r="LJZ99" s="798"/>
      <c r="LKA99" s="798"/>
      <c r="LKB99" s="798"/>
      <c r="LKC99" s="798"/>
      <c r="LKD99" s="798"/>
      <c r="LKE99" s="798"/>
      <c r="LKF99" s="798"/>
      <c r="LKG99" s="798"/>
      <c r="LKH99" s="798"/>
      <c r="LKI99" s="798"/>
      <c r="LKJ99" s="798"/>
      <c r="LKK99" s="798"/>
      <c r="LKL99" s="798"/>
      <c r="LKM99" s="798"/>
      <c r="LKN99" s="798"/>
      <c r="LKO99" s="798"/>
      <c r="LKP99" s="798"/>
      <c r="LKQ99" s="798"/>
      <c r="LKR99" s="798"/>
      <c r="LKS99" s="798"/>
      <c r="LKT99" s="798"/>
      <c r="LKU99" s="798"/>
      <c r="LKV99" s="798"/>
      <c r="LKW99" s="798"/>
      <c r="LKX99" s="798"/>
      <c r="LKY99" s="798"/>
      <c r="LKZ99" s="798"/>
      <c r="LLA99" s="798"/>
      <c r="LLB99" s="798"/>
      <c r="LLC99" s="798"/>
      <c r="LLD99" s="798"/>
      <c r="LLE99" s="798"/>
      <c r="LLF99" s="798"/>
      <c r="LLG99" s="798"/>
      <c r="LLH99" s="798"/>
      <c r="LLI99" s="798"/>
      <c r="LLJ99" s="798"/>
      <c r="LLK99" s="798"/>
      <c r="LLL99" s="798"/>
      <c r="LLM99" s="798"/>
      <c r="LLN99" s="798"/>
      <c r="LLO99" s="798"/>
      <c r="LLP99" s="798"/>
      <c r="LLQ99" s="798"/>
      <c r="LLR99" s="798"/>
      <c r="LLS99" s="798"/>
      <c r="LLT99" s="798"/>
      <c r="LLU99" s="798"/>
      <c r="LLV99" s="798"/>
      <c r="LLW99" s="798"/>
      <c r="LLX99" s="798"/>
      <c r="LLY99" s="798"/>
      <c r="LLZ99" s="798"/>
      <c r="LMA99" s="798"/>
      <c r="LMB99" s="798"/>
      <c r="LMC99" s="798"/>
      <c r="LMD99" s="798"/>
      <c r="LME99" s="798"/>
      <c r="LMF99" s="798"/>
      <c r="LMG99" s="798"/>
      <c r="LMH99" s="798"/>
      <c r="LMI99" s="798"/>
      <c r="LMJ99" s="798"/>
      <c r="LMK99" s="798"/>
      <c r="LML99" s="798"/>
      <c r="LMM99" s="798"/>
      <c r="LMN99" s="798"/>
      <c r="LMO99" s="798"/>
      <c r="LMP99" s="798"/>
      <c r="LMQ99" s="798"/>
      <c r="LMR99" s="798"/>
      <c r="LMS99" s="798"/>
      <c r="LMT99" s="798"/>
      <c r="LMU99" s="798"/>
      <c r="LMV99" s="798"/>
      <c r="LMW99" s="798"/>
      <c r="LMX99" s="798"/>
      <c r="LMY99" s="798"/>
      <c r="LMZ99" s="798"/>
      <c r="LNA99" s="798"/>
      <c r="LNB99" s="798"/>
      <c r="LNC99" s="798"/>
      <c r="LND99" s="798"/>
      <c r="LNE99" s="798"/>
      <c r="LNF99" s="798"/>
      <c r="LNG99" s="798"/>
      <c r="LNH99" s="798"/>
      <c r="LNI99" s="798"/>
      <c r="LNJ99" s="798"/>
      <c r="LNK99" s="798"/>
      <c r="LNL99" s="798"/>
      <c r="LNM99" s="798"/>
      <c r="LNN99" s="798"/>
      <c r="LNO99" s="798"/>
      <c r="LNP99" s="798"/>
      <c r="LNQ99" s="798"/>
      <c r="LNR99" s="798"/>
      <c r="LNS99" s="798"/>
      <c r="LNT99" s="798"/>
      <c r="LNU99" s="798"/>
      <c r="LNV99" s="798"/>
      <c r="LNW99" s="798"/>
      <c r="LNX99" s="798"/>
      <c r="LNY99" s="798"/>
      <c r="LNZ99" s="798"/>
      <c r="LOA99" s="798"/>
      <c r="LOB99" s="798"/>
      <c r="LOC99" s="798"/>
      <c r="LOD99" s="798"/>
      <c r="LOE99" s="798"/>
      <c r="LOF99" s="798"/>
      <c r="LOG99" s="798"/>
      <c r="LOH99" s="798"/>
      <c r="LOI99" s="798"/>
      <c r="LOJ99" s="798"/>
      <c r="LOK99" s="798"/>
      <c r="LOL99" s="798"/>
      <c r="LOM99" s="798"/>
      <c r="LON99" s="798"/>
      <c r="LOO99" s="798"/>
      <c r="LOP99" s="798"/>
      <c r="LOQ99" s="798"/>
      <c r="LOR99" s="798"/>
      <c r="LOS99" s="798"/>
      <c r="LOT99" s="798"/>
      <c r="LOU99" s="798"/>
      <c r="LOV99" s="798"/>
      <c r="LOW99" s="798"/>
      <c r="LOX99" s="798"/>
      <c r="LOY99" s="798"/>
      <c r="LOZ99" s="798"/>
      <c r="LPA99" s="798"/>
      <c r="LPB99" s="798"/>
      <c r="LPC99" s="798"/>
      <c r="LPD99" s="798"/>
      <c r="LPE99" s="798"/>
      <c r="LPF99" s="798"/>
      <c r="LPG99" s="798"/>
      <c r="LPH99" s="798"/>
      <c r="LPI99" s="798"/>
      <c r="LPJ99" s="798"/>
      <c r="LPK99" s="798"/>
      <c r="LPL99" s="798"/>
      <c r="LPM99" s="798"/>
      <c r="LPN99" s="798"/>
      <c r="LPO99" s="798"/>
      <c r="LPP99" s="798"/>
      <c r="LPQ99" s="798"/>
      <c r="LPR99" s="798"/>
      <c r="LPS99" s="798"/>
      <c r="LPT99" s="798"/>
      <c r="LPU99" s="798"/>
      <c r="LPV99" s="798"/>
      <c r="LPW99" s="798"/>
      <c r="LPX99" s="798"/>
      <c r="LPY99" s="798"/>
      <c r="LPZ99" s="798"/>
      <c r="LQA99" s="798"/>
      <c r="LQB99" s="798"/>
      <c r="LQC99" s="798"/>
      <c r="LQD99" s="798"/>
      <c r="LQE99" s="798"/>
      <c r="LQF99" s="798"/>
      <c r="LQG99" s="798"/>
      <c r="LQH99" s="798"/>
      <c r="LQI99" s="798"/>
      <c r="LQJ99" s="798"/>
      <c r="LQK99" s="798"/>
      <c r="LQL99" s="798"/>
      <c r="LQM99" s="798"/>
      <c r="LQN99" s="798"/>
      <c r="LQO99" s="798"/>
      <c r="LQP99" s="798"/>
      <c r="LQQ99" s="798"/>
      <c r="LQR99" s="798"/>
      <c r="LQS99" s="798"/>
      <c r="LQT99" s="798"/>
      <c r="LQU99" s="798"/>
      <c r="LQV99" s="798"/>
      <c r="LQW99" s="798"/>
      <c r="LQX99" s="798"/>
      <c r="LQY99" s="798"/>
      <c r="LQZ99" s="798"/>
      <c r="LRA99" s="798"/>
      <c r="LRB99" s="798"/>
      <c r="LRC99" s="798"/>
      <c r="LRD99" s="798"/>
      <c r="LRE99" s="798"/>
      <c r="LRF99" s="798"/>
      <c r="LRG99" s="798"/>
      <c r="LRH99" s="798"/>
      <c r="LRI99" s="798"/>
      <c r="LRJ99" s="798"/>
      <c r="LRK99" s="798"/>
      <c r="LRL99" s="798"/>
      <c r="LRM99" s="798"/>
      <c r="LRN99" s="798"/>
      <c r="LRO99" s="798"/>
      <c r="LRP99" s="798"/>
      <c r="LRQ99" s="798"/>
      <c r="LRR99" s="798"/>
      <c r="LRS99" s="798"/>
      <c r="LRT99" s="798"/>
      <c r="LRU99" s="798"/>
      <c r="LRV99" s="798"/>
      <c r="LRW99" s="798"/>
      <c r="LRX99" s="798"/>
      <c r="LRY99" s="798"/>
      <c r="LRZ99" s="798"/>
      <c r="LSA99" s="798"/>
      <c r="LSB99" s="798"/>
      <c r="LSC99" s="798"/>
      <c r="LSD99" s="798"/>
      <c r="LSE99" s="798"/>
      <c r="LSF99" s="798"/>
      <c r="LSG99" s="798"/>
      <c r="LSH99" s="798"/>
      <c r="LSI99" s="798"/>
      <c r="LSJ99" s="798"/>
      <c r="LSK99" s="798"/>
      <c r="LSL99" s="798"/>
      <c r="LSM99" s="798"/>
      <c r="LSN99" s="798"/>
      <c r="LSO99" s="798"/>
      <c r="LSP99" s="798"/>
      <c r="LSQ99" s="798"/>
      <c r="LSR99" s="798"/>
      <c r="LSS99" s="798"/>
      <c r="LST99" s="798"/>
      <c r="LSU99" s="798"/>
      <c r="LSV99" s="798"/>
      <c r="LSW99" s="798"/>
      <c r="LSX99" s="798"/>
      <c r="LSY99" s="798"/>
      <c r="LSZ99" s="798"/>
      <c r="LTA99" s="798"/>
      <c r="LTB99" s="798"/>
      <c r="LTC99" s="798"/>
      <c r="LTD99" s="798"/>
      <c r="LTE99" s="798"/>
      <c r="LTF99" s="798"/>
      <c r="LTG99" s="798"/>
      <c r="LTH99" s="798"/>
      <c r="LTI99" s="798"/>
      <c r="LTJ99" s="798"/>
      <c r="LTK99" s="798"/>
      <c r="LTL99" s="798"/>
      <c r="LTM99" s="798"/>
      <c r="LTN99" s="798"/>
      <c r="LTO99" s="798"/>
      <c r="LTP99" s="798"/>
      <c r="LTQ99" s="798"/>
      <c r="LTR99" s="798"/>
      <c r="LTS99" s="798"/>
      <c r="LTT99" s="798"/>
      <c r="LTU99" s="798"/>
      <c r="LTV99" s="798"/>
      <c r="LTW99" s="798"/>
      <c r="LTX99" s="798"/>
      <c r="LTY99" s="798"/>
      <c r="LTZ99" s="798"/>
      <c r="LUA99" s="798"/>
      <c r="LUB99" s="798"/>
      <c r="LUC99" s="798"/>
      <c r="LUD99" s="798"/>
      <c r="LUE99" s="798"/>
      <c r="LUF99" s="798"/>
      <c r="LUG99" s="798"/>
      <c r="LUH99" s="798"/>
      <c r="LUI99" s="798"/>
      <c r="LUJ99" s="798"/>
      <c r="LUK99" s="798"/>
      <c r="LUL99" s="798"/>
      <c r="LUM99" s="798"/>
      <c r="LUN99" s="798"/>
      <c r="LUO99" s="798"/>
      <c r="LUP99" s="798"/>
      <c r="LUQ99" s="798"/>
      <c r="LUR99" s="798"/>
      <c r="LUS99" s="798"/>
      <c r="LUT99" s="798"/>
      <c r="LUU99" s="798"/>
      <c r="LUV99" s="798"/>
      <c r="LUW99" s="798"/>
      <c r="LUX99" s="798"/>
      <c r="LUY99" s="798"/>
      <c r="LUZ99" s="798"/>
      <c r="LVA99" s="798"/>
      <c r="LVB99" s="798"/>
      <c r="LVC99" s="798"/>
      <c r="LVD99" s="798"/>
      <c r="LVE99" s="798"/>
      <c r="LVF99" s="798"/>
      <c r="LVG99" s="798"/>
      <c r="LVH99" s="798"/>
      <c r="LVI99" s="798"/>
      <c r="LVJ99" s="798"/>
      <c r="LVK99" s="798"/>
      <c r="LVL99" s="798"/>
      <c r="LVM99" s="798"/>
      <c r="LVN99" s="798"/>
      <c r="LVO99" s="798"/>
      <c r="LVP99" s="798"/>
      <c r="LVQ99" s="798"/>
      <c r="LVR99" s="798"/>
      <c r="LVS99" s="798"/>
      <c r="LVT99" s="798"/>
      <c r="LVU99" s="798"/>
      <c r="LVV99" s="798"/>
      <c r="LVW99" s="798"/>
      <c r="LVX99" s="798"/>
      <c r="LVY99" s="798"/>
      <c r="LVZ99" s="798"/>
      <c r="LWA99" s="798"/>
      <c r="LWB99" s="798"/>
      <c r="LWC99" s="798"/>
      <c r="LWD99" s="798"/>
      <c r="LWE99" s="798"/>
      <c r="LWF99" s="798"/>
      <c r="LWG99" s="798"/>
      <c r="LWH99" s="798"/>
      <c r="LWI99" s="798"/>
      <c r="LWJ99" s="798"/>
      <c r="LWK99" s="798"/>
      <c r="LWL99" s="798"/>
      <c r="LWM99" s="798"/>
      <c r="LWN99" s="798"/>
      <c r="LWO99" s="798"/>
      <c r="LWP99" s="798"/>
      <c r="LWQ99" s="798"/>
      <c r="LWR99" s="798"/>
      <c r="LWS99" s="798"/>
      <c r="LWT99" s="798"/>
      <c r="LWU99" s="798"/>
      <c r="LWV99" s="798"/>
      <c r="LWW99" s="798"/>
      <c r="LWX99" s="798"/>
      <c r="LWY99" s="798"/>
      <c r="LWZ99" s="798"/>
      <c r="LXA99" s="798"/>
      <c r="LXB99" s="798"/>
      <c r="LXC99" s="798"/>
      <c r="LXD99" s="798"/>
      <c r="LXE99" s="798"/>
      <c r="LXF99" s="798"/>
      <c r="LXG99" s="798"/>
      <c r="LXH99" s="798"/>
      <c r="LXI99" s="798"/>
      <c r="LXJ99" s="798"/>
      <c r="LXK99" s="798"/>
      <c r="LXL99" s="798"/>
      <c r="LXM99" s="798"/>
      <c r="LXN99" s="798"/>
      <c r="LXO99" s="798"/>
      <c r="LXP99" s="798"/>
      <c r="LXQ99" s="798"/>
      <c r="LXR99" s="798"/>
      <c r="LXS99" s="798"/>
      <c r="LXT99" s="798"/>
      <c r="LXU99" s="798"/>
      <c r="LXV99" s="798"/>
      <c r="LXW99" s="798"/>
      <c r="LXX99" s="798"/>
      <c r="LXY99" s="798"/>
      <c r="LXZ99" s="798"/>
      <c r="LYA99" s="798"/>
      <c r="LYB99" s="798"/>
      <c r="LYC99" s="798"/>
      <c r="LYD99" s="798"/>
      <c r="LYE99" s="798"/>
      <c r="LYF99" s="798"/>
      <c r="LYG99" s="798"/>
      <c r="LYH99" s="798"/>
      <c r="LYI99" s="798"/>
      <c r="LYJ99" s="798"/>
      <c r="LYK99" s="798"/>
      <c r="LYL99" s="798"/>
      <c r="LYM99" s="798"/>
      <c r="LYN99" s="798"/>
      <c r="LYO99" s="798"/>
      <c r="LYP99" s="798"/>
      <c r="LYQ99" s="798"/>
      <c r="LYR99" s="798"/>
      <c r="LYS99" s="798"/>
      <c r="LYT99" s="798"/>
      <c r="LYU99" s="798"/>
      <c r="LYV99" s="798"/>
      <c r="LYW99" s="798"/>
      <c r="LYX99" s="798"/>
      <c r="LYY99" s="798"/>
      <c r="LYZ99" s="798"/>
      <c r="LZA99" s="798"/>
      <c r="LZB99" s="798"/>
      <c r="LZC99" s="798"/>
      <c r="LZD99" s="798"/>
      <c r="LZE99" s="798"/>
      <c r="LZF99" s="798"/>
      <c r="LZG99" s="798"/>
      <c r="LZH99" s="798"/>
      <c r="LZI99" s="798"/>
      <c r="LZJ99" s="798"/>
      <c r="LZK99" s="798"/>
      <c r="LZL99" s="798"/>
      <c r="LZM99" s="798"/>
      <c r="LZN99" s="798"/>
      <c r="LZO99" s="798"/>
      <c r="LZP99" s="798"/>
      <c r="LZQ99" s="798"/>
      <c r="LZR99" s="798"/>
      <c r="LZS99" s="798"/>
      <c r="LZT99" s="798"/>
      <c r="LZU99" s="798"/>
      <c r="LZV99" s="798"/>
      <c r="LZW99" s="798"/>
      <c r="LZX99" s="798"/>
      <c r="LZY99" s="798"/>
      <c r="LZZ99" s="798"/>
      <c r="MAA99" s="798"/>
      <c r="MAB99" s="798"/>
      <c r="MAC99" s="798"/>
      <c r="MAD99" s="798"/>
      <c r="MAE99" s="798"/>
      <c r="MAF99" s="798"/>
      <c r="MAG99" s="798"/>
      <c r="MAH99" s="798"/>
      <c r="MAI99" s="798"/>
      <c r="MAJ99" s="798"/>
      <c r="MAK99" s="798"/>
      <c r="MAL99" s="798"/>
      <c r="MAM99" s="798"/>
      <c r="MAN99" s="798"/>
      <c r="MAO99" s="798"/>
      <c r="MAP99" s="798"/>
      <c r="MAQ99" s="798"/>
      <c r="MAR99" s="798"/>
      <c r="MAS99" s="798"/>
      <c r="MAT99" s="798"/>
      <c r="MAU99" s="798"/>
      <c r="MAV99" s="798"/>
      <c r="MAW99" s="798"/>
      <c r="MAX99" s="798"/>
      <c r="MAY99" s="798"/>
      <c r="MAZ99" s="798"/>
      <c r="MBA99" s="798"/>
      <c r="MBB99" s="798"/>
      <c r="MBC99" s="798"/>
      <c r="MBD99" s="798"/>
      <c r="MBE99" s="798"/>
      <c r="MBF99" s="798"/>
      <c r="MBG99" s="798"/>
      <c r="MBH99" s="798"/>
      <c r="MBI99" s="798"/>
      <c r="MBJ99" s="798"/>
      <c r="MBK99" s="798"/>
      <c r="MBL99" s="798"/>
      <c r="MBM99" s="798"/>
      <c r="MBN99" s="798"/>
      <c r="MBO99" s="798"/>
      <c r="MBP99" s="798"/>
      <c r="MBQ99" s="798"/>
      <c r="MBR99" s="798"/>
      <c r="MBS99" s="798"/>
      <c r="MBT99" s="798"/>
      <c r="MBU99" s="798"/>
      <c r="MBV99" s="798"/>
      <c r="MBW99" s="798"/>
      <c r="MBX99" s="798"/>
      <c r="MBY99" s="798"/>
      <c r="MBZ99" s="798"/>
      <c r="MCA99" s="798"/>
      <c r="MCB99" s="798"/>
      <c r="MCC99" s="798"/>
      <c r="MCD99" s="798"/>
      <c r="MCE99" s="798"/>
      <c r="MCF99" s="798"/>
      <c r="MCG99" s="798"/>
      <c r="MCH99" s="798"/>
      <c r="MCI99" s="798"/>
      <c r="MCJ99" s="798"/>
      <c r="MCK99" s="798"/>
      <c r="MCL99" s="798"/>
      <c r="MCM99" s="798"/>
      <c r="MCN99" s="798"/>
      <c r="MCO99" s="798"/>
      <c r="MCP99" s="798"/>
      <c r="MCQ99" s="798"/>
      <c r="MCR99" s="798"/>
      <c r="MCS99" s="798"/>
      <c r="MCT99" s="798"/>
      <c r="MCU99" s="798"/>
      <c r="MCV99" s="798"/>
      <c r="MCW99" s="798"/>
      <c r="MCX99" s="798"/>
      <c r="MCY99" s="798"/>
      <c r="MCZ99" s="798"/>
      <c r="MDA99" s="798"/>
      <c r="MDB99" s="798"/>
      <c r="MDC99" s="798"/>
      <c r="MDD99" s="798"/>
      <c r="MDE99" s="798"/>
      <c r="MDF99" s="798"/>
      <c r="MDG99" s="798"/>
      <c r="MDH99" s="798"/>
      <c r="MDI99" s="798"/>
      <c r="MDJ99" s="798"/>
      <c r="MDK99" s="798"/>
      <c r="MDL99" s="798"/>
      <c r="MDM99" s="798"/>
      <c r="MDN99" s="798"/>
      <c r="MDO99" s="798"/>
      <c r="MDP99" s="798"/>
      <c r="MDQ99" s="798"/>
      <c r="MDR99" s="798"/>
      <c r="MDS99" s="798"/>
      <c r="MDT99" s="798"/>
      <c r="MDU99" s="798"/>
      <c r="MDV99" s="798"/>
      <c r="MDW99" s="798"/>
      <c r="MDX99" s="798"/>
      <c r="MDY99" s="798"/>
      <c r="MDZ99" s="798"/>
      <c r="MEA99" s="798"/>
      <c r="MEB99" s="798"/>
      <c r="MEC99" s="798"/>
      <c r="MED99" s="798"/>
      <c r="MEE99" s="798"/>
      <c r="MEF99" s="798"/>
      <c r="MEG99" s="798"/>
      <c r="MEH99" s="798"/>
      <c r="MEI99" s="798"/>
      <c r="MEJ99" s="798"/>
      <c r="MEK99" s="798"/>
      <c r="MEL99" s="798"/>
      <c r="MEM99" s="798"/>
      <c r="MEN99" s="798"/>
      <c r="MEO99" s="798"/>
      <c r="MEP99" s="798"/>
      <c r="MEQ99" s="798"/>
      <c r="MER99" s="798"/>
      <c r="MES99" s="798"/>
      <c r="MET99" s="798"/>
      <c r="MEU99" s="798"/>
      <c r="MEV99" s="798"/>
      <c r="MEW99" s="798"/>
      <c r="MEX99" s="798"/>
      <c r="MEY99" s="798"/>
      <c r="MEZ99" s="798"/>
      <c r="MFA99" s="798"/>
      <c r="MFB99" s="798"/>
      <c r="MFC99" s="798"/>
      <c r="MFD99" s="798"/>
      <c r="MFE99" s="798"/>
      <c r="MFF99" s="798"/>
      <c r="MFG99" s="798"/>
      <c r="MFH99" s="798"/>
      <c r="MFI99" s="798"/>
      <c r="MFJ99" s="798"/>
      <c r="MFK99" s="798"/>
      <c r="MFL99" s="798"/>
      <c r="MFM99" s="798"/>
      <c r="MFN99" s="798"/>
      <c r="MFO99" s="798"/>
      <c r="MFP99" s="798"/>
      <c r="MFQ99" s="798"/>
      <c r="MFR99" s="798"/>
      <c r="MFS99" s="798"/>
      <c r="MFT99" s="798"/>
      <c r="MFU99" s="798"/>
      <c r="MFV99" s="798"/>
      <c r="MFW99" s="798"/>
      <c r="MFX99" s="798"/>
      <c r="MFY99" s="798"/>
      <c r="MFZ99" s="798"/>
      <c r="MGA99" s="798"/>
      <c r="MGB99" s="798"/>
      <c r="MGC99" s="798"/>
      <c r="MGD99" s="798"/>
      <c r="MGE99" s="798"/>
      <c r="MGF99" s="798"/>
      <c r="MGG99" s="798"/>
      <c r="MGH99" s="798"/>
      <c r="MGI99" s="798"/>
      <c r="MGJ99" s="798"/>
      <c r="MGK99" s="798"/>
      <c r="MGL99" s="798"/>
      <c r="MGM99" s="798"/>
      <c r="MGN99" s="798"/>
      <c r="MGO99" s="798"/>
      <c r="MGP99" s="798"/>
      <c r="MGQ99" s="798"/>
      <c r="MGR99" s="798"/>
      <c r="MGS99" s="798"/>
      <c r="MGT99" s="798"/>
      <c r="MGU99" s="798"/>
      <c r="MGV99" s="798"/>
      <c r="MGW99" s="798"/>
      <c r="MGX99" s="798"/>
      <c r="MGY99" s="798"/>
      <c r="MGZ99" s="798"/>
      <c r="MHA99" s="798"/>
      <c r="MHB99" s="798"/>
      <c r="MHC99" s="798"/>
      <c r="MHD99" s="798"/>
      <c r="MHE99" s="798"/>
      <c r="MHF99" s="798"/>
      <c r="MHG99" s="798"/>
      <c r="MHH99" s="798"/>
      <c r="MHI99" s="798"/>
      <c r="MHJ99" s="798"/>
      <c r="MHK99" s="798"/>
      <c r="MHL99" s="798"/>
      <c r="MHM99" s="798"/>
      <c r="MHN99" s="798"/>
      <c r="MHO99" s="798"/>
      <c r="MHP99" s="798"/>
      <c r="MHQ99" s="798"/>
      <c r="MHR99" s="798"/>
      <c r="MHS99" s="798"/>
      <c r="MHT99" s="798"/>
      <c r="MHU99" s="798"/>
      <c r="MHV99" s="798"/>
      <c r="MHW99" s="798"/>
      <c r="MHX99" s="798"/>
      <c r="MHY99" s="798"/>
      <c r="MHZ99" s="798"/>
      <c r="MIA99" s="798"/>
      <c r="MIB99" s="798"/>
      <c r="MIC99" s="798"/>
      <c r="MID99" s="798"/>
      <c r="MIE99" s="798"/>
      <c r="MIF99" s="798"/>
      <c r="MIG99" s="798"/>
      <c r="MIH99" s="798"/>
      <c r="MII99" s="798"/>
      <c r="MIJ99" s="798"/>
      <c r="MIK99" s="798"/>
      <c r="MIL99" s="798"/>
      <c r="MIM99" s="798"/>
      <c r="MIN99" s="798"/>
      <c r="MIO99" s="798"/>
      <c r="MIP99" s="798"/>
      <c r="MIQ99" s="798"/>
      <c r="MIR99" s="798"/>
      <c r="MIS99" s="798"/>
      <c r="MIT99" s="798"/>
      <c r="MIU99" s="798"/>
      <c r="MIV99" s="798"/>
      <c r="MIW99" s="798"/>
      <c r="MIX99" s="798"/>
      <c r="MIY99" s="798"/>
      <c r="MIZ99" s="798"/>
      <c r="MJA99" s="798"/>
      <c r="MJB99" s="798"/>
      <c r="MJC99" s="798"/>
      <c r="MJD99" s="798"/>
      <c r="MJE99" s="798"/>
      <c r="MJF99" s="798"/>
      <c r="MJG99" s="798"/>
      <c r="MJH99" s="798"/>
      <c r="MJI99" s="798"/>
      <c r="MJJ99" s="798"/>
      <c r="MJK99" s="798"/>
      <c r="MJL99" s="798"/>
      <c r="MJM99" s="798"/>
      <c r="MJN99" s="798"/>
      <c r="MJO99" s="798"/>
      <c r="MJP99" s="798"/>
      <c r="MJQ99" s="798"/>
      <c r="MJR99" s="798"/>
      <c r="MJS99" s="798"/>
      <c r="MJT99" s="798"/>
      <c r="MJU99" s="798"/>
      <c r="MJV99" s="798"/>
      <c r="MJW99" s="798"/>
      <c r="MJX99" s="798"/>
      <c r="MJY99" s="798"/>
      <c r="MJZ99" s="798"/>
      <c r="MKA99" s="798"/>
      <c r="MKB99" s="798"/>
      <c r="MKC99" s="798"/>
      <c r="MKD99" s="798"/>
      <c r="MKE99" s="798"/>
      <c r="MKF99" s="798"/>
      <c r="MKG99" s="798"/>
      <c r="MKH99" s="798"/>
      <c r="MKI99" s="798"/>
      <c r="MKJ99" s="798"/>
      <c r="MKK99" s="798"/>
      <c r="MKL99" s="798"/>
      <c r="MKM99" s="798"/>
      <c r="MKN99" s="798"/>
      <c r="MKO99" s="798"/>
      <c r="MKP99" s="798"/>
      <c r="MKQ99" s="798"/>
      <c r="MKR99" s="798"/>
      <c r="MKS99" s="798"/>
      <c r="MKT99" s="798"/>
      <c r="MKU99" s="798"/>
      <c r="MKV99" s="798"/>
      <c r="MKW99" s="798"/>
      <c r="MKX99" s="798"/>
      <c r="MKY99" s="798"/>
      <c r="MKZ99" s="798"/>
      <c r="MLA99" s="798"/>
      <c r="MLB99" s="798"/>
      <c r="MLC99" s="798"/>
      <c r="MLD99" s="798"/>
      <c r="MLE99" s="798"/>
      <c r="MLF99" s="798"/>
      <c r="MLG99" s="798"/>
      <c r="MLH99" s="798"/>
      <c r="MLI99" s="798"/>
      <c r="MLJ99" s="798"/>
      <c r="MLK99" s="798"/>
      <c r="MLL99" s="798"/>
      <c r="MLM99" s="798"/>
      <c r="MLN99" s="798"/>
      <c r="MLO99" s="798"/>
      <c r="MLP99" s="798"/>
      <c r="MLQ99" s="798"/>
      <c r="MLR99" s="798"/>
      <c r="MLS99" s="798"/>
      <c r="MLT99" s="798"/>
      <c r="MLU99" s="798"/>
      <c r="MLV99" s="798"/>
      <c r="MLW99" s="798"/>
      <c r="MLX99" s="798"/>
      <c r="MLY99" s="798"/>
      <c r="MLZ99" s="798"/>
      <c r="MMA99" s="798"/>
      <c r="MMB99" s="798"/>
      <c r="MMC99" s="798"/>
      <c r="MMD99" s="798"/>
      <c r="MME99" s="798"/>
      <c r="MMF99" s="798"/>
      <c r="MMG99" s="798"/>
      <c r="MMH99" s="798"/>
      <c r="MMI99" s="798"/>
      <c r="MMJ99" s="798"/>
      <c r="MMK99" s="798"/>
      <c r="MML99" s="798"/>
      <c r="MMM99" s="798"/>
      <c r="MMN99" s="798"/>
      <c r="MMO99" s="798"/>
      <c r="MMP99" s="798"/>
      <c r="MMQ99" s="798"/>
      <c r="MMR99" s="798"/>
      <c r="MMS99" s="798"/>
      <c r="MMT99" s="798"/>
      <c r="MMU99" s="798"/>
      <c r="MMV99" s="798"/>
      <c r="MMW99" s="798"/>
      <c r="MMX99" s="798"/>
      <c r="MMY99" s="798"/>
      <c r="MMZ99" s="798"/>
      <c r="MNA99" s="798"/>
      <c r="MNB99" s="798"/>
      <c r="MNC99" s="798"/>
      <c r="MND99" s="798"/>
      <c r="MNE99" s="798"/>
      <c r="MNF99" s="798"/>
      <c r="MNG99" s="798"/>
      <c r="MNH99" s="798"/>
      <c r="MNI99" s="798"/>
      <c r="MNJ99" s="798"/>
      <c r="MNK99" s="798"/>
      <c r="MNL99" s="798"/>
      <c r="MNM99" s="798"/>
      <c r="MNN99" s="798"/>
      <c r="MNO99" s="798"/>
      <c r="MNP99" s="798"/>
      <c r="MNQ99" s="798"/>
      <c r="MNR99" s="798"/>
      <c r="MNS99" s="798"/>
      <c r="MNT99" s="798"/>
      <c r="MNU99" s="798"/>
      <c r="MNV99" s="798"/>
      <c r="MNW99" s="798"/>
      <c r="MNX99" s="798"/>
      <c r="MNY99" s="798"/>
      <c r="MNZ99" s="798"/>
      <c r="MOA99" s="798"/>
      <c r="MOB99" s="798"/>
      <c r="MOC99" s="798"/>
      <c r="MOD99" s="798"/>
      <c r="MOE99" s="798"/>
      <c r="MOF99" s="798"/>
      <c r="MOG99" s="798"/>
      <c r="MOH99" s="798"/>
      <c r="MOI99" s="798"/>
      <c r="MOJ99" s="798"/>
      <c r="MOK99" s="798"/>
      <c r="MOL99" s="798"/>
      <c r="MOM99" s="798"/>
      <c r="MON99" s="798"/>
      <c r="MOO99" s="798"/>
      <c r="MOP99" s="798"/>
      <c r="MOQ99" s="798"/>
      <c r="MOR99" s="798"/>
      <c r="MOS99" s="798"/>
      <c r="MOT99" s="798"/>
      <c r="MOU99" s="798"/>
      <c r="MOV99" s="798"/>
      <c r="MOW99" s="798"/>
      <c r="MOX99" s="798"/>
      <c r="MOY99" s="798"/>
      <c r="MOZ99" s="798"/>
      <c r="MPA99" s="798"/>
      <c r="MPB99" s="798"/>
      <c r="MPC99" s="798"/>
      <c r="MPD99" s="798"/>
      <c r="MPE99" s="798"/>
      <c r="MPF99" s="798"/>
      <c r="MPG99" s="798"/>
      <c r="MPH99" s="798"/>
      <c r="MPI99" s="798"/>
      <c r="MPJ99" s="798"/>
      <c r="MPK99" s="798"/>
      <c r="MPL99" s="798"/>
      <c r="MPM99" s="798"/>
      <c r="MPN99" s="798"/>
      <c r="MPO99" s="798"/>
      <c r="MPP99" s="798"/>
      <c r="MPQ99" s="798"/>
      <c r="MPR99" s="798"/>
      <c r="MPS99" s="798"/>
      <c r="MPT99" s="798"/>
      <c r="MPU99" s="798"/>
      <c r="MPV99" s="798"/>
      <c r="MPW99" s="798"/>
      <c r="MPX99" s="798"/>
      <c r="MPY99" s="798"/>
      <c r="MPZ99" s="798"/>
      <c r="MQA99" s="798"/>
      <c r="MQB99" s="798"/>
      <c r="MQC99" s="798"/>
      <c r="MQD99" s="798"/>
      <c r="MQE99" s="798"/>
      <c r="MQF99" s="798"/>
      <c r="MQG99" s="798"/>
      <c r="MQH99" s="798"/>
      <c r="MQI99" s="798"/>
      <c r="MQJ99" s="798"/>
      <c r="MQK99" s="798"/>
      <c r="MQL99" s="798"/>
      <c r="MQM99" s="798"/>
      <c r="MQN99" s="798"/>
      <c r="MQO99" s="798"/>
      <c r="MQP99" s="798"/>
      <c r="MQQ99" s="798"/>
      <c r="MQR99" s="798"/>
      <c r="MQS99" s="798"/>
      <c r="MQT99" s="798"/>
      <c r="MQU99" s="798"/>
      <c r="MQV99" s="798"/>
      <c r="MQW99" s="798"/>
      <c r="MQX99" s="798"/>
      <c r="MQY99" s="798"/>
      <c r="MQZ99" s="798"/>
      <c r="MRA99" s="798"/>
      <c r="MRB99" s="798"/>
      <c r="MRC99" s="798"/>
      <c r="MRD99" s="798"/>
      <c r="MRE99" s="798"/>
      <c r="MRF99" s="798"/>
      <c r="MRG99" s="798"/>
      <c r="MRH99" s="798"/>
      <c r="MRI99" s="798"/>
      <c r="MRJ99" s="798"/>
      <c r="MRK99" s="798"/>
      <c r="MRL99" s="798"/>
      <c r="MRM99" s="798"/>
      <c r="MRN99" s="798"/>
      <c r="MRO99" s="798"/>
      <c r="MRP99" s="798"/>
      <c r="MRQ99" s="798"/>
      <c r="MRR99" s="798"/>
      <c r="MRS99" s="798"/>
      <c r="MRT99" s="798"/>
      <c r="MRU99" s="798"/>
      <c r="MRV99" s="798"/>
      <c r="MRW99" s="798"/>
      <c r="MRX99" s="798"/>
      <c r="MRY99" s="798"/>
      <c r="MRZ99" s="798"/>
      <c r="MSA99" s="798"/>
      <c r="MSB99" s="798"/>
      <c r="MSC99" s="798"/>
      <c r="MSD99" s="798"/>
      <c r="MSE99" s="798"/>
      <c r="MSF99" s="798"/>
      <c r="MSG99" s="798"/>
      <c r="MSH99" s="798"/>
      <c r="MSI99" s="798"/>
      <c r="MSJ99" s="798"/>
      <c r="MSK99" s="798"/>
      <c r="MSL99" s="798"/>
      <c r="MSM99" s="798"/>
      <c r="MSN99" s="798"/>
      <c r="MSO99" s="798"/>
      <c r="MSP99" s="798"/>
      <c r="MSQ99" s="798"/>
      <c r="MSR99" s="798"/>
      <c r="MSS99" s="798"/>
      <c r="MST99" s="798"/>
      <c r="MSU99" s="798"/>
      <c r="MSV99" s="798"/>
      <c r="MSW99" s="798"/>
      <c r="MSX99" s="798"/>
      <c r="MSY99" s="798"/>
      <c r="MSZ99" s="798"/>
      <c r="MTA99" s="798"/>
      <c r="MTB99" s="798"/>
      <c r="MTC99" s="798"/>
      <c r="MTD99" s="798"/>
      <c r="MTE99" s="798"/>
      <c r="MTF99" s="798"/>
      <c r="MTG99" s="798"/>
      <c r="MTH99" s="798"/>
      <c r="MTI99" s="798"/>
      <c r="MTJ99" s="798"/>
      <c r="MTK99" s="798"/>
      <c r="MTL99" s="798"/>
      <c r="MTM99" s="798"/>
      <c r="MTN99" s="798"/>
      <c r="MTO99" s="798"/>
      <c r="MTP99" s="798"/>
      <c r="MTQ99" s="798"/>
      <c r="MTR99" s="798"/>
      <c r="MTS99" s="798"/>
      <c r="MTT99" s="798"/>
      <c r="MTU99" s="798"/>
      <c r="MTV99" s="798"/>
      <c r="MTW99" s="798"/>
      <c r="MTX99" s="798"/>
      <c r="MTY99" s="798"/>
      <c r="MTZ99" s="798"/>
      <c r="MUA99" s="798"/>
      <c r="MUB99" s="798"/>
      <c r="MUC99" s="798"/>
      <c r="MUD99" s="798"/>
      <c r="MUE99" s="798"/>
      <c r="MUF99" s="798"/>
      <c r="MUG99" s="798"/>
      <c r="MUH99" s="798"/>
      <c r="MUI99" s="798"/>
      <c r="MUJ99" s="798"/>
      <c r="MUK99" s="798"/>
      <c r="MUL99" s="798"/>
      <c r="MUM99" s="798"/>
      <c r="MUN99" s="798"/>
      <c r="MUO99" s="798"/>
      <c r="MUP99" s="798"/>
      <c r="MUQ99" s="798"/>
      <c r="MUR99" s="798"/>
      <c r="MUS99" s="798"/>
      <c r="MUT99" s="798"/>
      <c r="MUU99" s="798"/>
      <c r="MUV99" s="798"/>
      <c r="MUW99" s="798"/>
      <c r="MUX99" s="798"/>
      <c r="MUY99" s="798"/>
      <c r="MUZ99" s="798"/>
      <c r="MVA99" s="798"/>
      <c r="MVB99" s="798"/>
      <c r="MVC99" s="798"/>
      <c r="MVD99" s="798"/>
      <c r="MVE99" s="798"/>
      <c r="MVF99" s="798"/>
      <c r="MVG99" s="798"/>
      <c r="MVH99" s="798"/>
      <c r="MVI99" s="798"/>
      <c r="MVJ99" s="798"/>
      <c r="MVK99" s="798"/>
      <c r="MVL99" s="798"/>
      <c r="MVM99" s="798"/>
      <c r="MVN99" s="798"/>
      <c r="MVO99" s="798"/>
      <c r="MVP99" s="798"/>
      <c r="MVQ99" s="798"/>
      <c r="MVR99" s="798"/>
      <c r="MVS99" s="798"/>
      <c r="MVT99" s="798"/>
      <c r="MVU99" s="798"/>
      <c r="MVV99" s="798"/>
      <c r="MVW99" s="798"/>
      <c r="MVX99" s="798"/>
      <c r="MVY99" s="798"/>
      <c r="MVZ99" s="798"/>
      <c r="MWA99" s="798"/>
      <c r="MWB99" s="798"/>
      <c r="MWC99" s="798"/>
      <c r="MWD99" s="798"/>
      <c r="MWE99" s="798"/>
      <c r="MWF99" s="798"/>
      <c r="MWG99" s="798"/>
      <c r="MWH99" s="798"/>
      <c r="MWI99" s="798"/>
      <c r="MWJ99" s="798"/>
      <c r="MWK99" s="798"/>
      <c r="MWL99" s="798"/>
      <c r="MWM99" s="798"/>
      <c r="MWN99" s="798"/>
      <c r="MWO99" s="798"/>
      <c r="MWP99" s="798"/>
      <c r="MWQ99" s="798"/>
      <c r="MWR99" s="798"/>
      <c r="MWS99" s="798"/>
      <c r="MWT99" s="798"/>
      <c r="MWU99" s="798"/>
      <c r="MWV99" s="798"/>
      <c r="MWW99" s="798"/>
      <c r="MWX99" s="798"/>
      <c r="MWY99" s="798"/>
      <c r="MWZ99" s="798"/>
      <c r="MXA99" s="798"/>
      <c r="MXB99" s="798"/>
      <c r="MXC99" s="798"/>
      <c r="MXD99" s="798"/>
      <c r="MXE99" s="798"/>
      <c r="MXF99" s="798"/>
      <c r="MXG99" s="798"/>
      <c r="MXH99" s="798"/>
      <c r="MXI99" s="798"/>
      <c r="MXJ99" s="798"/>
      <c r="MXK99" s="798"/>
      <c r="MXL99" s="798"/>
      <c r="MXM99" s="798"/>
      <c r="MXN99" s="798"/>
      <c r="MXO99" s="798"/>
      <c r="MXP99" s="798"/>
      <c r="MXQ99" s="798"/>
      <c r="MXR99" s="798"/>
      <c r="MXS99" s="798"/>
      <c r="MXT99" s="798"/>
      <c r="MXU99" s="798"/>
      <c r="MXV99" s="798"/>
      <c r="MXW99" s="798"/>
      <c r="MXX99" s="798"/>
      <c r="MXY99" s="798"/>
      <c r="MXZ99" s="798"/>
      <c r="MYA99" s="798"/>
      <c r="MYB99" s="798"/>
      <c r="MYC99" s="798"/>
      <c r="MYD99" s="798"/>
      <c r="MYE99" s="798"/>
      <c r="MYF99" s="798"/>
      <c r="MYG99" s="798"/>
      <c r="MYH99" s="798"/>
      <c r="MYI99" s="798"/>
      <c r="MYJ99" s="798"/>
      <c r="MYK99" s="798"/>
      <c r="MYL99" s="798"/>
      <c r="MYM99" s="798"/>
      <c r="MYN99" s="798"/>
      <c r="MYO99" s="798"/>
      <c r="MYP99" s="798"/>
      <c r="MYQ99" s="798"/>
      <c r="MYR99" s="798"/>
      <c r="MYS99" s="798"/>
      <c r="MYT99" s="798"/>
      <c r="MYU99" s="798"/>
      <c r="MYV99" s="798"/>
      <c r="MYW99" s="798"/>
      <c r="MYX99" s="798"/>
      <c r="MYY99" s="798"/>
      <c r="MYZ99" s="798"/>
      <c r="MZA99" s="798"/>
      <c r="MZB99" s="798"/>
      <c r="MZC99" s="798"/>
      <c r="MZD99" s="798"/>
      <c r="MZE99" s="798"/>
      <c r="MZF99" s="798"/>
      <c r="MZG99" s="798"/>
      <c r="MZH99" s="798"/>
      <c r="MZI99" s="798"/>
      <c r="MZJ99" s="798"/>
      <c r="MZK99" s="798"/>
      <c r="MZL99" s="798"/>
      <c r="MZM99" s="798"/>
      <c r="MZN99" s="798"/>
      <c r="MZO99" s="798"/>
      <c r="MZP99" s="798"/>
      <c r="MZQ99" s="798"/>
      <c r="MZR99" s="798"/>
      <c r="MZS99" s="798"/>
      <c r="MZT99" s="798"/>
      <c r="MZU99" s="798"/>
      <c r="MZV99" s="798"/>
      <c r="MZW99" s="798"/>
      <c r="MZX99" s="798"/>
      <c r="MZY99" s="798"/>
      <c r="MZZ99" s="798"/>
      <c r="NAA99" s="798"/>
      <c r="NAB99" s="798"/>
      <c r="NAC99" s="798"/>
      <c r="NAD99" s="798"/>
      <c r="NAE99" s="798"/>
      <c r="NAF99" s="798"/>
      <c r="NAG99" s="798"/>
      <c r="NAH99" s="798"/>
      <c r="NAI99" s="798"/>
      <c r="NAJ99" s="798"/>
      <c r="NAK99" s="798"/>
      <c r="NAL99" s="798"/>
      <c r="NAM99" s="798"/>
      <c r="NAN99" s="798"/>
      <c r="NAO99" s="798"/>
      <c r="NAP99" s="798"/>
      <c r="NAQ99" s="798"/>
      <c r="NAR99" s="798"/>
      <c r="NAS99" s="798"/>
      <c r="NAT99" s="798"/>
      <c r="NAU99" s="798"/>
      <c r="NAV99" s="798"/>
      <c r="NAW99" s="798"/>
      <c r="NAX99" s="798"/>
      <c r="NAY99" s="798"/>
      <c r="NAZ99" s="798"/>
      <c r="NBA99" s="798"/>
      <c r="NBB99" s="798"/>
      <c r="NBC99" s="798"/>
      <c r="NBD99" s="798"/>
      <c r="NBE99" s="798"/>
      <c r="NBF99" s="798"/>
      <c r="NBG99" s="798"/>
      <c r="NBH99" s="798"/>
      <c r="NBI99" s="798"/>
      <c r="NBJ99" s="798"/>
      <c r="NBK99" s="798"/>
      <c r="NBL99" s="798"/>
      <c r="NBM99" s="798"/>
      <c r="NBN99" s="798"/>
      <c r="NBO99" s="798"/>
      <c r="NBP99" s="798"/>
      <c r="NBQ99" s="798"/>
      <c r="NBR99" s="798"/>
      <c r="NBS99" s="798"/>
      <c r="NBT99" s="798"/>
      <c r="NBU99" s="798"/>
      <c r="NBV99" s="798"/>
      <c r="NBW99" s="798"/>
      <c r="NBX99" s="798"/>
      <c r="NBY99" s="798"/>
      <c r="NBZ99" s="798"/>
      <c r="NCA99" s="798"/>
      <c r="NCB99" s="798"/>
      <c r="NCC99" s="798"/>
      <c r="NCD99" s="798"/>
      <c r="NCE99" s="798"/>
      <c r="NCF99" s="798"/>
      <c r="NCG99" s="798"/>
      <c r="NCH99" s="798"/>
      <c r="NCI99" s="798"/>
      <c r="NCJ99" s="798"/>
      <c r="NCK99" s="798"/>
      <c r="NCL99" s="798"/>
      <c r="NCM99" s="798"/>
      <c r="NCN99" s="798"/>
      <c r="NCO99" s="798"/>
      <c r="NCP99" s="798"/>
      <c r="NCQ99" s="798"/>
      <c r="NCR99" s="798"/>
      <c r="NCS99" s="798"/>
      <c r="NCT99" s="798"/>
      <c r="NCU99" s="798"/>
      <c r="NCV99" s="798"/>
      <c r="NCW99" s="798"/>
      <c r="NCX99" s="798"/>
      <c r="NCY99" s="798"/>
      <c r="NCZ99" s="798"/>
      <c r="NDA99" s="798"/>
      <c r="NDB99" s="798"/>
      <c r="NDC99" s="798"/>
      <c r="NDD99" s="798"/>
      <c r="NDE99" s="798"/>
      <c r="NDF99" s="798"/>
      <c r="NDG99" s="798"/>
      <c r="NDH99" s="798"/>
      <c r="NDI99" s="798"/>
      <c r="NDJ99" s="798"/>
      <c r="NDK99" s="798"/>
      <c r="NDL99" s="798"/>
      <c r="NDM99" s="798"/>
      <c r="NDN99" s="798"/>
      <c r="NDO99" s="798"/>
      <c r="NDP99" s="798"/>
      <c r="NDQ99" s="798"/>
      <c r="NDR99" s="798"/>
      <c r="NDS99" s="798"/>
      <c r="NDT99" s="798"/>
      <c r="NDU99" s="798"/>
      <c r="NDV99" s="798"/>
      <c r="NDW99" s="798"/>
      <c r="NDX99" s="798"/>
      <c r="NDY99" s="798"/>
      <c r="NDZ99" s="798"/>
      <c r="NEA99" s="798"/>
      <c r="NEB99" s="798"/>
      <c r="NEC99" s="798"/>
      <c r="NED99" s="798"/>
      <c r="NEE99" s="798"/>
      <c r="NEF99" s="798"/>
      <c r="NEG99" s="798"/>
      <c r="NEH99" s="798"/>
      <c r="NEI99" s="798"/>
      <c r="NEJ99" s="798"/>
      <c r="NEK99" s="798"/>
      <c r="NEL99" s="798"/>
      <c r="NEM99" s="798"/>
      <c r="NEN99" s="798"/>
      <c r="NEO99" s="798"/>
      <c r="NEP99" s="798"/>
      <c r="NEQ99" s="798"/>
      <c r="NER99" s="798"/>
      <c r="NES99" s="798"/>
      <c r="NET99" s="798"/>
      <c r="NEU99" s="798"/>
      <c r="NEV99" s="798"/>
      <c r="NEW99" s="798"/>
      <c r="NEX99" s="798"/>
      <c r="NEY99" s="798"/>
      <c r="NEZ99" s="798"/>
      <c r="NFA99" s="798"/>
      <c r="NFB99" s="798"/>
      <c r="NFC99" s="798"/>
      <c r="NFD99" s="798"/>
      <c r="NFE99" s="798"/>
      <c r="NFF99" s="798"/>
      <c r="NFG99" s="798"/>
      <c r="NFH99" s="798"/>
      <c r="NFI99" s="798"/>
      <c r="NFJ99" s="798"/>
      <c r="NFK99" s="798"/>
      <c r="NFL99" s="798"/>
      <c r="NFM99" s="798"/>
      <c r="NFN99" s="798"/>
      <c r="NFO99" s="798"/>
      <c r="NFP99" s="798"/>
      <c r="NFQ99" s="798"/>
      <c r="NFR99" s="798"/>
      <c r="NFS99" s="798"/>
      <c r="NFT99" s="798"/>
      <c r="NFU99" s="798"/>
      <c r="NFV99" s="798"/>
      <c r="NFW99" s="798"/>
      <c r="NFX99" s="798"/>
      <c r="NFY99" s="798"/>
      <c r="NFZ99" s="798"/>
      <c r="NGA99" s="798"/>
      <c r="NGB99" s="798"/>
      <c r="NGC99" s="798"/>
      <c r="NGD99" s="798"/>
      <c r="NGE99" s="798"/>
      <c r="NGF99" s="798"/>
      <c r="NGG99" s="798"/>
      <c r="NGH99" s="798"/>
      <c r="NGI99" s="798"/>
      <c r="NGJ99" s="798"/>
      <c r="NGK99" s="798"/>
      <c r="NGL99" s="798"/>
      <c r="NGM99" s="798"/>
      <c r="NGN99" s="798"/>
      <c r="NGO99" s="798"/>
      <c r="NGP99" s="798"/>
      <c r="NGQ99" s="798"/>
      <c r="NGR99" s="798"/>
      <c r="NGS99" s="798"/>
      <c r="NGT99" s="798"/>
      <c r="NGU99" s="798"/>
      <c r="NGV99" s="798"/>
      <c r="NGW99" s="798"/>
      <c r="NGX99" s="798"/>
      <c r="NGY99" s="798"/>
      <c r="NGZ99" s="798"/>
      <c r="NHA99" s="798"/>
      <c r="NHB99" s="798"/>
      <c r="NHC99" s="798"/>
      <c r="NHD99" s="798"/>
      <c r="NHE99" s="798"/>
      <c r="NHF99" s="798"/>
      <c r="NHG99" s="798"/>
      <c r="NHH99" s="798"/>
      <c r="NHI99" s="798"/>
      <c r="NHJ99" s="798"/>
      <c r="NHK99" s="798"/>
      <c r="NHL99" s="798"/>
      <c r="NHM99" s="798"/>
      <c r="NHN99" s="798"/>
      <c r="NHO99" s="798"/>
      <c r="NHP99" s="798"/>
      <c r="NHQ99" s="798"/>
      <c r="NHR99" s="798"/>
      <c r="NHS99" s="798"/>
      <c r="NHT99" s="798"/>
      <c r="NHU99" s="798"/>
      <c r="NHV99" s="798"/>
      <c r="NHW99" s="798"/>
      <c r="NHX99" s="798"/>
      <c r="NHY99" s="798"/>
      <c r="NHZ99" s="798"/>
      <c r="NIA99" s="798"/>
      <c r="NIB99" s="798"/>
      <c r="NIC99" s="798"/>
      <c r="NID99" s="798"/>
      <c r="NIE99" s="798"/>
      <c r="NIF99" s="798"/>
      <c r="NIG99" s="798"/>
      <c r="NIH99" s="798"/>
      <c r="NII99" s="798"/>
      <c r="NIJ99" s="798"/>
      <c r="NIK99" s="798"/>
      <c r="NIL99" s="798"/>
      <c r="NIM99" s="798"/>
      <c r="NIN99" s="798"/>
      <c r="NIO99" s="798"/>
      <c r="NIP99" s="798"/>
      <c r="NIQ99" s="798"/>
      <c r="NIR99" s="798"/>
      <c r="NIS99" s="798"/>
      <c r="NIT99" s="798"/>
      <c r="NIU99" s="798"/>
      <c r="NIV99" s="798"/>
      <c r="NIW99" s="798"/>
      <c r="NIX99" s="798"/>
      <c r="NIY99" s="798"/>
      <c r="NIZ99" s="798"/>
      <c r="NJA99" s="798"/>
      <c r="NJB99" s="798"/>
      <c r="NJC99" s="798"/>
      <c r="NJD99" s="798"/>
      <c r="NJE99" s="798"/>
      <c r="NJF99" s="798"/>
      <c r="NJG99" s="798"/>
      <c r="NJH99" s="798"/>
      <c r="NJI99" s="798"/>
      <c r="NJJ99" s="798"/>
      <c r="NJK99" s="798"/>
      <c r="NJL99" s="798"/>
      <c r="NJM99" s="798"/>
      <c r="NJN99" s="798"/>
      <c r="NJO99" s="798"/>
      <c r="NJP99" s="798"/>
      <c r="NJQ99" s="798"/>
      <c r="NJR99" s="798"/>
      <c r="NJS99" s="798"/>
      <c r="NJT99" s="798"/>
      <c r="NJU99" s="798"/>
      <c r="NJV99" s="798"/>
      <c r="NJW99" s="798"/>
      <c r="NJX99" s="798"/>
      <c r="NJY99" s="798"/>
      <c r="NJZ99" s="798"/>
      <c r="NKA99" s="798"/>
      <c r="NKB99" s="798"/>
      <c r="NKC99" s="798"/>
      <c r="NKD99" s="798"/>
      <c r="NKE99" s="798"/>
      <c r="NKF99" s="798"/>
      <c r="NKG99" s="798"/>
      <c r="NKH99" s="798"/>
      <c r="NKI99" s="798"/>
      <c r="NKJ99" s="798"/>
      <c r="NKK99" s="798"/>
      <c r="NKL99" s="798"/>
      <c r="NKM99" s="798"/>
      <c r="NKN99" s="798"/>
      <c r="NKO99" s="798"/>
      <c r="NKP99" s="798"/>
      <c r="NKQ99" s="798"/>
      <c r="NKR99" s="798"/>
      <c r="NKS99" s="798"/>
      <c r="NKT99" s="798"/>
      <c r="NKU99" s="798"/>
      <c r="NKV99" s="798"/>
      <c r="NKW99" s="798"/>
      <c r="NKX99" s="798"/>
      <c r="NKY99" s="798"/>
      <c r="NKZ99" s="798"/>
      <c r="NLA99" s="798"/>
      <c r="NLB99" s="798"/>
      <c r="NLC99" s="798"/>
      <c r="NLD99" s="798"/>
      <c r="NLE99" s="798"/>
      <c r="NLF99" s="798"/>
      <c r="NLG99" s="798"/>
      <c r="NLH99" s="798"/>
      <c r="NLI99" s="798"/>
      <c r="NLJ99" s="798"/>
      <c r="NLK99" s="798"/>
      <c r="NLL99" s="798"/>
      <c r="NLM99" s="798"/>
      <c r="NLN99" s="798"/>
      <c r="NLO99" s="798"/>
      <c r="NLP99" s="798"/>
      <c r="NLQ99" s="798"/>
      <c r="NLR99" s="798"/>
      <c r="NLS99" s="798"/>
      <c r="NLT99" s="798"/>
      <c r="NLU99" s="798"/>
      <c r="NLV99" s="798"/>
      <c r="NLW99" s="798"/>
      <c r="NLX99" s="798"/>
      <c r="NLY99" s="798"/>
      <c r="NLZ99" s="798"/>
      <c r="NMA99" s="798"/>
      <c r="NMB99" s="798"/>
      <c r="NMC99" s="798"/>
      <c r="NMD99" s="798"/>
      <c r="NME99" s="798"/>
      <c r="NMF99" s="798"/>
      <c r="NMG99" s="798"/>
      <c r="NMH99" s="798"/>
      <c r="NMI99" s="798"/>
      <c r="NMJ99" s="798"/>
      <c r="NMK99" s="798"/>
      <c r="NML99" s="798"/>
      <c r="NMM99" s="798"/>
      <c r="NMN99" s="798"/>
      <c r="NMO99" s="798"/>
      <c r="NMP99" s="798"/>
      <c r="NMQ99" s="798"/>
      <c r="NMR99" s="798"/>
      <c r="NMS99" s="798"/>
      <c r="NMT99" s="798"/>
      <c r="NMU99" s="798"/>
      <c r="NMV99" s="798"/>
      <c r="NMW99" s="798"/>
      <c r="NMX99" s="798"/>
      <c r="NMY99" s="798"/>
      <c r="NMZ99" s="798"/>
      <c r="NNA99" s="798"/>
      <c r="NNB99" s="798"/>
      <c r="NNC99" s="798"/>
      <c r="NND99" s="798"/>
      <c r="NNE99" s="798"/>
      <c r="NNF99" s="798"/>
      <c r="NNG99" s="798"/>
      <c r="NNH99" s="798"/>
      <c r="NNI99" s="798"/>
      <c r="NNJ99" s="798"/>
      <c r="NNK99" s="798"/>
      <c r="NNL99" s="798"/>
      <c r="NNM99" s="798"/>
      <c r="NNN99" s="798"/>
      <c r="NNO99" s="798"/>
      <c r="NNP99" s="798"/>
      <c r="NNQ99" s="798"/>
      <c r="NNR99" s="798"/>
      <c r="NNS99" s="798"/>
      <c r="NNT99" s="798"/>
      <c r="NNU99" s="798"/>
      <c r="NNV99" s="798"/>
      <c r="NNW99" s="798"/>
      <c r="NNX99" s="798"/>
      <c r="NNY99" s="798"/>
      <c r="NNZ99" s="798"/>
      <c r="NOA99" s="798"/>
      <c r="NOB99" s="798"/>
      <c r="NOC99" s="798"/>
      <c r="NOD99" s="798"/>
      <c r="NOE99" s="798"/>
      <c r="NOF99" s="798"/>
      <c r="NOG99" s="798"/>
      <c r="NOH99" s="798"/>
      <c r="NOI99" s="798"/>
      <c r="NOJ99" s="798"/>
      <c r="NOK99" s="798"/>
      <c r="NOL99" s="798"/>
      <c r="NOM99" s="798"/>
      <c r="NON99" s="798"/>
      <c r="NOO99" s="798"/>
      <c r="NOP99" s="798"/>
      <c r="NOQ99" s="798"/>
      <c r="NOR99" s="798"/>
      <c r="NOS99" s="798"/>
      <c r="NOT99" s="798"/>
      <c r="NOU99" s="798"/>
      <c r="NOV99" s="798"/>
      <c r="NOW99" s="798"/>
      <c r="NOX99" s="798"/>
      <c r="NOY99" s="798"/>
      <c r="NOZ99" s="798"/>
      <c r="NPA99" s="798"/>
      <c r="NPB99" s="798"/>
      <c r="NPC99" s="798"/>
      <c r="NPD99" s="798"/>
      <c r="NPE99" s="798"/>
      <c r="NPF99" s="798"/>
      <c r="NPG99" s="798"/>
      <c r="NPH99" s="798"/>
      <c r="NPI99" s="798"/>
      <c r="NPJ99" s="798"/>
      <c r="NPK99" s="798"/>
      <c r="NPL99" s="798"/>
      <c r="NPM99" s="798"/>
      <c r="NPN99" s="798"/>
      <c r="NPO99" s="798"/>
      <c r="NPP99" s="798"/>
      <c r="NPQ99" s="798"/>
      <c r="NPR99" s="798"/>
      <c r="NPS99" s="798"/>
      <c r="NPT99" s="798"/>
      <c r="NPU99" s="798"/>
      <c r="NPV99" s="798"/>
      <c r="NPW99" s="798"/>
      <c r="NPX99" s="798"/>
      <c r="NPY99" s="798"/>
      <c r="NPZ99" s="798"/>
      <c r="NQA99" s="798"/>
      <c r="NQB99" s="798"/>
      <c r="NQC99" s="798"/>
      <c r="NQD99" s="798"/>
      <c r="NQE99" s="798"/>
      <c r="NQF99" s="798"/>
      <c r="NQG99" s="798"/>
      <c r="NQH99" s="798"/>
      <c r="NQI99" s="798"/>
      <c r="NQJ99" s="798"/>
      <c r="NQK99" s="798"/>
      <c r="NQL99" s="798"/>
      <c r="NQM99" s="798"/>
      <c r="NQN99" s="798"/>
      <c r="NQO99" s="798"/>
      <c r="NQP99" s="798"/>
      <c r="NQQ99" s="798"/>
      <c r="NQR99" s="798"/>
      <c r="NQS99" s="798"/>
      <c r="NQT99" s="798"/>
      <c r="NQU99" s="798"/>
      <c r="NQV99" s="798"/>
      <c r="NQW99" s="798"/>
      <c r="NQX99" s="798"/>
      <c r="NQY99" s="798"/>
      <c r="NQZ99" s="798"/>
      <c r="NRA99" s="798"/>
      <c r="NRB99" s="798"/>
      <c r="NRC99" s="798"/>
      <c r="NRD99" s="798"/>
      <c r="NRE99" s="798"/>
      <c r="NRF99" s="798"/>
      <c r="NRG99" s="798"/>
      <c r="NRH99" s="798"/>
      <c r="NRI99" s="798"/>
      <c r="NRJ99" s="798"/>
      <c r="NRK99" s="798"/>
      <c r="NRL99" s="798"/>
      <c r="NRM99" s="798"/>
      <c r="NRN99" s="798"/>
      <c r="NRO99" s="798"/>
      <c r="NRP99" s="798"/>
      <c r="NRQ99" s="798"/>
      <c r="NRR99" s="798"/>
      <c r="NRS99" s="798"/>
      <c r="NRT99" s="798"/>
      <c r="NRU99" s="798"/>
      <c r="NRV99" s="798"/>
      <c r="NRW99" s="798"/>
      <c r="NRX99" s="798"/>
      <c r="NRY99" s="798"/>
      <c r="NRZ99" s="798"/>
      <c r="NSA99" s="798"/>
      <c r="NSB99" s="798"/>
      <c r="NSC99" s="798"/>
      <c r="NSD99" s="798"/>
      <c r="NSE99" s="798"/>
      <c r="NSF99" s="798"/>
      <c r="NSG99" s="798"/>
      <c r="NSH99" s="798"/>
      <c r="NSI99" s="798"/>
      <c r="NSJ99" s="798"/>
      <c r="NSK99" s="798"/>
      <c r="NSL99" s="798"/>
      <c r="NSM99" s="798"/>
      <c r="NSN99" s="798"/>
      <c r="NSO99" s="798"/>
      <c r="NSP99" s="798"/>
      <c r="NSQ99" s="798"/>
      <c r="NSR99" s="798"/>
      <c r="NSS99" s="798"/>
      <c r="NST99" s="798"/>
      <c r="NSU99" s="798"/>
      <c r="NSV99" s="798"/>
      <c r="NSW99" s="798"/>
      <c r="NSX99" s="798"/>
      <c r="NSY99" s="798"/>
      <c r="NSZ99" s="798"/>
      <c r="NTA99" s="798"/>
      <c r="NTB99" s="798"/>
      <c r="NTC99" s="798"/>
      <c r="NTD99" s="798"/>
      <c r="NTE99" s="798"/>
      <c r="NTF99" s="798"/>
      <c r="NTG99" s="798"/>
      <c r="NTH99" s="798"/>
      <c r="NTI99" s="798"/>
      <c r="NTJ99" s="798"/>
      <c r="NTK99" s="798"/>
      <c r="NTL99" s="798"/>
      <c r="NTM99" s="798"/>
      <c r="NTN99" s="798"/>
      <c r="NTO99" s="798"/>
      <c r="NTP99" s="798"/>
      <c r="NTQ99" s="798"/>
      <c r="NTR99" s="798"/>
      <c r="NTS99" s="798"/>
      <c r="NTT99" s="798"/>
      <c r="NTU99" s="798"/>
      <c r="NTV99" s="798"/>
      <c r="NTW99" s="798"/>
      <c r="NTX99" s="798"/>
      <c r="NTY99" s="798"/>
      <c r="NTZ99" s="798"/>
      <c r="NUA99" s="798"/>
      <c r="NUB99" s="798"/>
      <c r="NUC99" s="798"/>
      <c r="NUD99" s="798"/>
      <c r="NUE99" s="798"/>
      <c r="NUF99" s="798"/>
      <c r="NUG99" s="798"/>
      <c r="NUH99" s="798"/>
      <c r="NUI99" s="798"/>
      <c r="NUJ99" s="798"/>
      <c r="NUK99" s="798"/>
      <c r="NUL99" s="798"/>
      <c r="NUM99" s="798"/>
      <c r="NUN99" s="798"/>
      <c r="NUO99" s="798"/>
      <c r="NUP99" s="798"/>
      <c r="NUQ99" s="798"/>
      <c r="NUR99" s="798"/>
      <c r="NUS99" s="798"/>
      <c r="NUT99" s="798"/>
      <c r="NUU99" s="798"/>
      <c r="NUV99" s="798"/>
      <c r="NUW99" s="798"/>
      <c r="NUX99" s="798"/>
      <c r="NUY99" s="798"/>
      <c r="NUZ99" s="798"/>
      <c r="NVA99" s="798"/>
      <c r="NVB99" s="798"/>
      <c r="NVC99" s="798"/>
      <c r="NVD99" s="798"/>
      <c r="NVE99" s="798"/>
      <c r="NVF99" s="798"/>
      <c r="NVG99" s="798"/>
      <c r="NVH99" s="798"/>
      <c r="NVI99" s="798"/>
      <c r="NVJ99" s="798"/>
      <c r="NVK99" s="798"/>
      <c r="NVL99" s="798"/>
      <c r="NVM99" s="798"/>
      <c r="NVN99" s="798"/>
      <c r="NVO99" s="798"/>
      <c r="NVP99" s="798"/>
      <c r="NVQ99" s="798"/>
      <c r="NVR99" s="798"/>
      <c r="NVS99" s="798"/>
      <c r="NVT99" s="798"/>
      <c r="NVU99" s="798"/>
      <c r="NVV99" s="798"/>
      <c r="NVW99" s="798"/>
      <c r="NVX99" s="798"/>
      <c r="NVY99" s="798"/>
      <c r="NVZ99" s="798"/>
      <c r="NWA99" s="798"/>
      <c r="NWB99" s="798"/>
      <c r="NWC99" s="798"/>
      <c r="NWD99" s="798"/>
      <c r="NWE99" s="798"/>
      <c r="NWF99" s="798"/>
      <c r="NWG99" s="798"/>
      <c r="NWH99" s="798"/>
      <c r="NWI99" s="798"/>
      <c r="NWJ99" s="798"/>
      <c r="NWK99" s="798"/>
      <c r="NWL99" s="798"/>
      <c r="NWM99" s="798"/>
      <c r="NWN99" s="798"/>
      <c r="NWO99" s="798"/>
      <c r="NWP99" s="798"/>
      <c r="NWQ99" s="798"/>
      <c r="NWR99" s="798"/>
      <c r="NWS99" s="798"/>
      <c r="NWT99" s="798"/>
      <c r="NWU99" s="798"/>
      <c r="NWV99" s="798"/>
      <c r="NWW99" s="798"/>
      <c r="NWX99" s="798"/>
      <c r="NWY99" s="798"/>
      <c r="NWZ99" s="798"/>
      <c r="NXA99" s="798"/>
      <c r="NXB99" s="798"/>
      <c r="NXC99" s="798"/>
      <c r="NXD99" s="798"/>
      <c r="NXE99" s="798"/>
      <c r="NXF99" s="798"/>
      <c r="NXG99" s="798"/>
      <c r="NXH99" s="798"/>
      <c r="NXI99" s="798"/>
      <c r="NXJ99" s="798"/>
      <c r="NXK99" s="798"/>
      <c r="NXL99" s="798"/>
      <c r="NXM99" s="798"/>
      <c r="NXN99" s="798"/>
      <c r="NXO99" s="798"/>
      <c r="NXP99" s="798"/>
      <c r="NXQ99" s="798"/>
      <c r="NXR99" s="798"/>
      <c r="NXS99" s="798"/>
      <c r="NXT99" s="798"/>
      <c r="NXU99" s="798"/>
      <c r="NXV99" s="798"/>
      <c r="NXW99" s="798"/>
      <c r="NXX99" s="798"/>
      <c r="NXY99" s="798"/>
      <c r="NXZ99" s="798"/>
      <c r="NYA99" s="798"/>
      <c r="NYB99" s="798"/>
      <c r="NYC99" s="798"/>
      <c r="NYD99" s="798"/>
      <c r="NYE99" s="798"/>
      <c r="NYF99" s="798"/>
      <c r="NYG99" s="798"/>
      <c r="NYH99" s="798"/>
      <c r="NYI99" s="798"/>
      <c r="NYJ99" s="798"/>
      <c r="NYK99" s="798"/>
      <c r="NYL99" s="798"/>
      <c r="NYM99" s="798"/>
      <c r="NYN99" s="798"/>
      <c r="NYO99" s="798"/>
      <c r="NYP99" s="798"/>
      <c r="NYQ99" s="798"/>
      <c r="NYR99" s="798"/>
      <c r="NYS99" s="798"/>
      <c r="NYT99" s="798"/>
      <c r="NYU99" s="798"/>
      <c r="NYV99" s="798"/>
      <c r="NYW99" s="798"/>
      <c r="NYX99" s="798"/>
      <c r="NYY99" s="798"/>
      <c r="NYZ99" s="798"/>
      <c r="NZA99" s="798"/>
      <c r="NZB99" s="798"/>
      <c r="NZC99" s="798"/>
      <c r="NZD99" s="798"/>
      <c r="NZE99" s="798"/>
      <c r="NZF99" s="798"/>
      <c r="NZG99" s="798"/>
      <c r="NZH99" s="798"/>
      <c r="NZI99" s="798"/>
      <c r="NZJ99" s="798"/>
      <c r="NZK99" s="798"/>
      <c r="NZL99" s="798"/>
      <c r="NZM99" s="798"/>
      <c r="NZN99" s="798"/>
      <c r="NZO99" s="798"/>
      <c r="NZP99" s="798"/>
      <c r="NZQ99" s="798"/>
      <c r="NZR99" s="798"/>
      <c r="NZS99" s="798"/>
      <c r="NZT99" s="798"/>
      <c r="NZU99" s="798"/>
      <c r="NZV99" s="798"/>
      <c r="NZW99" s="798"/>
      <c r="NZX99" s="798"/>
      <c r="NZY99" s="798"/>
      <c r="NZZ99" s="798"/>
      <c r="OAA99" s="798"/>
      <c r="OAB99" s="798"/>
      <c r="OAC99" s="798"/>
      <c r="OAD99" s="798"/>
      <c r="OAE99" s="798"/>
      <c r="OAF99" s="798"/>
      <c r="OAG99" s="798"/>
      <c r="OAH99" s="798"/>
      <c r="OAI99" s="798"/>
      <c r="OAJ99" s="798"/>
      <c r="OAK99" s="798"/>
      <c r="OAL99" s="798"/>
      <c r="OAM99" s="798"/>
      <c r="OAN99" s="798"/>
      <c r="OAO99" s="798"/>
      <c r="OAP99" s="798"/>
      <c r="OAQ99" s="798"/>
      <c r="OAR99" s="798"/>
      <c r="OAS99" s="798"/>
      <c r="OAT99" s="798"/>
      <c r="OAU99" s="798"/>
      <c r="OAV99" s="798"/>
      <c r="OAW99" s="798"/>
      <c r="OAX99" s="798"/>
      <c r="OAY99" s="798"/>
      <c r="OAZ99" s="798"/>
      <c r="OBA99" s="798"/>
      <c r="OBB99" s="798"/>
      <c r="OBC99" s="798"/>
      <c r="OBD99" s="798"/>
      <c r="OBE99" s="798"/>
      <c r="OBF99" s="798"/>
      <c r="OBG99" s="798"/>
      <c r="OBH99" s="798"/>
      <c r="OBI99" s="798"/>
      <c r="OBJ99" s="798"/>
      <c r="OBK99" s="798"/>
      <c r="OBL99" s="798"/>
      <c r="OBM99" s="798"/>
      <c r="OBN99" s="798"/>
      <c r="OBO99" s="798"/>
      <c r="OBP99" s="798"/>
      <c r="OBQ99" s="798"/>
      <c r="OBR99" s="798"/>
      <c r="OBS99" s="798"/>
      <c r="OBT99" s="798"/>
      <c r="OBU99" s="798"/>
      <c r="OBV99" s="798"/>
      <c r="OBW99" s="798"/>
      <c r="OBX99" s="798"/>
      <c r="OBY99" s="798"/>
      <c r="OBZ99" s="798"/>
      <c r="OCA99" s="798"/>
      <c r="OCB99" s="798"/>
      <c r="OCC99" s="798"/>
      <c r="OCD99" s="798"/>
      <c r="OCE99" s="798"/>
      <c r="OCF99" s="798"/>
      <c r="OCG99" s="798"/>
      <c r="OCH99" s="798"/>
      <c r="OCI99" s="798"/>
      <c r="OCJ99" s="798"/>
      <c r="OCK99" s="798"/>
      <c r="OCL99" s="798"/>
      <c r="OCM99" s="798"/>
      <c r="OCN99" s="798"/>
      <c r="OCO99" s="798"/>
      <c r="OCP99" s="798"/>
      <c r="OCQ99" s="798"/>
      <c r="OCR99" s="798"/>
      <c r="OCS99" s="798"/>
      <c r="OCT99" s="798"/>
      <c r="OCU99" s="798"/>
      <c r="OCV99" s="798"/>
      <c r="OCW99" s="798"/>
      <c r="OCX99" s="798"/>
      <c r="OCY99" s="798"/>
      <c r="OCZ99" s="798"/>
      <c r="ODA99" s="798"/>
      <c r="ODB99" s="798"/>
      <c r="ODC99" s="798"/>
      <c r="ODD99" s="798"/>
      <c r="ODE99" s="798"/>
      <c r="ODF99" s="798"/>
      <c r="ODG99" s="798"/>
      <c r="ODH99" s="798"/>
      <c r="ODI99" s="798"/>
      <c r="ODJ99" s="798"/>
      <c r="ODK99" s="798"/>
      <c r="ODL99" s="798"/>
      <c r="ODM99" s="798"/>
      <c r="ODN99" s="798"/>
      <c r="ODO99" s="798"/>
      <c r="ODP99" s="798"/>
      <c r="ODQ99" s="798"/>
      <c r="ODR99" s="798"/>
      <c r="ODS99" s="798"/>
      <c r="ODT99" s="798"/>
      <c r="ODU99" s="798"/>
      <c r="ODV99" s="798"/>
      <c r="ODW99" s="798"/>
      <c r="ODX99" s="798"/>
      <c r="ODY99" s="798"/>
      <c r="ODZ99" s="798"/>
      <c r="OEA99" s="798"/>
      <c r="OEB99" s="798"/>
      <c r="OEC99" s="798"/>
      <c r="OED99" s="798"/>
      <c r="OEE99" s="798"/>
      <c r="OEF99" s="798"/>
      <c r="OEG99" s="798"/>
      <c r="OEH99" s="798"/>
      <c r="OEI99" s="798"/>
      <c r="OEJ99" s="798"/>
      <c r="OEK99" s="798"/>
      <c r="OEL99" s="798"/>
      <c r="OEM99" s="798"/>
      <c r="OEN99" s="798"/>
      <c r="OEO99" s="798"/>
      <c r="OEP99" s="798"/>
      <c r="OEQ99" s="798"/>
      <c r="OER99" s="798"/>
      <c r="OES99" s="798"/>
      <c r="OET99" s="798"/>
      <c r="OEU99" s="798"/>
      <c r="OEV99" s="798"/>
      <c r="OEW99" s="798"/>
      <c r="OEX99" s="798"/>
      <c r="OEY99" s="798"/>
      <c r="OEZ99" s="798"/>
      <c r="OFA99" s="798"/>
      <c r="OFB99" s="798"/>
      <c r="OFC99" s="798"/>
      <c r="OFD99" s="798"/>
      <c r="OFE99" s="798"/>
      <c r="OFF99" s="798"/>
      <c r="OFG99" s="798"/>
      <c r="OFH99" s="798"/>
      <c r="OFI99" s="798"/>
      <c r="OFJ99" s="798"/>
      <c r="OFK99" s="798"/>
      <c r="OFL99" s="798"/>
      <c r="OFM99" s="798"/>
      <c r="OFN99" s="798"/>
      <c r="OFO99" s="798"/>
      <c r="OFP99" s="798"/>
      <c r="OFQ99" s="798"/>
      <c r="OFR99" s="798"/>
      <c r="OFS99" s="798"/>
      <c r="OFT99" s="798"/>
      <c r="OFU99" s="798"/>
      <c r="OFV99" s="798"/>
      <c r="OFW99" s="798"/>
      <c r="OFX99" s="798"/>
      <c r="OFY99" s="798"/>
      <c r="OFZ99" s="798"/>
      <c r="OGA99" s="798"/>
      <c r="OGB99" s="798"/>
      <c r="OGC99" s="798"/>
      <c r="OGD99" s="798"/>
      <c r="OGE99" s="798"/>
      <c r="OGF99" s="798"/>
      <c r="OGG99" s="798"/>
      <c r="OGH99" s="798"/>
      <c r="OGI99" s="798"/>
      <c r="OGJ99" s="798"/>
      <c r="OGK99" s="798"/>
      <c r="OGL99" s="798"/>
      <c r="OGM99" s="798"/>
      <c r="OGN99" s="798"/>
      <c r="OGO99" s="798"/>
      <c r="OGP99" s="798"/>
      <c r="OGQ99" s="798"/>
      <c r="OGR99" s="798"/>
      <c r="OGS99" s="798"/>
      <c r="OGT99" s="798"/>
      <c r="OGU99" s="798"/>
      <c r="OGV99" s="798"/>
      <c r="OGW99" s="798"/>
      <c r="OGX99" s="798"/>
      <c r="OGY99" s="798"/>
      <c r="OGZ99" s="798"/>
      <c r="OHA99" s="798"/>
      <c r="OHB99" s="798"/>
      <c r="OHC99" s="798"/>
      <c r="OHD99" s="798"/>
      <c r="OHE99" s="798"/>
      <c r="OHF99" s="798"/>
      <c r="OHG99" s="798"/>
      <c r="OHH99" s="798"/>
      <c r="OHI99" s="798"/>
      <c r="OHJ99" s="798"/>
      <c r="OHK99" s="798"/>
      <c r="OHL99" s="798"/>
      <c r="OHM99" s="798"/>
      <c r="OHN99" s="798"/>
      <c r="OHO99" s="798"/>
      <c r="OHP99" s="798"/>
      <c r="OHQ99" s="798"/>
      <c r="OHR99" s="798"/>
      <c r="OHS99" s="798"/>
      <c r="OHT99" s="798"/>
      <c r="OHU99" s="798"/>
      <c r="OHV99" s="798"/>
      <c r="OHW99" s="798"/>
      <c r="OHX99" s="798"/>
      <c r="OHY99" s="798"/>
      <c r="OHZ99" s="798"/>
      <c r="OIA99" s="798"/>
      <c r="OIB99" s="798"/>
      <c r="OIC99" s="798"/>
      <c r="OID99" s="798"/>
      <c r="OIE99" s="798"/>
      <c r="OIF99" s="798"/>
      <c r="OIG99" s="798"/>
      <c r="OIH99" s="798"/>
      <c r="OII99" s="798"/>
      <c r="OIJ99" s="798"/>
      <c r="OIK99" s="798"/>
      <c r="OIL99" s="798"/>
      <c r="OIM99" s="798"/>
      <c r="OIN99" s="798"/>
      <c r="OIO99" s="798"/>
      <c r="OIP99" s="798"/>
      <c r="OIQ99" s="798"/>
      <c r="OIR99" s="798"/>
      <c r="OIS99" s="798"/>
      <c r="OIT99" s="798"/>
      <c r="OIU99" s="798"/>
      <c r="OIV99" s="798"/>
      <c r="OIW99" s="798"/>
      <c r="OIX99" s="798"/>
      <c r="OIY99" s="798"/>
      <c r="OIZ99" s="798"/>
      <c r="OJA99" s="798"/>
      <c r="OJB99" s="798"/>
      <c r="OJC99" s="798"/>
      <c r="OJD99" s="798"/>
      <c r="OJE99" s="798"/>
      <c r="OJF99" s="798"/>
      <c r="OJG99" s="798"/>
      <c r="OJH99" s="798"/>
      <c r="OJI99" s="798"/>
      <c r="OJJ99" s="798"/>
      <c r="OJK99" s="798"/>
      <c r="OJL99" s="798"/>
      <c r="OJM99" s="798"/>
      <c r="OJN99" s="798"/>
      <c r="OJO99" s="798"/>
      <c r="OJP99" s="798"/>
      <c r="OJQ99" s="798"/>
      <c r="OJR99" s="798"/>
      <c r="OJS99" s="798"/>
      <c r="OJT99" s="798"/>
      <c r="OJU99" s="798"/>
      <c r="OJV99" s="798"/>
      <c r="OJW99" s="798"/>
      <c r="OJX99" s="798"/>
      <c r="OJY99" s="798"/>
      <c r="OJZ99" s="798"/>
      <c r="OKA99" s="798"/>
      <c r="OKB99" s="798"/>
      <c r="OKC99" s="798"/>
      <c r="OKD99" s="798"/>
      <c r="OKE99" s="798"/>
      <c r="OKF99" s="798"/>
      <c r="OKG99" s="798"/>
      <c r="OKH99" s="798"/>
      <c r="OKI99" s="798"/>
      <c r="OKJ99" s="798"/>
      <c r="OKK99" s="798"/>
      <c r="OKL99" s="798"/>
      <c r="OKM99" s="798"/>
      <c r="OKN99" s="798"/>
      <c r="OKO99" s="798"/>
      <c r="OKP99" s="798"/>
      <c r="OKQ99" s="798"/>
      <c r="OKR99" s="798"/>
      <c r="OKS99" s="798"/>
      <c r="OKT99" s="798"/>
      <c r="OKU99" s="798"/>
      <c r="OKV99" s="798"/>
      <c r="OKW99" s="798"/>
      <c r="OKX99" s="798"/>
      <c r="OKY99" s="798"/>
      <c r="OKZ99" s="798"/>
      <c r="OLA99" s="798"/>
      <c r="OLB99" s="798"/>
      <c r="OLC99" s="798"/>
      <c r="OLD99" s="798"/>
      <c r="OLE99" s="798"/>
      <c r="OLF99" s="798"/>
      <c r="OLG99" s="798"/>
      <c r="OLH99" s="798"/>
      <c r="OLI99" s="798"/>
      <c r="OLJ99" s="798"/>
      <c r="OLK99" s="798"/>
      <c r="OLL99" s="798"/>
      <c r="OLM99" s="798"/>
      <c r="OLN99" s="798"/>
      <c r="OLO99" s="798"/>
      <c r="OLP99" s="798"/>
      <c r="OLQ99" s="798"/>
      <c r="OLR99" s="798"/>
      <c r="OLS99" s="798"/>
      <c r="OLT99" s="798"/>
      <c r="OLU99" s="798"/>
      <c r="OLV99" s="798"/>
      <c r="OLW99" s="798"/>
      <c r="OLX99" s="798"/>
      <c r="OLY99" s="798"/>
      <c r="OLZ99" s="798"/>
      <c r="OMA99" s="798"/>
      <c r="OMB99" s="798"/>
      <c r="OMC99" s="798"/>
      <c r="OMD99" s="798"/>
      <c r="OME99" s="798"/>
      <c r="OMF99" s="798"/>
      <c r="OMG99" s="798"/>
      <c r="OMH99" s="798"/>
      <c r="OMI99" s="798"/>
      <c r="OMJ99" s="798"/>
      <c r="OMK99" s="798"/>
      <c r="OML99" s="798"/>
      <c r="OMM99" s="798"/>
      <c r="OMN99" s="798"/>
      <c r="OMO99" s="798"/>
      <c r="OMP99" s="798"/>
      <c r="OMQ99" s="798"/>
      <c r="OMR99" s="798"/>
      <c r="OMS99" s="798"/>
      <c r="OMT99" s="798"/>
      <c r="OMU99" s="798"/>
      <c r="OMV99" s="798"/>
      <c r="OMW99" s="798"/>
      <c r="OMX99" s="798"/>
      <c r="OMY99" s="798"/>
      <c r="OMZ99" s="798"/>
      <c r="ONA99" s="798"/>
      <c r="ONB99" s="798"/>
      <c r="ONC99" s="798"/>
      <c r="OND99" s="798"/>
      <c r="ONE99" s="798"/>
      <c r="ONF99" s="798"/>
      <c r="ONG99" s="798"/>
      <c r="ONH99" s="798"/>
      <c r="ONI99" s="798"/>
      <c r="ONJ99" s="798"/>
      <c r="ONK99" s="798"/>
      <c r="ONL99" s="798"/>
      <c r="ONM99" s="798"/>
      <c r="ONN99" s="798"/>
      <c r="ONO99" s="798"/>
      <c r="ONP99" s="798"/>
      <c r="ONQ99" s="798"/>
      <c r="ONR99" s="798"/>
      <c r="ONS99" s="798"/>
      <c r="ONT99" s="798"/>
      <c r="ONU99" s="798"/>
      <c r="ONV99" s="798"/>
      <c r="ONW99" s="798"/>
      <c r="ONX99" s="798"/>
      <c r="ONY99" s="798"/>
      <c r="ONZ99" s="798"/>
      <c r="OOA99" s="798"/>
      <c r="OOB99" s="798"/>
      <c r="OOC99" s="798"/>
      <c r="OOD99" s="798"/>
      <c r="OOE99" s="798"/>
      <c r="OOF99" s="798"/>
      <c r="OOG99" s="798"/>
      <c r="OOH99" s="798"/>
      <c r="OOI99" s="798"/>
      <c r="OOJ99" s="798"/>
      <c r="OOK99" s="798"/>
      <c r="OOL99" s="798"/>
      <c r="OOM99" s="798"/>
      <c r="OON99" s="798"/>
      <c r="OOO99" s="798"/>
      <c r="OOP99" s="798"/>
      <c r="OOQ99" s="798"/>
      <c r="OOR99" s="798"/>
      <c r="OOS99" s="798"/>
      <c r="OOT99" s="798"/>
      <c r="OOU99" s="798"/>
      <c r="OOV99" s="798"/>
      <c r="OOW99" s="798"/>
      <c r="OOX99" s="798"/>
      <c r="OOY99" s="798"/>
      <c r="OOZ99" s="798"/>
      <c r="OPA99" s="798"/>
      <c r="OPB99" s="798"/>
      <c r="OPC99" s="798"/>
      <c r="OPD99" s="798"/>
      <c r="OPE99" s="798"/>
      <c r="OPF99" s="798"/>
      <c r="OPG99" s="798"/>
      <c r="OPH99" s="798"/>
      <c r="OPI99" s="798"/>
      <c r="OPJ99" s="798"/>
      <c r="OPK99" s="798"/>
      <c r="OPL99" s="798"/>
      <c r="OPM99" s="798"/>
      <c r="OPN99" s="798"/>
      <c r="OPO99" s="798"/>
      <c r="OPP99" s="798"/>
      <c r="OPQ99" s="798"/>
      <c r="OPR99" s="798"/>
      <c r="OPS99" s="798"/>
      <c r="OPT99" s="798"/>
      <c r="OPU99" s="798"/>
      <c r="OPV99" s="798"/>
      <c r="OPW99" s="798"/>
      <c r="OPX99" s="798"/>
      <c r="OPY99" s="798"/>
      <c r="OPZ99" s="798"/>
      <c r="OQA99" s="798"/>
      <c r="OQB99" s="798"/>
      <c r="OQC99" s="798"/>
      <c r="OQD99" s="798"/>
      <c r="OQE99" s="798"/>
      <c r="OQF99" s="798"/>
      <c r="OQG99" s="798"/>
      <c r="OQH99" s="798"/>
      <c r="OQI99" s="798"/>
      <c r="OQJ99" s="798"/>
      <c r="OQK99" s="798"/>
      <c r="OQL99" s="798"/>
      <c r="OQM99" s="798"/>
      <c r="OQN99" s="798"/>
      <c r="OQO99" s="798"/>
      <c r="OQP99" s="798"/>
      <c r="OQQ99" s="798"/>
      <c r="OQR99" s="798"/>
      <c r="OQS99" s="798"/>
      <c r="OQT99" s="798"/>
      <c r="OQU99" s="798"/>
      <c r="OQV99" s="798"/>
      <c r="OQW99" s="798"/>
      <c r="OQX99" s="798"/>
      <c r="OQY99" s="798"/>
      <c r="OQZ99" s="798"/>
      <c r="ORA99" s="798"/>
      <c r="ORB99" s="798"/>
      <c r="ORC99" s="798"/>
      <c r="ORD99" s="798"/>
      <c r="ORE99" s="798"/>
      <c r="ORF99" s="798"/>
      <c r="ORG99" s="798"/>
      <c r="ORH99" s="798"/>
      <c r="ORI99" s="798"/>
      <c r="ORJ99" s="798"/>
      <c r="ORK99" s="798"/>
      <c r="ORL99" s="798"/>
      <c r="ORM99" s="798"/>
      <c r="ORN99" s="798"/>
      <c r="ORO99" s="798"/>
      <c r="ORP99" s="798"/>
      <c r="ORQ99" s="798"/>
      <c r="ORR99" s="798"/>
      <c r="ORS99" s="798"/>
      <c r="ORT99" s="798"/>
      <c r="ORU99" s="798"/>
      <c r="ORV99" s="798"/>
      <c r="ORW99" s="798"/>
      <c r="ORX99" s="798"/>
      <c r="ORY99" s="798"/>
      <c r="ORZ99" s="798"/>
      <c r="OSA99" s="798"/>
      <c r="OSB99" s="798"/>
      <c r="OSC99" s="798"/>
      <c r="OSD99" s="798"/>
      <c r="OSE99" s="798"/>
      <c r="OSF99" s="798"/>
      <c r="OSG99" s="798"/>
      <c r="OSH99" s="798"/>
      <c r="OSI99" s="798"/>
      <c r="OSJ99" s="798"/>
      <c r="OSK99" s="798"/>
      <c r="OSL99" s="798"/>
      <c r="OSM99" s="798"/>
      <c r="OSN99" s="798"/>
      <c r="OSO99" s="798"/>
      <c r="OSP99" s="798"/>
      <c r="OSQ99" s="798"/>
      <c r="OSR99" s="798"/>
      <c r="OSS99" s="798"/>
      <c r="OST99" s="798"/>
      <c r="OSU99" s="798"/>
      <c r="OSV99" s="798"/>
      <c r="OSW99" s="798"/>
      <c r="OSX99" s="798"/>
      <c r="OSY99" s="798"/>
      <c r="OSZ99" s="798"/>
      <c r="OTA99" s="798"/>
      <c r="OTB99" s="798"/>
      <c r="OTC99" s="798"/>
      <c r="OTD99" s="798"/>
      <c r="OTE99" s="798"/>
      <c r="OTF99" s="798"/>
      <c r="OTG99" s="798"/>
      <c r="OTH99" s="798"/>
      <c r="OTI99" s="798"/>
      <c r="OTJ99" s="798"/>
      <c r="OTK99" s="798"/>
      <c r="OTL99" s="798"/>
      <c r="OTM99" s="798"/>
      <c r="OTN99" s="798"/>
      <c r="OTO99" s="798"/>
      <c r="OTP99" s="798"/>
      <c r="OTQ99" s="798"/>
      <c r="OTR99" s="798"/>
      <c r="OTS99" s="798"/>
      <c r="OTT99" s="798"/>
      <c r="OTU99" s="798"/>
      <c r="OTV99" s="798"/>
      <c r="OTW99" s="798"/>
      <c r="OTX99" s="798"/>
      <c r="OTY99" s="798"/>
      <c r="OTZ99" s="798"/>
      <c r="OUA99" s="798"/>
      <c r="OUB99" s="798"/>
      <c r="OUC99" s="798"/>
      <c r="OUD99" s="798"/>
      <c r="OUE99" s="798"/>
      <c r="OUF99" s="798"/>
      <c r="OUG99" s="798"/>
      <c r="OUH99" s="798"/>
      <c r="OUI99" s="798"/>
      <c r="OUJ99" s="798"/>
      <c r="OUK99" s="798"/>
      <c r="OUL99" s="798"/>
      <c r="OUM99" s="798"/>
      <c r="OUN99" s="798"/>
      <c r="OUO99" s="798"/>
      <c r="OUP99" s="798"/>
      <c r="OUQ99" s="798"/>
      <c r="OUR99" s="798"/>
      <c r="OUS99" s="798"/>
      <c r="OUT99" s="798"/>
      <c r="OUU99" s="798"/>
      <c r="OUV99" s="798"/>
      <c r="OUW99" s="798"/>
      <c r="OUX99" s="798"/>
      <c r="OUY99" s="798"/>
      <c r="OUZ99" s="798"/>
      <c r="OVA99" s="798"/>
      <c r="OVB99" s="798"/>
      <c r="OVC99" s="798"/>
      <c r="OVD99" s="798"/>
      <c r="OVE99" s="798"/>
      <c r="OVF99" s="798"/>
      <c r="OVG99" s="798"/>
      <c r="OVH99" s="798"/>
      <c r="OVI99" s="798"/>
      <c r="OVJ99" s="798"/>
      <c r="OVK99" s="798"/>
      <c r="OVL99" s="798"/>
      <c r="OVM99" s="798"/>
      <c r="OVN99" s="798"/>
      <c r="OVO99" s="798"/>
      <c r="OVP99" s="798"/>
      <c r="OVQ99" s="798"/>
      <c r="OVR99" s="798"/>
      <c r="OVS99" s="798"/>
      <c r="OVT99" s="798"/>
      <c r="OVU99" s="798"/>
      <c r="OVV99" s="798"/>
      <c r="OVW99" s="798"/>
      <c r="OVX99" s="798"/>
      <c r="OVY99" s="798"/>
      <c r="OVZ99" s="798"/>
      <c r="OWA99" s="798"/>
      <c r="OWB99" s="798"/>
      <c r="OWC99" s="798"/>
      <c r="OWD99" s="798"/>
      <c r="OWE99" s="798"/>
      <c r="OWF99" s="798"/>
      <c r="OWG99" s="798"/>
      <c r="OWH99" s="798"/>
      <c r="OWI99" s="798"/>
      <c r="OWJ99" s="798"/>
      <c r="OWK99" s="798"/>
      <c r="OWL99" s="798"/>
      <c r="OWM99" s="798"/>
      <c r="OWN99" s="798"/>
      <c r="OWO99" s="798"/>
      <c r="OWP99" s="798"/>
      <c r="OWQ99" s="798"/>
      <c r="OWR99" s="798"/>
      <c r="OWS99" s="798"/>
      <c r="OWT99" s="798"/>
      <c r="OWU99" s="798"/>
      <c r="OWV99" s="798"/>
      <c r="OWW99" s="798"/>
      <c r="OWX99" s="798"/>
      <c r="OWY99" s="798"/>
      <c r="OWZ99" s="798"/>
      <c r="OXA99" s="798"/>
      <c r="OXB99" s="798"/>
      <c r="OXC99" s="798"/>
      <c r="OXD99" s="798"/>
      <c r="OXE99" s="798"/>
      <c r="OXF99" s="798"/>
      <c r="OXG99" s="798"/>
      <c r="OXH99" s="798"/>
      <c r="OXI99" s="798"/>
      <c r="OXJ99" s="798"/>
      <c r="OXK99" s="798"/>
      <c r="OXL99" s="798"/>
      <c r="OXM99" s="798"/>
      <c r="OXN99" s="798"/>
      <c r="OXO99" s="798"/>
      <c r="OXP99" s="798"/>
      <c r="OXQ99" s="798"/>
      <c r="OXR99" s="798"/>
      <c r="OXS99" s="798"/>
      <c r="OXT99" s="798"/>
      <c r="OXU99" s="798"/>
      <c r="OXV99" s="798"/>
      <c r="OXW99" s="798"/>
      <c r="OXX99" s="798"/>
      <c r="OXY99" s="798"/>
      <c r="OXZ99" s="798"/>
      <c r="OYA99" s="798"/>
      <c r="OYB99" s="798"/>
      <c r="OYC99" s="798"/>
      <c r="OYD99" s="798"/>
      <c r="OYE99" s="798"/>
      <c r="OYF99" s="798"/>
      <c r="OYG99" s="798"/>
      <c r="OYH99" s="798"/>
      <c r="OYI99" s="798"/>
      <c r="OYJ99" s="798"/>
      <c r="OYK99" s="798"/>
      <c r="OYL99" s="798"/>
      <c r="OYM99" s="798"/>
      <c r="OYN99" s="798"/>
      <c r="OYO99" s="798"/>
      <c r="OYP99" s="798"/>
      <c r="OYQ99" s="798"/>
      <c r="OYR99" s="798"/>
      <c r="OYS99" s="798"/>
      <c r="OYT99" s="798"/>
      <c r="OYU99" s="798"/>
      <c r="OYV99" s="798"/>
      <c r="OYW99" s="798"/>
      <c r="OYX99" s="798"/>
      <c r="OYY99" s="798"/>
      <c r="OYZ99" s="798"/>
      <c r="OZA99" s="798"/>
      <c r="OZB99" s="798"/>
      <c r="OZC99" s="798"/>
      <c r="OZD99" s="798"/>
      <c r="OZE99" s="798"/>
      <c r="OZF99" s="798"/>
      <c r="OZG99" s="798"/>
      <c r="OZH99" s="798"/>
      <c r="OZI99" s="798"/>
      <c r="OZJ99" s="798"/>
      <c r="OZK99" s="798"/>
      <c r="OZL99" s="798"/>
      <c r="OZM99" s="798"/>
      <c r="OZN99" s="798"/>
      <c r="OZO99" s="798"/>
      <c r="OZP99" s="798"/>
      <c r="OZQ99" s="798"/>
      <c r="OZR99" s="798"/>
      <c r="OZS99" s="798"/>
      <c r="OZT99" s="798"/>
      <c r="OZU99" s="798"/>
      <c r="OZV99" s="798"/>
      <c r="OZW99" s="798"/>
      <c r="OZX99" s="798"/>
      <c r="OZY99" s="798"/>
      <c r="OZZ99" s="798"/>
      <c r="PAA99" s="798"/>
      <c r="PAB99" s="798"/>
      <c r="PAC99" s="798"/>
      <c r="PAD99" s="798"/>
      <c r="PAE99" s="798"/>
      <c r="PAF99" s="798"/>
      <c r="PAG99" s="798"/>
      <c r="PAH99" s="798"/>
      <c r="PAI99" s="798"/>
      <c r="PAJ99" s="798"/>
      <c r="PAK99" s="798"/>
      <c r="PAL99" s="798"/>
      <c r="PAM99" s="798"/>
      <c r="PAN99" s="798"/>
      <c r="PAO99" s="798"/>
      <c r="PAP99" s="798"/>
      <c r="PAQ99" s="798"/>
      <c r="PAR99" s="798"/>
      <c r="PAS99" s="798"/>
      <c r="PAT99" s="798"/>
      <c r="PAU99" s="798"/>
      <c r="PAV99" s="798"/>
      <c r="PAW99" s="798"/>
      <c r="PAX99" s="798"/>
      <c r="PAY99" s="798"/>
      <c r="PAZ99" s="798"/>
      <c r="PBA99" s="798"/>
      <c r="PBB99" s="798"/>
      <c r="PBC99" s="798"/>
      <c r="PBD99" s="798"/>
      <c r="PBE99" s="798"/>
      <c r="PBF99" s="798"/>
      <c r="PBG99" s="798"/>
      <c r="PBH99" s="798"/>
      <c r="PBI99" s="798"/>
      <c r="PBJ99" s="798"/>
      <c r="PBK99" s="798"/>
      <c r="PBL99" s="798"/>
      <c r="PBM99" s="798"/>
      <c r="PBN99" s="798"/>
      <c r="PBO99" s="798"/>
      <c r="PBP99" s="798"/>
      <c r="PBQ99" s="798"/>
      <c r="PBR99" s="798"/>
      <c r="PBS99" s="798"/>
      <c r="PBT99" s="798"/>
      <c r="PBU99" s="798"/>
      <c r="PBV99" s="798"/>
      <c r="PBW99" s="798"/>
      <c r="PBX99" s="798"/>
      <c r="PBY99" s="798"/>
      <c r="PBZ99" s="798"/>
      <c r="PCA99" s="798"/>
      <c r="PCB99" s="798"/>
      <c r="PCC99" s="798"/>
      <c r="PCD99" s="798"/>
      <c r="PCE99" s="798"/>
      <c r="PCF99" s="798"/>
      <c r="PCG99" s="798"/>
      <c r="PCH99" s="798"/>
      <c r="PCI99" s="798"/>
      <c r="PCJ99" s="798"/>
      <c r="PCK99" s="798"/>
      <c r="PCL99" s="798"/>
      <c r="PCM99" s="798"/>
      <c r="PCN99" s="798"/>
      <c r="PCO99" s="798"/>
      <c r="PCP99" s="798"/>
      <c r="PCQ99" s="798"/>
      <c r="PCR99" s="798"/>
      <c r="PCS99" s="798"/>
      <c r="PCT99" s="798"/>
      <c r="PCU99" s="798"/>
      <c r="PCV99" s="798"/>
      <c r="PCW99" s="798"/>
      <c r="PCX99" s="798"/>
      <c r="PCY99" s="798"/>
      <c r="PCZ99" s="798"/>
      <c r="PDA99" s="798"/>
      <c r="PDB99" s="798"/>
      <c r="PDC99" s="798"/>
      <c r="PDD99" s="798"/>
      <c r="PDE99" s="798"/>
      <c r="PDF99" s="798"/>
      <c r="PDG99" s="798"/>
      <c r="PDH99" s="798"/>
      <c r="PDI99" s="798"/>
      <c r="PDJ99" s="798"/>
      <c r="PDK99" s="798"/>
      <c r="PDL99" s="798"/>
      <c r="PDM99" s="798"/>
      <c r="PDN99" s="798"/>
      <c r="PDO99" s="798"/>
      <c r="PDP99" s="798"/>
      <c r="PDQ99" s="798"/>
      <c r="PDR99" s="798"/>
      <c r="PDS99" s="798"/>
      <c r="PDT99" s="798"/>
      <c r="PDU99" s="798"/>
      <c r="PDV99" s="798"/>
      <c r="PDW99" s="798"/>
      <c r="PDX99" s="798"/>
      <c r="PDY99" s="798"/>
      <c r="PDZ99" s="798"/>
      <c r="PEA99" s="798"/>
      <c r="PEB99" s="798"/>
      <c r="PEC99" s="798"/>
      <c r="PED99" s="798"/>
      <c r="PEE99" s="798"/>
      <c r="PEF99" s="798"/>
      <c r="PEG99" s="798"/>
      <c r="PEH99" s="798"/>
      <c r="PEI99" s="798"/>
      <c r="PEJ99" s="798"/>
      <c r="PEK99" s="798"/>
      <c r="PEL99" s="798"/>
      <c r="PEM99" s="798"/>
      <c r="PEN99" s="798"/>
      <c r="PEO99" s="798"/>
      <c r="PEP99" s="798"/>
      <c r="PEQ99" s="798"/>
      <c r="PER99" s="798"/>
      <c r="PES99" s="798"/>
      <c r="PET99" s="798"/>
      <c r="PEU99" s="798"/>
      <c r="PEV99" s="798"/>
      <c r="PEW99" s="798"/>
      <c r="PEX99" s="798"/>
      <c r="PEY99" s="798"/>
      <c r="PEZ99" s="798"/>
      <c r="PFA99" s="798"/>
      <c r="PFB99" s="798"/>
      <c r="PFC99" s="798"/>
      <c r="PFD99" s="798"/>
      <c r="PFE99" s="798"/>
      <c r="PFF99" s="798"/>
      <c r="PFG99" s="798"/>
      <c r="PFH99" s="798"/>
      <c r="PFI99" s="798"/>
      <c r="PFJ99" s="798"/>
      <c r="PFK99" s="798"/>
      <c r="PFL99" s="798"/>
      <c r="PFM99" s="798"/>
      <c r="PFN99" s="798"/>
      <c r="PFO99" s="798"/>
      <c r="PFP99" s="798"/>
      <c r="PFQ99" s="798"/>
      <c r="PFR99" s="798"/>
      <c r="PFS99" s="798"/>
      <c r="PFT99" s="798"/>
      <c r="PFU99" s="798"/>
      <c r="PFV99" s="798"/>
      <c r="PFW99" s="798"/>
      <c r="PFX99" s="798"/>
      <c r="PFY99" s="798"/>
      <c r="PFZ99" s="798"/>
      <c r="PGA99" s="798"/>
      <c r="PGB99" s="798"/>
      <c r="PGC99" s="798"/>
      <c r="PGD99" s="798"/>
      <c r="PGE99" s="798"/>
      <c r="PGF99" s="798"/>
      <c r="PGG99" s="798"/>
      <c r="PGH99" s="798"/>
      <c r="PGI99" s="798"/>
      <c r="PGJ99" s="798"/>
      <c r="PGK99" s="798"/>
      <c r="PGL99" s="798"/>
      <c r="PGM99" s="798"/>
      <c r="PGN99" s="798"/>
      <c r="PGO99" s="798"/>
      <c r="PGP99" s="798"/>
      <c r="PGQ99" s="798"/>
      <c r="PGR99" s="798"/>
      <c r="PGS99" s="798"/>
      <c r="PGT99" s="798"/>
      <c r="PGU99" s="798"/>
      <c r="PGV99" s="798"/>
      <c r="PGW99" s="798"/>
      <c r="PGX99" s="798"/>
      <c r="PGY99" s="798"/>
      <c r="PGZ99" s="798"/>
      <c r="PHA99" s="798"/>
      <c r="PHB99" s="798"/>
      <c r="PHC99" s="798"/>
      <c r="PHD99" s="798"/>
      <c r="PHE99" s="798"/>
      <c r="PHF99" s="798"/>
      <c r="PHG99" s="798"/>
      <c r="PHH99" s="798"/>
      <c r="PHI99" s="798"/>
      <c r="PHJ99" s="798"/>
      <c r="PHK99" s="798"/>
      <c r="PHL99" s="798"/>
      <c r="PHM99" s="798"/>
      <c r="PHN99" s="798"/>
      <c r="PHO99" s="798"/>
      <c r="PHP99" s="798"/>
      <c r="PHQ99" s="798"/>
      <c r="PHR99" s="798"/>
      <c r="PHS99" s="798"/>
      <c r="PHT99" s="798"/>
      <c r="PHU99" s="798"/>
      <c r="PHV99" s="798"/>
      <c r="PHW99" s="798"/>
      <c r="PHX99" s="798"/>
      <c r="PHY99" s="798"/>
      <c r="PHZ99" s="798"/>
      <c r="PIA99" s="798"/>
      <c r="PIB99" s="798"/>
      <c r="PIC99" s="798"/>
      <c r="PID99" s="798"/>
      <c r="PIE99" s="798"/>
      <c r="PIF99" s="798"/>
      <c r="PIG99" s="798"/>
      <c r="PIH99" s="798"/>
      <c r="PII99" s="798"/>
      <c r="PIJ99" s="798"/>
      <c r="PIK99" s="798"/>
      <c r="PIL99" s="798"/>
      <c r="PIM99" s="798"/>
      <c r="PIN99" s="798"/>
      <c r="PIO99" s="798"/>
      <c r="PIP99" s="798"/>
      <c r="PIQ99" s="798"/>
      <c r="PIR99" s="798"/>
      <c r="PIS99" s="798"/>
      <c r="PIT99" s="798"/>
      <c r="PIU99" s="798"/>
      <c r="PIV99" s="798"/>
      <c r="PIW99" s="798"/>
      <c r="PIX99" s="798"/>
      <c r="PIY99" s="798"/>
      <c r="PIZ99" s="798"/>
      <c r="PJA99" s="798"/>
      <c r="PJB99" s="798"/>
      <c r="PJC99" s="798"/>
      <c r="PJD99" s="798"/>
      <c r="PJE99" s="798"/>
      <c r="PJF99" s="798"/>
      <c r="PJG99" s="798"/>
      <c r="PJH99" s="798"/>
      <c r="PJI99" s="798"/>
      <c r="PJJ99" s="798"/>
      <c r="PJK99" s="798"/>
      <c r="PJL99" s="798"/>
      <c r="PJM99" s="798"/>
      <c r="PJN99" s="798"/>
      <c r="PJO99" s="798"/>
      <c r="PJP99" s="798"/>
      <c r="PJQ99" s="798"/>
      <c r="PJR99" s="798"/>
      <c r="PJS99" s="798"/>
      <c r="PJT99" s="798"/>
      <c r="PJU99" s="798"/>
      <c r="PJV99" s="798"/>
      <c r="PJW99" s="798"/>
      <c r="PJX99" s="798"/>
      <c r="PJY99" s="798"/>
      <c r="PJZ99" s="798"/>
      <c r="PKA99" s="798"/>
      <c r="PKB99" s="798"/>
      <c r="PKC99" s="798"/>
      <c r="PKD99" s="798"/>
      <c r="PKE99" s="798"/>
      <c r="PKF99" s="798"/>
      <c r="PKG99" s="798"/>
      <c r="PKH99" s="798"/>
      <c r="PKI99" s="798"/>
      <c r="PKJ99" s="798"/>
      <c r="PKK99" s="798"/>
      <c r="PKL99" s="798"/>
      <c r="PKM99" s="798"/>
      <c r="PKN99" s="798"/>
      <c r="PKO99" s="798"/>
      <c r="PKP99" s="798"/>
      <c r="PKQ99" s="798"/>
      <c r="PKR99" s="798"/>
      <c r="PKS99" s="798"/>
      <c r="PKT99" s="798"/>
      <c r="PKU99" s="798"/>
      <c r="PKV99" s="798"/>
      <c r="PKW99" s="798"/>
      <c r="PKX99" s="798"/>
      <c r="PKY99" s="798"/>
      <c r="PKZ99" s="798"/>
      <c r="PLA99" s="798"/>
      <c r="PLB99" s="798"/>
      <c r="PLC99" s="798"/>
      <c r="PLD99" s="798"/>
      <c r="PLE99" s="798"/>
      <c r="PLF99" s="798"/>
      <c r="PLG99" s="798"/>
      <c r="PLH99" s="798"/>
      <c r="PLI99" s="798"/>
      <c r="PLJ99" s="798"/>
      <c r="PLK99" s="798"/>
      <c r="PLL99" s="798"/>
      <c r="PLM99" s="798"/>
      <c r="PLN99" s="798"/>
      <c r="PLO99" s="798"/>
      <c r="PLP99" s="798"/>
      <c r="PLQ99" s="798"/>
      <c r="PLR99" s="798"/>
      <c r="PLS99" s="798"/>
      <c r="PLT99" s="798"/>
      <c r="PLU99" s="798"/>
      <c r="PLV99" s="798"/>
      <c r="PLW99" s="798"/>
      <c r="PLX99" s="798"/>
      <c r="PLY99" s="798"/>
      <c r="PLZ99" s="798"/>
      <c r="PMA99" s="798"/>
      <c r="PMB99" s="798"/>
      <c r="PMC99" s="798"/>
      <c r="PMD99" s="798"/>
      <c r="PME99" s="798"/>
      <c r="PMF99" s="798"/>
      <c r="PMG99" s="798"/>
      <c r="PMH99" s="798"/>
      <c r="PMI99" s="798"/>
      <c r="PMJ99" s="798"/>
      <c r="PMK99" s="798"/>
      <c r="PML99" s="798"/>
      <c r="PMM99" s="798"/>
      <c r="PMN99" s="798"/>
      <c r="PMO99" s="798"/>
      <c r="PMP99" s="798"/>
      <c r="PMQ99" s="798"/>
      <c r="PMR99" s="798"/>
      <c r="PMS99" s="798"/>
      <c r="PMT99" s="798"/>
      <c r="PMU99" s="798"/>
      <c r="PMV99" s="798"/>
      <c r="PMW99" s="798"/>
      <c r="PMX99" s="798"/>
      <c r="PMY99" s="798"/>
      <c r="PMZ99" s="798"/>
      <c r="PNA99" s="798"/>
      <c r="PNB99" s="798"/>
      <c r="PNC99" s="798"/>
      <c r="PND99" s="798"/>
      <c r="PNE99" s="798"/>
      <c r="PNF99" s="798"/>
      <c r="PNG99" s="798"/>
      <c r="PNH99" s="798"/>
      <c r="PNI99" s="798"/>
      <c r="PNJ99" s="798"/>
      <c r="PNK99" s="798"/>
      <c r="PNL99" s="798"/>
      <c r="PNM99" s="798"/>
      <c r="PNN99" s="798"/>
      <c r="PNO99" s="798"/>
      <c r="PNP99" s="798"/>
      <c r="PNQ99" s="798"/>
      <c r="PNR99" s="798"/>
      <c r="PNS99" s="798"/>
      <c r="PNT99" s="798"/>
      <c r="PNU99" s="798"/>
      <c r="PNV99" s="798"/>
      <c r="PNW99" s="798"/>
      <c r="PNX99" s="798"/>
      <c r="PNY99" s="798"/>
      <c r="PNZ99" s="798"/>
      <c r="POA99" s="798"/>
      <c r="POB99" s="798"/>
      <c r="POC99" s="798"/>
      <c r="POD99" s="798"/>
      <c r="POE99" s="798"/>
      <c r="POF99" s="798"/>
      <c r="POG99" s="798"/>
      <c r="POH99" s="798"/>
      <c r="POI99" s="798"/>
      <c r="POJ99" s="798"/>
      <c r="POK99" s="798"/>
      <c r="POL99" s="798"/>
      <c r="POM99" s="798"/>
      <c r="PON99" s="798"/>
      <c r="POO99" s="798"/>
      <c r="POP99" s="798"/>
      <c r="POQ99" s="798"/>
      <c r="POR99" s="798"/>
      <c r="POS99" s="798"/>
      <c r="POT99" s="798"/>
      <c r="POU99" s="798"/>
      <c r="POV99" s="798"/>
      <c r="POW99" s="798"/>
      <c r="POX99" s="798"/>
      <c r="POY99" s="798"/>
      <c r="POZ99" s="798"/>
      <c r="PPA99" s="798"/>
      <c r="PPB99" s="798"/>
      <c r="PPC99" s="798"/>
      <c r="PPD99" s="798"/>
      <c r="PPE99" s="798"/>
      <c r="PPF99" s="798"/>
      <c r="PPG99" s="798"/>
      <c r="PPH99" s="798"/>
      <c r="PPI99" s="798"/>
      <c r="PPJ99" s="798"/>
      <c r="PPK99" s="798"/>
      <c r="PPL99" s="798"/>
      <c r="PPM99" s="798"/>
      <c r="PPN99" s="798"/>
      <c r="PPO99" s="798"/>
      <c r="PPP99" s="798"/>
      <c r="PPQ99" s="798"/>
      <c r="PPR99" s="798"/>
      <c r="PPS99" s="798"/>
      <c r="PPT99" s="798"/>
      <c r="PPU99" s="798"/>
      <c r="PPV99" s="798"/>
      <c r="PPW99" s="798"/>
      <c r="PPX99" s="798"/>
      <c r="PPY99" s="798"/>
      <c r="PPZ99" s="798"/>
      <c r="PQA99" s="798"/>
      <c r="PQB99" s="798"/>
      <c r="PQC99" s="798"/>
      <c r="PQD99" s="798"/>
      <c r="PQE99" s="798"/>
      <c r="PQF99" s="798"/>
      <c r="PQG99" s="798"/>
      <c r="PQH99" s="798"/>
      <c r="PQI99" s="798"/>
      <c r="PQJ99" s="798"/>
      <c r="PQK99" s="798"/>
      <c r="PQL99" s="798"/>
      <c r="PQM99" s="798"/>
      <c r="PQN99" s="798"/>
      <c r="PQO99" s="798"/>
      <c r="PQP99" s="798"/>
      <c r="PQQ99" s="798"/>
      <c r="PQR99" s="798"/>
      <c r="PQS99" s="798"/>
      <c r="PQT99" s="798"/>
      <c r="PQU99" s="798"/>
      <c r="PQV99" s="798"/>
      <c r="PQW99" s="798"/>
      <c r="PQX99" s="798"/>
      <c r="PQY99" s="798"/>
      <c r="PQZ99" s="798"/>
      <c r="PRA99" s="798"/>
      <c r="PRB99" s="798"/>
      <c r="PRC99" s="798"/>
      <c r="PRD99" s="798"/>
      <c r="PRE99" s="798"/>
      <c r="PRF99" s="798"/>
      <c r="PRG99" s="798"/>
      <c r="PRH99" s="798"/>
      <c r="PRI99" s="798"/>
      <c r="PRJ99" s="798"/>
      <c r="PRK99" s="798"/>
      <c r="PRL99" s="798"/>
      <c r="PRM99" s="798"/>
      <c r="PRN99" s="798"/>
      <c r="PRO99" s="798"/>
      <c r="PRP99" s="798"/>
      <c r="PRQ99" s="798"/>
      <c r="PRR99" s="798"/>
      <c r="PRS99" s="798"/>
      <c r="PRT99" s="798"/>
      <c r="PRU99" s="798"/>
      <c r="PRV99" s="798"/>
      <c r="PRW99" s="798"/>
      <c r="PRX99" s="798"/>
      <c r="PRY99" s="798"/>
      <c r="PRZ99" s="798"/>
      <c r="PSA99" s="798"/>
      <c r="PSB99" s="798"/>
      <c r="PSC99" s="798"/>
      <c r="PSD99" s="798"/>
      <c r="PSE99" s="798"/>
      <c r="PSF99" s="798"/>
      <c r="PSG99" s="798"/>
      <c r="PSH99" s="798"/>
      <c r="PSI99" s="798"/>
      <c r="PSJ99" s="798"/>
      <c r="PSK99" s="798"/>
      <c r="PSL99" s="798"/>
      <c r="PSM99" s="798"/>
      <c r="PSN99" s="798"/>
      <c r="PSO99" s="798"/>
      <c r="PSP99" s="798"/>
      <c r="PSQ99" s="798"/>
      <c r="PSR99" s="798"/>
      <c r="PSS99" s="798"/>
      <c r="PST99" s="798"/>
      <c r="PSU99" s="798"/>
      <c r="PSV99" s="798"/>
      <c r="PSW99" s="798"/>
      <c r="PSX99" s="798"/>
      <c r="PSY99" s="798"/>
      <c r="PSZ99" s="798"/>
      <c r="PTA99" s="798"/>
      <c r="PTB99" s="798"/>
      <c r="PTC99" s="798"/>
      <c r="PTD99" s="798"/>
      <c r="PTE99" s="798"/>
      <c r="PTF99" s="798"/>
      <c r="PTG99" s="798"/>
      <c r="PTH99" s="798"/>
      <c r="PTI99" s="798"/>
      <c r="PTJ99" s="798"/>
      <c r="PTK99" s="798"/>
      <c r="PTL99" s="798"/>
      <c r="PTM99" s="798"/>
      <c r="PTN99" s="798"/>
      <c r="PTO99" s="798"/>
      <c r="PTP99" s="798"/>
      <c r="PTQ99" s="798"/>
      <c r="PTR99" s="798"/>
      <c r="PTS99" s="798"/>
      <c r="PTT99" s="798"/>
      <c r="PTU99" s="798"/>
      <c r="PTV99" s="798"/>
      <c r="PTW99" s="798"/>
      <c r="PTX99" s="798"/>
      <c r="PTY99" s="798"/>
      <c r="PTZ99" s="798"/>
      <c r="PUA99" s="798"/>
      <c r="PUB99" s="798"/>
      <c r="PUC99" s="798"/>
      <c r="PUD99" s="798"/>
      <c r="PUE99" s="798"/>
      <c r="PUF99" s="798"/>
      <c r="PUG99" s="798"/>
      <c r="PUH99" s="798"/>
      <c r="PUI99" s="798"/>
      <c r="PUJ99" s="798"/>
      <c r="PUK99" s="798"/>
      <c r="PUL99" s="798"/>
      <c r="PUM99" s="798"/>
      <c r="PUN99" s="798"/>
      <c r="PUO99" s="798"/>
      <c r="PUP99" s="798"/>
      <c r="PUQ99" s="798"/>
      <c r="PUR99" s="798"/>
      <c r="PUS99" s="798"/>
      <c r="PUT99" s="798"/>
      <c r="PUU99" s="798"/>
      <c r="PUV99" s="798"/>
      <c r="PUW99" s="798"/>
      <c r="PUX99" s="798"/>
      <c r="PUY99" s="798"/>
      <c r="PUZ99" s="798"/>
      <c r="PVA99" s="798"/>
      <c r="PVB99" s="798"/>
      <c r="PVC99" s="798"/>
      <c r="PVD99" s="798"/>
      <c r="PVE99" s="798"/>
      <c r="PVF99" s="798"/>
      <c r="PVG99" s="798"/>
      <c r="PVH99" s="798"/>
      <c r="PVI99" s="798"/>
      <c r="PVJ99" s="798"/>
      <c r="PVK99" s="798"/>
      <c r="PVL99" s="798"/>
      <c r="PVM99" s="798"/>
      <c r="PVN99" s="798"/>
      <c r="PVO99" s="798"/>
      <c r="PVP99" s="798"/>
      <c r="PVQ99" s="798"/>
      <c r="PVR99" s="798"/>
      <c r="PVS99" s="798"/>
      <c r="PVT99" s="798"/>
      <c r="PVU99" s="798"/>
      <c r="PVV99" s="798"/>
      <c r="PVW99" s="798"/>
      <c r="PVX99" s="798"/>
      <c r="PVY99" s="798"/>
      <c r="PVZ99" s="798"/>
      <c r="PWA99" s="798"/>
      <c r="PWB99" s="798"/>
      <c r="PWC99" s="798"/>
      <c r="PWD99" s="798"/>
      <c r="PWE99" s="798"/>
      <c r="PWF99" s="798"/>
      <c r="PWG99" s="798"/>
      <c r="PWH99" s="798"/>
      <c r="PWI99" s="798"/>
      <c r="PWJ99" s="798"/>
      <c r="PWK99" s="798"/>
      <c r="PWL99" s="798"/>
      <c r="PWM99" s="798"/>
      <c r="PWN99" s="798"/>
      <c r="PWO99" s="798"/>
      <c r="PWP99" s="798"/>
      <c r="PWQ99" s="798"/>
      <c r="PWR99" s="798"/>
      <c r="PWS99" s="798"/>
      <c r="PWT99" s="798"/>
      <c r="PWU99" s="798"/>
      <c r="PWV99" s="798"/>
      <c r="PWW99" s="798"/>
      <c r="PWX99" s="798"/>
      <c r="PWY99" s="798"/>
      <c r="PWZ99" s="798"/>
      <c r="PXA99" s="798"/>
      <c r="PXB99" s="798"/>
      <c r="PXC99" s="798"/>
      <c r="PXD99" s="798"/>
      <c r="PXE99" s="798"/>
      <c r="PXF99" s="798"/>
      <c r="PXG99" s="798"/>
      <c r="PXH99" s="798"/>
      <c r="PXI99" s="798"/>
      <c r="PXJ99" s="798"/>
      <c r="PXK99" s="798"/>
      <c r="PXL99" s="798"/>
      <c r="PXM99" s="798"/>
      <c r="PXN99" s="798"/>
      <c r="PXO99" s="798"/>
      <c r="PXP99" s="798"/>
      <c r="PXQ99" s="798"/>
      <c r="PXR99" s="798"/>
      <c r="PXS99" s="798"/>
      <c r="PXT99" s="798"/>
      <c r="PXU99" s="798"/>
      <c r="PXV99" s="798"/>
      <c r="PXW99" s="798"/>
      <c r="PXX99" s="798"/>
      <c r="PXY99" s="798"/>
      <c r="PXZ99" s="798"/>
      <c r="PYA99" s="798"/>
      <c r="PYB99" s="798"/>
      <c r="PYC99" s="798"/>
      <c r="PYD99" s="798"/>
      <c r="PYE99" s="798"/>
      <c r="PYF99" s="798"/>
      <c r="PYG99" s="798"/>
      <c r="PYH99" s="798"/>
      <c r="PYI99" s="798"/>
      <c r="PYJ99" s="798"/>
      <c r="PYK99" s="798"/>
      <c r="PYL99" s="798"/>
      <c r="PYM99" s="798"/>
      <c r="PYN99" s="798"/>
      <c r="PYO99" s="798"/>
      <c r="PYP99" s="798"/>
      <c r="PYQ99" s="798"/>
      <c r="PYR99" s="798"/>
      <c r="PYS99" s="798"/>
      <c r="PYT99" s="798"/>
      <c r="PYU99" s="798"/>
      <c r="PYV99" s="798"/>
      <c r="PYW99" s="798"/>
      <c r="PYX99" s="798"/>
      <c r="PYY99" s="798"/>
      <c r="PYZ99" s="798"/>
      <c r="PZA99" s="798"/>
      <c r="PZB99" s="798"/>
      <c r="PZC99" s="798"/>
      <c r="PZD99" s="798"/>
      <c r="PZE99" s="798"/>
      <c r="PZF99" s="798"/>
      <c r="PZG99" s="798"/>
      <c r="PZH99" s="798"/>
      <c r="PZI99" s="798"/>
      <c r="PZJ99" s="798"/>
      <c r="PZK99" s="798"/>
      <c r="PZL99" s="798"/>
      <c r="PZM99" s="798"/>
      <c r="PZN99" s="798"/>
      <c r="PZO99" s="798"/>
      <c r="PZP99" s="798"/>
      <c r="PZQ99" s="798"/>
      <c r="PZR99" s="798"/>
      <c r="PZS99" s="798"/>
      <c r="PZT99" s="798"/>
      <c r="PZU99" s="798"/>
      <c r="PZV99" s="798"/>
      <c r="PZW99" s="798"/>
      <c r="PZX99" s="798"/>
      <c r="PZY99" s="798"/>
      <c r="PZZ99" s="798"/>
      <c r="QAA99" s="798"/>
      <c r="QAB99" s="798"/>
      <c r="QAC99" s="798"/>
      <c r="QAD99" s="798"/>
      <c r="QAE99" s="798"/>
      <c r="QAF99" s="798"/>
      <c r="QAG99" s="798"/>
      <c r="QAH99" s="798"/>
      <c r="QAI99" s="798"/>
      <c r="QAJ99" s="798"/>
      <c r="QAK99" s="798"/>
      <c r="QAL99" s="798"/>
      <c r="QAM99" s="798"/>
      <c r="QAN99" s="798"/>
      <c r="QAO99" s="798"/>
      <c r="QAP99" s="798"/>
      <c r="QAQ99" s="798"/>
      <c r="QAR99" s="798"/>
      <c r="QAS99" s="798"/>
      <c r="QAT99" s="798"/>
      <c r="QAU99" s="798"/>
      <c r="QAV99" s="798"/>
      <c r="QAW99" s="798"/>
      <c r="QAX99" s="798"/>
      <c r="QAY99" s="798"/>
      <c r="QAZ99" s="798"/>
      <c r="QBA99" s="798"/>
      <c r="QBB99" s="798"/>
      <c r="QBC99" s="798"/>
      <c r="QBD99" s="798"/>
      <c r="QBE99" s="798"/>
      <c r="QBF99" s="798"/>
      <c r="QBG99" s="798"/>
      <c r="QBH99" s="798"/>
      <c r="QBI99" s="798"/>
      <c r="QBJ99" s="798"/>
      <c r="QBK99" s="798"/>
      <c r="QBL99" s="798"/>
      <c r="QBM99" s="798"/>
      <c r="QBN99" s="798"/>
      <c r="QBO99" s="798"/>
      <c r="QBP99" s="798"/>
      <c r="QBQ99" s="798"/>
      <c r="QBR99" s="798"/>
      <c r="QBS99" s="798"/>
      <c r="QBT99" s="798"/>
      <c r="QBU99" s="798"/>
      <c r="QBV99" s="798"/>
      <c r="QBW99" s="798"/>
      <c r="QBX99" s="798"/>
      <c r="QBY99" s="798"/>
      <c r="QBZ99" s="798"/>
      <c r="QCA99" s="798"/>
      <c r="QCB99" s="798"/>
      <c r="QCC99" s="798"/>
      <c r="QCD99" s="798"/>
      <c r="QCE99" s="798"/>
      <c r="QCF99" s="798"/>
      <c r="QCG99" s="798"/>
      <c r="QCH99" s="798"/>
      <c r="QCI99" s="798"/>
      <c r="QCJ99" s="798"/>
      <c r="QCK99" s="798"/>
      <c r="QCL99" s="798"/>
      <c r="QCM99" s="798"/>
      <c r="QCN99" s="798"/>
      <c r="QCO99" s="798"/>
      <c r="QCP99" s="798"/>
      <c r="QCQ99" s="798"/>
      <c r="QCR99" s="798"/>
      <c r="QCS99" s="798"/>
      <c r="QCT99" s="798"/>
      <c r="QCU99" s="798"/>
      <c r="QCV99" s="798"/>
      <c r="QCW99" s="798"/>
      <c r="QCX99" s="798"/>
      <c r="QCY99" s="798"/>
      <c r="QCZ99" s="798"/>
      <c r="QDA99" s="798"/>
      <c r="QDB99" s="798"/>
      <c r="QDC99" s="798"/>
      <c r="QDD99" s="798"/>
      <c r="QDE99" s="798"/>
      <c r="QDF99" s="798"/>
      <c r="QDG99" s="798"/>
      <c r="QDH99" s="798"/>
      <c r="QDI99" s="798"/>
      <c r="QDJ99" s="798"/>
      <c r="QDK99" s="798"/>
      <c r="QDL99" s="798"/>
      <c r="QDM99" s="798"/>
      <c r="QDN99" s="798"/>
      <c r="QDO99" s="798"/>
      <c r="QDP99" s="798"/>
      <c r="QDQ99" s="798"/>
      <c r="QDR99" s="798"/>
      <c r="QDS99" s="798"/>
      <c r="QDT99" s="798"/>
      <c r="QDU99" s="798"/>
      <c r="QDV99" s="798"/>
      <c r="QDW99" s="798"/>
      <c r="QDX99" s="798"/>
      <c r="QDY99" s="798"/>
      <c r="QDZ99" s="798"/>
      <c r="QEA99" s="798"/>
      <c r="QEB99" s="798"/>
      <c r="QEC99" s="798"/>
      <c r="QED99" s="798"/>
      <c r="QEE99" s="798"/>
      <c r="QEF99" s="798"/>
      <c r="QEG99" s="798"/>
      <c r="QEH99" s="798"/>
      <c r="QEI99" s="798"/>
      <c r="QEJ99" s="798"/>
      <c r="QEK99" s="798"/>
      <c r="QEL99" s="798"/>
      <c r="QEM99" s="798"/>
      <c r="QEN99" s="798"/>
      <c r="QEO99" s="798"/>
      <c r="QEP99" s="798"/>
      <c r="QEQ99" s="798"/>
      <c r="QER99" s="798"/>
      <c r="QES99" s="798"/>
      <c r="QET99" s="798"/>
      <c r="QEU99" s="798"/>
      <c r="QEV99" s="798"/>
      <c r="QEW99" s="798"/>
      <c r="QEX99" s="798"/>
      <c r="QEY99" s="798"/>
      <c r="QEZ99" s="798"/>
      <c r="QFA99" s="798"/>
      <c r="QFB99" s="798"/>
      <c r="QFC99" s="798"/>
      <c r="QFD99" s="798"/>
      <c r="QFE99" s="798"/>
      <c r="QFF99" s="798"/>
      <c r="QFG99" s="798"/>
      <c r="QFH99" s="798"/>
      <c r="QFI99" s="798"/>
      <c r="QFJ99" s="798"/>
      <c r="QFK99" s="798"/>
      <c r="QFL99" s="798"/>
      <c r="QFM99" s="798"/>
      <c r="QFN99" s="798"/>
      <c r="QFO99" s="798"/>
      <c r="QFP99" s="798"/>
      <c r="QFQ99" s="798"/>
      <c r="QFR99" s="798"/>
      <c r="QFS99" s="798"/>
      <c r="QFT99" s="798"/>
      <c r="QFU99" s="798"/>
      <c r="QFV99" s="798"/>
      <c r="QFW99" s="798"/>
      <c r="QFX99" s="798"/>
      <c r="QFY99" s="798"/>
      <c r="QFZ99" s="798"/>
      <c r="QGA99" s="798"/>
      <c r="QGB99" s="798"/>
      <c r="QGC99" s="798"/>
      <c r="QGD99" s="798"/>
      <c r="QGE99" s="798"/>
      <c r="QGF99" s="798"/>
      <c r="QGG99" s="798"/>
      <c r="QGH99" s="798"/>
      <c r="QGI99" s="798"/>
      <c r="QGJ99" s="798"/>
      <c r="QGK99" s="798"/>
      <c r="QGL99" s="798"/>
      <c r="QGM99" s="798"/>
      <c r="QGN99" s="798"/>
      <c r="QGO99" s="798"/>
      <c r="QGP99" s="798"/>
      <c r="QGQ99" s="798"/>
      <c r="QGR99" s="798"/>
      <c r="QGS99" s="798"/>
      <c r="QGT99" s="798"/>
      <c r="QGU99" s="798"/>
      <c r="QGV99" s="798"/>
      <c r="QGW99" s="798"/>
      <c r="QGX99" s="798"/>
      <c r="QGY99" s="798"/>
      <c r="QGZ99" s="798"/>
      <c r="QHA99" s="798"/>
      <c r="QHB99" s="798"/>
      <c r="QHC99" s="798"/>
      <c r="QHD99" s="798"/>
      <c r="QHE99" s="798"/>
      <c r="QHF99" s="798"/>
      <c r="QHG99" s="798"/>
      <c r="QHH99" s="798"/>
      <c r="QHI99" s="798"/>
      <c r="QHJ99" s="798"/>
      <c r="QHK99" s="798"/>
      <c r="QHL99" s="798"/>
      <c r="QHM99" s="798"/>
      <c r="QHN99" s="798"/>
      <c r="QHO99" s="798"/>
      <c r="QHP99" s="798"/>
      <c r="QHQ99" s="798"/>
      <c r="QHR99" s="798"/>
      <c r="QHS99" s="798"/>
      <c r="QHT99" s="798"/>
      <c r="QHU99" s="798"/>
      <c r="QHV99" s="798"/>
      <c r="QHW99" s="798"/>
      <c r="QHX99" s="798"/>
      <c r="QHY99" s="798"/>
      <c r="QHZ99" s="798"/>
      <c r="QIA99" s="798"/>
      <c r="QIB99" s="798"/>
      <c r="QIC99" s="798"/>
      <c r="QID99" s="798"/>
      <c r="QIE99" s="798"/>
      <c r="QIF99" s="798"/>
      <c r="QIG99" s="798"/>
      <c r="QIH99" s="798"/>
      <c r="QII99" s="798"/>
      <c r="QIJ99" s="798"/>
      <c r="QIK99" s="798"/>
      <c r="QIL99" s="798"/>
      <c r="QIM99" s="798"/>
      <c r="QIN99" s="798"/>
      <c r="QIO99" s="798"/>
      <c r="QIP99" s="798"/>
      <c r="QIQ99" s="798"/>
      <c r="QIR99" s="798"/>
      <c r="QIS99" s="798"/>
      <c r="QIT99" s="798"/>
      <c r="QIU99" s="798"/>
      <c r="QIV99" s="798"/>
      <c r="QIW99" s="798"/>
      <c r="QIX99" s="798"/>
      <c r="QIY99" s="798"/>
      <c r="QIZ99" s="798"/>
      <c r="QJA99" s="798"/>
      <c r="QJB99" s="798"/>
      <c r="QJC99" s="798"/>
      <c r="QJD99" s="798"/>
      <c r="QJE99" s="798"/>
      <c r="QJF99" s="798"/>
      <c r="QJG99" s="798"/>
      <c r="QJH99" s="798"/>
      <c r="QJI99" s="798"/>
      <c r="QJJ99" s="798"/>
      <c r="QJK99" s="798"/>
      <c r="QJL99" s="798"/>
      <c r="QJM99" s="798"/>
      <c r="QJN99" s="798"/>
      <c r="QJO99" s="798"/>
      <c r="QJP99" s="798"/>
      <c r="QJQ99" s="798"/>
      <c r="QJR99" s="798"/>
      <c r="QJS99" s="798"/>
      <c r="QJT99" s="798"/>
      <c r="QJU99" s="798"/>
      <c r="QJV99" s="798"/>
      <c r="QJW99" s="798"/>
      <c r="QJX99" s="798"/>
      <c r="QJY99" s="798"/>
      <c r="QJZ99" s="798"/>
      <c r="QKA99" s="798"/>
      <c r="QKB99" s="798"/>
      <c r="QKC99" s="798"/>
      <c r="QKD99" s="798"/>
      <c r="QKE99" s="798"/>
      <c r="QKF99" s="798"/>
      <c r="QKG99" s="798"/>
      <c r="QKH99" s="798"/>
      <c r="QKI99" s="798"/>
      <c r="QKJ99" s="798"/>
      <c r="QKK99" s="798"/>
      <c r="QKL99" s="798"/>
      <c r="QKM99" s="798"/>
      <c r="QKN99" s="798"/>
      <c r="QKO99" s="798"/>
      <c r="QKP99" s="798"/>
      <c r="QKQ99" s="798"/>
      <c r="QKR99" s="798"/>
      <c r="QKS99" s="798"/>
      <c r="QKT99" s="798"/>
      <c r="QKU99" s="798"/>
      <c r="QKV99" s="798"/>
      <c r="QKW99" s="798"/>
      <c r="QKX99" s="798"/>
      <c r="QKY99" s="798"/>
      <c r="QKZ99" s="798"/>
      <c r="QLA99" s="798"/>
      <c r="QLB99" s="798"/>
      <c r="QLC99" s="798"/>
      <c r="QLD99" s="798"/>
      <c r="QLE99" s="798"/>
      <c r="QLF99" s="798"/>
      <c r="QLG99" s="798"/>
      <c r="QLH99" s="798"/>
      <c r="QLI99" s="798"/>
      <c r="QLJ99" s="798"/>
      <c r="QLK99" s="798"/>
      <c r="QLL99" s="798"/>
      <c r="QLM99" s="798"/>
      <c r="QLN99" s="798"/>
      <c r="QLO99" s="798"/>
      <c r="QLP99" s="798"/>
      <c r="QLQ99" s="798"/>
      <c r="QLR99" s="798"/>
      <c r="QLS99" s="798"/>
      <c r="QLT99" s="798"/>
      <c r="QLU99" s="798"/>
      <c r="QLV99" s="798"/>
      <c r="QLW99" s="798"/>
      <c r="QLX99" s="798"/>
      <c r="QLY99" s="798"/>
      <c r="QLZ99" s="798"/>
      <c r="QMA99" s="798"/>
      <c r="QMB99" s="798"/>
      <c r="QMC99" s="798"/>
      <c r="QMD99" s="798"/>
      <c r="QME99" s="798"/>
      <c r="QMF99" s="798"/>
      <c r="QMG99" s="798"/>
      <c r="QMH99" s="798"/>
      <c r="QMI99" s="798"/>
      <c r="QMJ99" s="798"/>
      <c r="QMK99" s="798"/>
      <c r="QML99" s="798"/>
      <c r="QMM99" s="798"/>
      <c r="QMN99" s="798"/>
      <c r="QMO99" s="798"/>
      <c r="QMP99" s="798"/>
      <c r="QMQ99" s="798"/>
      <c r="QMR99" s="798"/>
      <c r="QMS99" s="798"/>
      <c r="QMT99" s="798"/>
      <c r="QMU99" s="798"/>
      <c r="QMV99" s="798"/>
      <c r="QMW99" s="798"/>
      <c r="QMX99" s="798"/>
      <c r="QMY99" s="798"/>
      <c r="QMZ99" s="798"/>
      <c r="QNA99" s="798"/>
      <c r="QNB99" s="798"/>
      <c r="QNC99" s="798"/>
      <c r="QND99" s="798"/>
      <c r="QNE99" s="798"/>
      <c r="QNF99" s="798"/>
      <c r="QNG99" s="798"/>
      <c r="QNH99" s="798"/>
      <c r="QNI99" s="798"/>
      <c r="QNJ99" s="798"/>
      <c r="QNK99" s="798"/>
      <c r="QNL99" s="798"/>
      <c r="QNM99" s="798"/>
      <c r="QNN99" s="798"/>
      <c r="QNO99" s="798"/>
      <c r="QNP99" s="798"/>
      <c r="QNQ99" s="798"/>
      <c r="QNR99" s="798"/>
      <c r="QNS99" s="798"/>
      <c r="QNT99" s="798"/>
      <c r="QNU99" s="798"/>
      <c r="QNV99" s="798"/>
      <c r="QNW99" s="798"/>
      <c r="QNX99" s="798"/>
      <c r="QNY99" s="798"/>
      <c r="QNZ99" s="798"/>
      <c r="QOA99" s="798"/>
      <c r="QOB99" s="798"/>
      <c r="QOC99" s="798"/>
      <c r="QOD99" s="798"/>
      <c r="QOE99" s="798"/>
      <c r="QOF99" s="798"/>
      <c r="QOG99" s="798"/>
      <c r="QOH99" s="798"/>
      <c r="QOI99" s="798"/>
      <c r="QOJ99" s="798"/>
      <c r="QOK99" s="798"/>
      <c r="QOL99" s="798"/>
      <c r="QOM99" s="798"/>
      <c r="QON99" s="798"/>
      <c r="QOO99" s="798"/>
      <c r="QOP99" s="798"/>
      <c r="QOQ99" s="798"/>
      <c r="QOR99" s="798"/>
      <c r="QOS99" s="798"/>
      <c r="QOT99" s="798"/>
      <c r="QOU99" s="798"/>
      <c r="QOV99" s="798"/>
      <c r="QOW99" s="798"/>
      <c r="QOX99" s="798"/>
      <c r="QOY99" s="798"/>
      <c r="QOZ99" s="798"/>
      <c r="QPA99" s="798"/>
      <c r="QPB99" s="798"/>
      <c r="QPC99" s="798"/>
      <c r="QPD99" s="798"/>
      <c r="QPE99" s="798"/>
      <c r="QPF99" s="798"/>
      <c r="QPG99" s="798"/>
      <c r="QPH99" s="798"/>
      <c r="QPI99" s="798"/>
      <c r="QPJ99" s="798"/>
      <c r="QPK99" s="798"/>
      <c r="QPL99" s="798"/>
      <c r="QPM99" s="798"/>
      <c r="QPN99" s="798"/>
      <c r="QPO99" s="798"/>
      <c r="QPP99" s="798"/>
      <c r="QPQ99" s="798"/>
      <c r="QPR99" s="798"/>
      <c r="QPS99" s="798"/>
      <c r="QPT99" s="798"/>
      <c r="QPU99" s="798"/>
      <c r="QPV99" s="798"/>
      <c r="QPW99" s="798"/>
      <c r="QPX99" s="798"/>
      <c r="QPY99" s="798"/>
      <c r="QPZ99" s="798"/>
      <c r="QQA99" s="798"/>
      <c r="QQB99" s="798"/>
      <c r="QQC99" s="798"/>
      <c r="QQD99" s="798"/>
      <c r="QQE99" s="798"/>
      <c r="QQF99" s="798"/>
      <c r="QQG99" s="798"/>
      <c r="QQH99" s="798"/>
      <c r="QQI99" s="798"/>
      <c r="QQJ99" s="798"/>
      <c r="QQK99" s="798"/>
      <c r="QQL99" s="798"/>
      <c r="QQM99" s="798"/>
      <c r="QQN99" s="798"/>
      <c r="QQO99" s="798"/>
      <c r="QQP99" s="798"/>
      <c r="QQQ99" s="798"/>
      <c r="QQR99" s="798"/>
      <c r="QQS99" s="798"/>
      <c r="QQT99" s="798"/>
      <c r="QQU99" s="798"/>
      <c r="QQV99" s="798"/>
      <c r="QQW99" s="798"/>
      <c r="QQX99" s="798"/>
      <c r="QQY99" s="798"/>
      <c r="QQZ99" s="798"/>
      <c r="QRA99" s="798"/>
      <c r="QRB99" s="798"/>
      <c r="QRC99" s="798"/>
      <c r="QRD99" s="798"/>
      <c r="QRE99" s="798"/>
      <c r="QRF99" s="798"/>
      <c r="QRG99" s="798"/>
      <c r="QRH99" s="798"/>
      <c r="QRI99" s="798"/>
      <c r="QRJ99" s="798"/>
      <c r="QRK99" s="798"/>
      <c r="QRL99" s="798"/>
      <c r="QRM99" s="798"/>
      <c r="QRN99" s="798"/>
      <c r="QRO99" s="798"/>
      <c r="QRP99" s="798"/>
      <c r="QRQ99" s="798"/>
      <c r="QRR99" s="798"/>
      <c r="QRS99" s="798"/>
      <c r="QRT99" s="798"/>
      <c r="QRU99" s="798"/>
      <c r="QRV99" s="798"/>
      <c r="QRW99" s="798"/>
      <c r="QRX99" s="798"/>
      <c r="QRY99" s="798"/>
      <c r="QRZ99" s="798"/>
      <c r="QSA99" s="798"/>
      <c r="QSB99" s="798"/>
      <c r="QSC99" s="798"/>
      <c r="QSD99" s="798"/>
      <c r="QSE99" s="798"/>
      <c r="QSF99" s="798"/>
      <c r="QSG99" s="798"/>
      <c r="QSH99" s="798"/>
      <c r="QSI99" s="798"/>
      <c r="QSJ99" s="798"/>
      <c r="QSK99" s="798"/>
      <c r="QSL99" s="798"/>
      <c r="QSM99" s="798"/>
      <c r="QSN99" s="798"/>
      <c r="QSO99" s="798"/>
      <c r="QSP99" s="798"/>
      <c r="QSQ99" s="798"/>
      <c r="QSR99" s="798"/>
      <c r="QSS99" s="798"/>
      <c r="QST99" s="798"/>
      <c r="QSU99" s="798"/>
      <c r="QSV99" s="798"/>
      <c r="QSW99" s="798"/>
      <c r="QSX99" s="798"/>
      <c r="QSY99" s="798"/>
      <c r="QSZ99" s="798"/>
      <c r="QTA99" s="798"/>
      <c r="QTB99" s="798"/>
      <c r="QTC99" s="798"/>
      <c r="QTD99" s="798"/>
      <c r="QTE99" s="798"/>
      <c r="QTF99" s="798"/>
      <c r="QTG99" s="798"/>
      <c r="QTH99" s="798"/>
      <c r="QTI99" s="798"/>
      <c r="QTJ99" s="798"/>
      <c r="QTK99" s="798"/>
      <c r="QTL99" s="798"/>
      <c r="QTM99" s="798"/>
      <c r="QTN99" s="798"/>
      <c r="QTO99" s="798"/>
      <c r="QTP99" s="798"/>
      <c r="QTQ99" s="798"/>
      <c r="QTR99" s="798"/>
      <c r="QTS99" s="798"/>
      <c r="QTT99" s="798"/>
      <c r="QTU99" s="798"/>
      <c r="QTV99" s="798"/>
      <c r="QTW99" s="798"/>
      <c r="QTX99" s="798"/>
      <c r="QTY99" s="798"/>
      <c r="QTZ99" s="798"/>
      <c r="QUA99" s="798"/>
      <c r="QUB99" s="798"/>
      <c r="QUC99" s="798"/>
      <c r="QUD99" s="798"/>
      <c r="QUE99" s="798"/>
      <c r="QUF99" s="798"/>
      <c r="QUG99" s="798"/>
      <c r="QUH99" s="798"/>
      <c r="QUI99" s="798"/>
      <c r="QUJ99" s="798"/>
      <c r="QUK99" s="798"/>
      <c r="QUL99" s="798"/>
      <c r="QUM99" s="798"/>
      <c r="QUN99" s="798"/>
      <c r="QUO99" s="798"/>
      <c r="QUP99" s="798"/>
      <c r="QUQ99" s="798"/>
      <c r="QUR99" s="798"/>
      <c r="QUS99" s="798"/>
      <c r="QUT99" s="798"/>
      <c r="QUU99" s="798"/>
      <c r="QUV99" s="798"/>
      <c r="QUW99" s="798"/>
      <c r="QUX99" s="798"/>
      <c r="QUY99" s="798"/>
      <c r="QUZ99" s="798"/>
      <c r="QVA99" s="798"/>
      <c r="QVB99" s="798"/>
      <c r="QVC99" s="798"/>
      <c r="QVD99" s="798"/>
      <c r="QVE99" s="798"/>
      <c r="QVF99" s="798"/>
      <c r="QVG99" s="798"/>
      <c r="QVH99" s="798"/>
      <c r="QVI99" s="798"/>
      <c r="QVJ99" s="798"/>
      <c r="QVK99" s="798"/>
      <c r="QVL99" s="798"/>
      <c r="QVM99" s="798"/>
      <c r="QVN99" s="798"/>
      <c r="QVO99" s="798"/>
      <c r="QVP99" s="798"/>
      <c r="QVQ99" s="798"/>
      <c r="QVR99" s="798"/>
      <c r="QVS99" s="798"/>
      <c r="QVT99" s="798"/>
      <c r="QVU99" s="798"/>
      <c r="QVV99" s="798"/>
      <c r="QVW99" s="798"/>
      <c r="QVX99" s="798"/>
      <c r="QVY99" s="798"/>
      <c r="QVZ99" s="798"/>
      <c r="QWA99" s="798"/>
      <c r="QWB99" s="798"/>
      <c r="QWC99" s="798"/>
      <c r="QWD99" s="798"/>
      <c r="QWE99" s="798"/>
      <c r="QWF99" s="798"/>
      <c r="QWG99" s="798"/>
      <c r="QWH99" s="798"/>
      <c r="QWI99" s="798"/>
      <c r="QWJ99" s="798"/>
      <c r="QWK99" s="798"/>
      <c r="QWL99" s="798"/>
      <c r="QWM99" s="798"/>
      <c r="QWN99" s="798"/>
      <c r="QWO99" s="798"/>
      <c r="QWP99" s="798"/>
      <c r="QWQ99" s="798"/>
      <c r="QWR99" s="798"/>
      <c r="QWS99" s="798"/>
      <c r="QWT99" s="798"/>
      <c r="QWU99" s="798"/>
      <c r="QWV99" s="798"/>
      <c r="QWW99" s="798"/>
      <c r="QWX99" s="798"/>
      <c r="QWY99" s="798"/>
      <c r="QWZ99" s="798"/>
      <c r="QXA99" s="798"/>
      <c r="QXB99" s="798"/>
      <c r="QXC99" s="798"/>
      <c r="QXD99" s="798"/>
      <c r="QXE99" s="798"/>
      <c r="QXF99" s="798"/>
      <c r="QXG99" s="798"/>
      <c r="QXH99" s="798"/>
      <c r="QXI99" s="798"/>
      <c r="QXJ99" s="798"/>
      <c r="QXK99" s="798"/>
      <c r="QXL99" s="798"/>
      <c r="QXM99" s="798"/>
      <c r="QXN99" s="798"/>
      <c r="QXO99" s="798"/>
      <c r="QXP99" s="798"/>
      <c r="QXQ99" s="798"/>
      <c r="QXR99" s="798"/>
      <c r="QXS99" s="798"/>
      <c r="QXT99" s="798"/>
      <c r="QXU99" s="798"/>
      <c r="QXV99" s="798"/>
      <c r="QXW99" s="798"/>
      <c r="QXX99" s="798"/>
      <c r="QXY99" s="798"/>
      <c r="QXZ99" s="798"/>
      <c r="QYA99" s="798"/>
      <c r="QYB99" s="798"/>
      <c r="QYC99" s="798"/>
      <c r="QYD99" s="798"/>
      <c r="QYE99" s="798"/>
      <c r="QYF99" s="798"/>
      <c r="QYG99" s="798"/>
      <c r="QYH99" s="798"/>
      <c r="QYI99" s="798"/>
      <c r="QYJ99" s="798"/>
      <c r="QYK99" s="798"/>
      <c r="QYL99" s="798"/>
      <c r="QYM99" s="798"/>
      <c r="QYN99" s="798"/>
      <c r="QYO99" s="798"/>
      <c r="QYP99" s="798"/>
      <c r="QYQ99" s="798"/>
      <c r="QYR99" s="798"/>
      <c r="QYS99" s="798"/>
      <c r="QYT99" s="798"/>
      <c r="QYU99" s="798"/>
      <c r="QYV99" s="798"/>
      <c r="QYW99" s="798"/>
      <c r="QYX99" s="798"/>
      <c r="QYY99" s="798"/>
      <c r="QYZ99" s="798"/>
      <c r="QZA99" s="798"/>
      <c r="QZB99" s="798"/>
      <c r="QZC99" s="798"/>
      <c r="QZD99" s="798"/>
      <c r="QZE99" s="798"/>
      <c r="QZF99" s="798"/>
      <c r="QZG99" s="798"/>
      <c r="QZH99" s="798"/>
      <c r="QZI99" s="798"/>
      <c r="QZJ99" s="798"/>
      <c r="QZK99" s="798"/>
      <c r="QZL99" s="798"/>
      <c r="QZM99" s="798"/>
      <c r="QZN99" s="798"/>
      <c r="QZO99" s="798"/>
      <c r="QZP99" s="798"/>
      <c r="QZQ99" s="798"/>
      <c r="QZR99" s="798"/>
      <c r="QZS99" s="798"/>
      <c r="QZT99" s="798"/>
      <c r="QZU99" s="798"/>
      <c r="QZV99" s="798"/>
      <c r="QZW99" s="798"/>
      <c r="QZX99" s="798"/>
      <c r="QZY99" s="798"/>
      <c r="QZZ99" s="798"/>
      <c r="RAA99" s="798"/>
      <c r="RAB99" s="798"/>
      <c r="RAC99" s="798"/>
      <c r="RAD99" s="798"/>
      <c r="RAE99" s="798"/>
      <c r="RAF99" s="798"/>
      <c r="RAG99" s="798"/>
      <c r="RAH99" s="798"/>
      <c r="RAI99" s="798"/>
      <c r="RAJ99" s="798"/>
      <c r="RAK99" s="798"/>
      <c r="RAL99" s="798"/>
      <c r="RAM99" s="798"/>
      <c r="RAN99" s="798"/>
      <c r="RAO99" s="798"/>
      <c r="RAP99" s="798"/>
      <c r="RAQ99" s="798"/>
      <c r="RAR99" s="798"/>
      <c r="RAS99" s="798"/>
      <c r="RAT99" s="798"/>
      <c r="RAU99" s="798"/>
      <c r="RAV99" s="798"/>
      <c r="RAW99" s="798"/>
      <c r="RAX99" s="798"/>
      <c r="RAY99" s="798"/>
      <c r="RAZ99" s="798"/>
      <c r="RBA99" s="798"/>
      <c r="RBB99" s="798"/>
      <c r="RBC99" s="798"/>
      <c r="RBD99" s="798"/>
      <c r="RBE99" s="798"/>
      <c r="RBF99" s="798"/>
      <c r="RBG99" s="798"/>
      <c r="RBH99" s="798"/>
      <c r="RBI99" s="798"/>
      <c r="RBJ99" s="798"/>
      <c r="RBK99" s="798"/>
      <c r="RBL99" s="798"/>
      <c r="RBM99" s="798"/>
      <c r="RBN99" s="798"/>
      <c r="RBO99" s="798"/>
      <c r="RBP99" s="798"/>
      <c r="RBQ99" s="798"/>
      <c r="RBR99" s="798"/>
      <c r="RBS99" s="798"/>
      <c r="RBT99" s="798"/>
      <c r="RBU99" s="798"/>
      <c r="RBV99" s="798"/>
      <c r="RBW99" s="798"/>
      <c r="RBX99" s="798"/>
      <c r="RBY99" s="798"/>
      <c r="RBZ99" s="798"/>
      <c r="RCA99" s="798"/>
      <c r="RCB99" s="798"/>
      <c r="RCC99" s="798"/>
      <c r="RCD99" s="798"/>
      <c r="RCE99" s="798"/>
      <c r="RCF99" s="798"/>
      <c r="RCG99" s="798"/>
      <c r="RCH99" s="798"/>
      <c r="RCI99" s="798"/>
      <c r="RCJ99" s="798"/>
      <c r="RCK99" s="798"/>
      <c r="RCL99" s="798"/>
      <c r="RCM99" s="798"/>
      <c r="RCN99" s="798"/>
      <c r="RCO99" s="798"/>
      <c r="RCP99" s="798"/>
      <c r="RCQ99" s="798"/>
      <c r="RCR99" s="798"/>
      <c r="RCS99" s="798"/>
      <c r="RCT99" s="798"/>
      <c r="RCU99" s="798"/>
      <c r="RCV99" s="798"/>
      <c r="RCW99" s="798"/>
      <c r="RCX99" s="798"/>
      <c r="RCY99" s="798"/>
      <c r="RCZ99" s="798"/>
      <c r="RDA99" s="798"/>
      <c r="RDB99" s="798"/>
      <c r="RDC99" s="798"/>
      <c r="RDD99" s="798"/>
      <c r="RDE99" s="798"/>
      <c r="RDF99" s="798"/>
      <c r="RDG99" s="798"/>
      <c r="RDH99" s="798"/>
      <c r="RDI99" s="798"/>
      <c r="RDJ99" s="798"/>
      <c r="RDK99" s="798"/>
      <c r="RDL99" s="798"/>
      <c r="RDM99" s="798"/>
      <c r="RDN99" s="798"/>
      <c r="RDO99" s="798"/>
      <c r="RDP99" s="798"/>
      <c r="RDQ99" s="798"/>
      <c r="RDR99" s="798"/>
      <c r="RDS99" s="798"/>
      <c r="RDT99" s="798"/>
      <c r="RDU99" s="798"/>
      <c r="RDV99" s="798"/>
      <c r="RDW99" s="798"/>
      <c r="RDX99" s="798"/>
      <c r="RDY99" s="798"/>
      <c r="RDZ99" s="798"/>
      <c r="REA99" s="798"/>
      <c r="REB99" s="798"/>
      <c r="REC99" s="798"/>
      <c r="RED99" s="798"/>
      <c r="REE99" s="798"/>
      <c r="REF99" s="798"/>
      <c r="REG99" s="798"/>
      <c r="REH99" s="798"/>
      <c r="REI99" s="798"/>
      <c r="REJ99" s="798"/>
      <c r="REK99" s="798"/>
      <c r="REL99" s="798"/>
      <c r="REM99" s="798"/>
      <c r="REN99" s="798"/>
      <c r="REO99" s="798"/>
      <c r="REP99" s="798"/>
      <c r="REQ99" s="798"/>
      <c r="RER99" s="798"/>
      <c r="RES99" s="798"/>
      <c r="RET99" s="798"/>
      <c r="REU99" s="798"/>
      <c r="REV99" s="798"/>
      <c r="REW99" s="798"/>
      <c r="REX99" s="798"/>
      <c r="REY99" s="798"/>
      <c r="REZ99" s="798"/>
      <c r="RFA99" s="798"/>
      <c r="RFB99" s="798"/>
      <c r="RFC99" s="798"/>
      <c r="RFD99" s="798"/>
      <c r="RFE99" s="798"/>
      <c r="RFF99" s="798"/>
      <c r="RFG99" s="798"/>
      <c r="RFH99" s="798"/>
      <c r="RFI99" s="798"/>
      <c r="RFJ99" s="798"/>
      <c r="RFK99" s="798"/>
      <c r="RFL99" s="798"/>
      <c r="RFM99" s="798"/>
      <c r="RFN99" s="798"/>
      <c r="RFO99" s="798"/>
      <c r="RFP99" s="798"/>
      <c r="RFQ99" s="798"/>
      <c r="RFR99" s="798"/>
      <c r="RFS99" s="798"/>
      <c r="RFT99" s="798"/>
      <c r="RFU99" s="798"/>
      <c r="RFV99" s="798"/>
      <c r="RFW99" s="798"/>
      <c r="RFX99" s="798"/>
      <c r="RFY99" s="798"/>
      <c r="RFZ99" s="798"/>
      <c r="RGA99" s="798"/>
      <c r="RGB99" s="798"/>
      <c r="RGC99" s="798"/>
      <c r="RGD99" s="798"/>
      <c r="RGE99" s="798"/>
      <c r="RGF99" s="798"/>
      <c r="RGG99" s="798"/>
      <c r="RGH99" s="798"/>
      <c r="RGI99" s="798"/>
      <c r="RGJ99" s="798"/>
      <c r="RGK99" s="798"/>
      <c r="RGL99" s="798"/>
      <c r="RGM99" s="798"/>
      <c r="RGN99" s="798"/>
      <c r="RGO99" s="798"/>
      <c r="RGP99" s="798"/>
      <c r="RGQ99" s="798"/>
      <c r="RGR99" s="798"/>
      <c r="RGS99" s="798"/>
      <c r="RGT99" s="798"/>
      <c r="RGU99" s="798"/>
      <c r="RGV99" s="798"/>
      <c r="RGW99" s="798"/>
      <c r="RGX99" s="798"/>
      <c r="RGY99" s="798"/>
      <c r="RGZ99" s="798"/>
      <c r="RHA99" s="798"/>
      <c r="RHB99" s="798"/>
      <c r="RHC99" s="798"/>
      <c r="RHD99" s="798"/>
      <c r="RHE99" s="798"/>
      <c r="RHF99" s="798"/>
      <c r="RHG99" s="798"/>
      <c r="RHH99" s="798"/>
      <c r="RHI99" s="798"/>
      <c r="RHJ99" s="798"/>
      <c r="RHK99" s="798"/>
      <c r="RHL99" s="798"/>
      <c r="RHM99" s="798"/>
      <c r="RHN99" s="798"/>
      <c r="RHO99" s="798"/>
      <c r="RHP99" s="798"/>
      <c r="RHQ99" s="798"/>
      <c r="RHR99" s="798"/>
      <c r="RHS99" s="798"/>
      <c r="RHT99" s="798"/>
      <c r="RHU99" s="798"/>
      <c r="RHV99" s="798"/>
      <c r="RHW99" s="798"/>
      <c r="RHX99" s="798"/>
      <c r="RHY99" s="798"/>
      <c r="RHZ99" s="798"/>
      <c r="RIA99" s="798"/>
      <c r="RIB99" s="798"/>
      <c r="RIC99" s="798"/>
      <c r="RID99" s="798"/>
      <c r="RIE99" s="798"/>
      <c r="RIF99" s="798"/>
      <c r="RIG99" s="798"/>
      <c r="RIH99" s="798"/>
      <c r="RII99" s="798"/>
      <c r="RIJ99" s="798"/>
      <c r="RIK99" s="798"/>
      <c r="RIL99" s="798"/>
      <c r="RIM99" s="798"/>
      <c r="RIN99" s="798"/>
      <c r="RIO99" s="798"/>
      <c r="RIP99" s="798"/>
      <c r="RIQ99" s="798"/>
      <c r="RIR99" s="798"/>
      <c r="RIS99" s="798"/>
      <c r="RIT99" s="798"/>
      <c r="RIU99" s="798"/>
      <c r="RIV99" s="798"/>
      <c r="RIW99" s="798"/>
      <c r="RIX99" s="798"/>
      <c r="RIY99" s="798"/>
      <c r="RIZ99" s="798"/>
      <c r="RJA99" s="798"/>
      <c r="RJB99" s="798"/>
      <c r="RJC99" s="798"/>
      <c r="RJD99" s="798"/>
      <c r="RJE99" s="798"/>
      <c r="RJF99" s="798"/>
      <c r="RJG99" s="798"/>
      <c r="RJH99" s="798"/>
      <c r="RJI99" s="798"/>
      <c r="RJJ99" s="798"/>
      <c r="RJK99" s="798"/>
      <c r="RJL99" s="798"/>
      <c r="RJM99" s="798"/>
      <c r="RJN99" s="798"/>
      <c r="RJO99" s="798"/>
      <c r="RJP99" s="798"/>
      <c r="RJQ99" s="798"/>
      <c r="RJR99" s="798"/>
      <c r="RJS99" s="798"/>
      <c r="RJT99" s="798"/>
      <c r="RJU99" s="798"/>
      <c r="RJV99" s="798"/>
      <c r="RJW99" s="798"/>
      <c r="RJX99" s="798"/>
      <c r="RJY99" s="798"/>
      <c r="RJZ99" s="798"/>
      <c r="RKA99" s="798"/>
      <c r="RKB99" s="798"/>
      <c r="RKC99" s="798"/>
      <c r="RKD99" s="798"/>
      <c r="RKE99" s="798"/>
      <c r="RKF99" s="798"/>
      <c r="RKG99" s="798"/>
      <c r="RKH99" s="798"/>
      <c r="RKI99" s="798"/>
      <c r="RKJ99" s="798"/>
      <c r="RKK99" s="798"/>
      <c r="RKL99" s="798"/>
      <c r="RKM99" s="798"/>
      <c r="RKN99" s="798"/>
      <c r="RKO99" s="798"/>
      <c r="RKP99" s="798"/>
      <c r="RKQ99" s="798"/>
      <c r="RKR99" s="798"/>
      <c r="RKS99" s="798"/>
      <c r="RKT99" s="798"/>
      <c r="RKU99" s="798"/>
      <c r="RKV99" s="798"/>
      <c r="RKW99" s="798"/>
      <c r="RKX99" s="798"/>
      <c r="RKY99" s="798"/>
      <c r="RKZ99" s="798"/>
      <c r="RLA99" s="798"/>
      <c r="RLB99" s="798"/>
      <c r="RLC99" s="798"/>
      <c r="RLD99" s="798"/>
      <c r="RLE99" s="798"/>
      <c r="RLF99" s="798"/>
      <c r="RLG99" s="798"/>
      <c r="RLH99" s="798"/>
      <c r="RLI99" s="798"/>
      <c r="RLJ99" s="798"/>
      <c r="RLK99" s="798"/>
      <c r="RLL99" s="798"/>
      <c r="RLM99" s="798"/>
      <c r="RLN99" s="798"/>
      <c r="RLO99" s="798"/>
      <c r="RLP99" s="798"/>
      <c r="RLQ99" s="798"/>
      <c r="RLR99" s="798"/>
      <c r="RLS99" s="798"/>
      <c r="RLT99" s="798"/>
      <c r="RLU99" s="798"/>
      <c r="RLV99" s="798"/>
      <c r="RLW99" s="798"/>
      <c r="RLX99" s="798"/>
      <c r="RLY99" s="798"/>
      <c r="RLZ99" s="798"/>
      <c r="RMA99" s="798"/>
      <c r="RMB99" s="798"/>
      <c r="RMC99" s="798"/>
      <c r="RMD99" s="798"/>
      <c r="RME99" s="798"/>
      <c r="RMF99" s="798"/>
      <c r="RMG99" s="798"/>
      <c r="RMH99" s="798"/>
      <c r="RMI99" s="798"/>
      <c r="RMJ99" s="798"/>
      <c r="RMK99" s="798"/>
      <c r="RML99" s="798"/>
      <c r="RMM99" s="798"/>
      <c r="RMN99" s="798"/>
      <c r="RMO99" s="798"/>
      <c r="RMP99" s="798"/>
      <c r="RMQ99" s="798"/>
      <c r="RMR99" s="798"/>
      <c r="RMS99" s="798"/>
      <c r="RMT99" s="798"/>
      <c r="RMU99" s="798"/>
      <c r="RMV99" s="798"/>
      <c r="RMW99" s="798"/>
      <c r="RMX99" s="798"/>
      <c r="RMY99" s="798"/>
      <c r="RMZ99" s="798"/>
      <c r="RNA99" s="798"/>
      <c r="RNB99" s="798"/>
      <c r="RNC99" s="798"/>
      <c r="RND99" s="798"/>
      <c r="RNE99" s="798"/>
      <c r="RNF99" s="798"/>
      <c r="RNG99" s="798"/>
      <c r="RNH99" s="798"/>
      <c r="RNI99" s="798"/>
      <c r="RNJ99" s="798"/>
      <c r="RNK99" s="798"/>
      <c r="RNL99" s="798"/>
      <c r="RNM99" s="798"/>
      <c r="RNN99" s="798"/>
      <c r="RNO99" s="798"/>
      <c r="RNP99" s="798"/>
      <c r="RNQ99" s="798"/>
      <c r="RNR99" s="798"/>
      <c r="RNS99" s="798"/>
      <c r="RNT99" s="798"/>
      <c r="RNU99" s="798"/>
      <c r="RNV99" s="798"/>
      <c r="RNW99" s="798"/>
      <c r="RNX99" s="798"/>
      <c r="RNY99" s="798"/>
      <c r="RNZ99" s="798"/>
      <c r="ROA99" s="798"/>
      <c r="ROB99" s="798"/>
      <c r="ROC99" s="798"/>
      <c r="ROD99" s="798"/>
      <c r="ROE99" s="798"/>
      <c r="ROF99" s="798"/>
      <c r="ROG99" s="798"/>
      <c r="ROH99" s="798"/>
      <c r="ROI99" s="798"/>
      <c r="ROJ99" s="798"/>
      <c r="ROK99" s="798"/>
      <c r="ROL99" s="798"/>
      <c r="ROM99" s="798"/>
      <c r="RON99" s="798"/>
      <c r="ROO99" s="798"/>
      <c r="ROP99" s="798"/>
      <c r="ROQ99" s="798"/>
      <c r="ROR99" s="798"/>
      <c r="ROS99" s="798"/>
      <c r="ROT99" s="798"/>
      <c r="ROU99" s="798"/>
      <c r="ROV99" s="798"/>
      <c r="ROW99" s="798"/>
      <c r="ROX99" s="798"/>
      <c r="ROY99" s="798"/>
      <c r="ROZ99" s="798"/>
      <c r="RPA99" s="798"/>
      <c r="RPB99" s="798"/>
      <c r="RPC99" s="798"/>
      <c r="RPD99" s="798"/>
      <c r="RPE99" s="798"/>
      <c r="RPF99" s="798"/>
      <c r="RPG99" s="798"/>
      <c r="RPH99" s="798"/>
      <c r="RPI99" s="798"/>
      <c r="RPJ99" s="798"/>
      <c r="RPK99" s="798"/>
      <c r="RPL99" s="798"/>
      <c r="RPM99" s="798"/>
      <c r="RPN99" s="798"/>
      <c r="RPO99" s="798"/>
      <c r="RPP99" s="798"/>
      <c r="RPQ99" s="798"/>
      <c r="RPR99" s="798"/>
      <c r="RPS99" s="798"/>
      <c r="RPT99" s="798"/>
      <c r="RPU99" s="798"/>
      <c r="RPV99" s="798"/>
      <c r="RPW99" s="798"/>
      <c r="RPX99" s="798"/>
      <c r="RPY99" s="798"/>
      <c r="RPZ99" s="798"/>
      <c r="RQA99" s="798"/>
      <c r="RQB99" s="798"/>
      <c r="RQC99" s="798"/>
      <c r="RQD99" s="798"/>
      <c r="RQE99" s="798"/>
      <c r="RQF99" s="798"/>
      <c r="RQG99" s="798"/>
      <c r="RQH99" s="798"/>
      <c r="RQI99" s="798"/>
      <c r="RQJ99" s="798"/>
      <c r="RQK99" s="798"/>
      <c r="RQL99" s="798"/>
      <c r="RQM99" s="798"/>
      <c r="RQN99" s="798"/>
      <c r="RQO99" s="798"/>
      <c r="RQP99" s="798"/>
      <c r="RQQ99" s="798"/>
      <c r="RQR99" s="798"/>
      <c r="RQS99" s="798"/>
      <c r="RQT99" s="798"/>
      <c r="RQU99" s="798"/>
      <c r="RQV99" s="798"/>
      <c r="RQW99" s="798"/>
      <c r="RQX99" s="798"/>
      <c r="RQY99" s="798"/>
      <c r="RQZ99" s="798"/>
      <c r="RRA99" s="798"/>
      <c r="RRB99" s="798"/>
      <c r="RRC99" s="798"/>
      <c r="RRD99" s="798"/>
      <c r="RRE99" s="798"/>
      <c r="RRF99" s="798"/>
      <c r="RRG99" s="798"/>
      <c r="RRH99" s="798"/>
      <c r="RRI99" s="798"/>
      <c r="RRJ99" s="798"/>
      <c r="RRK99" s="798"/>
      <c r="RRL99" s="798"/>
      <c r="RRM99" s="798"/>
      <c r="RRN99" s="798"/>
      <c r="RRO99" s="798"/>
      <c r="RRP99" s="798"/>
      <c r="RRQ99" s="798"/>
      <c r="RRR99" s="798"/>
      <c r="RRS99" s="798"/>
      <c r="RRT99" s="798"/>
      <c r="RRU99" s="798"/>
      <c r="RRV99" s="798"/>
      <c r="RRW99" s="798"/>
      <c r="RRX99" s="798"/>
      <c r="RRY99" s="798"/>
      <c r="RRZ99" s="798"/>
      <c r="RSA99" s="798"/>
      <c r="RSB99" s="798"/>
      <c r="RSC99" s="798"/>
      <c r="RSD99" s="798"/>
      <c r="RSE99" s="798"/>
      <c r="RSF99" s="798"/>
      <c r="RSG99" s="798"/>
      <c r="RSH99" s="798"/>
      <c r="RSI99" s="798"/>
      <c r="RSJ99" s="798"/>
      <c r="RSK99" s="798"/>
      <c r="RSL99" s="798"/>
      <c r="RSM99" s="798"/>
      <c r="RSN99" s="798"/>
      <c r="RSO99" s="798"/>
      <c r="RSP99" s="798"/>
      <c r="RSQ99" s="798"/>
      <c r="RSR99" s="798"/>
      <c r="RSS99" s="798"/>
      <c r="RST99" s="798"/>
      <c r="RSU99" s="798"/>
      <c r="RSV99" s="798"/>
      <c r="RSW99" s="798"/>
      <c r="RSX99" s="798"/>
      <c r="RSY99" s="798"/>
      <c r="RSZ99" s="798"/>
      <c r="RTA99" s="798"/>
      <c r="RTB99" s="798"/>
      <c r="RTC99" s="798"/>
      <c r="RTD99" s="798"/>
      <c r="RTE99" s="798"/>
      <c r="RTF99" s="798"/>
      <c r="RTG99" s="798"/>
      <c r="RTH99" s="798"/>
      <c r="RTI99" s="798"/>
      <c r="RTJ99" s="798"/>
      <c r="RTK99" s="798"/>
      <c r="RTL99" s="798"/>
      <c r="RTM99" s="798"/>
      <c r="RTN99" s="798"/>
      <c r="RTO99" s="798"/>
      <c r="RTP99" s="798"/>
      <c r="RTQ99" s="798"/>
      <c r="RTR99" s="798"/>
      <c r="RTS99" s="798"/>
      <c r="RTT99" s="798"/>
      <c r="RTU99" s="798"/>
      <c r="RTV99" s="798"/>
      <c r="RTW99" s="798"/>
      <c r="RTX99" s="798"/>
      <c r="RTY99" s="798"/>
      <c r="RTZ99" s="798"/>
      <c r="RUA99" s="798"/>
      <c r="RUB99" s="798"/>
      <c r="RUC99" s="798"/>
      <c r="RUD99" s="798"/>
      <c r="RUE99" s="798"/>
      <c r="RUF99" s="798"/>
      <c r="RUG99" s="798"/>
      <c r="RUH99" s="798"/>
      <c r="RUI99" s="798"/>
      <c r="RUJ99" s="798"/>
      <c r="RUK99" s="798"/>
      <c r="RUL99" s="798"/>
      <c r="RUM99" s="798"/>
      <c r="RUN99" s="798"/>
      <c r="RUO99" s="798"/>
      <c r="RUP99" s="798"/>
      <c r="RUQ99" s="798"/>
      <c r="RUR99" s="798"/>
      <c r="RUS99" s="798"/>
      <c r="RUT99" s="798"/>
      <c r="RUU99" s="798"/>
      <c r="RUV99" s="798"/>
      <c r="RUW99" s="798"/>
      <c r="RUX99" s="798"/>
      <c r="RUY99" s="798"/>
      <c r="RUZ99" s="798"/>
      <c r="RVA99" s="798"/>
      <c r="RVB99" s="798"/>
      <c r="RVC99" s="798"/>
      <c r="RVD99" s="798"/>
      <c r="RVE99" s="798"/>
      <c r="RVF99" s="798"/>
      <c r="RVG99" s="798"/>
      <c r="RVH99" s="798"/>
      <c r="RVI99" s="798"/>
      <c r="RVJ99" s="798"/>
      <c r="RVK99" s="798"/>
      <c r="RVL99" s="798"/>
      <c r="RVM99" s="798"/>
      <c r="RVN99" s="798"/>
      <c r="RVO99" s="798"/>
      <c r="RVP99" s="798"/>
      <c r="RVQ99" s="798"/>
      <c r="RVR99" s="798"/>
      <c r="RVS99" s="798"/>
      <c r="RVT99" s="798"/>
      <c r="RVU99" s="798"/>
      <c r="RVV99" s="798"/>
      <c r="RVW99" s="798"/>
      <c r="RVX99" s="798"/>
      <c r="RVY99" s="798"/>
      <c r="RVZ99" s="798"/>
      <c r="RWA99" s="798"/>
      <c r="RWB99" s="798"/>
      <c r="RWC99" s="798"/>
      <c r="RWD99" s="798"/>
      <c r="RWE99" s="798"/>
      <c r="RWF99" s="798"/>
      <c r="RWG99" s="798"/>
      <c r="RWH99" s="798"/>
      <c r="RWI99" s="798"/>
      <c r="RWJ99" s="798"/>
      <c r="RWK99" s="798"/>
      <c r="RWL99" s="798"/>
      <c r="RWM99" s="798"/>
      <c r="RWN99" s="798"/>
      <c r="RWO99" s="798"/>
      <c r="RWP99" s="798"/>
      <c r="RWQ99" s="798"/>
      <c r="RWR99" s="798"/>
      <c r="RWS99" s="798"/>
      <c r="RWT99" s="798"/>
      <c r="RWU99" s="798"/>
      <c r="RWV99" s="798"/>
      <c r="RWW99" s="798"/>
      <c r="RWX99" s="798"/>
      <c r="RWY99" s="798"/>
      <c r="RWZ99" s="798"/>
      <c r="RXA99" s="798"/>
      <c r="RXB99" s="798"/>
      <c r="RXC99" s="798"/>
      <c r="RXD99" s="798"/>
      <c r="RXE99" s="798"/>
      <c r="RXF99" s="798"/>
      <c r="RXG99" s="798"/>
      <c r="RXH99" s="798"/>
      <c r="RXI99" s="798"/>
      <c r="RXJ99" s="798"/>
      <c r="RXK99" s="798"/>
      <c r="RXL99" s="798"/>
      <c r="RXM99" s="798"/>
      <c r="RXN99" s="798"/>
      <c r="RXO99" s="798"/>
      <c r="RXP99" s="798"/>
      <c r="RXQ99" s="798"/>
      <c r="RXR99" s="798"/>
      <c r="RXS99" s="798"/>
      <c r="RXT99" s="798"/>
      <c r="RXU99" s="798"/>
      <c r="RXV99" s="798"/>
      <c r="RXW99" s="798"/>
      <c r="RXX99" s="798"/>
      <c r="RXY99" s="798"/>
      <c r="RXZ99" s="798"/>
      <c r="RYA99" s="798"/>
      <c r="RYB99" s="798"/>
      <c r="RYC99" s="798"/>
      <c r="RYD99" s="798"/>
      <c r="RYE99" s="798"/>
      <c r="RYF99" s="798"/>
      <c r="RYG99" s="798"/>
      <c r="RYH99" s="798"/>
      <c r="RYI99" s="798"/>
      <c r="RYJ99" s="798"/>
      <c r="RYK99" s="798"/>
      <c r="RYL99" s="798"/>
      <c r="RYM99" s="798"/>
      <c r="RYN99" s="798"/>
      <c r="RYO99" s="798"/>
      <c r="RYP99" s="798"/>
      <c r="RYQ99" s="798"/>
      <c r="RYR99" s="798"/>
      <c r="RYS99" s="798"/>
      <c r="RYT99" s="798"/>
      <c r="RYU99" s="798"/>
      <c r="RYV99" s="798"/>
      <c r="RYW99" s="798"/>
      <c r="RYX99" s="798"/>
      <c r="RYY99" s="798"/>
      <c r="RYZ99" s="798"/>
      <c r="RZA99" s="798"/>
      <c r="RZB99" s="798"/>
      <c r="RZC99" s="798"/>
      <c r="RZD99" s="798"/>
      <c r="RZE99" s="798"/>
      <c r="RZF99" s="798"/>
      <c r="RZG99" s="798"/>
      <c r="RZH99" s="798"/>
      <c r="RZI99" s="798"/>
      <c r="RZJ99" s="798"/>
      <c r="RZK99" s="798"/>
      <c r="RZL99" s="798"/>
      <c r="RZM99" s="798"/>
      <c r="RZN99" s="798"/>
      <c r="RZO99" s="798"/>
      <c r="RZP99" s="798"/>
      <c r="RZQ99" s="798"/>
      <c r="RZR99" s="798"/>
      <c r="RZS99" s="798"/>
      <c r="RZT99" s="798"/>
      <c r="RZU99" s="798"/>
      <c r="RZV99" s="798"/>
      <c r="RZW99" s="798"/>
      <c r="RZX99" s="798"/>
      <c r="RZY99" s="798"/>
      <c r="RZZ99" s="798"/>
      <c r="SAA99" s="798"/>
      <c r="SAB99" s="798"/>
      <c r="SAC99" s="798"/>
      <c r="SAD99" s="798"/>
      <c r="SAE99" s="798"/>
      <c r="SAF99" s="798"/>
      <c r="SAG99" s="798"/>
      <c r="SAH99" s="798"/>
      <c r="SAI99" s="798"/>
      <c r="SAJ99" s="798"/>
      <c r="SAK99" s="798"/>
      <c r="SAL99" s="798"/>
      <c r="SAM99" s="798"/>
      <c r="SAN99" s="798"/>
      <c r="SAO99" s="798"/>
      <c r="SAP99" s="798"/>
      <c r="SAQ99" s="798"/>
      <c r="SAR99" s="798"/>
      <c r="SAS99" s="798"/>
      <c r="SAT99" s="798"/>
      <c r="SAU99" s="798"/>
      <c r="SAV99" s="798"/>
      <c r="SAW99" s="798"/>
      <c r="SAX99" s="798"/>
      <c r="SAY99" s="798"/>
      <c r="SAZ99" s="798"/>
      <c r="SBA99" s="798"/>
      <c r="SBB99" s="798"/>
      <c r="SBC99" s="798"/>
      <c r="SBD99" s="798"/>
      <c r="SBE99" s="798"/>
      <c r="SBF99" s="798"/>
      <c r="SBG99" s="798"/>
      <c r="SBH99" s="798"/>
      <c r="SBI99" s="798"/>
      <c r="SBJ99" s="798"/>
      <c r="SBK99" s="798"/>
      <c r="SBL99" s="798"/>
      <c r="SBM99" s="798"/>
      <c r="SBN99" s="798"/>
      <c r="SBO99" s="798"/>
      <c r="SBP99" s="798"/>
      <c r="SBQ99" s="798"/>
      <c r="SBR99" s="798"/>
      <c r="SBS99" s="798"/>
      <c r="SBT99" s="798"/>
      <c r="SBU99" s="798"/>
      <c r="SBV99" s="798"/>
      <c r="SBW99" s="798"/>
      <c r="SBX99" s="798"/>
      <c r="SBY99" s="798"/>
      <c r="SBZ99" s="798"/>
      <c r="SCA99" s="798"/>
      <c r="SCB99" s="798"/>
      <c r="SCC99" s="798"/>
      <c r="SCD99" s="798"/>
      <c r="SCE99" s="798"/>
      <c r="SCF99" s="798"/>
      <c r="SCG99" s="798"/>
      <c r="SCH99" s="798"/>
      <c r="SCI99" s="798"/>
      <c r="SCJ99" s="798"/>
      <c r="SCK99" s="798"/>
      <c r="SCL99" s="798"/>
      <c r="SCM99" s="798"/>
      <c r="SCN99" s="798"/>
      <c r="SCO99" s="798"/>
      <c r="SCP99" s="798"/>
      <c r="SCQ99" s="798"/>
      <c r="SCR99" s="798"/>
      <c r="SCS99" s="798"/>
      <c r="SCT99" s="798"/>
      <c r="SCU99" s="798"/>
      <c r="SCV99" s="798"/>
      <c r="SCW99" s="798"/>
      <c r="SCX99" s="798"/>
      <c r="SCY99" s="798"/>
      <c r="SCZ99" s="798"/>
      <c r="SDA99" s="798"/>
      <c r="SDB99" s="798"/>
      <c r="SDC99" s="798"/>
      <c r="SDD99" s="798"/>
      <c r="SDE99" s="798"/>
      <c r="SDF99" s="798"/>
      <c r="SDG99" s="798"/>
      <c r="SDH99" s="798"/>
      <c r="SDI99" s="798"/>
      <c r="SDJ99" s="798"/>
      <c r="SDK99" s="798"/>
      <c r="SDL99" s="798"/>
      <c r="SDM99" s="798"/>
      <c r="SDN99" s="798"/>
      <c r="SDO99" s="798"/>
      <c r="SDP99" s="798"/>
      <c r="SDQ99" s="798"/>
      <c r="SDR99" s="798"/>
      <c r="SDS99" s="798"/>
      <c r="SDT99" s="798"/>
      <c r="SDU99" s="798"/>
      <c r="SDV99" s="798"/>
      <c r="SDW99" s="798"/>
      <c r="SDX99" s="798"/>
      <c r="SDY99" s="798"/>
      <c r="SDZ99" s="798"/>
      <c r="SEA99" s="798"/>
      <c r="SEB99" s="798"/>
      <c r="SEC99" s="798"/>
      <c r="SED99" s="798"/>
      <c r="SEE99" s="798"/>
      <c r="SEF99" s="798"/>
      <c r="SEG99" s="798"/>
      <c r="SEH99" s="798"/>
      <c r="SEI99" s="798"/>
      <c r="SEJ99" s="798"/>
      <c r="SEK99" s="798"/>
      <c r="SEL99" s="798"/>
      <c r="SEM99" s="798"/>
      <c r="SEN99" s="798"/>
      <c r="SEO99" s="798"/>
      <c r="SEP99" s="798"/>
      <c r="SEQ99" s="798"/>
      <c r="SER99" s="798"/>
      <c r="SES99" s="798"/>
      <c r="SET99" s="798"/>
      <c r="SEU99" s="798"/>
      <c r="SEV99" s="798"/>
      <c r="SEW99" s="798"/>
      <c r="SEX99" s="798"/>
      <c r="SEY99" s="798"/>
      <c r="SEZ99" s="798"/>
      <c r="SFA99" s="798"/>
      <c r="SFB99" s="798"/>
      <c r="SFC99" s="798"/>
      <c r="SFD99" s="798"/>
      <c r="SFE99" s="798"/>
      <c r="SFF99" s="798"/>
      <c r="SFG99" s="798"/>
      <c r="SFH99" s="798"/>
      <c r="SFI99" s="798"/>
      <c r="SFJ99" s="798"/>
      <c r="SFK99" s="798"/>
      <c r="SFL99" s="798"/>
      <c r="SFM99" s="798"/>
      <c r="SFN99" s="798"/>
      <c r="SFO99" s="798"/>
      <c r="SFP99" s="798"/>
      <c r="SFQ99" s="798"/>
      <c r="SFR99" s="798"/>
      <c r="SFS99" s="798"/>
      <c r="SFT99" s="798"/>
      <c r="SFU99" s="798"/>
      <c r="SFV99" s="798"/>
      <c r="SFW99" s="798"/>
      <c r="SFX99" s="798"/>
      <c r="SFY99" s="798"/>
      <c r="SFZ99" s="798"/>
      <c r="SGA99" s="798"/>
      <c r="SGB99" s="798"/>
      <c r="SGC99" s="798"/>
      <c r="SGD99" s="798"/>
      <c r="SGE99" s="798"/>
      <c r="SGF99" s="798"/>
      <c r="SGG99" s="798"/>
      <c r="SGH99" s="798"/>
      <c r="SGI99" s="798"/>
      <c r="SGJ99" s="798"/>
      <c r="SGK99" s="798"/>
      <c r="SGL99" s="798"/>
      <c r="SGM99" s="798"/>
      <c r="SGN99" s="798"/>
      <c r="SGO99" s="798"/>
      <c r="SGP99" s="798"/>
      <c r="SGQ99" s="798"/>
      <c r="SGR99" s="798"/>
      <c r="SGS99" s="798"/>
      <c r="SGT99" s="798"/>
      <c r="SGU99" s="798"/>
      <c r="SGV99" s="798"/>
      <c r="SGW99" s="798"/>
      <c r="SGX99" s="798"/>
      <c r="SGY99" s="798"/>
      <c r="SGZ99" s="798"/>
      <c r="SHA99" s="798"/>
      <c r="SHB99" s="798"/>
      <c r="SHC99" s="798"/>
      <c r="SHD99" s="798"/>
      <c r="SHE99" s="798"/>
      <c r="SHF99" s="798"/>
      <c r="SHG99" s="798"/>
      <c r="SHH99" s="798"/>
      <c r="SHI99" s="798"/>
      <c r="SHJ99" s="798"/>
      <c r="SHK99" s="798"/>
      <c r="SHL99" s="798"/>
      <c r="SHM99" s="798"/>
      <c r="SHN99" s="798"/>
      <c r="SHO99" s="798"/>
      <c r="SHP99" s="798"/>
      <c r="SHQ99" s="798"/>
      <c r="SHR99" s="798"/>
      <c r="SHS99" s="798"/>
      <c r="SHT99" s="798"/>
      <c r="SHU99" s="798"/>
      <c r="SHV99" s="798"/>
      <c r="SHW99" s="798"/>
      <c r="SHX99" s="798"/>
      <c r="SHY99" s="798"/>
      <c r="SHZ99" s="798"/>
      <c r="SIA99" s="798"/>
      <c r="SIB99" s="798"/>
      <c r="SIC99" s="798"/>
      <c r="SID99" s="798"/>
      <c r="SIE99" s="798"/>
      <c r="SIF99" s="798"/>
      <c r="SIG99" s="798"/>
      <c r="SIH99" s="798"/>
      <c r="SII99" s="798"/>
      <c r="SIJ99" s="798"/>
      <c r="SIK99" s="798"/>
      <c r="SIL99" s="798"/>
      <c r="SIM99" s="798"/>
      <c r="SIN99" s="798"/>
      <c r="SIO99" s="798"/>
      <c r="SIP99" s="798"/>
      <c r="SIQ99" s="798"/>
      <c r="SIR99" s="798"/>
      <c r="SIS99" s="798"/>
      <c r="SIT99" s="798"/>
      <c r="SIU99" s="798"/>
      <c r="SIV99" s="798"/>
      <c r="SIW99" s="798"/>
      <c r="SIX99" s="798"/>
      <c r="SIY99" s="798"/>
      <c r="SIZ99" s="798"/>
      <c r="SJA99" s="798"/>
      <c r="SJB99" s="798"/>
      <c r="SJC99" s="798"/>
      <c r="SJD99" s="798"/>
      <c r="SJE99" s="798"/>
      <c r="SJF99" s="798"/>
      <c r="SJG99" s="798"/>
      <c r="SJH99" s="798"/>
      <c r="SJI99" s="798"/>
      <c r="SJJ99" s="798"/>
      <c r="SJK99" s="798"/>
      <c r="SJL99" s="798"/>
      <c r="SJM99" s="798"/>
      <c r="SJN99" s="798"/>
      <c r="SJO99" s="798"/>
      <c r="SJP99" s="798"/>
      <c r="SJQ99" s="798"/>
      <c r="SJR99" s="798"/>
      <c r="SJS99" s="798"/>
      <c r="SJT99" s="798"/>
      <c r="SJU99" s="798"/>
      <c r="SJV99" s="798"/>
      <c r="SJW99" s="798"/>
      <c r="SJX99" s="798"/>
      <c r="SJY99" s="798"/>
      <c r="SJZ99" s="798"/>
      <c r="SKA99" s="798"/>
      <c r="SKB99" s="798"/>
      <c r="SKC99" s="798"/>
      <c r="SKD99" s="798"/>
      <c r="SKE99" s="798"/>
      <c r="SKF99" s="798"/>
      <c r="SKG99" s="798"/>
      <c r="SKH99" s="798"/>
      <c r="SKI99" s="798"/>
      <c r="SKJ99" s="798"/>
      <c r="SKK99" s="798"/>
      <c r="SKL99" s="798"/>
      <c r="SKM99" s="798"/>
      <c r="SKN99" s="798"/>
      <c r="SKO99" s="798"/>
      <c r="SKP99" s="798"/>
      <c r="SKQ99" s="798"/>
      <c r="SKR99" s="798"/>
      <c r="SKS99" s="798"/>
      <c r="SKT99" s="798"/>
      <c r="SKU99" s="798"/>
      <c r="SKV99" s="798"/>
      <c r="SKW99" s="798"/>
      <c r="SKX99" s="798"/>
      <c r="SKY99" s="798"/>
      <c r="SKZ99" s="798"/>
      <c r="SLA99" s="798"/>
      <c r="SLB99" s="798"/>
      <c r="SLC99" s="798"/>
      <c r="SLD99" s="798"/>
      <c r="SLE99" s="798"/>
      <c r="SLF99" s="798"/>
      <c r="SLG99" s="798"/>
      <c r="SLH99" s="798"/>
      <c r="SLI99" s="798"/>
      <c r="SLJ99" s="798"/>
      <c r="SLK99" s="798"/>
      <c r="SLL99" s="798"/>
      <c r="SLM99" s="798"/>
      <c r="SLN99" s="798"/>
      <c r="SLO99" s="798"/>
      <c r="SLP99" s="798"/>
      <c r="SLQ99" s="798"/>
      <c r="SLR99" s="798"/>
      <c r="SLS99" s="798"/>
      <c r="SLT99" s="798"/>
      <c r="SLU99" s="798"/>
      <c r="SLV99" s="798"/>
      <c r="SLW99" s="798"/>
      <c r="SLX99" s="798"/>
      <c r="SLY99" s="798"/>
      <c r="SLZ99" s="798"/>
      <c r="SMA99" s="798"/>
      <c r="SMB99" s="798"/>
      <c r="SMC99" s="798"/>
      <c r="SMD99" s="798"/>
      <c r="SME99" s="798"/>
      <c r="SMF99" s="798"/>
      <c r="SMG99" s="798"/>
      <c r="SMH99" s="798"/>
      <c r="SMI99" s="798"/>
      <c r="SMJ99" s="798"/>
      <c r="SMK99" s="798"/>
      <c r="SML99" s="798"/>
      <c r="SMM99" s="798"/>
      <c r="SMN99" s="798"/>
      <c r="SMO99" s="798"/>
      <c r="SMP99" s="798"/>
      <c r="SMQ99" s="798"/>
      <c r="SMR99" s="798"/>
      <c r="SMS99" s="798"/>
      <c r="SMT99" s="798"/>
      <c r="SMU99" s="798"/>
      <c r="SMV99" s="798"/>
      <c r="SMW99" s="798"/>
      <c r="SMX99" s="798"/>
      <c r="SMY99" s="798"/>
      <c r="SMZ99" s="798"/>
      <c r="SNA99" s="798"/>
      <c r="SNB99" s="798"/>
      <c r="SNC99" s="798"/>
      <c r="SND99" s="798"/>
      <c r="SNE99" s="798"/>
      <c r="SNF99" s="798"/>
      <c r="SNG99" s="798"/>
      <c r="SNH99" s="798"/>
      <c r="SNI99" s="798"/>
      <c r="SNJ99" s="798"/>
      <c r="SNK99" s="798"/>
      <c r="SNL99" s="798"/>
      <c r="SNM99" s="798"/>
      <c r="SNN99" s="798"/>
      <c r="SNO99" s="798"/>
      <c r="SNP99" s="798"/>
      <c r="SNQ99" s="798"/>
      <c r="SNR99" s="798"/>
      <c r="SNS99" s="798"/>
      <c r="SNT99" s="798"/>
      <c r="SNU99" s="798"/>
      <c r="SNV99" s="798"/>
      <c r="SNW99" s="798"/>
      <c r="SNX99" s="798"/>
      <c r="SNY99" s="798"/>
      <c r="SNZ99" s="798"/>
      <c r="SOA99" s="798"/>
      <c r="SOB99" s="798"/>
      <c r="SOC99" s="798"/>
      <c r="SOD99" s="798"/>
      <c r="SOE99" s="798"/>
      <c r="SOF99" s="798"/>
      <c r="SOG99" s="798"/>
      <c r="SOH99" s="798"/>
      <c r="SOI99" s="798"/>
      <c r="SOJ99" s="798"/>
      <c r="SOK99" s="798"/>
      <c r="SOL99" s="798"/>
      <c r="SOM99" s="798"/>
      <c r="SON99" s="798"/>
      <c r="SOO99" s="798"/>
      <c r="SOP99" s="798"/>
      <c r="SOQ99" s="798"/>
      <c r="SOR99" s="798"/>
      <c r="SOS99" s="798"/>
      <c r="SOT99" s="798"/>
      <c r="SOU99" s="798"/>
      <c r="SOV99" s="798"/>
      <c r="SOW99" s="798"/>
      <c r="SOX99" s="798"/>
      <c r="SOY99" s="798"/>
      <c r="SOZ99" s="798"/>
      <c r="SPA99" s="798"/>
      <c r="SPB99" s="798"/>
      <c r="SPC99" s="798"/>
      <c r="SPD99" s="798"/>
      <c r="SPE99" s="798"/>
      <c r="SPF99" s="798"/>
      <c r="SPG99" s="798"/>
      <c r="SPH99" s="798"/>
      <c r="SPI99" s="798"/>
      <c r="SPJ99" s="798"/>
      <c r="SPK99" s="798"/>
      <c r="SPL99" s="798"/>
      <c r="SPM99" s="798"/>
      <c r="SPN99" s="798"/>
      <c r="SPO99" s="798"/>
      <c r="SPP99" s="798"/>
      <c r="SPQ99" s="798"/>
      <c r="SPR99" s="798"/>
      <c r="SPS99" s="798"/>
      <c r="SPT99" s="798"/>
      <c r="SPU99" s="798"/>
      <c r="SPV99" s="798"/>
      <c r="SPW99" s="798"/>
      <c r="SPX99" s="798"/>
      <c r="SPY99" s="798"/>
      <c r="SPZ99" s="798"/>
      <c r="SQA99" s="798"/>
      <c r="SQB99" s="798"/>
      <c r="SQC99" s="798"/>
      <c r="SQD99" s="798"/>
      <c r="SQE99" s="798"/>
      <c r="SQF99" s="798"/>
      <c r="SQG99" s="798"/>
      <c r="SQH99" s="798"/>
      <c r="SQI99" s="798"/>
      <c r="SQJ99" s="798"/>
      <c r="SQK99" s="798"/>
      <c r="SQL99" s="798"/>
      <c r="SQM99" s="798"/>
      <c r="SQN99" s="798"/>
      <c r="SQO99" s="798"/>
      <c r="SQP99" s="798"/>
      <c r="SQQ99" s="798"/>
      <c r="SQR99" s="798"/>
      <c r="SQS99" s="798"/>
      <c r="SQT99" s="798"/>
      <c r="SQU99" s="798"/>
      <c r="SQV99" s="798"/>
      <c r="SQW99" s="798"/>
      <c r="SQX99" s="798"/>
      <c r="SQY99" s="798"/>
      <c r="SQZ99" s="798"/>
      <c r="SRA99" s="798"/>
      <c r="SRB99" s="798"/>
      <c r="SRC99" s="798"/>
      <c r="SRD99" s="798"/>
      <c r="SRE99" s="798"/>
      <c r="SRF99" s="798"/>
      <c r="SRG99" s="798"/>
      <c r="SRH99" s="798"/>
      <c r="SRI99" s="798"/>
      <c r="SRJ99" s="798"/>
      <c r="SRK99" s="798"/>
      <c r="SRL99" s="798"/>
      <c r="SRM99" s="798"/>
      <c r="SRN99" s="798"/>
      <c r="SRO99" s="798"/>
      <c r="SRP99" s="798"/>
      <c r="SRQ99" s="798"/>
      <c r="SRR99" s="798"/>
      <c r="SRS99" s="798"/>
      <c r="SRT99" s="798"/>
      <c r="SRU99" s="798"/>
      <c r="SRV99" s="798"/>
      <c r="SRW99" s="798"/>
      <c r="SRX99" s="798"/>
      <c r="SRY99" s="798"/>
      <c r="SRZ99" s="798"/>
      <c r="SSA99" s="798"/>
      <c r="SSB99" s="798"/>
      <c r="SSC99" s="798"/>
      <c r="SSD99" s="798"/>
      <c r="SSE99" s="798"/>
      <c r="SSF99" s="798"/>
      <c r="SSG99" s="798"/>
      <c r="SSH99" s="798"/>
      <c r="SSI99" s="798"/>
      <c r="SSJ99" s="798"/>
      <c r="SSK99" s="798"/>
      <c r="SSL99" s="798"/>
      <c r="SSM99" s="798"/>
      <c r="SSN99" s="798"/>
      <c r="SSO99" s="798"/>
      <c r="SSP99" s="798"/>
      <c r="SSQ99" s="798"/>
      <c r="SSR99" s="798"/>
      <c r="SSS99" s="798"/>
      <c r="SST99" s="798"/>
      <c r="SSU99" s="798"/>
      <c r="SSV99" s="798"/>
      <c r="SSW99" s="798"/>
      <c r="SSX99" s="798"/>
      <c r="SSY99" s="798"/>
      <c r="SSZ99" s="798"/>
      <c r="STA99" s="798"/>
      <c r="STB99" s="798"/>
      <c r="STC99" s="798"/>
      <c r="STD99" s="798"/>
      <c r="STE99" s="798"/>
      <c r="STF99" s="798"/>
      <c r="STG99" s="798"/>
      <c r="STH99" s="798"/>
      <c r="STI99" s="798"/>
      <c r="STJ99" s="798"/>
      <c r="STK99" s="798"/>
      <c r="STL99" s="798"/>
      <c r="STM99" s="798"/>
      <c r="STN99" s="798"/>
      <c r="STO99" s="798"/>
      <c r="STP99" s="798"/>
      <c r="STQ99" s="798"/>
      <c r="STR99" s="798"/>
      <c r="STS99" s="798"/>
      <c r="STT99" s="798"/>
      <c r="STU99" s="798"/>
      <c r="STV99" s="798"/>
      <c r="STW99" s="798"/>
      <c r="STX99" s="798"/>
      <c r="STY99" s="798"/>
      <c r="STZ99" s="798"/>
      <c r="SUA99" s="798"/>
      <c r="SUB99" s="798"/>
      <c r="SUC99" s="798"/>
      <c r="SUD99" s="798"/>
      <c r="SUE99" s="798"/>
      <c r="SUF99" s="798"/>
      <c r="SUG99" s="798"/>
      <c r="SUH99" s="798"/>
      <c r="SUI99" s="798"/>
      <c r="SUJ99" s="798"/>
      <c r="SUK99" s="798"/>
      <c r="SUL99" s="798"/>
      <c r="SUM99" s="798"/>
      <c r="SUN99" s="798"/>
      <c r="SUO99" s="798"/>
      <c r="SUP99" s="798"/>
      <c r="SUQ99" s="798"/>
      <c r="SUR99" s="798"/>
      <c r="SUS99" s="798"/>
      <c r="SUT99" s="798"/>
      <c r="SUU99" s="798"/>
      <c r="SUV99" s="798"/>
      <c r="SUW99" s="798"/>
      <c r="SUX99" s="798"/>
      <c r="SUY99" s="798"/>
      <c r="SUZ99" s="798"/>
      <c r="SVA99" s="798"/>
      <c r="SVB99" s="798"/>
      <c r="SVC99" s="798"/>
      <c r="SVD99" s="798"/>
      <c r="SVE99" s="798"/>
      <c r="SVF99" s="798"/>
      <c r="SVG99" s="798"/>
      <c r="SVH99" s="798"/>
      <c r="SVI99" s="798"/>
      <c r="SVJ99" s="798"/>
      <c r="SVK99" s="798"/>
      <c r="SVL99" s="798"/>
      <c r="SVM99" s="798"/>
      <c r="SVN99" s="798"/>
      <c r="SVO99" s="798"/>
      <c r="SVP99" s="798"/>
      <c r="SVQ99" s="798"/>
      <c r="SVR99" s="798"/>
      <c r="SVS99" s="798"/>
      <c r="SVT99" s="798"/>
      <c r="SVU99" s="798"/>
      <c r="SVV99" s="798"/>
      <c r="SVW99" s="798"/>
      <c r="SVX99" s="798"/>
      <c r="SVY99" s="798"/>
      <c r="SVZ99" s="798"/>
      <c r="SWA99" s="798"/>
      <c r="SWB99" s="798"/>
      <c r="SWC99" s="798"/>
      <c r="SWD99" s="798"/>
      <c r="SWE99" s="798"/>
      <c r="SWF99" s="798"/>
      <c r="SWG99" s="798"/>
      <c r="SWH99" s="798"/>
      <c r="SWI99" s="798"/>
      <c r="SWJ99" s="798"/>
      <c r="SWK99" s="798"/>
      <c r="SWL99" s="798"/>
      <c r="SWM99" s="798"/>
      <c r="SWN99" s="798"/>
      <c r="SWO99" s="798"/>
      <c r="SWP99" s="798"/>
      <c r="SWQ99" s="798"/>
      <c r="SWR99" s="798"/>
      <c r="SWS99" s="798"/>
      <c r="SWT99" s="798"/>
      <c r="SWU99" s="798"/>
      <c r="SWV99" s="798"/>
      <c r="SWW99" s="798"/>
      <c r="SWX99" s="798"/>
      <c r="SWY99" s="798"/>
      <c r="SWZ99" s="798"/>
      <c r="SXA99" s="798"/>
      <c r="SXB99" s="798"/>
      <c r="SXC99" s="798"/>
      <c r="SXD99" s="798"/>
      <c r="SXE99" s="798"/>
      <c r="SXF99" s="798"/>
      <c r="SXG99" s="798"/>
      <c r="SXH99" s="798"/>
      <c r="SXI99" s="798"/>
      <c r="SXJ99" s="798"/>
      <c r="SXK99" s="798"/>
      <c r="SXL99" s="798"/>
      <c r="SXM99" s="798"/>
      <c r="SXN99" s="798"/>
      <c r="SXO99" s="798"/>
      <c r="SXP99" s="798"/>
      <c r="SXQ99" s="798"/>
      <c r="SXR99" s="798"/>
      <c r="SXS99" s="798"/>
      <c r="SXT99" s="798"/>
      <c r="SXU99" s="798"/>
      <c r="SXV99" s="798"/>
      <c r="SXW99" s="798"/>
      <c r="SXX99" s="798"/>
      <c r="SXY99" s="798"/>
      <c r="SXZ99" s="798"/>
      <c r="SYA99" s="798"/>
      <c r="SYB99" s="798"/>
      <c r="SYC99" s="798"/>
      <c r="SYD99" s="798"/>
      <c r="SYE99" s="798"/>
      <c r="SYF99" s="798"/>
      <c r="SYG99" s="798"/>
      <c r="SYH99" s="798"/>
      <c r="SYI99" s="798"/>
      <c r="SYJ99" s="798"/>
      <c r="SYK99" s="798"/>
      <c r="SYL99" s="798"/>
      <c r="SYM99" s="798"/>
      <c r="SYN99" s="798"/>
      <c r="SYO99" s="798"/>
      <c r="SYP99" s="798"/>
      <c r="SYQ99" s="798"/>
      <c r="SYR99" s="798"/>
      <c r="SYS99" s="798"/>
      <c r="SYT99" s="798"/>
      <c r="SYU99" s="798"/>
      <c r="SYV99" s="798"/>
      <c r="SYW99" s="798"/>
      <c r="SYX99" s="798"/>
      <c r="SYY99" s="798"/>
      <c r="SYZ99" s="798"/>
      <c r="SZA99" s="798"/>
      <c r="SZB99" s="798"/>
      <c r="SZC99" s="798"/>
      <c r="SZD99" s="798"/>
      <c r="SZE99" s="798"/>
      <c r="SZF99" s="798"/>
      <c r="SZG99" s="798"/>
      <c r="SZH99" s="798"/>
      <c r="SZI99" s="798"/>
      <c r="SZJ99" s="798"/>
      <c r="SZK99" s="798"/>
      <c r="SZL99" s="798"/>
      <c r="SZM99" s="798"/>
      <c r="SZN99" s="798"/>
      <c r="SZO99" s="798"/>
      <c r="SZP99" s="798"/>
      <c r="SZQ99" s="798"/>
      <c r="SZR99" s="798"/>
      <c r="SZS99" s="798"/>
      <c r="SZT99" s="798"/>
      <c r="SZU99" s="798"/>
      <c r="SZV99" s="798"/>
      <c r="SZW99" s="798"/>
      <c r="SZX99" s="798"/>
      <c r="SZY99" s="798"/>
      <c r="SZZ99" s="798"/>
      <c r="TAA99" s="798"/>
      <c r="TAB99" s="798"/>
      <c r="TAC99" s="798"/>
      <c r="TAD99" s="798"/>
      <c r="TAE99" s="798"/>
      <c r="TAF99" s="798"/>
      <c r="TAG99" s="798"/>
      <c r="TAH99" s="798"/>
      <c r="TAI99" s="798"/>
      <c r="TAJ99" s="798"/>
      <c r="TAK99" s="798"/>
      <c r="TAL99" s="798"/>
      <c r="TAM99" s="798"/>
      <c r="TAN99" s="798"/>
      <c r="TAO99" s="798"/>
      <c r="TAP99" s="798"/>
      <c r="TAQ99" s="798"/>
      <c r="TAR99" s="798"/>
      <c r="TAS99" s="798"/>
      <c r="TAT99" s="798"/>
      <c r="TAU99" s="798"/>
      <c r="TAV99" s="798"/>
      <c r="TAW99" s="798"/>
      <c r="TAX99" s="798"/>
      <c r="TAY99" s="798"/>
      <c r="TAZ99" s="798"/>
      <c r="TBA99" s="798"/>
      <c r="TBB99" s="798"/>
      <c r="TBC99" s="798"/>
      <c r="TBD99" s="798"/>
      <c r="TBE99" s="798"/>
      <c r="TBF99" s="798"/>
      <c r="TBG99" s="798"/>
      <c r="TBH99" s="798"/>
      <c r="TBI99" s="798"/>
      <c r="TBJ99" s="798"/>
      <c r="TBK99" s="798"/>
      <c r="TBL99" s="798"/>
      <c r="TBM99" s="798"/>
      <c r="TBN99" s="798"/>
      <c r="TBO99" s="798"/>
      <c r="TBP99" s="798"/>
      <c r="TBQ99" s="798"/>
      <c r="TBR99" s="798"/>
      <c r="TBS99" s="798"/>
      <c r="TBT99" s="798"/>
      <c r="TBU99" s="798"/>
      <c r="TBV99" s="798"/>
      <c r="TBW99" s="798"/>
      <c r="TBX99" s="798"/>
      <c r="TBY99" s="798"/>
      <c r="TBZ99" s="798"/>
      <c r="TCA99" s="798"/>
      <c r="TCB99" s="798"/>
      <c r="TCC99" s="798"/>
      <c r="TCD99" s="798"/>
      <c r="TCE99" s="798"/>
      <c r="TCF99" s="798"/>
      <c r="TCG99" s="798"/>
      <c r="TCH99" s="798"/>
      <c r="TCI99" s="798"/>
      <c r="TCJ99" s="798"/>
      <c r="TCK99" s="798"/>
      <c r="TCL99" s="798"/>
      <c r="TCM99" s="798"/>
      <c r="TCN99" s="798"/>
      <c r="TCO99" s="798"/>
      <c r="TCP99" s="798"/>
      <c r="TCQ99" s="798"/>
      <c r="TCR99" s="798"/>
      <c r="TCS99" s="798"/>
      <c r="TCT99" s="798"/>
      <c r="TCU99" s="798"/>
      <c r="TCV99" s="798"/>
      <c r="TCW99" s="798"/>
      <c r="TCX99" s="798"/>
      <c r="TCY99" s="798"/>
      <c r="TCZ99" s="798"/>
      <c r="TDA99" s="798"/>
      <c r="TDB99" s="798"/>
      <c r="TDC99" s="798"/>
      <c r="TDD99" s="798"/>
      <c r="TDE99" s="798"/>
      <c r="TDF99" s="798"/>
      <c r="TDG99" s="798"/>
      <c r="TDH99" s="798"/>
      <c r="TDI99" s="798"/>
      <c r="TDJ99" s="798"/>
      <c r="TDK99" s="798"/>
      <c r="TDL99" s="798"/>
      <c r="TDM99" s="798"/>
      <c r="TDN99" s="798"/>
      <c r="TDO99" s="798"/>
      <c r="TDP99" s="798"/>
      <c r="TDQ99" s="798"/>
      <c r="TDR99" s="798"/>
      <c r="TDS99" s="798"/>
      <c r="TDT99" s="798"/>
      <c r="TDU99" s="798"/>
      <c r="TDV99" s="798"/>
      <c r="TDW99" s="798"/>
      <c r="TDX99" s="798"/>
      <c r="TDY99" s="798"/>
      <c r="TDZ99" s="798"/>
      <c r="TEA99" s="798"/>
      <c r="TEB99" s="798"/>
      <c r="TEC99" s="798"/>
      <c r="TED99" s="798"/>
      <c r="TEE99" s="798"/>
      <c r="TEF99" s="798"/>
      <c r="TEG99" s="798"/>
      <c r="TEH99" s="798"/>
      <c r="TEI99" s="798"/>
      <c r="TEJ99" s="798"/>
      <c r="TEK99" s="798"/>
      <c r="TEL99" s="798"/>
      <c r="TEM99" s="798"/>
      <c r="TEN99" s="798"/>
      <c r="TEO99" s="798"/>
      <c r="TEP99" s="798"/>
      <c r="TEQ99" s="798"/>
      <c r="TER99" s="798"/>
      <c r="TES99" s="798"/>
      <c r="TET99" s="798"/>
      <c r="TEU99" s="798"/>
      <c r="TEV99" s="798"/>
      <c r="TEW99" s="798"/>
      <c r="TEX99" s="798"/>
      <c r="TEY99" s="798"/>
      <c r="TEZ99" s="798"/>
      <c r="TFA99" s="798"/>
      <c r="TFB99" s="798"/>
      <c r="TFC99" s="798"/>
      <c r="TFD99" s="798"/>
      <c r="TFE99" s="798"/>
      <c r="TFF99" s="798"/>
      <c r="TFG99" s="798"/>
      <c r="TFH99" s="798"/>
      <c r="TFI99" s="798"/>
      <c r="TFJ99" s="798"/>
      <c r="TFK99" s="798"/>
      <c r="TFL99" s="798"/>
      <c r="TFM99" s="798"/>
      <c r="TFN99" s="798"/>
      <c r="TFO99" s="798"/>
      <c r="TFP99" s="798"/>
      <c r="TFQ99" s="798"/>
      <c r="TFR99" s="798"/>
      <c r="TFS99" s="798"/>
      <c r="TFT99" s="798"/>
      <c r="TFU99" s="798"/>
      <c r="TFV99" s="798"/>
      <c r="TFW99" s="798"/>
      <c r="TFX99" s="798"/>
      <c r="TFY99" s="798"/>
      <c r="TFZ99" s="798"/>
      <c r="TGA99" s="798"/>
      <c r="TGB99" s="798"/>
      <c r="TGC99" s="798"/>
      <c r="TGD99" s="798"/>
      <c r="TGE99" s="798"/>
      <c r="TGF99" s="798"/>
      <c r="TGG99" s="798"/>
      <c r="TGH99" s="798"/>
      <c r="TGI99" s="798"/>
      <c r="TGJ99" s="798"/>
      <c r="TGK99" s="798"/>
      <c r="TGL99" s="798"/>
      <c r="TGM99" s="798"/>
      <c r="TGN99" s="798"/>
      <c r="TGO99" s="798"/>
      <c r="TGP99" s="798"/>
      <c r="TGQ99" s="798"/>
      <c r="TGR99" s="798"/>
      <c r="TGS99" s="798"/>
      <c r="TGT99" s="798"/>
      <c r="TGU99" s="798"/>
      <c r="TGV99" s="798"/>
      <c r="TGW99" s="798"/>
      <c r="TGX99" s="798"/>
      <c r="TGY99" s="798"/>
      <c r="TGZ99" s="798"/>
      <c r="THA99" s="798"/>
      <c r="THB99" s="798"/>
      <c r="THC99" s="798"/>
      <c r="THD99" s="798"/>
      <c r="THE99" s="798"/>
      <c r="THF99" s="798"/>
      <c r="THG99" s="798"/>
      <c r="THH99" s="798"/>
      <c r="THI99" s="798"/>
      <c r="THJ99" s="798"/>
      <c r="THK99" s="798"/>
      <c r="THL99" s="798"/>
      <c r="THM99" s="798"/>
      <c r="THN99" s="798"/>
      <c r="THO99" s="798"/>
      <c r="THP99" s="798"/>
      <c r="THQ99" s="798"/>
      <c r="THR99" s="798"/>
      <c r="THS99" s="798"/>
      <c r="THT99" s="798"/>
      <c r="THU99" s="798"/>
      <c r="THV99" s="798"/>
      <c r="THW99" s="798"/>
      <c r="THX99" s="798"/>
      <c r="THY99" s="798"/>
      <c r="THZ99" s="798"/>
      <c r="TIA99" s="798"/>
      <c r="TIB99" s="798"/>
      <c r="TIC99" s="798"/>
      <c r="TID99" s="798"/>
      <c r="TIE99" s="798"/>
      <c r="TIF99" s="798"/>
      <c r="TIG99" s="798"/>
      <c r="TIH99" s="798"/>
      <c r="TII99" s="798"/>
      <c r="TIJ99" s="798"/>
      <c r="TIK99" s="798"/>
      <c r="TIL99" s="798"/>
      <c r="TIM99" s="798"/>
      <c r="TIN99" s="798"/>
      <c r="TIO99" s="798"/>
      <c r="TIP99" s="798"/>
      <c r="TIQ99" s="798"/>
      <c r="TIR99" s="798"/>
      <c r="TIS99" s="798"/>
      <c r="TIT99" s="798"/>
      <c r="TIU99" s="798"/>
      <c r="TIV99" s="798"/>
      <c r="TIW99" s="798"/>
      <c r="TIX99" s="798"/>
      <c r="TIY99" s="798"/>
      <c r="TIZ99" s="798"/>
      <c r="TJA99" s="798"/>
      <c r="TJB99" s="798"/>
      <c r="TJC99" s="798"/>
      <c r="TJD99" s="798"/>
      <c r="TJE99" s="798"/>
      <c r="TJF99" s="798"/>
      <c r="TJG99" s="798"/>
      <c r="TJH99" s="798"/>
      <c r="TJI99" s="798"/>
      <c r="TJJ99" s="798"/>
      <c r="TJK99" s="798"/>
      <c r="TJL99" s="798"/>
      <c r="TJM99" s="798"/>
      <c r="TJN99" s="798"/>
      <c r="TJO99" s="798"/>
      <c r="TJP99" s="798"/>
      <c r="TJQ99" s="798"/>
      <c r="TJR99" s="798"/>
      <c r="TJS99" s="798"/>
      <c r="TJT99" s="798"/>
      <c r="TJU99" s="798"/>
      <c r="TJV99" s="798"/>
      <c r="TJW99" s="798"/>
      <c r="TJX99" s="798"/>
      <c r="TJY99" s="798"/>
      <c r="TJZ99" s="798"/>
      <c r="TKA99" s="798"/>
      <c r="TKB99" s="798"/>
      <c r="TKC99" s="798"/>
      <c r="TKD99" s="798"/>
      <c r="TKE99" s="798"/>
      <c r="TKF99" s="798"/>
      <c r="TKG99" s="798"/>
      <c r="TKH99" s="798"/>
      <c r="TKI99" s="798"/>
      <c r="TKJ99" s="798"/>
      <c r="TKK99" s="798"/>
      <c r="TKL99" s="798"/>
      <c r="TKM99" s="798"/>
      <c r="TKN99" s="798"/>
      <c r="TKO99" s="798"/>
      <c r="TKP99" s="798"/>
      <c r="TKQ99" s="798"/>
      <c r="TKR99" s="798"/>
      <c r="TKS99" s="798"/>
      <c r="TKT99" s="798"/>
      <c r="TKU99" s="798"/>
      <c r="TKV99" s="798"/>
      <c r="TKW99" s="798"/>
      <c r="TKX99" s="798"/>
      <c r="TKY99" s="798"/>
      <c r="TKZ99" s="798"/>
      <c r="TLA99" s="798"/>
      <c r="TLB99" s="798"/>
      <c r="TLC99" s="798"/>
      <c r="TLD99" s="798"/>
      <c r="TLE99" s="798"/>
      <c r="TLF99" s="798"/>
      <c r="TLG99" s="798"/>
      <c r="TLH99" s="798"/>
      <c r="TLI99" s="798"/>
      <c r="TLJ99" s="798"/>
      <c r="TLK99" s="798"/>
      <c r="TLL99" s="798"/>
      <c r="TLM99" s="798"/>
      <c r="TLN99" s="798"/>
      <c r="TLO99" s="798"/>
      <c r="TLP99" s="798"/>
      <c r="TLQ99" s="798"/>
      <c r="TLR99" s="798"/>
      <c r="TLS99" s="798"/>
      <c r="TLT99" s="798"/>
      <c r="TLU99" s="798"/>
      <c r="TLV99" s="798"/>
      <c r="TLW99" s="798"/>
      <c r="TLX99" s="798"/>
      <c r="TLY99" s="798"/>
      <c r="TLZ99" s="798"/>
      <c r="TMA99" s="798"/>
      <c r="TMB99" s="798"/>
      <c r="TMC99" s="798"/>
      <c r="TMD99" s="798"/>
      <c r="TME99" s="798"/>
      <c r="TMF99" s="798"/>
      <c r="TMG99" s="798"/>
      <c r="TMH99" s="798"/>
      <c r="TMI99" s="798"/>
      <c r="TMJ99" s="798"/>
      <c r="TMK99" s="798"/>
      <c r="TML99" s="798"/>
      <c r="TMM99" s="798"/>
      <c r="TMN99" s="798"/>
      <c r="TMO99" s="798"/>
      <c r="TMP99" s="798"/>
      <c r="TMQ99" s="798"/>
      <c r="TMR99" s="798"/>
      <c r="TMS99" s="798"/>
      <c r="TMT99" s="798"/>
      <c r="TMU99" s="798"/>
      <c r="TMV99" s="798"/>
      <c r="TMW99" s="798"/>
      <c r="TMX99" s="798"/>
      <c r="TMY99" s="798"/>
      <c r="TMZ99" s="798"/>
      <c r="TNA99" s="798"/>
      <c r="TNB99" s="798"/>
      <c r="TNC99" s="798"/>
      <c r="TND99" s="798"/>
      <c r="TNE99" s="798"/>
      <c r="TNF99" s="798"/>
      <c r="TNG99" s="798"/>
      <c r="TNH99" s="798"/>
      <c r="TNI99" s="798"/>
      <c r="TNJ99" s="798"/>
      <c r="TNK99" s="798"/>
      <c r="TNL99" s="798"/>
      <c r="TNM99" s="798"/>
      <c r="TNN99" s="798"/>
      <c r="TNO99" s="798"/>
      <c r="TNP99" s="798"/>
      <c r="TNQ99" s="798"/>
      <c r="TNR99" s="798"/>
      <c r="TNS99" s="798"/>
      <c r="TNT99" s="798"/>
      <c r="TNU99" s="798"/>
      <c r="TNV99" s="798"/>
      <c r="TNW99" s="798"/>
      <c r="TNX99" s="798"/>
      <c r="TNY99" s="798"/>
      <c r="TNZ99" s="798"/>
      <c r="TOA99" s="798"/>
      <c r="TOB99" s="798"/>
      <c r="TOC99" s="798"/>
      <c r="TOD99" s="798"/>
      <c r="TOE99" s="798"/>
      <c r="TOF99" s="798"/>
      <c r="TOG99" s="798"/>
      <c r="TOH99" s="798"/>
      <c r="TOI99" s="798"/>
      <c r="TOJ99" s="798"/>
      <c r="TOK99" s="798"/>
      <c r="TOL99" s="798"/>
      <c r="TOM99" s="798"/>
      <c r="TON99" s="798"/>
      <c r="TOO99" s="798"/>
      <c r="TOP99" s="798"/>
      <c r="TOQ99" s="798"/>
      <c r="TOR99" s="798"/>
      <c r="TOS99" s="798"/>
      <c r="TOT99" s="798"/>
      <c r="TOU99" s="798"/>
      <c r="TOV99" s="798"/>
      <c r="TOW99" s="798"/>
      <c r="TOX99" s="798"/>
      <c r="TOY99" s="798"/>
      <c r="TOZ99" s="798"/>
      <c r="TPA99" s="798"/>
      <c r="TPB99" s="798"/>
      <c r="TPC99" s="798"/>
      <c r="TPD99" s="798"/>
      <c r="TPE99" s="798"/>
      <c r="TPF99" s="798"/>
      <c r="TPG99" s="798"/>
      <c r="TPH99" s="798"/>
      <c r="TPI99" s="798"/>
      <c r="TPJ99" s="798"/>
      <c r="TPK99" s="798"/>
      <c r="TPL99" s="798"/>
      <c r="TPM99" s="798"/>
      <c r="TPN99" s="798"/>
      <c r="TPO99" s="798"/>
      <c r="TPP99" s="798"/>
      <c r="TPQ99" s="798"/>
      <c r="TPR99" s="798"/>
      <c r="TPS99" s="798"/>
      <c r="TPT99" s="798"/>
      <c r="TPU99" s="798"/>
      <c r="TPV99" s="798"/>
      <c r="TPW99" s="798"/>
      <c r="TPX99" s="798"/>
      <c r="TPY99" s="798"/>
      <c r="TPZ99" s="798"/>
      <c r="TQA99" s="798"/>
      <c r="TQB99" s="798"/>
      <c r="TQC99" s="798"/>
      <c r="TQD99" s="798"/>
      <c r="TQE99" s="798"/>
      <c r="TQF99" s="798"/>
      <c r="TQG99" s="798"/>
      <c r="TQH99" s="798"/>
      <c r="TQI99" s="798"/>
      <c r="TQJ99" s="798"/>
      <c r="TQK99" s="798"/>
      <c r="TQL99" s="798"/>
      <c r="TQM99" s="798"/>
      <c r="TQN99" s="798"/>
      <c r="TQO99" s="798"/>
      <c r="TQP99" s="798"/>
      <c r="TQQ99" s="798"/>
      <c r="TQR99" s="798"/>
      <c r="TQS99" s="798"/>
      <c r="TQT99" s="798"/>
      <c r="TQU99" s="798"/>
      <c r="TQV99" s="798"/>
      <c r="TQW99" s="798"/>
      <c r="TQX99" s="798"/>
      <c r="TQY99" s="798"/>
      <c r="TQZ99" s="798"/>
      <c r="TRA99" s="798"/>
      <c r="TRB99" s="798"/>
      <c r="TRC99" s="798"/>
      <c r="TRD99" s="798"/>
      <c r="TRE99" s="798"/>
      <c r="TRF99" s="798"/>
      <c r="TRG99" s="798"/>
      <c r="TRH99" s="798"/>
      <c r="TRI99" s="798"/>
      <c r="TRJ99" s="798"/>
      <c r="TRK99" s="798"/>
      <c r="TRL99" s="798"/>
      <c r="TRM99" s="798"/>
      <c r="TRN99" s="798"/>
      <c r="TRO99" s="798"/>
      <c r="TRP99" s="798"/>
      <c r="TRQ99" s="798"/>
      <c r="TRR99" s="798"/>
      <c r="TRS99" s="798"/>
      <c r="TRT99" s="798"/>
      <c r="TRU99" s="798"/>
      <c r="TRV99" s="798"/>
      <c r="TRW99" s="798"/>
      <c r="TRX99" s="798"/>
      <c r="TRY99" s="798"/>
      <c r="TRZ99" s="798"/>
      <c r="TSA99" s="798"/>
      <c r="TSB99" s="798"/>
      <c r="TSC99" s="798"/>
      <c r="TSD99" s="798"/>
      <c r="TSE99" s="798"/>
      <c r="TSF99" s="798"/>
      <c r="TSG99" s="798"/>
      <c r="TSH99" s="798"/>
      <c r="TSI99" s="798"/>
      <c r="TSJ99" s="798"/>
      <c r="TSK99" s="798"/>
      <c r="TSL99" s="798"/>
      <c r="TSM99" s="798"/>
      <c r="TSN99" s="798"/>
      <c r="TSO99" s="798"/>
      <c r="TSP99" s="798"/>
      <c r="TSQ99" s="798"/>
      <c r="TSR99" s="798"/>
      <c r="TSS99" s="798"/>
      <c r="TST99" s="798"/>
      <c r="TSU99" s="798"/>
      <c r="TSV99" s="798"/>
      <c r="TSW99" s="798"/>
      <c r="TSX99" s="798"/>
      <c r="TSY99" s="798"/>
      <c r="TSZ99" s="798"/>
      <c r="TTA99" s="798"/>
      <c r="TTB99" s="798"/>
      <c r="TTC99" s="798"/>
      <c r="TTD99" s="798"/>
      <c r="TTE99" s="798"/>
      <c r="TTF99" s="798"/>
      <c r="TTG99" s="798"/>
      <c r="TTH99" s="798"/>
      <c r="TTI99" s="798"/>
      <c r="TTJ99" s="798"/>
      <c r="TTK99" s="798"/>
      <c r="TTL99" s="798"/>
      <c r="TTM99" s="798"/>
      <c r="TTN99" s="798"/>
      <c r="TTO99" s="798"/>
      <c r="TTP99" s="798"/>
      <c r="TTQ99" s="798"/>
      <c r="TTR99" s="798"/>
      <c r="TTS99" s="798"/>
      <c r="TTT99" s="798"/>
      <c r="TTU99" s="798"/>
      <c r="TTV99" s="798"/>
      <c r="TTW99" s="798"/>
      <c r="TTX99" s="798"/>
      <c r="TTY99" s="798"/>
      <c r="TTZ99" s="798"/>
      <c r="TUA99" s="798"/>
      <c r="TUB99" s="798"/>
      <c r="TUC99" s="798"/>
      <c r="TUD99" s="798"/>
      <c r="TUE99" s="798"/>
      <c r="TUF99" s="798"/>
      <c r="TUG99" s="798"/>
      <c r="TUH99" s="798"/>
      <c r="TUI99" s="798"/>
      <c r="TUJ99" s="798"/>
      <c r="TUK99" s="798"/>
      <c r="TUL99" s="798"/>
      <c r="TUM99" s="798"/>
      <c r="TUN99" s="798"/>
      <c r="TUO99" s="798"/>
      <c r="TUP99" s="798"/>
      <c r="TUQ99" s="798"/>
      <c r="TUR99" s="798"/>
      <c r="TUS99" s="798"/>
      <c r="TUT99" s="798"/>
      <c r="TUU99" s="798"/>
      <c r="TUV99" s="798"/>
      <c r="TUW99" s="798"/>
      <c r="TUX99" s="798"/>
      <c r="TUY99" s="798"/>
      <c r="TUZ99" s="798"/>
      <c r="TVA99" s="798"/>
      <c r="TVB99" s="798"/>
      <c r="TVC99" s="798"/>
      <c r="TVD99" s="798"/>
      <c r="TVE99" s="798"/>
      <c r="TVF99" s="798"/>
      <c r="TVG99" s="798"/>
      <c r="TVH99" s="798"/>
      <c r="TVI99" s="798"/>
      <c r="TVJ99" s="798"/>
      <c r="TVK99" s="798"/>
      <c r="TVL99" s="798"/>
      <c r="TVM99" s="798"/>
      <c r="TVN99" s="798"/>
      <c r="TVO99" s="798"/>
      <c r="TVP99" s="798"/>
      <c r="TVQ99" s="798"/>
      <c r="TVR99" s="798"/>
      <c r="TVS99" s="798"/>
      <c r="TVT99" s="798"/>
      <c r="TVU99" s="798"/>
      <c r="TVV99" s="798"/>
      <c r="TVW99" s="798"/>
      <c r="TVX99" s="798"/>
      <c r="TVY99" s="798"/>
      <c r="TVZ99" s="798"/>
      <c r="TWA99" s="798"/>
      <c r="TWB99" s="798"/>
      <c r="TWC99" s="798"/>
      <c r="TWD99" s="798"/>
      <c r="TWE99" s="798"/>
      <c r="TWF99" s="798"/>
      <c r="TWG99" s="798"/>
      <c r="TWH99" s="798"/>
      <c r="TWI99" s="798"/>
      <c r="TWJ99" s="798"/>
      <c r="TWK99" s="798"/>
      <c r="TWL99" s="798"/>
      <c r="TWM99" s="798"/>
      <c r="TWN99" s="798"/>
      <c r="TWO99" s="798"/>
      <c r="TWP99" s="798"/>
      <c r="TWQ99" s="798"/>
      <c r="TWR99" s="798"/>
      <c r="TWS99" s="798"/>
      <c r="TWT99" s="798"/>
      <c r="TWU99" s="798"/>
      <c r="TWV99" s="798"/>
      <c r="TWW99" s="798"/>
      <c r="TWX99" s="798"/>
      <c r="TWY99" s="798"/>
      <c r="TWZ99" s="798"/>
      <c r="TXA99" s="798"/>
      <c r="TXB99" s="798"/>
      <c r="TXC99" s="798"/>
      <c r="TXD99" s="798"/>
      <c r="TXE99" s="798"/>
      <c r="TXF99" s="798"/>
      <c r="TXG99" s="798"/>
      <c r="TXH99" s="798"/>
      <c r="TXI99" s="798"/>
      <c r="TXJ99" s="798"/>
      <c r="TXK99" s="798"/>
      <c r="TXL99" s="798"/>
      <c r="TXM99" s="798"/>
      <c r="TXN99" s="798"/>
      <c r="TXO99" s="798"/>
      <c r="TXP99" s="798"/>
      <c r="TXQ99" s="798"/>
      <c r="TXR99" s="798"/>
      <c r="TXS99" s="798"/>
      <c r="TXT99" s="798"/>
      <c r="TXU99" s="798"/>
      <c r="TXV99" s="798"/>
      <c r="TXW99" s="798"/>
      <c r="TXX99" s="798"/>
      <c r="TXY99" s="798"/>
      <c r="TXZ99" s="798"/>
      <c r="TYA99" s="798"/>
      <c r="TYB99" s="798"/>
      <c r="TYC99" s="798"/>
      <c r="TYD99" s="798"/>
      <c r="TYE99" s="798"/>
      <c r="TYF99" s="798"/>
      <c r="TYG99" s="798"/>
      <c r="TYH99" s="798"/>
      <c r="TYI99" s="798"/>
      <c r="TYJ99" s="798"/>
      <c r="TYK99" s="798"/>
      <c r="TYL99" s="798"/>
      <c r="TYM99" s="798"/>
      <c r="TYN99" s="798"/>
      <c r="TYO99" s="798"/>
      <c r="TYP99" s="798"/>
      <c r="TYQ99" s="798"/>
      <c r="TYR99" s="798"/>
      <c r="TYS99" s="798"/>
      <c r="TYT99" s="798"/>
      <c r="TYU99" s="798"/>
      <c r="TYV99" s="798"/>
      <c r="TYW99" s="798"/>
      <c r="TYX99" s="798"/>
      <c r="TYY99" s="798"/>
      <c r="TYZ99" s="798"/>
      <c r="TZA99" s="798"/>
      <c r="TZB99" s="798"/>
      <c r="TZC99" s="798"/>
      <c r="TZD99" s="798"/>
      <c r="TZE99" s="798"/>
      <c r="TZF99" s="798"/>
      <c r="TZG99" s="798"/>
      <c r="TZH99" s="798"/>
      <c r="TZI99" s="798"/>
      <c r="TZJ99" s="798"/>
      <c r="TZK99" s="798"/>
      <c r="TZL99" s="798"/>
      <c r="TZM99" s="798"/>
      <c r="TZN99" s="798"/>
      <c r="TZO99" s="798"/>
      <c r="TZP99" s="798"/>
      <c r="TZQ99" s="798"/>
      <c r="TZR99" s="798"/>
      <c r="TZS99" s="798"/>
      <c r="TZT99" s="798"/>
      <c r="TZU99" s="798"/>
      <c r="TZV99" s="798"/>
      <c r="TZW99" s="798"/>
      <c r="TZX99" s="798"/>
      <c r="TZY99" s="798"/>
      <c r="TZZ99" s="798"/>
      <c r="UAA99" s="798"/>
      <c r="UAB99" s="798"/>
      <c r="UAC99" s="798"/>
      <c r="UAD99" s="798"/>
      <c r="UAE99" s="798"/>
      <c r="UAF99" s="798"/>
      <c r="UAG99" s="798"/>
      <c r="UAH99" s="798"/>
      <c r="UAI99" s="798"/>
      <c r="UAJ99" s="798"/>
      <c r="UAK99" s="798"/>
      <c r="UAL99" s="798"/>
      <c r="UAM99" s="798"/>
      <c r="UAN99" s="798"/>
      <c r="UAO99" s="798"/>
      <c r="UAP99" s="798"/>
      <c r="UAQ99" s="798"/>
      <c r="UAR99" s="798"/>
      <c r="UAS99" s="798"/>
      <c r="UAT99" s="798"/>
      <c r="UAU99" s="798"/>
      <c r="UAV99" s="798"/>
      <c r="UAW99" s="798"/>
      <c r="UAX99" s="798"/>
      <c r="UAY99" s="798"/>
      <c r="UAZ99" s="798"/>
      <c r="UBA99" s="798"/>
      <c r="UBB99" s="798"/>
      <c r="UBC99" s="798"/>
      <c r="UBD99" s="798"/>
      <c r="UBE99" s="798"/>
      <c r="UBF99" s="798"/>
      <c r="UBG99" s="798"/>
      <c r="UBH99" s="798"/>
      <c r="UBI99" s="798"/>
      <c r="UBJ99" s="798"/>
      <c r="UBK99" s="798"/>
      <c r="UBL99" s="798"/>
      <c r="UBM99" s="798"/>
      <c r="UBN99" s="798"/>
      <c r="UBO99" s="798"/>
      <c r="UBP99" s="798"/>
      <c r="UBQ99" s="798"/>
      <c r="UBR99" s="798"/>
      <c r="UBS99" s="798"/>
      <c r="UBT99" s="798"/>
      <c r="UBU99" s="798"/>
      <c r="UBV99" s="798"/>
      <c r="UBW99" s="798"/>
      <c r="UBX99" s="798"/>
      <c r="UBY99" s="798"/>
      <c r="UBZ99" s="798"/>
      <c r="UCA99" s="798"/>
      <c r="UCB99" s="798"/>
      <c r="UCC99" s="798"/>
      <c r="UCD99" s="798"/>
      <c r="UCE99" s="798"/>
      <c r="UCF99" s="798"/>
      <c r="UCG99" s="798"/>
      <c r="UCH99" s="798"/>
      <c r="UCI99" s="798"/>
      <c r="UCJ99" s="798"/>
      <c r="UCK99" s="798"/>
      <c r="UCL99" s="798"/>
      <c r="UCM99" s="798"/>
      <c r="UCN99" s="798"/>
      <c r="UCO99" s="798"/>
      <c r="UCP99" s="798"/>
      <c r="UCQ99" s="798"/>
      <c r="UCR99" s="798"/>
      <c r="UCS99" s="798"/>
      <c r="UCT99" s="798"/>
      <c r="UCU99" s="798"/>
      <c r="UCV99" s="798"/>
      <c r="UCW99" s="798"/>
      <c r="UCX99" s="798"/>
      <c r="UCY99" s="798"/>
      <c r="UCZ99" s="798"/>
      <c r="UDA99" s="798"/>
      <c r="UDB99" s="798"/>
      <c r="UDC99" s="798"/>
      <c r="UDD99" s="798"/>
      <c r="UDE99" s="798"/>
      <c r="UDF99" s="798"/>
      <c r="UDG99" s="798"/>
      <c r="UDH99" s="798"/>
      <c r="UDI99" s="798"/>
      <c r="UDJ99" s="798"/>
      <c r="UDK99" s="798"/>
      <c r="UDL99" s="798"/>
      <c r="UDM99" s="798"/>
      <c r="UDN99" s="798"/>
      <c r="UDO99" s="798"/>
      <c r="UDP99" s="798"/>
      <c r="UDQ99" s="798"/>
      <c r="UDR99" s="798"/>
      <c r="UDS99" s="798"/>
      <c r="UDT99" s="798"/>
      <c r="UDU99" s="798"/>
      <c r="UDV99" s="798"/>
      <c r="UDW99" s="798"/>
      <c r="UDX99" s="798"/>
      <c r="UDY99" s="798"/>
      <c r="UDZ99" s="798"/>
      <c r="UEA99" s="798"/>
      <c r="UEB99" s="798"/>
      <c r="UEC99" s="798"/>
      <c r="UED99" s="798"/>
      <c r="UEE99" s="798"/>
      <c r="UEF99" s="798"/>
      <c r="UEG99" s="798"/>
      <c r="UEH99" s="798"/>
      <c r="UEI99" s="798"/>
      <c r="UEJ99" s="798"/>
      <c r="UEK99" s="798"/>
      <c r="UEL99" s="798"/>
      <c r="UEM99" s="798"/>
      <c r="UEN99" s="798"/>
      <c r="UEO99" s="798"/>
      <c r="UEP99" s="798"/>
      <c r="UEQ99" s="798"/>
      <c r="UER99" s="798"/>
      <c r="UES99" s="798"/>
      <c r="UET99" s="798"/>
      <c r="UEU99" s="798"/>
      <c r="UEV99" s="798"/>
      <c r="UEW99" s="798"/>
      <c r="UEX99" s="798"/>
      <c r="UEY99" s="798"/>
      <c r="UEZ99" s="798"/>
      <c r="UFA99" s="798"/>
      <c r="UFB99" s="798"/>
      <c r="UFC99" s="798"/>
      <c r="UFD99" s="798"/>
      <c r="UFE99" s="798"/>
      <c r="UFF99" s="798"/>
      <c r="UFG99" s="798"/>
      <c r="UFH99" s="798"/>
      <c r="UFI99" s="798"/>
      <c r="UFJ99" s="798"/>
      <c r="UFK99" s="798"/>
      <c r="UFL99" s="798"/>
      <c r="UFM99" s="798"/>
      <c r="UFN99" s="798"/>
      <c r="UFO99" s="798"/>
      <c r="UFP99" s="798"/>
      <c r="UFQ99" s="798"/>
      <c r="UFR99" s="798"/>
      <c r="UFS99" s="798"/>
      <c r="UFT99" s="798"/>
      <c r="UFU99" s="798"/>
      <c r="UFV99" s="798"/>
      <c r="UFW99" s="798"/>
      <c r="UFX99" s="798"/>
      <c r="UFY99" s="798"/>
      <c r="UFZ99" s="798"/>
      <c r="UGA99" s="798"/>
      <c r="UGB99" s="798"/>
      <c r="UGC99" s="798"/>
      <c r="UGD99" s="798"/>
      <c r="UGE99" s="798"/>
      <c r="UGF99" s="798"/>
      <c r="UGG99" s="798"/>
      <c r="UGH99" s="798"/>
      <c r="UGI99" s="798"/>
      <c r="UGJ99" s="798"/>
      <c r="UGK99" s="798"/>
      <c r="UGL99" s="798"/>
      <c r="UGM99" s="798"/>
      <c r="UGN99" s="798"/>
      <c r="UGO99" s="798"/>
      <c r="UGP99" s="798"/>
      <c r="UGQ99" s="798"/>
      <c r="UGR99" s="798"/>
      <c r="UGS99" s="798"/>
      <c r="UGT99" s="798"/>
      <c r="UGU99" s="798"/>
      <c r="UGV99" s="798"/>
      <c r="UGW99" s="798"/>
      <c r="UGX99" s="798"/>
      <c r="UGY99" s="798"/>
      <c r="UGZ99" s="798"/>
      <c r="UHA99" s="798"/>
      <c r="UHB99" s="798"/>
      <c r="UHC99" s="798"/>
      <c r="UHD99" s="798"/>
      <c r="UHE99" s="798"/>
      <c r="UHF99" s="798"/>
      <c r="UHG99" s="798"/>
      <c r="UHH99" s="798"/>
      <c r="UHI99" s="798"/>
      <c r="UHJ99" s="798"/>
      <c r="UHK99" s="798"/>
      <c r="UHL99" s="798"/>
      <c r="UHM99" s="798"/>
      <c r="UHN99" s="798"/>
      <c r="UHO99" s="798"/>
      <c r="UHP99" s="798"/>
      <c r="UHQ99" s="798"/>
      <c r="UHR99" s="798"/>
      <c r="UHS99" s="798"/>
      <c r="UHT99" s="798"/>
      <c r="UHU99" s="798"/>
      <c r="UHV99" s="798"/>
      <c r="UHW99" s="798"/>
      <c r="UHX99" s="798"/>
      <c r="UHY99" s="798"/>
      <c r="UHZ99" s="798"/>
      <c r="UIA99" s="798"/>
      <c r="UIB99" s="798"/>
      <c r="UIC99" s="798"/>
      <c r="UID99" s="798"/>
      <c r="UIE99" s="798"/>
      <c r="UIF99" s="798"/>
      <c r="UIG99" s="798"/>
      <c r="UIH99" s="798"/>
      <c r="UII99" s="798"/>
      <c r="UIJ99" s="798"/>
      <c r="UIK99" s="798"/>
      <c r="UIL99" s="798"/>
      <c r="UIM99" s="798"/>
      <c r="UIN99" s="798"/>
      <c r="UIO99" s="798"/>
      <c r="UIP99" s="798"/>
      <c r="UIQ99" s="798"/>
      <c r="UIR99" s="798"/>
      <c r="UIS99" s="798"/>
      <c r="UIT99" s="798"/>
      <c r="UIU99" s="798"/>
      <c r="UIV99" s="798"/>
      <c r="UIW99" s="798"/>
      <c r="UIX99" s="798"/>
      <c r="UIY99" s="798"/>
      <c r="UIZ99" s="798"/>
      <c r="UJA99" s="798"/>
      <c r="UJB99" s="798"/>
      <c r="UJC99" s="798"/>
      <c r="UJD99" s="798"/>
      <c r="UJE99" s="798"/>
      <c r="UJF99" s="798"/>
      <c r="UJG99" s="798"/>
      <c r="UJH99" s="798"/>
      <c r="UJI99" s="798"/>
      <c r="UJJ99" s="798"/>
      <c r="UJK99" s="798"/>
      <c r="UJL99" s="798"/>
      <c r="UJM99" s="798"/>
      <c r="UJN99" s="798"/>
      <c r="UJO99" s="798"/>
      <c r="UJP99" s="798"/>
      <c r="UJQ99" s="798"/>
      <c r="UJR99" s="798"/>
      <c r="UJS99" s="798"/>
      <c r="UJT99" s="798"/>
      <c r="UJU99" s="798"/>
      <c r="UJV99" s="798"/>
      <c r="UJW99" s="798"/>
      <c r="UJX99" s="798"/>
      <c r="UJY99" s="798"/>
      <c r="UJZ99" s="798"/>
      <c r="UKA99" s="798"/>
      <c r="UKB99" s="798"/>
      <c r="UKC99" s="798"/>
      <c r="UKD99" s="798"/>
      <c r="UKE99" s="798"/>
      <c r="UKF99" s="798"/>
      <c r="UKG99" s="798"/>
      <c r="UKH99" s="798"/>
      <c r="UKI99" s="798"/>
      <c r="UKJ99" s="798"/>
      <c r="UKK99" s="798"/>
      <c r="UKL99" s="798"/>
      <c r="UKM99" s="798"/>
      <c r="UKN99" s="798"/>
      <c r="UKO99" s="798"/>
      <c r="UKP99" s="798"/>
      <c r="UKQ99" s="798"/>
      <c r="UKR99" s="798"/>
      <c r="UKS99" s="798"/>
      <c r="UKT99" s="798"/>
      <c r="UKU99" s="798"/>
      <c r="UKV99" s="798"/>
      <c r="UKW99" s="798"/>
      <c r="UKX99" s="798"/>
      <c r="UKY99" s="798"/>
      <c r="UKZ99" s="798"/>
      <c r="ULA99" s="798"/>
      <c r="ULB99" s="798"/>
      <c r="ULC99" s="798"/>
      <c r="ULD99" s="798"/>
      <c r="ULE99" s="798"/>
      <c r="ULF99" s="798"/>
      <c r="ULG99" s="798"/>
      <c r="ULH99" s="798"/>
      <c r="ULI99" s="798"/>
      <c r="ULJ99" s="798"/>
      <c r="ULK99" s="798"/>
      <c r="ULL99" s="798"/>
      <c r="ULM99" s="798"/>
      <c r="ULN99" s="798"/>
      <c r="ULO99" s="798"/>
      <c r="ULP99" s="798"/>
      <c r="ULQ99" s="798"/>
      <c r="ULR99" s="798"/>
      <c r="ULS99" s="798"/>
      <c r="ULT99" s="798"/>
      <c r="ULU99" s="798"/>
      <c r="ULV99" s="798"/>
      <c r="ULW99" s="798"/>
      <c r="ULX99" s="798"/>
      <c r="ULY99" s="798"/>
      <c r="ULZ99" s="798"/>
      <c r="UMA99" s="798"/>
      <c r="UMB99" s="798"/>
      <c r="UMC99" s="798"/>
      <c r="UMD99" s="798"/>
      <c r="UME99" s="798"/>
      <c r="UMF99" s="798"/>
      <c r="UMG99" s="798"/>
      <c r="UMH99" s="798"/>
      <c r="UMI99" s="798"/>
      <c r="UMJ99" s="798"/>
      <c r="UMK99" s="798"/>
      <c r="UML99" s="798"/>
      <c r="UMM99" s="798"/>
      <c r="UMN99" s="798"/>
      <c r="UMO99" s="798"/>
      <c r="UMP99" s="798"/>
      <c r="UMQ99" s="798"/>
      <c r="UMR99" s="798"/>
      <c r="UMS99" s="798"/>
      <c r="UMT99" s="798"/>
      <c r="UMU99" s="798"/>
      <c r="UMV99" s="798"/>
      <c r="UMW99" s="798"/>
      <c r="UMX99" s="798"/>
      <c r="UMY99" s="798"/>
      <c r="UMZ99" s="798"/>
      <c r="UNA99" s="798"/>
      <c r="UNB99" s="798"/>
      <c r="UNC99" s="798"/>
      <c r="UND99" s="798"/>
      <c r="UNE99" s="798"/>
      <c r="UNF99" s="798"/>
      <c r="UNG99" s="798"/>
      <c r="UNH99" s="798"/>
      <c r="UNI99" s="798"/>
      <c r="UNJ99" s="798"/>
      <c r="UNK99" s="798"/>
      <c r="UNL99" s="798"/>
      <c r="UNM99" s="798"/>
      <c r="UNN99" s="798"/>
      <c r="UNO99" s="798"/>
      <c r="UNP99" s="798"/>
      <c r="UNQ99" s="798"/>
      <c r="UNR99" s="798"/>
      <c r="UNS99" s="798"/>
      <c r="UNT99" s="798"/>
      <c r="UNU99" s="798"/>
      <c r="UNV99" s="798"/>
      <c r="UNW99" s="798"/>
      <c r="UNX99" s="798"/>
      <c r="UNY99" s="798"/>
      <c r="UNZ99" s="798"/>
      <c r="UOA99" s="798"/>
      <c r="UOB99" s="798"/>
      <c r="UOC99" s="798"/>
      <c r="UOD99" s="798"/>
      <c r="UOE99" s="798"/>
      <c r="UOF99" s="798"/>
      <c r="UOG99" s="798"/>
      <c r="UOH99" s="798"/>
      <c r="UOI99" s="798"/>
      <c r="UOJ99" s="798"/>
      <c r="UOK99" s="798"/>
      <c r="UOL99" s="798"/>
      <c r="UOM99" s="798"/>
      <c r="UON99" s="798"/>
      <c r="UOO99" s="798"/>
      <c r="UOP99" s="798"/>
      <c r="UOQ99" s="798"/>
      <c r="UOR99" s="798"/>
      <c r="UOS99" s="798"/>
      <c r="UOT99" s="798"/>
      <c r="UOU99" s="798"/>
      <c r="UOV99" s="798"/>
      <c r="UOW99" s="798"/>
      <c r="UOX99" s="798"/>
      <c r="UOY99" s="798"/>
      <c r="UOZ99" s="798"/>
      <c r="UPA99" s="798"/>
      <c r="UPB99" s="798"/>
      <c r="UPC99" s="798"/>
      <c r="UPD99" s="798"/>
      <c r="UPE99" s="798"/>
      <c r="UPF99" s="798"/>
      <c r="UPG99" s="798"/>
      <c r="UPH99" s="798"/>
      <c r="UPI99" s="798"/>
      <c r="UPJ99" s="798"/>
      <c r="UPK99" s="798"/>
      <c r="UPL99" s="798"/>
      <c r="UPM99" s="798"/>
      <c r="UPN99" s="798"/>
      <c r="UPO99" s="798"/>
      <c r="UPP99" s="798"/>
      <c r="UPQ99" s="798"/>
      <c r="UPR99" s="798"/>
      <c r="UPS99" s="798"/>
      <c r="UPT99" s="798"/>
      <c r="UPU99" s="798"/>
      <c r="UPV99" s="798"/>
      <c r="UPW99" s="798"/>
      <c r="UPX99" s="798"/>
      <c r="UPY99" s="798"/>
      <c r="UPZ99" s="798"/>
      <c r="UQA99" s="798"/>
      <c r="UQB99" s="798"/>
      <c r="UQC99" s="798"/>
      <c r="UQD99" s="798"/>
      <c r="UQE99" s="798"/>
      <c r="UQF99" s="798"/>
      <c r="UQG99" s="798"/>
      <c r="UQH99" s="798"/>
      <c r="UQI99" s="798"/>
      <c r="UQJ99" s="798"/>
      <c r="UQK99" s="798"/>
      <c r="UQL99" s="798"/>
      <c r="UQM99" s="798"/>
      <c r="UQN99" s="798"/>
      <c r="UQO99" s="798"/>
      <c r="UQP99" s="798"/>
      <c r="UQQ99" s="798"/>
      <c r="UQR99" s="798"/>
      <c r="UQS99" s="798"/>
      <c r="UQT99" s="798"/>
      <c r="UQU99" s="798"/>
      <c r="UQV99" s="798"/>
      <c r="UQW99" s="798"/>
      <c r="UQX99" s="798"/>
      <c r="UQY99" s="798"/>
      <c r="UQZ99" s="798"/>
      <c r="URA99" s="798"/>
      <c r="URB99" s="798"/>
      <c r="URC99" s="798"/>
      <c r="URD99" s="798"/>
      <c r="URE99" s="798"/>
      <c r="URF99" s="798"/>
      <c r="URG99" s="798"/>
      <c r="URH99" s="798"/>
      <c r="URI99" s="798"/>
      <c r="URJ99" s="798"/>
      <c r="URK99" s="798"/>
      <c r="URL99" s="798"/>
      <c r="URM99" s="798"/>
      <c r="URN99" s="798"/>
      <c r="URO99" s="798"/>
      <c r="URP99" s="798"/>
      <c r="URQ99" s="798"/>
      <c r="URR99" s="798"/>
      <c r="URS99" s="798"/>
      <c r="URT99" s="798"/>
      <c r="URU99" s="798"/>
      <c r="URV99" s="798"/>
      <c r="URW99" s="798"/>
      <c r="URX99" s="798"/>
      <c r="URY99" s="798"/>
      <c r="URZ99" s="798"/>
      <c r="USA99" s="798"/>
      <c r="USB99" s="798"/>
      <c r="USC99" s="798"/>
      <c r="USD99" s="798"/>
      <c r="USE99" s="798"/>
      <c r="USF99" s="798"/>
      <c r="USG99" s="798"/>
      <c r="USH99" s="798"/>
      <c r="USI99" s="798"/>
      <c r="USJ99" s="798"/>
      <c r="USK99" s="798"/>
      <c r="USL99" s="798"/>
      <c r="USM99" s="798"/>
      <c r="USN99" s="798"/>
      <c r="USO99" s="798"/>
      <c r="USP99" s="798"/>
      <c r="USQ99" s="798"/>
      <c r="USR99" s="798"/>
      <c r="USS99" s="798"/>
      <c r="UST99" s="798"/>
      <c r="USU99" s="798"/>
      <c r="USV99" s="798"/>
      <c r="USW99" s="798"/>
      <c r="USX99" s="798"/>
      <c r="USY99" s="798"/>
      <c r="USZ99" s="798"/>
      <c r="UTA99" s="798"/>
      <c r="UTB99" s="798"/>
      <c r="UTC99" s="798"/>
      <c r="UTD99" s="798"/>
      <c r="UTE99" s="798"/>
      <c r="UTF99" s="798"/>
      <c r="UTG99" s="798"/>
      <c r="UTH99" s="798"/>
      <c r="UTI99" s="798"/>
      <c r="UTJ99" s="798"/>
      <c r="UTK99" s="798"/>
      <c r="UTL99" s="798"/>
      <c r="UTM99" s="798"/>
      <c r="UTN99" s="798"/>
      <c r="UTO99" s="798"/>
      <c r="UTP99" s="798"/>
      <c r="UTQ99" s="798"/>
      <c r="UTR99" s="798"/>
      <c r="UTS99" s="798"/>
      <c r="UTT99" s="798"/>
      <c r="UTU99" s="798"/>
      <c r="UTV99" s="798"/>
      <c r="UTW99" s="798"/>
      <c r="UTX99" s="798"/>
      <c r="UTY99" s="798"/>
      <c r="UTZ99" s="798"/>
      <c r="UUA99" s="798"/>
      <c r="UUB99" s="798"/>
      <c r="UUC99" s="798"/>
      <c r="UUD99" s="798"/>
      <c r="UUE99" s="798"/>
      <c r="UUF99" s="798"/>
      <c r="UUG99" s="798"/>
      <c r="UUH99" s="798"/>
      <c r="UUI99" s="798"/>
      <c r="UUJ99" s="798"/>
      <c r="UUK99" s="798"/>
      <c r="UUL99" s="798"/>
      <c r="UUM99" s="798"/>
      <c r="UUN99" s="798"/>
      <c r="UUO99" s="798"/>
      <c r="UUP99" s="798"/>
      <c r="UUQ99" s="798"/>
      <c r="UUR99" s="798"/>
      <c r="UUS99" s="798"/>
      <c r="UUT99" s="798"/>
      <c r="UUU99" s="798"/>
      <c r="UUV99" s="798"/>
      <c r="UUW99" s="798"/>
      <c r="UUX99" s="798"/>
      <c r="UUY99" s="798"/>
      <c r="UUZ99" s="798"/>
      <c r="UVA99" s="798"/>
      <c r="UVB99" s="798"/>
      <c r="UVC99" s="798"/>
      <c r="UVD99" s="798"/>
      <c r="UVE99" s="798"/>
      <c r="UVF99" s="798"/>
      <c r="UVG99" s="798"/>
      <c r="UVH99" s="798"/>
      <c r="UVI99" s="798"/>
      <c r="UVJ99" s="798"/>
      <c r="UVK99" s="798"/>
      <c r="UVL99" s="798"/>
      <c r="UVM99" s="798"/>
      <c r="UVN99" s="798"/>
      <c r="UVO99" s="798"/>
      <c r="UVP99" s="798"/>
      <c r="UVQ99" s="798"/>
      <c r="UVR99" s="798"/>
      <c r="UVS99" s="798"/>
      <c r="UVT99" s="798"/>
      <c r="UVU99" s="798"/>
      <c r="UVV99" s="798"/>
      <c r="UVW99" s="798"/>
      <c r="UVX99" s="798"/>
      <c r="UVY99" s="798"/>
      <c r="UVZ99" s="798"/>
      <c r="UWA99" s="798"/>
      <c r="UWB99" s="798"/>
      <c r="UWC99" s="798"/>
      <c r="UWD99" s="798"/>
      <c r="UWE99" s="798"/>
      <c r="UWF99" s="798"/>
      <c r="UWG99" s="798"/>
      <c r="UWH99" s="798"/>
      <c r="UWI99" s="798"/>
      <c r="UWJ99" s="798"/>
      <c r="UWK99" s="798"/>
      <c r="UWL99" s="798"/>
      <c r="UWM99" s="798"/>
      <c r="UWN99" s="798"/>
      <c r="UWO99" s="798"/>
      <c r="UWP99" s="798"/>
      <c r="UWQ99" s="798"/>
      <c r="UWR99" s="798"/>
      <c r="UWS99" s="798"/>
      <c r="UWT99" s="798"/>
      <c r="UWU99" s="798"/>
      <c r="UWV99" s="798"/>
      <c r="UWW99" s="798"/>
      <c r="UWX99" s="798"/>
      <c r="UWY99" s="798"/>
      <c r="UWZ99" s="798"/>
      <c r="UXA99" s="798"/>
      <c r="UXB99" s="798"/>
      <c r="UXC99" s="798"/>
      <c r="UXD99" s="798"/>
      <c r="UXE99" s="798"/>
      <c r="UXF99" s="798"/>
      <c r="UXG99" s="798"/>
      <c r="UXH99" s="798"/>
      <c r="UXI99" s="798"/>
      <c r="UXJ99" s="798"/>
      <c r="UXK99" s="798"/>
      <c r="UXL99" s="798"/>
      <c r="UXM99" s="798"/>
      <c r="UXN99" s="798"/>
      <c r="UXO99" s="798"/>
      <c r="UXP99" s="798"/>
      <c r="UXQ99" s="798"/>
      <c r="UXR99" s="798"/>
      <c r="UXS99" s="798"/>
      <c r="UXT99" s="798"/>
      <c r="UXU99" s="798"/>
      <c r="UXV99" s="798"/>
      <c r="UXW99" s="798"/>
      <c r="UXX99" s="798"/>
      <c r="UXY99" s="798"/>
      <c r="UXZ99" s="798"/>
      <c r="UYA99" s="798"/>
      <c r="UYB99" s="798"/>
      <c r="UYC99" s="798"/>
      <c r="UYD99" s="798"/>
      <c r="UYE99" s="798"/>
      <c r="UYF99" s="798"/>
      <c r="UYG99" s="798"/>
      <c r="UYH99" s="798"/>
      <c r="UYI99" s="798"/>
      <c r="UYJ99" s="798"/>
      <c r="UYK99" s="798"/>
      <c r="UYL99" s="798"/>
      <c r="UYM99" s="798"/>
      <c r="UYN99" s="798"/>
      <c r="UYO99" s="798"/>
      <c r="UYP99" s="798"/>
      <c r="UYQ99" s="798"/>
      <c r="UYR99" s="798"/>
      <c r="UYS99" s="798"/>
      <c r="UYT99" s="798"/>
      <c r="UYU99" s="798"/>
      <c r="UYV99" s="798"/>
      <c r="UYW99" s="798"/>
      <c r="UYX99" s="798"/>
      <c r="UYY99" s="798"/>
      <c r="UYZ99" s="798"/>
      <c r="UZA99" s="798"/>
      <c r="UZB99" s="798"/>
      <c r="UZC99" s="798"/>
      <c r="UZD99" s="798"/>
      <c r="UZE99" s="798"/>
      <c r="UZF99" s="798"/>
      <c r="UZG99" s="798"/>
      <c r="UZH99" s="798"/>
      <c r="UZI99" s="798"/>
      <c r="UZJ99" s="798"/>
      <c r="UZK99" s="798"/>
      <c r="UZL99" s="798"/>
      <c r="UZM99" s="798"/>
      <c r="UZN99" s="798"/>
      <c r="UZO99" s="798"/>
      <c r="UZP99" s="798"/>
      <c r="UZQ99" s="798"/>
      <c r="UZR99" s="798"/>
      <c r="UZS99" s="798"/>
      <c r="UZT99" s="798"/>
      <c r="UZU99" s="798"/>
      <c r="UZV99" s="798"/>
      <c r="UZW99" s="798"/>
      <c r="UZX99" s="798"/>
      <c r="UZY99" s="798"/>
      <c r="UZZ99" s="798"/>
      <c r="VAA99" s="798"/>
      <c r="VAB99" s="798"/>
      <c r="VAC99" s="798"/>
      <c r="VAD99" s="798"/>
      <c r="VAE99" s="798"/>
      <c r="VAF99" s="798"/>
      <c r="VAG99" s="798"/>
      <c r="VAH99" s="798"/>
      <c r="VAI99" s="798"/>
      <c r="VAJ99" s="798"/>
      <c r="VAK99" s="798"/>
      <c r="VAL99" s="798"/>
      <c r="VAM99" s="798"/>
      <c r="VAN99" s="798"/>
      <c r="VAO99" s="798"/>
      <c r="VAP99" s="798"/>
      <c r="VAQ99" s="798"/>
      <c r="VAR99" s="798"/>
      <c r="VAS99" s="798"/>
      <c r="VAT99" s="798"/>
      <c r="VAU99" s="798"/>
      <c r="VAV99" s="798"/>
      <c r="VAW99" s="798"/>
      <c r="VAX99" s="798"/>
      <c r="VAY99" s="798"/>
      <c r="VAZ99" s="798"/>
      <c r="VBA99" s="798"/>
      <c r="VBB99" s="798"/>
      <c r="VBC99" s="798"/>
      <c r="VBD99" s="798"/>
      <c r="VBE99" s="798"/>
      <c r="VBF99" s="798"/>
      <c r="VBG99" s="798"/>
      <c r="VBH99" s="798"/>
      <c r="VBI99" s="798"/>
      <c r="VBJ99" s="798"/>
      <c r="VBK99" s="798"/>
      <c r="VBL99" s="798"/>
      <c r="VBM99" s="798"/>
      <c r="VBN99" s="798"/>
      <c r="VBO99" s="798"/>
      <c r="VBP99" s="798"/>
      <c r="VBQ99" s="798"/>
      <c r="VBR99" s="798"/>
      <c r="VBS99" s="798"/>
      <c r="VBT99" s="798"/>
      <c r="VBU99" s="798"/>
      <c r="VBV99" s="798"/>
      <c r="VBW99" s="798"/>
      <c r="VBX99" s="798"/>
      <c r="VBY99" s="798"/>
      <c r="VBZ99" s="798"/>
      <c r="VCA99" s="798"/>
      <c r="VCB99" s="798"/>
      <c r="VCC99" s="798"/>
      <c r="VCD99" s="798"/>
      <c r="VCE99" s="798"/>
      <c r="VCF99" s="798"/>
      <c r="VCG99" s="798"/>
      <c r="VCH99" s="798"/>
      <c r="VCI99" s="798"/>
      <c r="VCJ99" s="798"/>
      <c r="VCK99" s="798"/>
      <c r="VCL99" s="798"/>
      <c r="VCM99" s="798"/>
      <c r="VCN99" s="798"/>
      <c r="VCO99" s="798"/>
      <c r="VCP99" s="798"/>
      <c r="VCQ99" s="798"/>
      <c r="VCR99" s="798"/>
      <c r="VCS99" s="798"/>
      <c r="VCT99" s="798"/>
      <c r="VCU99" s="798"/>
      <c r="VCV99" s="798"/>
      <c r="VCW99" s="798"/>
      <c r="VCX99" s="798"/>
      <c r="VCY99" s="798"/>
      <c r="VCZ99" s="798"/>
      <c r="VDA99" s="798"/>
      <c r="VDB99" s="798"/>
      <c r="VDC99" s="798"/>
      <c r="VDD99" s="798"/>
      <c r="VDE99" s="798"/>
      <c r="VDF99" s="798"/>
      <c r="VDG99" s="798"/>
      <c r="VDH99" s="798"/>
      <c r="VDI99" s="798"/>
      <c r="VDJ99" s="798"/>
      <c r="VDK99" s="798"/>
      <c r="VDL99" s="798"/>
      <c r="VDM99" s="798"/>
      <c r="VDN99" s="798"/>
      <c r="VDO99" s="798"/>
      <c r="VDP99" s="798"/>
      <c r="VDQ99" s="798"/>
      <c r="VDR99" s="798"/>
      <c r="VDS99" s="798"/>
      <c r="VDT99" s="798"/>
      <c r="VDU99" s="798"/>
      <c r="VDV99" s="798"/>
      <c r="VDW99" s="798"/>
      <c r="VDX99" s="798"/>
      <c r="VDY99" s="798"/>
      <c r="VDZ99" s="798"/>
      <c r="VEA99" s="798"/>
      <c r="VEB99" s="798"/>
      <c r="VEC99" s="798"/>
      <c r="VED99" s="798"/>
      <c r="VEE99" s="798"/>
      <c r="VEF99" s="798"/>
      <c r="VEG99" s="798"/>
      <c r="VEH99" s="798"/>
      <c r="VEI99" s="798"/>
      <c r="VEJ99" s="798"/>
      <c r="VEK99" s="798"/>
      <c r="VEL99" s="798"/>
      <c r="VEM99" s="798"/>
      <c r="VEN99" s="798"/>
      <c r="VEO99" s="798"/>
      <c r="VEP99" s="798"/>
      <c r="VEQ99" s="798"/>
      <c r="VER99" s="798"/>
      <c r="VES99" s="798"/>
      <c r="VET99" s="798"/>
      <c r="VEU99" s="798"/>
      <c r="VEV99" s="798"/>
      <c r="VEW99" s="798"/>
      <c r="VEX99" s="798"/>
      <c r="VEY99" s="798"/>
      <c r="VEZ99" s="798"/>
      <c r="VFA99" s="798"/>
      <c r="VFB99" s="798"/>
      <c r="VFC99" s="798"/>
      <c r="VFD99" s="798"/>
      <c r="VFE99" s="798"/>
      <c r="VFF99" s="798"/>
      <c r="VFG99" s="798"/>
      <c r="VFH99" s="798"/>
      <c r="VFI99" s="798"/>
      <c r="VFJ99" s="798"/>
      <c r="VFK99" s="798"/>
      <c r="VFL99" s="798"/>
      <c r="VFM99" s="798"/>
      <c r="VFN99" s="798"/>
      <c r="VFO99" s="798"/>
      <c r="VFP99" s="798"/>
      <c r="VFQ99" s="798"/>
      <c r="VFR99" s="798"/>
      <c r="VFS99" s="798"/>
      <c r="VFT99" s="798"/>
      <c r="VFU99" s="798"/>
      <c r="VFV99" s="798"/>
      <c r="VFW99" s="798"/>
      <c r="VFX99" s="798"/>
      <c r="VFY99" s="798"/>
      <c r="VFZ99" s="798"/>
      <c r="VGA99" s="798"/>
      <c r="VGB99" s="798"/>
      <c r="VGC99" s="798"/>
      <c r="VGD99" s="798"/>
      <c r="VGE99" s="798"/>
      <c r="VGF99" s="798"/>
      <c r="VGG99" s="798"/>
      <c r="VGH99" s="798"/>
      <c r="VGI99" s="798"/>
      <c r="VGJ99" s="798"/>
      <c r="VGK99" s="798"/>
      <c r="VGL99" s="798"/>
      <c r="VGM99" s="798"/>
      <c r="VGN99" s="798"/>
      <c r="VGO99" s="798"/>
      <c r="VGP99" s="798"/>
      <c r="VGQ99" s="798"/>
      <c r="VGR99" s="798"/>
      <c r="VGS99" s="798"/>
      <c r="VGT99" s="798"/>
      <c r="VGU99" s="798"/>
      <c r="VGV99" s="798"/>
      <c r="VGW99" s="798"/>
      <c r="VGX99" s="798"/>
      <c r="VGY99" s="798"/>
      <c r="VGZ99" s="798"/>
      <c r="VHA99" s="798"/>
      <c r="VHB99" s="798"/>
      <c r="VHC99" s="798"/>
      <c r="VHD99" s="798"/>
      <c r="VHE99" s="798"/>
      <c r="VHF99" s="798"/>
      <c r="VHG99" s="798"/>
      <c r="VHH99" s="798"/>
      <c r="VHI99" s="798"/>
      <c r="VHJ99" s="798"/>
      <c r="VHK99" s="798"/>
      <c r="VHL99" s="798"/>
      <c r="VHM99" s="798"/>
      <c r="VHN99" s="798"/>
      <c r="VHO99" s="798"/>
      <c r="VHP99" s="798"/>
      <c r="VHQ99" s="798"/>
      <c r="VHR99" s="798"/>
      <c r="VHS99" s="798"/>
      <c r="VHT99" s="798"/>
      <c r="VHU99" s="798"/>
      <c r="VHV99" s="798"/>
      <c r="VHW99" s="798"/>
      <c r="VHX99" s="798"/>
      <c r="VHY99" s="798"/>
      <c r="VHZ99" s="798"/>
      <c r="VIA99" s="798"/>
      <c r="VIB99" s="798"/>
      <c r="VIC99" s="798"/>
      <c r="VID99" s="798"/>
      <c r="VIE99" s="798"/>
      <c r="VIF99" s="798"/>
      <c r="VIG99" s="798"/>
      <c r="VIH99" s="798"/>
      <c r="VII99" s="798"/>
      <c r="VIJ99" s="798"/>
      <c r="VIK99" s="798"/>
      <c r="VIL99" s="798"/>
      <c r="VIM99" s="798"/>
      <c r="VIN99" s="798"/>
      <c r="VIO99" s="798"/>
      <c r="VIP99" s="798"/>
      <c r="VIQ99" s="798"/>
      <c r="VIR99" s="798"/>
      <c r="VIS99" s="798"/>
      <c r="VIT99" s="798"/>
      <c r="VIU99" s="798"/>
      <c r="VIV99" s="798"/>
      <c r="VIW99" s="798"/>
      <c r="VIX99" s="798"/>
      <c r="VIY99" s="798"/>
      <c r="VIZ99" s="798"/>
      <c r="VJA99" s="798"/>
      <c r="VJB99" s="798"/>
      <c r="VJC99" s="798"/>
      <c r="VJD99" s="798"/>
      <c r="VJE99" s="798"/>
      <c r="VJF99" s="798"/>
      <c r="VJG99" s="798"/>
      <c r="VJH99" s="798"/>
      <c r="VJI99" s="798"/>
      <c r="VJJ99" s="798"/>
      <c r="VJK99" s="798"/>
      <c r="VJL99" s="798"/>
      <c r="VJM99" s="798"/>
      <c r="VJN99" s="798"/>
      <c r="VJO99" s="798"/>
      <c r="VJP99" s="798"/>
      <c r="VJQ99" s="798"/>
      <c r="VJR99" s="798"/>
      <c r="VJS99" s="798"/>
      <c r="VJT99" s="798"/>
      <c r="VJU99" s="798"/>
      <c r="VJV99" s="798"/>
      <c r="VJW99" s="798"/>
      <c r="VJX99" s="798"/>
      <c r="VJY99" s="798"/>
      <c r="VJZ99" s="798"/>
      <c r="VKA99" s="798"/>
      <c r="VKB99" s="798"/>
      <c r="VKC99" s="798"/>
      <c r="VKD99" s="798"/>
      <c r="VKE99" s="798"/>
      <c r="VKF99" s="798"/>
      <c r="VKG99" s="798"/>
      <c r="VKH99" s="798"/>
      <c r="VKI99" s="798"/>
      <c r="VKJ99" s="798"/>
      <c r="VKK99" s="798"/>
      <c r="VKL99" s="798"/>
      <c r="VKM99" s="798"/>
      <c r="VKN99" s="798"/>
      <c r="VKO99" s="798"/>
      <c r="VKP99" s="798"/>
      <c r="VKQ99" s="798"/>
      <c r="VKR99" s="798"/>
      <c r="VKS99" s="798"/>
      <c r="VKT99" s="798"/>
      <c r="VKU99" s="798"/>
      <c r="VKV99" s="798"/>
      <c r="VKW99" s="798"/>
      <c r="VKX99" s="798"/>
      <c r="VKY99" s="798"/>
      <c r="VKZ99" s="798"/>
      <c r="VLA99" s="798"/>
      <c r="VLB99" s="798"/>
      <c r="VLC99" s="798"/>
      <c r="VLD99" s="798"/>
      <c r="VLE99" s="798"/>
      <c r="VLF99" s="798"/>
      <c r="VLG99" s="798"/>
      <c r="VLH99" s="798"/>
      <c r="VLI99" s="798"/>
      <c r="VLJ99" s="798"/>
      <c r="VLK99" s="798"/>
      <c r="VLL99" s="798"/>
      <c r="VLM99" s="798"/>
      <c r="VLN99" s="798"/>
      <c r="VLO99" s="798"/>
      <c r="VLP99" s="798"/>
      <c r="VLQ99" s="798"/>
      <c r="VLR99" s="798"/>
      <c r="VLS99" s="798"/>
      <c r="VLT99" s="798"/>
      <c r="VLU99" s="798"/>
      <c r="VLV99" s="798"/>
      <c r="VLW99" s="798"/>
      <c r="VLX99" s="798"/>
      <c r="VLY99" s="798"/>
      <c r="VLZ99" s="798"/>
      <c r="VMA99" s="798"/>
      <c r="VMB99" s="798"/>
      <c r="VMC99" s="798"/>
      <c r="VMD99" s="798"/>
      <c r="VME99" s="798"/>
      <c r="VMF99" s="798"/>
      <c r="VMG99" s="798"/>
      <c r="VMH99" s="798"/>
      <c r="VMI99" s="798"/>
      <c r="VMJ99" s="798"/>
      <c r="VMK99" s="798"/>
      <c r="VML99" s="798"/>
      <c r="VMM99" s="798"/>
      <c r="VMN99" s="798"/>
      <c r="VMO99" s="798"/>
      <c r="VMP99" s="798"/>
      <c r="VMQ99" s="798"/>
      <c r="VMR99" s="798"/>
      <c r="VMS99" s="798"/>
      <c r="VMT99" s="798"/>
      <c r="VMU99" s="798"/>
      <c r="VMV99" s="798"/>
      <c r="VMW99" s="798"/>
      <c r="VMX99" s="798"/>
      <c r="VMY99" s="798"/>
      <c r="VMZ99" s="798"/>
      <c r="VNA99" s="798"/>
      <c r="VNB99" s="798"/>
      <c r="VNC99" s="798"/>
      <c r="VND99" s="798"/>
      <c r="VNE99" s="798"/>
      <c r="VNF99" s="798"/>
      <c r="VNG99" s="798"/>
      <c r="VNH99" s="798"/>
      <c r="VNI99" s="798"/>
      <c r="VNJ99" s="798"/>
      <c r="VNK99" s="798"/>
      <c r="VNL99" s="798"/>
      <c r="VNM99" s="798"/>
      <c r="VNN99" s="798"/>
      <c r="VNO99" s="798"/>
      <c r="VNP99" s="798"/>
      <c r="VNQ99" s="798"/>
      <c r="VNR99" s="798"/>
      <c r="VNS99" s="798"/>
      <c r="VNT99" s="798"/>
      <c r="VNU99" s="798"/>
      <c r="VNV99" s="798"/>
      <c r="VNW99" s="798"/>
      <c r="VNX99" s="798"/>
      <c r="VNY99" s="798"/>
      <c r="VNZ99" s="798"/>
      <c r="VOA99" s="798"/>
      <c r="VOB99" s="798"/>
      <c r="VOC99" s="798"/>
      <c r="VOD99" s="798"/>
      <c r="VOE99" s="798"/>
      <c r="VOF99" s="798"/>
      <c r="VOG99" s="798"/>
      <c r="VOH99" s="798"/>
      <c r="VOI99" s="798"/>
      <c r="VOJ99" s="798"/>
      <c r="VOK99" s="798"/>
      <c r="VOL99" s="798"/>
      <c r="VOM99" s="798"/>
      <c r="VON99" s="798"/>
      <c r="VOO99" s="798"/>
      <c r="VOP99" s="798"/>
      <c r="VOQ99" s="798"/>
      <c r="VOR99" s="798"/>
      <c r="VOS99" s="798"/>
      <c r="VOT99" s="798"/>
      <c r="VOU99" s="798"/>
      <c r="VOV99" s="798"/>
      <c r="VOW99" s="798"/>
      <c r="VOX99" s="798"/>
      <c r="VOY99" s="798"/>
      <c r="VOZ99" s="798"/>
      <c r="VPA99" s="798"/>
      <c r="VPB99" s="798"/>
      <c r="VPC99" s="798"/>
      <c r="VPD99" s="798"/>
      <c r="VPE99" s="798"/>
      <c r="VPF99" s="798"/>
      <c r="VPG99" s="798"/>
      <c r="VPH99" s="798"/>
      <c r="VPI99" s="798"/>
      <c r="VPJ99" s="798"/>
      <c r="VPK99" s="798"/>
      <c r="VPL99" s="798"/>
      <c r="VPM99" s="798"/>
      <c r="VPN99" s="798"/>
      <c r="VPO99" s="798"/>
      <c r="VPP99" s="798"/>
      <c r="VPQ99" s="798"/>
      <c r="VPR99" s="798"/>
      <c r="VPS99" s="798"/>
      <c r="VPT99" s="798"/>
      <c r="VPU99" s="798"/>
      <c r="VPV99" s="798"/>
      <c r="VPW99" s="798"/>
      <c r="VPX99" s="798"/>
      <c r="VPY99" s="798"/>
      <c r="VPZ99" s="798"/>
      <c r="VQA99" s="798"/>
      <c r="VQB99" s="798"/>
      <c r="VQC99" s="798"/>
      <c r="VQD99" s="798"/>
      <c r="VQE99" s="798"/>
      <c r="VQF99" s="798"/>
      <c r="VQG99" s="798"/>
      <c r="VQH99" s="798"/>
      <c r="VQI99" s="798"/>
      <c r="VQJ99" s="798"/>
      <c r="VQK99" s="798"/>
      <c r="VQL99" s="798"/>
      <c r="VQM99" s="798"/>
      <c r="VQN99" s="798"/>
      <c r="VQO99" s="798"/>
      <c r="VQP99" s="798"/>
      <c r="VQQ99" s="798"/>
      <c r="VQR99" s="798"/>
      <c r="VQS99" s="798"/>
      <c r="VQT99" s="798"/>
      <c r="VQU99" s="798"/>
      <c r="VQV99" s="798"/>
      <c r="VQW99" s="798"/>
      <c r="VQX99" s="798"/>
      <c r="VQY99" s="798"/>
      <c r="VQZ99" s="798"/>
      <c r="VRA99" s="798"/>
      <c r="VRB99" s="798"/>
      <c r="VRC99" s="798"/>
      <c r="VRD99" s="798"/>
      <c r="VRE99" s="798"/>
      <c r="VRF99" s="798"/>
      <c r="VRG99" s="798"/>
      <c r="VRH99" s="798"/>
      <c r="VRI99" s="798"/>
      <c r="VRJ99" s="798"/>
      <c r="VRK99" s="798"/>
      <c r="VRL99" s="798"/>
      <c r="VRM99" s="798"/>
      <c r="VRN99" s="798"/>
      <c r="VRO99" s="798"/>
      <c r="VRP99" s="798"/>
      <c r="VRQ99" s="798"/>
      <c r="VRR99" s="798"/>
      <c r="VRS99" s="798"/>
      <c r="VRT99" s="798"/>
      <c r="VRU99" s="798"/>
      <c r="VRV99" s="798"/>
      <c r="VRW99" s="798"/>
      <c r="VRX99" s="798"/>
      <c r="VRY99" s="798"/>
      <c r="VRZ99" s="798"/>
      <c r="VSA99" s="798"/>
      <c r="VSB99" s="798"/>
      <c r="VSC99" s="798"/>
      <c r="VSD99" s="798"/>
      <c r="VSE99" s="798"/>
      <c r="VSF99" s="798"/>
      <c r="VSG99" s="798"/>
      <c r="VSH99" s="798"/>
      <c r="VSI99" s="798"/>
      <c r="VSJ99" s="798"/>
      <c r="VSK99" s="798"/>
      <c r="VSL99" s="798"/>
      <c r="VSM99" s="798"/>
      <c r="VSN99" s="798"/>
      <c r="VSO99" s="798"/>
      <c r="VSP99" s="798"/>
      <c r="VSQ99" s="798"/>
      <c r="VSR99" s="798"/>
      <c r="VSS99" s="798"/>
      <c r="VST99" s="798"/>
      <c r="VSU99" s="798"/>
      <c r="VSV99" s="798"/>
      <c r="VSW99" s="798"/>
      <c r="VSX99" s="798"/>
      <c r="VSY99" s="798"/>
      <c r="VSZ99" s="798"/>
      <c r="VTA99" s="798"/>
      <c r="VTB99" s="798"/>
      <c r="VTC99" s="798"/>
      <c r="VTD99" s="798"/>
      <c r="VTE99" s="798"/>
      <c r="VTF99" s="798"/>
      <c r="VTG99" s="798"/>
      <c r="VTH99" s="798"/>
      <c r="VTI99" s="798"/>
      <c r="VTJ99" s="798"/>
      <c r="VTK99" s="798"/>
      <c r="VTL99" s="798"/>
      <c r="VTM99" s="798"/>
      <c r="VTN99" s="798"/>
      <c r="VTO99" s="798"/>
      <c r="VTP99" s="798"/>
      <c r="VTQ99" s="798"/>
      <c r="VTR99" s="798"/>
      <c r="VTS99" s="798"/>
      <c r="VTT99" s="798"/>
      <c r="VTU99" s="798"/>
      <c r="VTV99" s="798"/>
      <c r="VTW99" s="798"/>
      <c r="VTX99" s="798"/>
      <c r="VTY99" s="798"/>
      <c r="VTZ99" s="798"/>
      <c r="VUA99" s="798"/>
      <c r="VUB99" s="798"/>
      <c r="VUC99" s="798"/>
      <c r="VUD99" s="798"/>
      <c r="VUE99" s="798"/>
      <c r="VUF99" s="798"/>
      <c r="VUG99" s="798"/>
      <c r="VUH99" s="798"/>
      <c r="VUI99" s="798"/>
      <c r="VUJ99" s="798"/>
      <c r="VUK99" s="798"/>
      <c r="VUL99" s="798"/>
      <c r="VUM99" s="798"/>
      <c r="VUN99" s="798"/>
      <c r="VUO99" s="798"/>
      <c r="VUP99" s="798"/>
      <c r="VUQ99" s="798"/>
      <c r="VUR99" s="798"/>
      <c r="VUS99" s="798"/>
      <c r="VUT99" s="798"/>
      <c r="VUU99" s="798"/>
      <c r="VUV99" s="798"/>
      <c r="VUW99" s="798"/>
      <c r="VUX99" s="798"/>
      <c r="VUY99" s="798"/>
      <c r="VUZ99" s="798"/>
      <c r="VVA99" s="798"/>
      <c r="VVB99" s="798"/>
      <c r="VVC99" s="798"/>
      <c r="VVD99" s="798"/>
      <c r="VVE99" s="798"/>
      <c r="VVF99" s="798"/>
      <c r="VVG99" s="798"/>
      <c r="VVH99" s="798"/>
      <c r="VVI99" s="798"/>
      <c r="VVJ99" s="798"/>
      <c r="VVK99" s="798"/>
      <c r="VVL99" s="798"/>
      <c r="VVM99" s="798"/>
      <c r="VVN99" s="798"/>
      <c r="VVO99" s="798"/>
      <c r="VVP99" s="798"/>
      <c r="VVQ99" s="798"/>
      <c r="VVR99" s="798"/>
      <c r="VVS99" s="798"/>
      <c r="VVT99" s="798"/>
      <c r="VVU99" s="798"/>
      <c r="VVV99" s="798"/>
      <c r="VVW99" s="798"/>
      <c r="VVX99" s="798"/>
      <c r="VVY99" s="798"/>
      <c r="VVZ99" s="798"/>
      <c r="VWA99" s="798"/>
      <c r="VWB99" s="798"/>
      <c r="VWC99" s="798"/>
      <c r="VWD99" s="798"/>
      <c r="VWE99" s="798"/>
      <c r="VWF99" s="798"/>
      <c r="VWG99" s="798"/>
      <c r="VWH99" s="798"/>
      <c r="VWI99" s="798"/>
      <c r="VWJ99" s="798"/>
      <c r="VWK99" s="798"/>
      <c r="VWL99" s="798"/>
      <c r="VWM99" s="798"/>
      <c r="VWN99" s="798"/>
      <c r="VWO99" s="798"/>
      <c r="VWP99" s="798"/>
      <c r="VWQ99" s="798"/>
      <c r="VWR99" s="798"/>
      <c r="VWS99" s="798"/>
      <c r="VWT99" s="798"/>
      <c r="VWU99" s="798"/>
      <c r="VWV99" s="798"/>
      <c r="VWW99" s="798"/>
      <c r="VWX99" s="798"/>
      <c r="VWY99" s="798"/>
      <c r="VWZ99" s="798"/>
      <c r="VXA99" s="798"/>
      <c r="VXB99" s="798"/>
      <c r="VXC99" s="798"/>
      <c r="VXD99" s="798"/>
      <c r="VXE99" s="798"/>
      <c r="VXF99" s="798"/>
      <c r="VXG99" s="798"/>
      <c r="VXH99" s="798"/>
      <c r="VXI99" s="798"/>
      <c r="VXJ99" s="798"/>
      <c r="VXK99" s="798"/>
      <c r="VXL99" s="798"/>
      <c r="VXM99" s="798"/>
      <c r="VXN99" s="798"/>
      <c r="VXO99" s="798"/>
      <c r="VXP99" s="798"/>
      <c r="VXQ99" s="798"/>
      <c r="VXR99" s="798"/>
      <c r="VXS99" s="798"/>
      <c r="VXT99" s="798"/>
      <c r="VXU99" s="798"/>
      <c r="VXV99" s="798"/>
      <c r="VXW99" s="798"/>
      <c r="VXX99" s="798"/>
      <c r="VXY99" s="798"/>
      <c r="VXZ99" s="798"/>
      <c r="VYA99" s="798"/>
      <c r="VYB99" s="798"/>
      <c r="VYC99" s="798"/>
      <c r="VYD99" s="798"/>
      <c r="VYE99" s="798"/>
      <c r="VYF99" s="798"/>
      <c r="VYG99" s="798"/>
      <c r="VYH99" s="798"/>
      <c r="VYI99" s="798"/>
      <c r="VYJ99" s="798"/>
      <c r="VYK99" s="798"/>
      <c r="VYL99" s="798"/>
      <c r="VYM99" s="798"/>
      <c r="VYN99" s="798"/>
      <c r="VYO99" s="798"/>
      <c r="VYP99" s="798"/>
      <c r="VYQ99" s="798"/>
      <c r="VYR99" s="798"/>
      <c r="VYS99" s="798"/>
      <c r="VYT99" s="798"/>
      <c r="VYU99" s="798"/>
      <c r="VYV99" s="798"/>
      <c r="VYW99" s="798"/>
      <c r="VYX99" s="798"/>
      <c r="VYY99" s="798"/>
      <c r="VYZ99" s="798"/>
      <c r="VZA99" s="798"/>
      <c r="VZB99" s="798"/>
      <c r="VZC99" s="798"/>
      <c r="VZD99" s="798"/>
      <c r="VZE99" s="798"/>
      <c r="VZF99" s="798"/>
      <c r="VZG99" s="798"/>
      <c r="VZH99" s="798"/>
      <c r="VZI99" s="798"/>
      <c r="VZJ99" s="798"/>
      <c r="VZK99" s="798"/>
      <c r="VZL99" s="798"/>
      <c r="VZM99" s="798"/>
      <c r="VZN99" s="798"/>
      <c r="VZO99" s="798"/>
      <c r="VZP99" s="798"/>
      <c r="VZQ99" s="798"/>
      <c r="VZR99" s="798"/>
      <c r="VZS99" s="798"/>
      <c r="VZT99" s="798"/>
      <c r="VZU99" s="798"/>
      <c r="VZV99" s="798"/>
      <c r="VZW99" s="798"/>
      <c r="VZX99" s="798"/>
      <c r="VZY99" s="798"/>
      <c r="VZZ99" s="798"/>
      <c r="WAA99" s="798"/>
      <c r="WAB99" s="798"/>
      <c r="WAC99" s="798"/>
      <c r="WAD99" s="798"/>
      <c r="WAE99" s="798"/>
      <c r="WAF99" s="798"/>
      <c r="WAG99" s="798"/>
      <c r="WAH99" s="798"/>
      <c r="WAI99" s="798"/>
      <c r="WAJ99" s="798"/>
      <c r="WAK99" s="798"/>
      <c r="WAL99" s="798"/>
      <c r="WAM99" s="798"/>
      <c r="WAN99" s="798"/>
      <c r="WAO99" s="798"/>
      <c r="WAP99" s="798"/>
      <c r="WAQ99" s="798"/>
      <c r="WAR99" s="798"/>
      <c r="WAS99" s="798"/>
      <c r="WAT99" s="798"/>
      <c r="WAU99" s="798"/>
      <c r="WAV99" s="798"/>
      <c r="WAW99" s="798"/>
      <c r="WAX99" s="798"/>
      <c r="WAY99" s="798"/>
      <c r="WAZ99" s="798"/>
      <c r="WBA99" s="798"/>
      <c r="WBB99" s="798"/>
      <c r="WBC99" s="798"/>
      <c r="WBD99" s="798"/>
      <c r="WBE99" s="798"/>
      <c r="WBF99" s="798"/>
      <c r="WBG99" s="798"/>
      <c r="WBH99" s="798"/>
      <c r="WBI99" s="798"/>
      <c r="WBJ99" s="798"/>
      <c r="WBK99" s="798"/>
      <c r="WBL99" s="798"/>
      <c r="WBM99" s="798"/>
      <c r="WBN99" s="798"/>
      <c r="WBO99" s="798"/>
      <c r="WBP99" s="798"/>
      <c r="WBQ99" s="798"/>
      <c r="WBR99" s="798"/>
      <c r="WBS99" s="798"/>
      <c r="WBT99" s="798"/>
      <c r="WBU99" s="798"/>
      <c r="WBV99" s="798"/>
      <c r="WBW99" s="798"/>
      <c r="WBX99" s="798"/>
      <c r="WBY99" s="798"/>
      <c r="WBZ99" s="798"/>
      <c r="WCA99" s="798"/>
      <c r="WCB99" s="798"/>
      <c r="WCC99" s="798"/>
      <c r="WCD99" s="798"/>
      <c r="WCE99" s="798"/>
      <c r="WCF99" s="798"/>
      <c r="WCG99" s="798"/>
      <c r="WCH99" s="798"/>
      <c r="WCI99" s="798"/>
      <c r="WCJ99" s="798"/>
      <c r="WCK99" s="798"/>
      <c r="WCL99" s="798"/>
      <c r="WCM99" s="798"/>
      <c r="WCN99" s="798"/>
      <c r="WCO99" s="798"/>
      <c r="WCP99" s="798"/>
      <c r="WCQ99" s="798"/>
      <c r="WCR99" s="798"/>
      <c r="WCS99" s="798"/>
      <c r="WCT99" s="798"/>
      <c r="WCU99" s="798"/>
      <c r="WCV99" s="798"/>
      <c r="WCW99" s="798"/>
      <c r="WCX99" s="798"/>
      <c r="WCY99" s="798"/>
      <c r="WCZ99" s="798"/>
      <c r="WDA99" s="798"/>
      <c r="WDB99" s="798"/>
      <c r="WDC99" s="798"/>
      <c r="WDD99" s="798"/>
      <c r="WDE99" s="798"/>
      <c r="WDF99" s="798"/>
      <c r="WDG99" s="798"/>
      <c r="WDH99" s="798"/>
      <c r="WDI99" s="798"/>
      <c r="WDJ99" s="798"/>
      <c r="WDK99" s="798"/>
      <c r="WDL99" s="798"/>
      <c r="WDM99" s="798"/>
      <c r="WDN99" s="798"/>
      <c r="WDO99" s="798"/>
      <c r="WDP99" s="798"/>
      <c r="WDQ99" s="798"/>
      <c r="WDR99" s="798"/>
      <c r="WDS99" s="798"/>
      <c r="WDT99" s="798"/>
      <c r="WDU99" s="798"/>
      <c r="WDV99" s="798"/>
      <c r="WDW99" s="798"/>
      <c r="WDX99" s="798"/>
      <c r="WDY99" s="798"/>
      <c r="WDZ99" s="798"/>
      <c r="WEA99" s="798"/>
      <c r="WEB99" s="798"/>
      <c r="WEC99" s="798"/>
      <c r="WED99" s="798"/>
      <c r="WEE99" s="798"/>
      <c r="WEF99" s="798"/>
      <c r="WEG99" s="798"/>
      <c r="WEH99" s="798"/>
      <c r="WEI99" s="798"/>
      <c r="WEJ99" s="798"/>
      <c r="WEK99" s="798"/>
      <c r="WEL99" s="798"/>
      <c r="WEM99" s="798"/>
      <c r="WEN99" s="798"/>
      <c r="WEO99" s="798"/>
      <c r="WEP99" s="798"/>
      <c r="WEQ99" s="798"/>
      <c r="WER99" s="798"/>
      <c r="WES99" s="798"/>
      <c r="WET99" s="798"/>
      <c r="WEU99" s="798"/>
      <c r="WEV99" s="798"/>
      <c r="WEW99" s="798"/>
      <c r="WEX99" s="798"/>
      <c r="WEY99" s="798"/>
      <c r="WEZ99" s="798"/>
      <c r="WFA99" s="798"/>
      <c r="WFB99" s="798"/>
      <c r="WFC99" s="798"/>
      <c r="WFD99" s="798"/>
      <c r="WFE99" s="798"/>
      <c r="WFF99" s="798"/>
      <c r="WFG99" s="798"/>
      <c r="WFH99" s="798"/>
      <c r="WFI99" s="798"/>
      <c r="WFJ99" s="798"/>
      <c r="WFK99" s="798"/>
      <c r="WFL99" s="798"/>
      <c r="WFM99" s="798"/>
      <c r="WFN99" s="798"/>
      <c r="WFO99" s="798"/>
      <c r="WFP99" s="798"/>
      <c r="WFQ99" s="798"/>
      <c r="WFR99" s="798"/>
      <c r="WFS99" s="798"/>
      <c r="WFT99" s="798"/>
      <c r="WFU99" s="798"/>
      <c r="WFV99" s="798"/>
      <c r="WFW99" s="798"/>
      <c r="WFX99" s="798"/>
      <c r="WFY99" s="798"/>
      <c r="WFZ99" s="798"/>
      <c r="WGA99" s="798"/>
      <c r="WGB99" s="798"/>
      <c r="WGC99" s="798"/>
      <c r="WGD99" s="798"/>
      <c r="WGE99" s="798"/>
      <c r="WGF99" s="798"/>
      <c r="WGG99" s="798"/>
      <c r="WGH99" s="798"/>
      <c r="WGI99" s="798"/>
      <c r="WGJ99" s="798"/>
      <c r="WGK99" s="798"/>
      <c r="WGL99" s="798"/>
      <c r="WGM99" s="798"/>
      <c r="WGN99" s="798"/>
      <c r="WGO99" s="798"/>
      <c r="WGP99" s="798"/>
      <c r="WGQ99" s="798"/>
      <c r="WGR99" s="798"/>
      <c r="WGS99" s="798"/>
      <c r="WGT99" s="798"/>
      <c r="WGU99" s="798"/>
      <c r="WGV99" s="798"/>
      <c r="WGW99" s="798"/>
      <c r="WGX99" s="798"/>
      <c r="WGY99" s="798"/>
      <c r="WGZ99" s="798"/>
      <c r="WHA99" s="798"/>
      <c r="WHB99" s="798"/>
      <c r="WHC99" s="798"/>
      <c r="WHD99" s="798"/>
      <c r="WHE99" s="798"/>
      <c r="WHF99" s="798"/>
      <c r="WHG99" s="798"/>
      <c r="WHH99" s="798"/>
      <c r="WHI99" s="798"/>
      <c r="WHJ99" s="798"/>
      <c r="WHK99" s="798"/>
      <c r="WHL99" s="798"/>
      <c r="WHM99" s="798"/>
      <c r="WHN99" s="798"/>
      <c r="WHO99" s="798"/>
      <c r="WHP99" s="798"/>
      <c r="WHQ99" s="798"/>
      <c r="WHR99" s="798"/>
      <c r="WHS99" s="798"/>
      <c r="WHT99" s="798"/>
      <c r="WHU99" s="798"/>
      <c r="WHV99" s="798"/>
      <c r="WHW99" s="798"/>
      <c r="WHX99" s="798"/>
      <c r="WHY99" s="798"/>
      <c r="WHZ99" s="798"/>
      <c r="WIA99" s="798"/>
      <c r="WIB99" s="798"/>
      <c r="WIC99" s="798"/>
      <c r="WID99" s="798"/>
      <c r="WIE99" s="798"/>
      <c r="WIF99" s="798"/>
      <c r="WIG99" s="798"/>
      <c r="WIH99" s="798"/>
      <c r="WII99" s="798"/>
      <c r="WIJ99" s="798"/>
      <c r="WIK99" s="798"/>
      <c r="WIL99" s="798"/>
      <c r="WIM99" s="798"/>
      <c r="WIN99" s="798"/>
      <c r="WIO99" s="798"/>
      <c r="WIP99" s="798"/>
      <c r="WIQ99" s="798"/>
      <c r="WIR99" s="798"/>
      <c r="WIS99" s="798"/>
      <c r="WIT99" s="798"/>
      <c r="WIU99" s="798"/>
      <c r="WIV99" s="798"/>
      <c r="WIW99" s="798"/>
      <c r="WIX99" s="798"/>
      <c r="WIY99" s="798"/>
      <c r="WIZ99" s="798"/>
      <c r="WJA99" s="798"/>
      <c r="WJB99" s="798"/>
      <c r="WJC99" s="798"/>
      <c r="WJD99" s="798"/>
      <c r="WJE99" s="798"/>
      <c r="WJF99" s="798"/>
      <c r="WJG99" s="798"/>
      <c r="WJH99" s="798"/>
      <c r="WJI99" s="798"/>
      <c r="WJJ99" s="798"/>
      <c r="WJK99" s="798"/>
      <c r="WJL99" s="798"/>
      <c r="WJM99" s="798"/>
      <c r="WJN99" s="798"/>
      <c r="WJO99" s="798"/>
      <c r="WJP99" s="798"/>
      <c r="WJQ99" s="798"/>
      <c r="WJR99" s="798"/>
      <c r="WJS99" s="798"/>
      <c r="WJT99" s="798"/>
      <c r="WJU99" s="798"/>
      <c r="WJV99" s="798"/>
      <c r="WJW99" s="798"/>
      <c r="WJX99" s="798"/>
      <c r="WJY99" s="798"/>
      <c r="WJZ99" s="798"/>
      <c r="WKA99" s="798"/>
      <c r="WKB99" s="798"/>
      <c r="WKC99" s="798"/>
      <c r="WKD99" s="798"/>
      <c r="WKE99" s="798"/>
      <c r="WKF99" s="798"/>
      <c r="WKG99" s="798"/>
      <c r="WKH99" s="798"/>
      <c r="WKI99" s="798"/>
      <c r="WKJ99" s="798"/>
      <c r="WKK99" s="798"/>
      <c r="WKL99" s="798"/>
      <c r="WKM99" s="798"/>
      <c r="WKN99" s="798"/>
      <c r="WKO99" s="798"/>
      <c r="WKP99" s="798"/>
      <c r="WKQ99" s="798"/>
      <c r="WKR99" s="798"/>
      <c r="WKS99" s="798"/>
      <c r="WKT99" s="798"/>
      <c r="WKU99" s="798"/>
      <c r="WKV99" s="798"/>
      <c r="WKW99" s="798"/>
      <c r="WKX99" s="798"/>
      <c r="WKY99" s="798"/>
      <c r="WKZ99" s="798"/>
      <c r="WLA99" s="798"/>
      <c r="WLB99" s="798"/>
      <c r="WLC99" s="798"/>
      <c r="WLD99" s="798"/>
      <c r="WLE99" s="798"/>
      <c r="WLF99" s="798"/>
      <c r="WLG99" s="798"/>
      <c r="WLH99" s="798"/>
      <c r="WLI99" s="798"/>
      <c r="WLJ99" s="798"/>
      <c r="WLK99" s="798"/>
      <c r="WLL99" s="798"/>
      <c r="WLM99" s="798"/>
      <c r="WLN99" s="798"/>
      <c r="WLO99" s="798"/>
      <c r="WLP99" s="798"/>
      <c r="WLQ99" s="798"/>
      <c r="WLR99" s="798"/>
      <c r="WLS99" s="798"/>
      <c r="WLT99" s="798"/>
      <c r="WLU99" s="798"/>
      <c r="WLV99" s="798"/>
      <c r="WLW99" s="798"/>
      <c r="WLX99" s="798"/>
      <c r="WLY99" s="798"/>
      <c r="WLZ99" s="798"/>
      <c r="WMA99" s="798"/>
      <c r="WMB99" s="798"/>
      <c r="WMC99" s="798"/>
      <c r="WMD99" s="798"/>
      <c r="WME99" s="798"/>
      <c r="WMF99" s="798"/>
      <c r="WMG99" s="798"/>
      <c r="WMH99" s="798"/>
      <c r="WMI99" s="798"/>
      <c r="WMJ99" s="798"/>
      <c r="WMK99" s="798"/>
      <c r="WML99" s="798"/>
      <c r="WMM99" s="798"/>
      <c r="WMN99" s="798"/>
      <c r="WMO99" s="798"/>
      <c r="WMP99" s="798"/>
      <c r="WMQ99" s="798"/>
      <c r="WMR99" s="798"/>
      <c r="WMS99" s="798"/>
      <c r="WMT99" s="798"/>
      <c r="WMU99" s="798"/>
      <c r="WMV99" s="798"/>
      <c r="WMW99" s="798"/>
      <c r="WMX99" s="798"/>
      <c r="WMY99" s="798"/>
      <c r="WMZ99" s="798"/>
      <c r="WNA99" s="798"/>
      <c r="WNB99" s="798"/>
      <c r="WNC99" s="798"/>
      <c r="WND99" s="798"/>
      <c r="WNE99" s="798"/>
      <c r="WNF99" s="798"/>
      <c r="WNG99" s="798"/>
      <c r="WNH99" s="798"/>
      <c r="WNI99" s="798"/>
      <c r="WNJ99" s="798"/>
      <c r="WNK99" s="798"/>
      <c r="WNL99" s="798"/>
      <c r="WNM99" s="798"/>
      <c r="WNN99" s="798"/>
      <c r="WNO99" s="798"/>
      <c r="WNP99" s="798"/>
      <c r="WNQ99" s="798"/>
      <c r="WNR99" s="798"/>
      <c r="WNS99" s="798"/>
      <c r="WNT99" s="798"/>
      <c r="WNU99" s="798"/>
      <c r="WNV99" s="798"/>
      <c r="WNW99" s="798"/>
      <c r="WNX99" s="798"/>
      <c r="WNY99" s="798"/>
      <c r="WNZ99" s="798"/>
      <c r="WOA99" s="798"/>
      <c r="WOB99" s="798"/>
      <c r="WOC99" s="798"/>
      <c r="WOD99" s="798"/>
      <c r="WOE99" s="798"/>
      <c r="WOF99" s="798"/>
      <c r="WOG99" s="798"/>
      <c r="WOH99" s="798"/>
      <c r="WOI99" s="798"/>
      <c r="WOJ99" s="798"/>
      <c r="WOK99" s="798"/>
      <c r="WOL99" s="798"/>
      <c r="WOM99" s="798"/>
      <c r="WON99" s="798"/>
      <c r="WOO99" s="798"/>
      <c r="WOP99" s="798"/>
      <c r="WOQ99" s="798"/>
      <c r="WOR99" s="798"/>
      <c r="WOS99" s="798"/>
      <c r="WOT99" s="798"/>
      <c r="WOU99" s="798"/>
      <c r="WOV99" s="798"/>
      <c r="WOW99" s="798"/>
      <c r="WOX99" s="798"/>
      <c r="WOY99" s="798"/>
      <c r="WOZ99" s="798"/>
      <c r="WPA99" s="798"/>
      <c r="WPB99" s="798"/>
      <c r="WPC99" s="798"/>
      <c r="WPD99" s="798"/>
      <c r="WPE99" s="798"/>
      <c r="WPF99" s="798"/>
      <c r="WPG99" s="798"/>
      <c r="WPH99" s="798"/>
      <c r="WPI99" s="798"/>
      <c r="WPJ99" s="798"/>
      <c r="WPK99" s="798"/>
      <c r="WPL99" s="798"/>
      <c r="WPM99" s="798"/>
      <c r="WPN99" s="798"/>
      <c r="WPO99" s="798"/>
      <c r="WPP99" s="798"/>
      <c r="WPQ99" s="798"/>
      <c r="WPR99" s="798"/>
      <c r="WPS99" s="798"/>
      <c r="WPT99" s="798"/>
      <c r="WPU99" s="798"/>
      <c r="WPV99" s="798"/>
      <c r="WPW99" s="798"/>
      <c r="WPX99" s="798"/>
      <c r="WPY99" s="798"/>
      <c r="WPZ99" s="798"/>
      <c r="WQA99" s="798"/>
      <c r="WQB99" s="798"/>
      <c r="WQC99" s="798"/>
      <c r="WQD99" s="798"/>
      <c r="WQE99" s="798"/>
      <c r="WQF99" s="798"/>
      <c r="WQG99" s="798"/>
      <c r="WQH99" s="798"/>
      <c r="WQI99" s="798"/>
      <c r="WQJ99" s="798"/>
      <c r="WQK99" s="798"/>
      <c r="WQL99" s="798"/>
      <c r="WQM99" s="798"/>
      <c r="WQN99" s="798"/>
      <c r="WQO99" s="798"/>
      <c r="WQP99" s="798"/>
      <c r="WQQ99" s="798"/>
      <c r="WQR99" s="798"/>
      <c r="WQS99" s="798"/>
      <c r="WQT99" s="798"/>
      <c r="WQU99" s="798"/>
      <c r="WQV99" s="798"/>
      <c r="WQW99" s="798"/>
      <c r="WQX99" s="798"/>
      <c r="WQY99" s="798"/>
      <c r="WQZ99" s="798"/>
      <c r="WRA99" s="798"/>
      <c r="WRB99" s="798"/>
      <c r="WRC99" s="798"/>
      <c r="WRD99" s="798"/>
      <c r="WRE99" s="798"/>
      <c r="WRF99" s="798"/>
      <c r="WRG99" s="798"/>
      <c r="WRH99" s="798"/>
      <c r="WRI99" s="798"/>
      <c r="WRJ99" s="798"/>
      <c r="WRK99" s="798"/>
      <c r="WRL99" s="798"/>
      <c r="WRM99" s="798"/>
      <c r="WRN99" s="798"/>
      <c r="WRO99" s="798"/>
      <c r="WRP99" s="798"/>
      <c r="WRQ99" s="798"/>
      <c r="WRR99" s="798"/>
      <c r="WRS99" s="798"/>
      <c r="WRT99" s="798"/>
      <c r="WRU99" s="798"/>
      <c r="WRV99" s="798"/>
      <c r="WRW99" s="798"/>
      <c r="WRX99" s="798"/>
      <c r="WRY99" s="798"/>
      <c r="WRZ99" s="798"/>
      <c r="WSA99" s="798"/>
      <c r="WSB99" s="798"/>
      <c r="WSC99" s="798"/>
      <c r="WSD99" s="798"/>
      <c r="WSE99" s="798"/>
      <c r="WSF99" s="798"/>
      <c r="WSG99" s="798"/>
      <c r="WSH99" s="798"/>
      <c r="WSI99" s="798"/>
      <c r="WSJ99" s="798"/>
      <c r="WSK99" s="798"/>
      <c r="WSL99" s="798"/>
      <c r="WSM99" s="798"/>
      <c r="WSN99" s="798"/>
      <c r="WSO99" s="798"/>
      <c r="WSP99" s="798"/>
      <c r="WSQ99" s="798"/>
      <c r="WSR99" s="798"/>
      <c r="WSS99" s="798"/>
      <c r="WST99" s="798"/>
      <c r="WSU99" s="798"/>
      <c r="WSV99" s="798"/>
      <c r="WSW99" s="798"/>
      <c r="WSX99" s="798"/>
      <c r="WSY99" s="798"/>
      <c r="WSZ99" s="798"/>
      <c r="WTA99" s="798"/>
      <c r="WTB99" s="798"/>
      <c r="WTC99" s="798"/>
      <c r="WTD99" s="798"/>
      <c r="WTE99" s="798"/>
      <c r="WTF99" s="798"/>
      <c r="WTG99" s="798"/>
      <c r="WTH99" s="798"/>
      <c r="WTI99" s="798"/>
      <c r="WTJ99" s="798"/>
      <c r="WTK99" s="798"/>
      <c r="WTL99" s="798"/>
      <c r="WTM99" s="798"/>
      <c r="WTN99" s="798"/>
      <c r="WTO99" s="798"/>
      <c r="WTP99" s="798"/>
      <c r="WTQ99" s="798"/>
      <c r="WTR99" s="798"/>
      <c r="WTS99" s="798"/>
      <c r="WTT99" s="798"/>
      <c r="WTU99" s="798"/>
      <c r="WTV99" s="798"/>
      <c r="WTW99" s="798"/>
      <c r="WTX99" s="798"/>
      <c r="WTY99" s="798"/>
      <c r="WTZ99" s="798"/>
      <c r="WUA99" s="798"/>
      <c r="WUB99" s="798"/>
      <c r="WUC99" s="798"/>
      <c r="WUD99" s="798"/>
      <c r="WUE99" s="798"/>
      <c r="WUF99" s="798"/>
      <c r="WUG99" s="798"/>
      <c r="WUH99" s="798"/>
      <c r="WUI99" s="798"/>
      <c r="WUJ99" s="798"/>
      <c r="WUK99" s="798"/>
      <c r="WUL99" s="798"/>
      <c r="WUM99" s="798"/>
      <c r="WUN99" s="798"/>
      <c r="WUO99" s="798"/>
      <c r="WUP99" s="798"/>
      <c r="WUQ99" s="798"/>
      <c r="WUR99" s="798"/>
      <c r="WUS99" s="798"/>
      <c r="WUT99" s="798"/>
      <c r="WUU99" s="798"/>
      <c r="WUV99" s="798"/>
      <c r="WUW99" s="798"/>
      <c r="WUX99" s="798"/>
      <c r="WUY99" s="798"/>
      <c r="WUZ99" s="798"/>
      <c r="WVA99" s="798"/>
      <c r="WVB99" s="798"/>
      <c r="WVC99" s="798"/>
      <c r="WVD99" s="798"/>
      <c r="WVE99" s="798"/>
      <c r="WVF99" s="798"/>
      <c r="WVG99" s="798"/>
      <c r="WVH99" s="798"/>
      <c r="WVI99" s="798"/>
      <c r="WVJ99" s="798"/>
      <c r="WVK99" s="798"/>
      <c r="WVL99" s="798"/>
      <c r="WVM99" s="798"/>
      <c r="WVN99" s="798"/>
      <c r="WVO99" s="798"/>
      <c r="WVP99" s="798"/>
      <c r="WVQ99" s="798"/>
      <c r="WVR99" s="798"/>
      <c r="WVS99" s="798"/>
      <c r="WVT99" s="798"/>
      <c r="WVU99" s="798"/>
      <c r="WVV99" s="798"/>
      <c r="WVW99" s="798"/>
      <c r="WVX99" s="798"/>
      <c r="WVY99" s="798"/>
      <c r="WVZ99" s="798"/>
      <c r="WWA99" s="798"/>
      <c r="WWB99" s="798"/>
      <c r="WWC99" s="798"/>
      <c r="WWD99" s="798"/>
      <c r="WWE99" s="798"/>
      <c r="WWF99" s="798"/>
      <c r="WWG99" s="798"/>
      <c r="WWH99" s="798"/>
      <c r="WWI99" s="798"/>
      <c r="WWJ99" s="798"/>
      <c r="WWK99" s="798"/>
      <c r="WWL99" s="798"/>
      <c r="WWM99" s="798"/>
      <c r="WWN99" s="798"/>
      <c r="WWO99" s="798"/>
      <c r="WWP99" s="798"/>
      <c r="WWQ99" s="798"/>
      <c r="WWR99" s="798"/>
      <c r="WWS99" s="798"/>
      <c r="WWT99" s="798"/>
      <c r="WWU99" s="798"/>
      <c r="WWV99" s="798"/>
      <c r="WWW99" s="798"/>
      <c r="WWX99" s="798"/>
      <c r="WWY99" s="798"/>
      <c r="WWZ99" s="798"/>
      <c r="WXA99" s="798"/>
      <c r="WXB99" s="798"/>
      <c r="WXC99" s="798"/>
      <c r="WXD99" s="798"/>
      <c r="WXE99" s="798"/>
      <c r="WXF99" s="798"/>
      <c r="WXG99" s="798"/>
      <c r="WXH99" s="798"/>
      <c r="WXI99" s="798"/>
      <c r="WXJ99" s="798"/>
      <c r="WXK99" s="798"/>
      <c r="WXL99" s="798"/>
      <c r="WXM99" s="798"/>
      <c r="WXN99" s="798"/>
      <c r="WXO99" s="798"/>
      <c r="WXP99" s="798"/>
      <c r="WXQ99" s="798"/>
      <c r="WXR99" s="798"/>
      <c r="WXS99" s="798"/>
      <c r="WXT99" s="798"/>
      <c r="WXU99" s="798"/>
      <c r="WXV99" s="798"/>
      <c r="WXW99" s="798"/>
      <c r="WXX99" s="798"/>
      <c r="WXY99" s="798"/>
      <c r="WXZ99" s="798"/>
      <c r="WYA99" s="798"/>
      <c r="WYB99" s="798"/>
      <c r="WYC99" s="798"/>
      <c r="WYD99" s="798"/>
      <c r="WYE99" s="798"/>
      <c r="WYF99" s="798"/>
      <c r="WYG99" s="798"/>
      <c r="WYH99" s="798"/>
      <c r="WYI99" s="798"/>
      <c r="WYJ99" s="798"/>
      <c r="WYK99" s="798"/>
      <c r="WYL99" s="798"/>
      <c r="WYM99" s="798"/>
      <c r="WYN99" s="798"/>
      <c r="WYO99" s="798"/>
      <c r="WYP99" s="798"/>
      <c r="WYQ99" s="798"/>
      <c r="WYR99" s="798"/>
      <c r="WYS99" s="798"/>
      <c r="WYT99" s="798"/>
      <c r="WYU99" s="798"/>
      <c r="WYV99" s="798"/>
      <c r="WYW99" s="798"/>
      <c r="WYX99" s="798"/>
      <c r="WYY99" s="798"/>
      <c r="WYZ99" s="798"/>
      <c r="WZA99" s="798"/>
      <c r="WZB99" s="798"/>
      <c r="WZC99" s="798"/>
      <c r="WZD99" s="798"/>
      <c r="WZE99" s="798"/>
      <c r="WZF99" s="798"/>
      <c r="WZG99" s="798"/>
      <c r="WZH99" s="798"/>
      <c r="WZI99" s="798"/>
      <c r="WZJ99" s="798"/>
      <c r="WZK99" s="798"/>
      <c r="WZL99" s="798"/>
      <c r="WZM99" s="798"/>
      <c r="WZN99" s="798"/>
      <c r="WZO99" s="798"/>
      <c r="WZP99" s="798"/>
      <c r="WZQ99" s="798"/>
      <c r="WZR99" s="798"/>
      <c r="WZS99" s="798"/>
      <c r="WZT99" s="798"/>
      <c r="WZU99" s="798"/>
      <c r="WZV99" s="798"/>
      <c r="WZW99" s="798"/>
      <c r="WZX99" s="798"/>
      <c r="WZY99" s="798"/>
      <c r="WZZ99" s="798"/>
      <c r="XAA99" s="798"/>
      <c r="XAB99" s="798"/>
      <c r="XAC99" s="798"/>
      <c r="XAD99" s="798"/>
      <c r="XAE99" s="798"/>
      <c r="XAF99" s="798"/>
      <c r="XAG99" s="798"/>
      <c r="XAH99" s="798"/>
      <c r="XAI99" s="798"/>
      <c r="XAJ99" s="798"/>
      <c r="XAK99" s="798"/>
      <c r="XAL99" s="798"/>
      <c r="XAM99" s="798"/>
      <c r="XAN99" s="798"/>
      <c r="XAO99" s="798"/>
      <c r="XAP99" s="798"/>
      <c r="XAQ99" s="798"/>
      <c r="XAR99" s="798"/>
      <c r="XAS99" s="798"/>
      <c r="XAT99" s="798"/>
      <c r="XAU99" s="798"/>
      <c r="XAV99" s="798"/>
      <c r="XAW99" s="798"/>
      <c r="XAX99" s="798"/>
      <c r="XAY99" s="798"/>
      <c r="XAZ99" s="798"/>
      <c r="XBA99" s="798"/>
      <c r="XBB99" s="798"/>
      <c r="XBC99" s="798"/>
      <c r="XBD99" s="798"/>
    </row>
    <row r="100" spans="1:16280" ht="43.2" x14ac:dyDescent="0.3">
      <c r="A100" s="422">
        <v>97</v>
      </c>
      <c r="B100" s="373"/>
      <c r="C100" s="370" t="s">
        <v>418</v>
      </c>
      <c r="D100" s="279" t="s">
        <v>639</v>
      </c>
      <c r="E100" s="371" t="s">
        <v>677</v>
      </c>
      <c r="F100" s="372" t="s">
        <v>975</v>
      </c>
      <c r="G100" s="371" t="s">
        <v>941</v>
      </c>
      <c r="H100" s="276" t="s">
        <v>35</v>
      </c>
      <c r="I100" s="276" t="s">
        <v>414</v>
      </c>
      <c r="J100" s="276" t="s">
        <v>615</v>
      </c>
      <c r="K100" s="277" t="s">
        <v>642</v>
      </c>
      <c r="L100" s="277"/>
      <c r="M100" s="277"/>
      <c r="N100" s="374" t="s">
        <v>635</v>
      </c>
      <c r="O100" s="281"/>
      <c r="P100" s="291" t="s">
        <v>801</v>
      </c>
      <c r="Q100" s="192"/>
      <c r="R100" s="192"/>
      <c r="S100" s="192"/>
      <c r="T100" s="190"/>
      <c r="U100" s="190"/>
      <c r="V100" s="190"/>
      <c r="W100" s="190"/>
      <c r="X100" s="190"/>
      <c r="Y100" s="190"/>
      <c r="Z100" s="190"/>
      <c r="AA100" s="190"/>
      <c r="AB100" s="190"/>
      <c r="AC100" s="798"/>
      <c r="AD100" s="798"/>
      <c r="AE100" s="798"/>
      <c r="AF100" s="798"/>
      <c r="AG100" s="798"/>
      <c r="AH100" s="798"/>
      <c r="AI100" s="798"/>
      <c r="AJ100" s="798"/>
      <c r="AK100" s="798"/>
      <c r="AL100" s="798"/>
      <c r="AM100" s="798"/>
      <c r="AN100" s="798"/>
      <c r="AO100" s="798"/>
      <c r="AP100" s="798"/>
      <c r="AQ100" s="798"/>
      <c r="AR100" s="798"/>
      <c r="AS100" s="798"/>
      <c r="AT100" s="798"/>
      <c r="AU100" s="798"/>
      <c r="AV100" s="798"/>
      <c r="AW100" s="798"/>
      <c r="AX100" s="798"/>
      <c r="AY100" s="798"/>
      <c r="AZ100" s="798"/>
      <c r="BA100" s="798"/>
      <c r="BB100" s="798"/>
      <c r="BC100" s="798"/>
      <c r="BD100" s="798"/>
      <c r="BE100" s="798"/>
      <c r="BF100" s="798"/>
      <c r="BG100" s="798"/>
      <c r="BH100" s="798"/>
      <c r="BI100" s="798"/>
      <c r="BJ100" s="798"/>
      <c r="BK100" s="798"/>
      <c r="BL100" s="798"/>
      <c r="BM100" s="798"/>
      <c r="BN100" s="798"/>
      <c r="BO100" s="798"/>
      <c r="BP100" s="798"/>
      <c r="BQ100" s="798"/>
      <c r="BR100" s="798"/>
      <c r="BS100" s="798"/>
      <c r="BT100" s="798"/>
      <c r="BU100" s="798"/>
      <c r="BV100" s="798"/>
      <c r="BW100" s="798"/>
      <c r="BX100" s="798"/>
      <c r="BY100" s="798"/>
      <c r="BZ100" s="798"/>
      <c r="CA100" s="798"/>
      <c r="CB100" s="798"/>
      <c r="CC100" s="798"/>
      <c r="CD100" s="798"/>
      <c r="CE100" s="798"/>
      <c r="CF100" s="798"/>
      <c r="CG100" s="798"/>
      <c r="CH100" s="798"/>
      <c r="CI100" s="798"/>
      <c r="CJ100" s="798"/>
      <c r="CK100" s="798"/>
      <c r="CL100" s="798"/>
      <c r="CM100" s="798"/>
      <c r="CN100" s="798"/>
      <c r="CO100" s="798"/>
      <c r="CP100" s="798"/>
      <c r="CQ100" s="798"/>
      <c r="CR100" s="798"/>
      <c r="CS100" s="798"/>
      <c r="CT100" s="798"/>
      <c r="CU100" s="798"/>
      <c r="CV100" s="798"/>
      <c r="CW100" s="798"/>
      <c r="CX100" s="798"/>
      <c r="CY100" s="798"/>
      <c r="CZ100" s="798"/>
      <c r="DA100" s="798"/>
      <c r="DB100" s="798"/>
      <c r="DC100" s="798"/>
      <c r="DD100" s="798"/>
      <c r="DE100" s="798"/>
      <c r="DF100" s="798"/>
      <c r="DG100" s="798"/>
      <c r="DH100" s="798"/>
      <c r="DI100" s="798"/>
      <c r="DJ100" s="798"/>
      <c r="DK100" s="798"/>
      <c r="DL100" s="798"/>
      <c r="DM100" s="798"/>
      <c r="DN100" s="798"/>
      <c r="DO100" s="798"/>
      <c r="DP100" s="798"/>
      <c r="DQ100" s="798"/>
      <c r="DR100" s="798"/>
      <c r="DS100" s="798"/>
      <c r="DT100" s="798"/>
      <c r="DU100" s="798"/>
      <c r="DV100" s="798"/>
      <c r="DW100" s="798"/>
      <c r="DX100" s="798"/>
      <c r="DY100" s="798"/>
      <c r="DZ100" s="798"/>
      <c r="EA100" s="798"/>
      <c r="EB100" s="798"/>
      <c r="EC100" s="798"/>
      <c r="ED100" s="798"/>
      <c r="EE100" s="798"/>
      <c r="EF100" s="798"/>
      <c r="EG100" s="798"/>
      <c r="EH100" s="798"/>
      <c r="EI100" s="798"/>
      <c r="EJ100" s="798"/>
      <c r="EK100" s="798"/>
      <c r="EL100" s="798"/>
      <c r="EM100" s="798"/>
      <c r="EN100" s="798"/>
      <c r="EO100" s="798"/>
      <c r="EP100" s="798"/>
      <c r="EQ100" s="798"/>
      <c r="ER100" s="798"/>
      <c r="ES100" s="798"/>
      <c r="ET100" s="798"/>
      <c r="EU100" s="798"/>
      <c r="EV100" s="798"/>
      <c r="EW100" s="798"/>
      <c r="EX100" s="798"/>
      <c r="EY100" s="798"/>
      <c r="EZ100" s="798"/>
      <c r="FA100" s="798"/>
      <c r="FB100" s="798"/>
      <c r="FC100" s="798"/>
      <c r="FD100" s="798"/>
      <c r="FE100" s="798"/>
      <c r="FF100" s="798"/>
      <c r="FG100" s="798"/>
      <c r="FH100" s="798"/>
      <c r="FI100" s="798"/>
      <c r="FJ100" s="798"/>
      <c r="FK100" s="798"/>
      <c r="FL100" s="798"/>
      <c r="FM100" s="798"/>
      <c r="FN100" s="798"/>
      <c r="FO100" s="798"/>
      <c r="FP100" s="798"/>
      <c r="FQ100" s="798"/>
      <c r="FR100" s="798"/>
      <c r="FS100" s="798"/>
      <c r="FT100" s="798"/>
      <c r="FU100" s="798"/>
      <c r="FV100" s="798"/>
      <c r="FW100" s="798"/>
      <c r="FX100" s="798"/>
      <c r="FY100" s="798"/>
      <c r="FZ100" s="798"/>
      <c r="GA100" s="798"/>
      <c r="GB100" s="798"/>
      <c r="GC100" s="798"/>
      <c r="GD100" s="798"/>
      <c r="GE100" s="798"/>
      <c r="GF100" s="798"/>
      <c r="GG100" s="798"/>
      <c r="GH100" s="798"/>
      <c r="GI100" s="798"/>
      <c r="GJ100" s="798"/>
      <c r="GK100" s="798"/>
      <c r="GL100" s="798"/>
      <c r="GM100" s="798"/>
      <c r="GN100" s="798"/>
      <c r="GO100" s="798"/>
      <c r="GP100" s="798"/>
      <c r="GQ100" s="798"/>
      <c r="GR100" s="798"/>
      <c r="GS100" s="798"/>
      <c r="GT100" s="798"/>
      <c r="GU100" s="798"/>
      <c r="GV100" s="798"/>
      <c r="GW100" s="798"/>
      <c r="GX100" s="798"/>
      <c r="GY100" s="798"/>
      <c r="GZ100" s="798"/>
      <c r="HA100" s="798"/>
      <c r="HB100" s="798"/>
      <c r="HC100" s="798"/>
      <c r="HD100" s="798"/>
      <c r="HE100" s="798"/>
      <c r="HF100" s="798"/>
      <c r="HG100" s="798"/>
      <c r="HH100" s="798"/>
      <c r="HI100" s="798"/>
      <c r="HJ100" s="798"/>
      <c r="HK100" s="798"/>
      <c r="HL100" s="798"/>
      <c r="HM100" s="798"/>
      <c r="HN100" s="798"/>
      <c r="HO100" s="798"/>
      <c r="HP100" s="798"/>
      <c r="HQ100" s="798"/>
      <c r="HR100" s="798"/>
      <c r="HS100" s="798"/>
      <c r="HT100" s="798"/>
      <c r="HU100" s="798"/>
      <c r="HV100" s="798"/>
      <c r="HW100" s="798"/>
      <c r="HX100" s="798"/>
      <c r="HY100" s="798"/>
      <c r="HZ100" s="798"/>
      <c r="IA100" s="798"/>
      <c r="IB100" s="798"/>
      <c r="IC100" s="798"/>
      <c r="ID100" s="798"/>
      <c r="IE100" s="798"/>
      <c r="IF100" s="798"/>
      <c r="IG100" s="798"/>
      <c r="IH100" s="798"/>
      <c r="II100" s="798"/>
      <c r="IJ100" s="798"/>
      <c r="IK100" s="798"/>
      <c r="IL100" s="798"/>
      <c r="IM100" s="798"/>
      <c r="IN100" s="798"/>
      <c r="IO100" s="798"/>
      <c r="IP100" s="798"/>
      <c r="IQ100" s="798"/>
      <c r="IR100" s="798"/>
      <c r="IS100" s="798"/>
      <c r="IT100" s="798"/>
      <c r="IU100" s="798"/>
      <c r="IV100" s="798"/>
      <c r="IW100" s="798"/>
      <c r="IX100" s="798"/>
      <c r="IY100" s="798"/>
      <c r="IZ100" s="798"/>
      <c r="JA100" s="798"/>
      <c r="JB100" s="798"/>
      <c r="JC100" s="798"/>
      <c r="JD100" s="798"/>
      <c r="JE100" s="798"/>
      <c r="JF100" s="798"/>
      <c r="JG100" s="798"/>
      <c r="JH100" s="798"/>
      <c r="JI100" s="798"/>
      <c r="JJ100" s="798"/>
      <c r="JK100" s="798"/>
      <c r="JL100" s="798"/>
      <c r="JM100" s="798"/>
      <c r="JN100" s="798"/>
      <c r="JO100" s="798"/>
      <c r="JP100" s="798"/>
      <c r="JQ100" s="798"/>
      <c r="JR100" s="798"/>
      <c r="JS100" s="798"/>
      <c r="JT100" s="798"/>
      <c r="JU100" s="798"/>
      <c r="JV100" s="798"/>
      <c r="JW100" s="798"/>
      <c r="JX100" s="798"/>
      <c r="JY100" s="798"/>
      <c r="JZ100" s="798"/>
      <c r="KA100" s="798"/>
      <c r="KB100" s="798"/>
      <c r="KC100" s="798"/>
      <c r="KD100" s="798"/>
      <c r="KE100" s="798"/>
      <c r="KF100" s="798"/>
      <c r="KG100" s="798"/>
      <c r="KH100" s="798"/>
      <c r="KI100" s="798"/>
      <c r="KJ100" s="798"/>
      <c r="KK100" s="798"/>
      <c r="KL100" s="798"/>
      <c r="KM100" s="798"/>
      <c r="KN100" s="798"/>
      <c r="KO100" s="798"/>
      <c r="KP100" s="798"/>
      <c r="KQ100" s="798"/>
      <c r="KR100" s="798"/>
      <c r="KS100" s="798"/>
      <c r="KT100" s="798"/>
      <c r="KU100" s="798"/>
      <c r="KV100" s="798"/>
      <c r="KW100" s="798"/>
      <c r="KX100" s="798"/>
      <c r="KY100" s="798"/>
      <c r="KZ100" s="798"/>
      <c r="LA100" s="798"/>
      <c r="LB100" s="798"/>
      <c r="LC100" s="798"/>
      <c r="LD100" s="798"/>
      <c r="LE100" s="798"/>
      <c r="LF100" s="798"/>
      <c r="LG100" s="798"/>
      <c r="LH100" s="798"/>
      <c r="LI100" s="798"/>
      <c r="LJ100" s="798"/>
      <c r="LK100" s="798"/>
      <c r="LL100" s="798"/>
      <c r="LM100" s="798"/>
      <c r="LN100" s="798"/>
      <c r="LO100" s="798"/>
      <c r="LP100" s="798"/>
      <c r="LQ100" s="798"/>
      <c r="LR100" s="798"/>
      <c r="LS100" s="798"/>
      <c r="LT100" s="798"/>
      <c r="LU100" s="798"/>
      <c r="LV100" s="798"/>
      <c r="LW100" s="798"/>
      <c r="LX100" s="798"/>
      <c r="LY100" s="798"/>
      <c r="LZ100" s="798"/>
      <c r="MA100" s="798"/>
      <c r="MB100" s="798"/>
      <c r="MC100" s="798"/>
      <c r="MD100" s="798"/>
      <c r="ME100" s="798"/>
      <c r="MF100" s="798"/>
      <c r="MG100" s="798"/>
      <c r="MH100" s="798"/>
      <c r="MI100" s="798"/>
      <c r="MJ100" s="798"/>
      <c r="MK100" s="798"/>
      <c r="ML100" s="798"/>
      <c r="MM100" s="798"/>
      <c r="MN100" s="798"/>
      <c r="MO100" s="798"/>
      <c r="MP100" s="798"/>
      <c r="MQ100" s="798"/>
      <c r="MR100" s="798"/>
      <c r="MS100" s="798"/>
      <c r="MT100" s="798"/>
      <c r="MU100" s="798"/>
      <c r="MV100" s="798"/>
      <c r="MW100" s="798"/>
      <c r="MX100" s="798"/>
      <c r="MY100" s="798"/>
      <c r="MZ100" s="798"/>
      <c r="NA100" s="798"/>
      <c r="NB100" s="798"/>
      <c r="NC100" s="798"/>
      <c r="ND100" s="798"/>
      <c r="NE100" s="798"/>
      <c r="NF100" s="798"/>
      <c r="NG100" s="798"/>
      <c r="NH100" s="798"/>
      <c r="NI100" s="798"/>
      <c r="NJ100" s="798"/>
      <c r="NK100" s="798"/>
      <c r="NL100" s="798"/>
      <c r="NM100" s="798"/>
      <c r="NN100" s="798"/>
      <c r="NO100" s="798"/>
      <c r="NP100" s="798"/>
      <c r="NQ100" s="798"/>
      <c r="NR100" s="798"/>
      <c r="NS100" s="798"/>
      <c r="NT100" s="798"/>
      <c r="NU100" s="798"/>
      <c r="NV100" s="798"/>
      <c r="NW100" s="798"/>
      <c r="NX100" s="798"/>
      <c r="NY100" s="798"/>
      <c r="NZ100" s="798"/>
      <c r="OA100" s="798"/>
      <c r="OB100" s="798"/>
      <c r="OC100" s="798"/>
      <c r="OD100" s="798"/>
      <c r="OE100" s="798"/>
      <c r="OF100" s="798"/>
      <c r="OG100" s="798"/>
      <c r="OH100" s="798"/>
      <c r="OI100" s="798"/>
      <c r="OJ100" s="798"/>
      <c r="OK100" s="798"/>
      <c r="OL100" s="798"/>
      <c r="OM100" s="798"/>
      <c r="ON100" s="798"/>
      <c r="OO100" s="798"/>
      <c r="OP100" s="798"/>
      <c r="OQ100" s="798"/>
      <c r="OR100" s="798"/>
      <c r="OS100" s="798"/>
      <c r="OT100" s="798"/>
      <c r="OU100" s="798"/>
      <c r="OV100" s="798"/>
      <c r="OW100" s="798"/>
      <c r="OX100" s="798"/>
      <c r="OY100" s="798"/>
      <c r="OZ100" s="798"/>
      <c r="PA100" s="798"/>
      <c r="PB100" s="798"/>
      <c r="PC100" s="798"/>
      <c r="PD100" s="798"/>
      <c r="PE100" s="798"/>
      <c r="PF100" s="798"/>
      <c r="PG100" s="798"/>
      <c r="PH100" s="798"/>
      <c r="PI100" s="798"/>
      <c r="PJ100" s="798"/>
      <c r="PK100" s="798"/>
      <c r="PL100" s="798"/>
      <c r="PM100" s="798"/>
      <c r="PN100" s="798"/>
      <c r="PO100" s="798"/>
      <c r="PP100" s="798"/>
      <c r="PQ100" s="798"/>
      <c r="PR100" s="798"/>
      <c r="PS100" s="798"/>
      <c r="PT100" s="798"/>
      <c r="PU100" s="798"/>
      <c r="PV100" s="798"/>
      <c r="PW100" s="798"/>
      <c r="PX100" s="798"/>
      <c r="PY100" s="798"/>
      <c r="PZ100" s="798"/>
      <c r="QA100" s="798"/>
      <c r="QB100" s="798"/>
      <c r="QC100" s="798"/>
      <c r="QD100" s="798"/>
      <c r="QE100" s="798"/>
      <c r="QF100" s="798"/>
      <c r="QG100" s="798"/>
      <c r="QH100" s="798"/>
      <c r="QI100" s="798"/>
      <c r="QJ100" s="798"/>
      <c r="QK100" s="798"/>
      <c r="QL100" s="798"/>
      <c r="QM100" s="798"/>
      <c r="QN100" s="798"/>
      <c r="QO100" s="798"/>
      <c r="QP100" s="798"/>
      <c r="QQ100" s="798"/>
      <c r="QR100" s="798"/>
      <c r="QS100" s="798"/>
      <c r="QT100" s="798"/>
      <c r="QU100" s="798"/>
      <c r="QV100" s="798"/>
      <c r="QW100" s="798"/>
      <c r="QX100" s="798"/>
      <c r="QY100" s="798"/>
      <c r="QZ100" s="798"/>
      <c r="RA100" s="798"/>
      <c r="RB100" s="798"/>
      <c r="RC100" s="798"/>
      <c r="RD100" s="798"/>
      <c r="RE100" s="798"/>
      <c r="RF100" s="798"/>
      <c r="RG100" s="798"/>
      <c r="RH100" s="798"/>
      <c r="RI100" s="798"/>
      <c r="RJ100" s="798"/>
      <c r="RK100" s="798"/>
      <c r="RL100" s="798"/>
      <c r="RM100" s="798"/>
      <c r="RN100" s="798"/>
      <c r="RO100" s="798"/>
      <c r="RP100" s="798"/>
      <c r="RQ100" s="798"/>
      <c r="RR100" s="798"/>
      <c r="RS100" s="798"/>
      <c r="RT100" s="798"/>
      <c r="RU100" s="798"/>
      <c r="RV100" s="798"/>
      <c r="RW100" s="798"/>
      <c r="RX100" s="798"/>
      <c r="RY100" s="798"/>
      <c r="RZ100" s="798"/>
      <c r="SA100" s="798"/>
      <c r="SB100" s="798"/>
      <c r="SC100" s="798"/>
      <c r="SD100" s="798"/>
      <c r="SE100" s="798"/>
      <c r="SF100" s="798"/>
      <c r="SG100" s="798"/>
      <c r="SH100" s="798"/>
      <c r="SI100" s="798"/>
      <c r="SJ100" s="798"/>
      <c r="SK100" s="798"/>
      <c r="SL100" s="798"/>
      <c r="SM100" s="798"/>
      <c r="SN100" s="798"/>
      <c r="SO100" s="798"/>
      <c r="SP100" s="798"/>
      <c r="SQ100" s="798"/>
      <c r="SR100" s="798"/>
      <c r="SS100" s="798"/>
      <c r="ST100" s="798"/>
      <c r="SU100" s="798"/>
      <c r="SV100" s="798"/>
      <c r="SW100" s="798"/>
      <c r="SX100" s="798"/>
      <c r="SY100" s="798"/>
      <c r="SZ100" s="798"/>
      <c r="TA100" s="798"/>
      <c r="TB100" s="798"/>
      <c r="TC100" s="798"/>
      <c r="TD100" s="798"/>
      <c r="TE100" s="798"/>
      <c r="TF100" s="798"/>
      <c r="TG100" s="798"/>
      <c r="TH100" s="798"/>
      <c r="TI100" s="798"/>
      <c r="TJ100" s="798"/>
      <c r="TK100" s="798"/>
      <c r="TL100" s="798"/>
      <c r="TM100" s="798"/>
      <c r="TN100" s="798"/>
      <c r="TO100" s="798"/>
      <c r="TP100" s="798"/>
      <c r="TQ100" s="798"/>
      <c r="TR100" s="798"/>
      <c r="TS100" s="798"/>
      <c r="TT100" s="798"/>
      <c r="TU100" s="798"/>
      <c r="TV100" s="798"/>
      <c r="TW100" s="798"/>
      <c r="TX100" s="798"/>
      <c r="TY100" s="798"/>
      <c r="TZ100" s="798"/>
      <c r="UA100" s="798"/>
      <c r="UB100" s="798"/>
      <c r="UC100" s="798"/>
      <c r="UD100" s="798"/>
      <c r="UE100" s="798"/>
      <c r="UF100" s="798"/>
      <c r="UG100" s="798"/>
      <c r="UH100" s="798"/>
      <c r="UI100" s="798"/>
      <c r="UJ100" s="798"/>
      <c r="UK100" s="798"/>
      <c r="UL100" s="798"/>
      <c r="UM100" s="798"/>
      <c r="UN100" s="798"/>
      <c r="UO100" s="798"/>
      <c r="UP100" s="798"/>
      <c r="UQ100" s="798"/>
      <c r="UR100" s="798"/>
      <c r="US100" s="798"/>
      <c r="UT100" s="798"/>
      <c r="UU100" s="798"/>
      <c r="UV100" s="798"/>
      <c r="UW100" s="798"/>
      <c r="UX100" s="798"/>
      <c r="UY100" s="798"/>
      <c r="UZ100" s="798"/>
      <c r="VA100" s="798"/>
      <c r="VB100" s="798"/>
      <c r="VC100" s="798"/>
      <c r="VD100" s="798"/>
      <c r="VE100" s="798"/>
      <c r="VF100" s="798"/>
      <c r="VG100" s="798"/>
      <c r="VH100" s="798"/>
      <c r="VI100" s="798"/>
      <c r="VJ100" s="798"/>
      <c r="VK100" s="798"/>
      <c r="VL100" s="798"/>
      <c r="VM100" s="798"/>
      <c r="VN100" s="798"/>
      <c r="VO100" s="798"/>
      <c r="VP100" s="798"/>
      <c r="VQ100" s="798"/>
      <c r="VR100" s="798"/>
      <c r="VS100" s="798"/>
      <c r="VT100" s="798"/>
      <c r="VU100" s="798"/>
      <c r="VV100" s="798"/>
      <c r="VW100" s="798"/>
      <c r="VX100" s="798"/>
      <c r="VY100" s="798"/>
      <c r="VZ100" s="798"/>
      <c r="WA100" s="798"/>
      <c r="WB100" s="798"/>
      <c r="WC100" s="798"/>
      <c r="WD100" s="798"/>
      <c r="WE100" s="798"/>
      <c r="WF100" s="798"/>
      <c r="WG100" s="798"/>
      <c r="WH100" s="798"/>
      <c r="WI100" s="798"/>
      <c r="WJ100" s="798"/>
      <c r="WK100" s="798"/>
      <c r="WL100" s="798"/>
      <c r="WM100" s="798"/>
      <c r="WN100" s="798"/>
      <c r="WO100" s="798"/>
      <c r="WP100" s="798"/>
      <c r="WQ100" s="798"/>
      <c r="WR100" s="798"/>
      <c r="WS100" s="798"/>
      <c r="WT100" s="798"/>
      <c r="WU100" s="798"/>
      <c r="WV100" s="798"/>
      <c r="WW100" s="798"/>
      <c r="WX100" s="798"/>
      <c r="WY100" s="798"/>
      <c r="WZ100" s="798"/>
      <c r="XA100" s="798"/>
      <c r="XB100" s="798"/>
      <c r="XC100" s="798"/>
      <c r="XD100" s="798"/>
      <c r="XE100" s="798"/>
      <c r="XF100" s="798"/>
      <c r="XG100" s="798"/>
      <c r="XH100" s="798"/>
      <c r="XI100" s="798"/>
      <c r="XJ100" s="798"/>
      <c r="XK100" s="798"/>
      <c r="XL100" s="798"/>
      <c r="XM100" s="798"/>
      <c r="XN100" s="798"/>
      <c r="XO100" s="798"/>
      <c r="XP100" s="798"/>
      <c r="XQ100" s="798"/>
      <c r="XR100" s="798"/>
      <c r="XS100" s="798"/>
      <c r="XT100" s="798"/>
      <c r="XU100" s="798"/>
      <c r="XV100" s="798"/>
      <c r="XW100" s="798"/>
      <c r="XX100" s="798"/>
      <c r="XY100" s="798"/>
      <c r="XZ100" s="798"/>
      <c r="YA100" s="798"/>
      <c r="YB100" s="798"/>
      <c r="YC100" s="798"/>
      <c r="YD100" s="798"/>
      <c r="YE100" s="798"/>
      <c r="YF100" s="798"/>
      <c r="YG100" s="798"/>
      <c r="YH100" s="798"/>
      <c r="YI100" s="798"/>
      <c r="YJ100" s="798"/>
      <c r="YK100" s="798"/>
      <c r="YL100" s="798"/>
      <c r="YM100" s="798"/>
      <c r="YN100" s="798"/>
      <c r="YO100" s="798"/>
      <c r="YP100" s="798"/>
      <c r="YQ100" s="798"/>
      <c r="YR100" s="798"/>
      <c r="YS100" s="798"/>
      <c r="YT100" s="798"/>
      <c r="YU100" s="798"/>
      <c r="YV100" s="798"/>
      <c r="YW100" s="798"/>
      <c r="YX100" s="798"/>
      <c r="YY100" s="798"/>
      <c r="YZ100" s="798"/>
      <c r="ZA100" s="798"/>
      <c r="ZB100" s="798"/>
      <c r="ZC100" s="798"/>
      <c r="ZD100" s="798"/>
      <c r="ZE100" s="798"/>
      <c r="ZF100" s="798"/>
      <c r="ZG100" s="798"/>
      <c r="ZH100" s="798"/>
      <c r="ZI100" s="798"/>
      <c r="ZJ100" s="798"/>
      <c r="ZK100" s="798"/>
      <c r="ZL100" s="798"/>
      <c r="ZM100" s="798"/>
      <c r="ZN100" s="798"/>
      <c r="ZO100" s="798"/>
      <c r="ZP100" s="798"/>
      <c r="ZQ100" s="798"/>
      <c r="ZR100" s="798"/>
      <c r="ZS100" s="798"/>
      <c r="ZT100" s="798"/>
      <c r="ZU100" s="798"/>
      <c r="ZV100" s="798"/>
      <c r="ZW100" s="798"/>
      <c r="ZX100" s="798"/>
      <c r="ZY100" s="798"/>
      <c r="ZZ100" s="798"/>
      <c r="AAA100" s="798"/>
      <c r="AAB100" s="798"/>
      <c r="AAC100" s="798"/>
      <c r="AAD100" s="798"/>
      <c r="AAE100" s="798"/>
      <c r="AAF100" s="798"/>
      <c r="AAG100" s="798"/>
      <c r="AAH100" s="798"/>
      <c r="AAI100" s="798"/>
      <c r="AAJ100" s="798"/>
      <c r="AAK100" s="798"/>
      <c r="AAL100" s="798"/>
      <c r="AAM100" s="798"/>
      <c r="AAN100" s="798"/>
      <c r="AAO100" s="798"/>
      <c r="AAP100" s="798"/>
      <c r="AAQ100" s="798"/>
      <c r="AAR100" s="798"/>
      <c r="AAS100" s="798"/>
      <c r="AAT100" s="798"/>
      <c r="AAU100" s="798"/>
      <c r="AAV100" s="798"/>
      <c r="AAW100" s="798"/>
      <c r="AAX100" s="798"/>
      <c r="AAY100" s="798"/>
      <c r="AAZ100" s="798"/>
      <c r="ABA100" s="798"/>
      <c r="ABB100" s="798"/>
      <c r="ABC100" s="798"/>
      <c r="ABD100" s="798"/>
      <c r="ABE100" s="798"/>
      <c r="ABF100" s="798"/>
      <c r="ABG100" s="798"/>
      <c r="ABH100" s="798"/>
      <c r="ABI100" s="798"/>
      <c r="ABJ100" s="798"/>
      <c r="ABK100" s="798"/>
      <c r="ABL100" s="798"/>
      <c r="ABM100" s="798"/>
      <c r="ABN100" s="798"/>
      <c r="ABO100" s="798"/>
      <c r="ABP100" s="798"/>
      <c r="ABQ100" s="798"/>
      <c r="ABR100" s="798"/>
      <c r="ABS100" s="798"/>
      <c r="ABT100" s="798"/>
      <c r="ABU100" s="798"/>
      <c r="ABV100" s="798"/>
      <c r="ABW100" s="798"/>
      <c r="ABX100" s="798"/>
      <c r="ABY100" s="798"/>
      <c r="ABZ100" s="798"/>
      <c r="ACA100" s="798"/>
      <c r="ACB100" s="798"/>
      <c r="ACC100" s="798"/>
      <c r="ACD100" s="798"/>
      <c r="ACE100" s="798"/>
      <c r="ACF100" s="798"/>
      <c r="ACG100" s="798"/>
      <c r="ACH100" s="798"/>
      <c r="ACI100" s="798"/>
      <c r="ACJ100" s="798"/>
      <c r="ACK100" s="798"/>
      <c r="ACL100" s="798"/>
      <c r="ACM100" s="798"/>
      <c r="ACN100" s="798"/>
      <c r="ACO100" s="798"/>
      <c r="ACP100" s="798"/>
      <c r="ACQ100" s="798"/>
      <c r="ACR100" s="798"/>
      <c r="ACS100" s="798"/>
      <c r="ACT100" s="798"/>
      <c r="ACU100" s="798"/>
      <c r="ACV100" s="798"/>
      <c r="ACW100" s="798"/>
      <c r="ACX100" s="798"/>
      <c r="ACY100" s="798"/>
      <c r="ACZ100" s="798"/>
      <c r="ADA100" s="798"/>
      <c r="ADB100" s="798"/>
      <c r="ADC100" s="798"/>
      <c r="ADD100" s="798"/>
      <c r="ADE100" s="798"/>
      <c r="ADF100" s="798"/>
      <c r="ADG100" s="798"/>
      <c r="ADH100" s="798"/>
      <c r="ADI100" s="798"/>
      <c r="ADJ100" s="798"/>
      <c r="ADK100" s="798"/>
      <c r="ADL100" s="798"/>
      <c r="ADM100" s="798"/>
      <c r="ADN100" s="798"/>
      <c r="ADO100" s="798"/>
      <c r="ADP100" s="798"/>
      <c r="ADQ100" s="798"/>
      <c r="ADR100" s="798"/>
      <c r="ADS100" s="798"/>
      <c r="ADT100" s="798"/>
      <c r="ADU100" s="798"/>
      <c r="ADV100" s="798"/>
      <c r="ADW100" s="798"/>
      <c r="ADX100" s="798"/>
      <c r="ADY100" s="798"/>
      <c r="ADZ100" s="798"/>
      <c r="AEA100" s="798"/>
      <c r="AEB100" s="798"/>
      <c r="AEC100" s="798"/>
      <c r="AED100" s="798"/>
      <c r="AEE100" s="798"/>
      <c r="AEF100" s="798"/>
      <c r="AEG100" s="798"/>
      <c r="AEH100" s="798"/>
      <c r="AEI100" s="798"/>
      <c r="AEJ100" s="798"/>
      <c r="AEK100" s="798"/>
      <c r="AEL100" s="798"/>
      <c r="AEM100" s="798"/>
      <c r="AEN100" s="798"/>
      <c r="AEO100" s="798"/>
      <c r="AEP100" s="798"/>
      <c r="AEQ100" s="798"/>
      <c r="AER100" s="798"/>
      <c r="AES100" s="798"/>
      <c r="AET100" s="798"/>
      <c r="AEU100" s="798"/>
      <c r="AEV100" s="798"/>
      <c r="AEW100" s="798"/>
      <c r="AEX100" s="798"/>
      <c r="AEY100" s="798"/>
      <c r="AEZ100" s="798"/>
      <c r="AFA100" s="798"/>
      <c r="AFB100" s="798"/>
      <c r="AFC100" s="798"/>
      <c r="AFD100" s="798"/>
      <c r="AFE100" s="798"/>
      <c r="AFF100" s="798"/>
      <c r="AFG100" s="798"/>
      <c r="AFH100" s="798"/>
      <c r="AFI100" s="798"/>
      <c r="AFJ100" s="798"/>
      <c r="AFK100" s="798"/>
      <c r="AFL100" s="798"/>
      <c r="AFM100" s="798"/>
      <c r="AFN100" s="798"/>
      <c r="AFO100" s="798"/>
      <c r="AFP100" s="798"/>
      <c r="AFQ100" s="798"/>
      <c r="AFR100" s="798"/>
      <c r="AFS100" s="798"/>
      <c r="AFT100" s="798"/>
      <c r="AFU100" s="798"/>
      <c r="AFV100" s="798"/>
      <c r="AFW100" s="798"/>
      <c r="AFX100" s="798"/>
      <c r="AFY100" s="798"/>
      <c r="AFZ100" s="798"/>
      <c r="AGA100" s="798"/>
      <c r="AGB100" s="798"/>
      <c r="AGC100" s="798"/>
      <c r="AGD100" s="798"/>
      <c r="AGE100" s="798"/>
      <c r="AGF100" s="798"/>
      <c r="AGG100" s="798"/>
      <c r="AGH100" s="798"/>
      <c r="AGI100" s="798"/>
      <c r="AGJ100" s="798"/>
      <c r="AGK100" s="798"/>
      <c r="AGL100" s="798"/>
      <c r="AGM100" s="798"/>
      <c r="AGN100" s="798"/>
      <c r="AGO100" s="798"/>
      <c r="AGP100" s="798"/>
      <c r="AGQ100" s="798"/>
      <c r="AGR100" s="798"/>
      <c r="AGS100" s="798"/>
      <c r="AGT100" s="798"/>
      <c r="AGU100" s="798"/>
      <c r="AGV100" s="798"/>
      <c r="AGW100" s="798"/>
      <c r="AGX100" s="798"/>
      <c r="AGY100" s="798"/>
      <c r="AGZ100" s="798"/>
      <c r="AHA100" s="798"/>
      <c r="AHB100" s="798"/>
      <c r="AHC100" s="798"/>
      <c r="AHD100" s="798"/>
      <c r="AHE100" s="798"/>
      <c r="AHF100" s="798"/>
      <c r="AHG100" s="798"/>
      <c r="AHH100" s="798"/>
      <c r="AHI100" s="798"/>
      <c r="AHJ100" s="798"/>
      <c r="AHK100" s="798"/>
      <c r="AHL100" s="798"/>
      <c r="AHM100" s="798"/>
      <c r="AHN100" s="798"/>
      <c r="AHO100" s="798"/>
      <c r="AHP100" s="798"/>
      <c r="AHQ100" s="798"/>
      <c r="AHR100" s="798"/>
      <c r="AHS100" s="798"/>
      <c r="AHT100" s="798"/>
      <c r="AHU100" s="798"/>
      <c r="AHV100" s="798"/>
      <c r="AHW100" s="798"/>
      <c r="AHX100" s="798"/>
      <c r="AHY100" s="798"/>
      <c r="AHZ100" s="798"/>
      <c r="AIA100" s="798"/>
      <c r="AIB100" s="798"/>
      <c r="AIC100" s="798"/>
      <c r="AID100" s="798"/>
      <c r="AIE100" s="798"/>
      <c r="AIF100" s="798"/>
      <c r="AIG100" s="798"/>
      <c r="AIH100" s="798"/>
      <c r="AII100" s="798"/>
      <c r="AIJ100" s="798"/>
      <c r="AIK100" s="798"/>
      <c r="AIL100" s="798"/>
      <c r="AIM100" s="798"/>
      <c r="AIN100" s="798"/>
      <c r="AIO100" s="798"/>
      <c r="AIP100" s="798"/>
      <c r="AIQ100" s="798"/>
      <c r="AIR100" s="798"/>
      <c r="AIS100" s="798"/>
      <c r="AIT100" s="798"/>
      <c r="AIU100" s="798"/>
      <c r="AIV100" s="798"/>
      <c r="AIW100" s="798"/>
      <c r="AIX100" s="798"/>
      <c r="AIY100" s="798"/>
      <c r="AIZ100" s="798"/>
      <c r="AJA100" s="798"/>
      <c r="AJB100" s="798"/>
      <c r="AJC100" s="798"/>
      <c r="AJD100" s="798"/>
      <c r="AJE100" s="798"/>
      <c r="AJF100" s="798"/>
      <c r="AJG100" s="798"/>
      <c r="AJH100" s="798"/>
      <c r="AJI100" s="798"/>
      <c r="AJJ100" s="798"/>
      <c r="AJK100" s="798"/>
      <c r="AJL100" s="798"/>
      <c r="AJM100" s="798"/>
      <c r="AJN100" s="798"/>
      <c r="AJO100" s="798"/>
      <c r="AJP100" s="798"/>
      <c r="AJQ100" s="798"/>
      <c r="AJR100" s="798"/>
      <c r="AJS100" s="798"/>
      <c r="AJT100" s="798"/>
      <c r="AJU100" s="798"/>
      <c r="AJV100" s="798"/>
      <c r="AJW100" s="798"/>
      <c r="AJX100" s="798"/>
      <c r="AJY100" s="798"/>
      <c r="AJZ100" s="798"/>
      <c r="AKA100" s="798"/>
      <c r="AKB100" s="798"/>
      <c r="AKC100" s="798"/>
      <c r="AKD100" s="798"/>
      <c r="AKE100" s="798"/>
      <c r="AKF100" s="798"/>
      <c r="AKG100" s="798"/>
      <c r="AKH100" s="798"/>
      <c r="AKI100" s="798"/>
      <c r="AKJ100" s="798"/>
      <c r="AKK100" s="798"/>
      <c r="AKL100" s="798"/>
      <c r="AKM100" s="798"/>
      <c r="AKN100" s="798"/>
      <c r="AKO100" s="798"/>
      <c r="AKP100" s="798"/>
      <c r="AKQ100" s="798"/>
      <c r="AKR100" s="798"/>
      <c r="AKS100" s="798"/>
      <c r="AKT100" s="798"/>
      <c r="AKU100" s="798"/>
      <c r="AKV100" s="798"/>
      <c r="AKW100" s="798"/>
      <c r="AKX100" s="798"/>
      <c r="AKY100" s="798"/>
      <c r="AKZ100" s="798"/>
      <c r="ALA100" s="798"/>
      <c r="ALB100" s="798"/>
      <c r="ALC100" s="798"/>
      <c r="ALD100" s="798"/>
      <c r="ALE100" s="798"/>
      <c r="ALF100" s="798"/>
      <c r="ALG100" s="798"/>
      <c r="ALH100" s="798"/>
      <c r="ALI100" s="798"/>
      <c r="ALJ100" s="798"/>
      <c r="ALK100" s="798"/>
      <c r="ALL100" s="798"/>
      <c r="ALM100" s="798"/>
      <c r="ALN100" s="798"/>
      <c r="ALO100" s="798"/>
      <c r="ALP100" s="798"/>
      <c r="ALQ100" s="798"/>
      <c r="ALR100" s="798"/>
      <c r="ALS100" s="798"/>
      <c r="ALT100" s="798"/>
      <c r="ALU100" s="798"/>
      <c r="ALV100" s="798"/>
      <c r="ALW100" s="798"/>
      <c r="ALX100" s="798"/>
      <c r="ALY100" s="798"/>
      <c r="ALZ100" s="798"/>
      <c r="AMA100" s="798"/>
      <c r="AMB100" s="798"/>
      <c r="AMC100" s="798"/>
      <c r="AMD100" s="798"/>
      <c r="AME100" s="798"/>
      <c r="AMF100" s="798"/>
      <c r="AMG100" s="798"/>
      <c r="AMH100" s="798"/>
      <c r="AMI100" s="798"/>
      <c r="AMJ100" s="798"/>
      <c r="AMK100" s="798"/>
      <c r="AML100" s="798"/>
      <c r="AMM100" s="798"/>
      <c r="AMN100" s="798"/>
      <c r="AMO100" s="798"/>
      <c r="AMP100" s="798"/>
      <c r="AMQ100" s="798"/>
      <c r="AMR100" s="798"/>
      <c r="AMS100" s="798"/>
      <c r="AMT100" s="798"/>
      <c r="AMU100" s="798"/>
      <c r="AMV100" s="798"/>
      <c r="AMW100" s="798"/>
      <c r="AMX100" s="798"/>
      <c r="AMY100" s="798"/>
      <c r="AMZ100" s="798"/>
      <c r="ANA100" s="798"/>
      <c r="ANB100" s="798"/>
      <c r="ANC100" s="798"/>
      <c r="AND100" s="798"/>
      <c r="ANE100" s="798"/>
      <c r="ANF100" s="798"/>
      <c r="ANG100" s="798"/>
      <c r="ANH100" s="798"/>
      <c r="ANI100" s="798"/>
      <c r="ANJ100" s="798"/>
      <c r="ANK100" s="798"/>
      <c r="ANL100" s="798"/>
      <c r="ANM100" s="798"/>
      <c r="ANN100" s="798"/>
      <c r="ANO100" s="798"/>
      <c r="ANP100" s="798"/>
      <c r="ANQ100" s="798"/>
      <c r="ANR100" s="798"/>
      <c r="ANS100" s="798"/>
      <c r="ANT100" s="798"/>
      <c r="ANU100" s="798"/>
      <c r="ANV100" s="798"/>
      <c r="ANW100" s="798"/>
      <c r="ANX100" s="798"/>
      <c r="ANY100" s="798"/>
      <c r="ANZ100" s="798"/>
      <c r="AOA100" s="798"/>
      <c r="AOB100" s="798"/>
      <c r="AOC100" s="798"/>
      <c r="AOD100" s="798"/>
      <c r="AOE100" s="798"/>
      <c r="AOF100" s="798"/>
      <c r="AOG100" s="798"/>
      <c r="AOH100" s="798"/>
      <c r="AOI100" s="798"/>
      <c r="AOJ100" s="798"/>
      <c r="AOK100" s="798"/>
      <c r="AOL100" s="798"/>
      <c r="AOM100" s="798"/>
      <c r="AON100" s="798"/>
      <c r="AOO100" s="798"/>
      <c r="AOP100" s="798"/>
      <c r="AOQ100" s="798"/>
      <c r="AOR100" s="798"/>
      <c r="AOS100" s="798"/>
      <c r="AOT100" s="798"/>
      <c r="AOU100" s="798"/>
      <c r="AOV100" s="798"/>
      <c r="AOW100" s="798"/>
      <c r="AOX100" s="798"/>
      <c r="AOY100" s="798"/>
      <c r="AOZ100" s="798"/>
      <c r="APA100" s="798"/>
      <c r="APB100" s="798"/>
      <c r="APC100" s="798"/>
      <c r="APD100" s="798"/>
      <c r="APE100" s="798"/>
      <c r="APF100" s="798"/>
      <c r="APG100" s="798"/>
      <c r="APH100" s="798"/>
      <c r="API100" s="798"/>
      <c r="APJ100" s="798"/>
      <c r="APK100" s="798"/>
      <c r="APL100" s="798"/>
      <c r="APM100" s="798"/>
      <c r="APN100" s="798"/>
      <c r="APO100" s="798"/>
      <c r="APP100" s="798"/>
      <c r="APQ100" s="798"/>
      <c r="APR100" s="798"/>
      <c r="APS100" s="798"/>
      <c r="APT100" s="798"/>
      <c r="APU100" s="798"/>
      <c r="APV100" s="798"/>
      <c r="APW100" s="798"/>
      <c r="APX100" s="798"/>
      <c r="APY100" s="798"/>
      <c r="APZ100" s="798"/>
      <c r="AQA100" s="798"/>
      <c r="AQB100" s="798"/>
      <c r="AQC100" s="798"/>
      <c r="AQD100" s="798"/>
      <c r="AQE100" s="798"/>
      <c r="AQF100" s="798"/>
      <c r="AQG100" s="798"/>
      <c r="AQH100" s="798"/>
      <c r="AQI100" s="798"/>
      <c r="AQJ100" s="798"/>
      <c r="AQK100" s="798"/>
      <c r="AQL100" s="798"/>
      <c r="AQM100" s="798"/>
      <c r="AQN100" s="798"/>
      <c r="AQO100" s="798"/>
      <c r="AQP100" s="798"/>
      <c r="AQQ100" s="798"/>
      <c r="AQR100" s="798"/>
      <c r="AQS100" s="798"/>
      <c r="AQT100" s="798"/>
      <c r="AQU100" s="798"/>
      <c r="AQV100" s="798"/>
      <c r="AQW100" s="798"/>
      <c r="AQX100" s="798"/>
      <c r="AQY100" s="798"/>
      <c r="AQZ100" s="798"/>
      <c r="ARA100" s="798"/>
      <c r="ARB100" s="798"/>
      <c r="ARC100" s="798"/>
      <c r="ARD100" s="798"/>
      <c r="ARE100" s="798"/>
      <c r="ARF100" s="798"/>
      <c r="ARG100" s="798"/>
      <c r="ARH100" s="798"/>
      <c r="ARI100" s="798"/>
      <c r="ARJ100" s="798"/>
      <c r="ARK100" s="798"/>
      <c r="ARL100" s="798"/>
      <c r="ARM100" s="798"/>
      <c r="ARN100" s="798"/>
      <c r="ARO100" s="798"/>
      <c r="ARP100" s="798"/>
      <c r="ARQ100" s="798"/>
      <c r="ARR100" s="798"/>
      <c r="ARS100" s="798"/>
      <c r="ART100" s="798"/>
      <c r="ARU100" s="798"/>
      <c r="ARV100" s="798"/>
      <c r="ARW100" s="798"/>
      <c r="ARX100" s="798"/>
      <c r="ARY100" s="798"/>
      <c r="ARZ100" s="798"/>
      <c r="ASA100" s="798"/>
      <c r="ASB100" s="798"/>
      <c r="ASC100" s="798"/>
      <c r="ASD100" s="798"/>
      <c r="ASE100" s="798"/>
      <c r="ASF100" s="798"/>
      <c r="ASG100" s="798"/>
      <c r="ASH100" s="798"/>
      <c r="ASI100" s="798"/>
      <c r="ASJ100" s="798"/>
      <c r="ASK100" s="798"/>
      <c r="ASL100" s="798"/>
      <c r="ASM100" s="798"/>
      <c r="ASN100" s="798"/>
      <c r="ASO100" s="798"/>
      <c r="ASP100" s="798"/>
      <c r="ASQ100" s="798"/>
      <c r="ASR100" s="798"/>
      <c r="ASS100" s="798"/>
      <c r="AST100" s="798"/>
      <c r="ASU100" s="798"/>
      <c r="ASV100" s="798"/>
      <c r="ASW100" s="798"/>
      <c r="ASX100" s="798"/>
      <c r="ASY100" s="798"/>
      <c r="ASZ100" s="798"/>
      <c r="ATA100" s="798"/>
      <c r="ATB100" s="798"/>
      <c r="ATC100" s="798"/>
      <c r="ATD100" s="798"/>
      <c r="ATE100" s="798"/>
      <c r="ATF100" s="798"/>
      <c r="ATG100" s="798"/>
      <c r="ATH100" s="798"/>
      <c r="ATI100" s="798"/>
      <c r="ATJ100" s="798"/>
      <c r="ATK100" s="798"/>
      <c r="ATL100" s="798"/>
      <c r="ATM100" s="798"/>
      <c r="ATN100" s="798"/>
      <c r="ATO100" s="798"/>
      <c r="ATP100" s="798"/>
      <c r="ATQ100" s="798"/>
      <c r="ATR100" s="798"/>
      <c r="ATS100" s="798"/>
      <c r="ATT100" s="798"/>
      <c r="ATU100" s="798"/>
      <c r="ATV100" s="798"/>
      <c r="ATW100" s="798"/>
      <c r="ATX100" s="798"/>
      <c r="ATY100" s="798"/>
      <c r="ATZ100" s="798"/>
      <c r="AUA100" s="798"/>
      <c r="AUB100" s="798"/>
      <c r="AUC100" s="798"/>
      <c r="AUD100" s="798"/>
      <c r="AUE100" s="798"/>
      <c r="AUF100" s="798"/>
      <c r="AUG100" s="798"/>
      <c r="AUH100" s="798"/>
      <c r="AUI100" s="798"/>
      <c r="AUJ100" s="798"/>
      <c r="AUK100" s="798"/>
      <c r="AUL100" s="798"/>
      <c r="AUM100" s="798"/>
      <c r="AUN100" s="798"/>
      <c r="AUO100" s="798"/>
      <c r="AUP100" s="798"/>
      <c r="AUQ100" s="798"/>
      <c r="AUR100" s="798"/>
      <c r="AUS100" s="798"/>
      <c r="AUT100" s="798"/>
      <c r="AUU100" s="798"/>
      <c r="AUV100" s="798"/>
      <c r="AUW100" s="798"/>
      <c r="AUX100" s="798"/>
      <c r="AUY100" s="798"/>
      <c r="AUZ100" s="798"/>
      <c r="AVA100" s="798"/>
      <c r="AVB100" s="798"/>
      <c r="AVC100" s="798"/>
      <c r="AVD100" s="798"/>
      <c r="AVE100" s="798"/>
      <c r="AVF100" s="798"/>
      <c r="AVG100" s="798"/>
      <c r="AVH100" s="798"/>
      <c r="AVI100" s="798"/>
      <c r="AVJ100" s="798"/>
      <c r="AVK100" s="798"/>
      <c r="AVL100" s="798"/>
      <c r="AVM100" s="798"/>
      <c r="AVN100" s="798"/>
      <c r="AVO100" s="798"/>
      <c r="AVP100" s="798"/>
      <c r="AVQ100" s="798"/>
      <c r="AVR100" s="798"/>
      <c r="AVS100" s="798"/>
      <c r="AVT100" s="798"/>
      <c r="AVU100" s="798"/>
      <c r="AVV100" s="798"/>
      <c r="AVW100" s="798"/>
      <c r="AVX100" s="798"/>
      <c r="AVY100" s="798"/>
      <c r="AVZ100" s="798"/>
      <c r="AWA100" s="798"/>
      <c r="AWB100" s="798"/>
      <c r="AWC100" s="798"/>
      <c r="AWD100" s="798"/>
      <c r="AWE100" s="798"/>
      <c r="AWF100" s="798"/>
      <c r="AWG100" s="798"/>
      <c r="AWH100" s="798"/>
      <c r="AWI100" s="798"/>
      <c r="AWJ100" s="798"/>
      <c r="AWK100" s="798"/>
      <c r="AWL100" s="798"/>
      <c r="AWM100" s="798"/>
      <c r="AWN100" s="798"/>
      <c r="AWO100" s="798"/>
      <c r="AWP100" s="798"/>
      <c r="AWQ100" s="798"/>
      <c r="AWR100" s="798"/>
      <c r="AWS100" s="798"/>
      <c r="AWT100" s="798"/>
      <c r="AWU100" s="798"/>
      <c r="AWV100" s="798"/>
      <c r="AWW100" s="798"/>
      <c r="AWX100" s="798"/>
      <c r="AWY100" s="798"/>
      <c r="AWZ100" s="798"/>
      <c r="AXA100" s="798"/>
      <c r="AXB100" s="798"/>
      <c r="AXC100" s="798"/>
      <c r="AXD100" s="798"/>
      <c r="AXE100" s="798"/>
      <c r="AXF100" s="798"/>
      <c r="AXG100" s="798"/>
      <c r="AXH100" s="798"/>
      <c r="AXI100" s="798"/>
      <c r="AXJ100" s="798"/>
      <c r="AXK100" s="798"/>
      <c r="AXL100" s="798"/>
      <c r="AXM100" s="798"/>
      <c r="AXN100" s="798"/>
      <c r="AXO100" s="798"/>
      <c r="AXP100" s="798"/>
      <c r="AXQ100" s="798"/>
      <c r="AXR100" s="798"/>
      <c r="AXS100" s="798"/>
      <c r="AXT100" s="798"/>
      <c r="AXU100" s="798"/>
      <c r="AXV100" s="798"/>
      <c r="AXW100" s="798"/>
      <c r="AXX100" s="798"/>
      <c r="AXY100" s="798"/>
      <c r="AXZ100" s="798"/>
      <c r="AYA100" s="798"/>
      <c r="AYB100" s="798"/>
      <c r="AYC100" s="798"/>
      <c r="AYD100" s="798"/>
      <c r="AYE100" s="798"/>
      <c r="AYF100" s="798"/>
      <c r="AYG100" s="798"/>
      <c r="AYH100" s="798"/>
      <c r="AYI100" s="798"/>
      <c r="AYJ100" s="798"/>
      <c r="AYK100" s="798"/>
      <c r="AYL100" s="798"/>
      <c r="AYM100" s="798"/>
      <c r="AYN100" s="798"/>
      <c r="AYO100" s="798"/>
      <c r="AYP100" s="798"/>
      <c r="AYQ100" s="798"/>
      <c r="AYR100" s="798"/>
      <c r="AYS100" s="798"/>
      <c r="AYT100" s="798"/>
      <c r="AYU100" s="798"/>
      <c r="AYV100" s="798"/>
      <c r="AYW100" s="798"/>
      <c r="AYX100" s="798"/>
      <c r="AYY100" s="798"/>
      <c r="AYZ100" s="798"/>
      <c r="AZA100" s="798"/>
      <c r="AZB100" s="798"/>
      <c r="AZC100" s="798"/>
      <c r="AZD100" s="798"/>
      <c r="AZE100" s="798"/>
      <c r="AZF100" s="798"/>
      <c r="AZG100" s="798"/>
      <c r="AZH100" s="798"/>
      <c r="AZI100" s="798"/>
      <c r="AZJ100" s="798"/>
      <c r="AZK100" s="798"/>
      <c r="AZL100" s="798"/>
      <c r="AZM100" s="798"/>
      <c r="AZN100" s="798"/>
      <c r="AZO100" s="798"/>
      <c r="AZP100" s="798"/>
      <c r="AZQ100" s="798"/>
      <c r="AZR100" s="798"/>
      <c r="AZS100" s="798"/>
      <c r="AZT100" s="798"/>
      <c r="AZU100" s="798"/>
      <c r="AZV100" s="798"/>
      <c r="AZW100" s="798"/>
      <c r="AZX100" s="798"/>
      <c r="AZY100" s="798"/>
      <c r="AZZ100" s="798"/>
      <c r="BAA100" s="798"/>
      <c r="BAB100" s="798"/>
      <c r="BAC100" s="798"/>
      <c r="BAD100" s="798"/>
      <c r="BAE100" s="798"/>
      <c r="BAF100" s="798"/>
      <c r="BAG100" s="798"/>
      <c r="BAH100" s="798"/>
      <c r="BAI100" s="798"/>
      <c r="BAJ100" s="798"/>
      <c r="BAK100" s="798"/>
      <c r="BAL100" s="798"/>
      <c r="BAM100" s="798"/>
      <c r="BAN100" s="798"/>
      <c r="BAO100" s="798"/>
      <c r="BAP100" s="798"/>
      <c r="BAQ100" s="798"/>
      <c r="BAR100" s="798"/>
      <c r="BAS100" s="798"/>
      <c r="BAT100" s="798"/>
      <c r="BAU100" s="798"/>
      <c r="BAV100" s="798"/>
      <c r="BAW100" s="798"/>
      <c r="BAX100" s="798"/>
      <c r="BAY100" s="798"/>
      <c r="BAZ100" s="798"/>
      <c r="BBA100" s="798"/>
      <c r="BBB100" s="798"/>
      <c r="BBC100" s="798"/>
      <c r="BBD100" s="798"/>
      <c r="BBE100" s="798"/>
      <c r="BBF100" s="798"/>
      <c r="BBG100" s="798"/>
      <c r="BBH100" s="798"/>
      <c r="BBI100" s="798"/>
      <c r="BBJ100" s="798"/>
      <c r="BBK100" s="798"/>
      <c r="BBL100" s="798"/>
      <c r="BBM100" s="798"/>
      <c r="BBN100" s="798"/>
      <c r="BBO100" s="798"/>
      <c r="BBP100" s="798"/>
      <c r="BBQ100" s="798"/>
      <c r="BBR100" s="798"/>
      <c r="BBS100" s="798"/>
      <c r="BBT100" s="798"/>
      <c r="BBU100" s="798"/>
      <c r="BBV100" s="798"/>
      <c r="BBW100" s="798"/>
      <c r="BBX100" s="798"/>
      <c r="BBY100" s="798"/>
      <c r="BBZ100" s="798"/>
      <c r="BCA100" s="798"/>
      <c r="BCB100" s="798"/>
      <c r="BCC100" s="798"/>
      <c r="BCD100" s="798"/>
      <c r="BCE100" s="798"/>
      <c r="BCF100" s="798"/>
      <c r="BCG100" s="798"/>
      <c r="BCH100" s="798"/>
      <c r="BCI100" s="798"/>
      <c r="BCJ100" s="798"/>
      <c r="BCK100" s="798"/>
      <c r="BCL100" s="798"/>
      <c r="BCM100" s="798"/>
      <c r="BCN100" s="798"/>
      <c r="BCO100" s="798"/>
      <c r="BCP100" s="798"/>
      <c r="BCQ100" s="798"/>
      <c r="BCR100" s="798"/>
      <c r="BCS100" s="798"/>
      <c r="BCT100" s="798"/>
      <c r="BCU100" s="798"/>
      <c r="BCV100" s="798"/>
      <c r="BCW100" s="798"/>
      <c r="BCX100" s="798"/>
      <c r="BCY100" s="798"/>
      <c r="BCZ100" s="798"/>
      <c r="BDA100" s="798"/>
      <c r="BDB100" s="798"/>
      <c r="BDC100" s="798"/>
      <c r="BDD100" s="798"/>
      <c r="BDE100" s="798"/>
      <c r="BDF100" s="798"/>
      <c r="BDG100" s="798"/>
      <c r="BDH100" s="798"/>
      <c r="BDI100" s="798"/>
      <c r="BDJ100" s="798"/>
      <c r="BDK100" s="798"/>
      <c r="BDL100" s="798"/>
      <c r="BDM100" s="798"/>
      <c r="BDN100" s="798"/>
      <c r="BDO100" s="798"/>
      <c r="BDP100" s="798"/>
      <c r="BDQ100" s="798"/>
      <c r="BDR100" s="798"/>
      <c r="BDS100" s="798"/>
      <c r="BDT100" s="798"/>
      <c r="BDU100" s="798"/>
      <c r="BDV100" s="798"/>
      <c r="BDW100" s="798"/>
      <c r="BDX100" s="798"/>
      <c r="BDY100" s="798"/>
      <c r="BDZ100" s="798"/>
      <c r="BEA100" s="798"/>
      <c r="BEB100" s="798"/>
      <c r="BEC100" s="798"/>
      <c r="BED100" s="798"/>
      <c r="BEE100" s="798"/>
      <c r="BEF100" s="798"/>
      <c r="BEG100" s="798"/>
      <c r="BEH100" s="798"/>
      <c r="BEI100" s="798"/>
      <c r="BEJ100" s="798"/>
      <c r="BEK100" s="798"/>
      <c r="BEL100" s="798"/>
      <c r="BEM100" s="798"/>
      <c r="BEN100" s="798"/>
      <c r="BEO100" s="798"/>
      <c r="BEP100" s="798"/>
      <c r="BEQ100" s="798"/>
      <c r="BER100" s="798"/>
      <c r="BES100" s="798"/>
      <c r="BET100" s="798"/>
      <c r="BEU100" s="798"/>
      <c r="BEV100" s="798"/>
      <c r="BEW100" s="798"/>
      <c r="BEX100" s="798"/>
      <c r="BEY100" s="798"/>
      <c r="BEZ100" s="798"/>
      <c r="BFA100" s="798"/>
      <c r="BFB100" s="798"/>
      <c r="BFC100" s="798"/>
      <c r="BFD100" s="798"/>
      <c r="BFE100" s="798"/>
      <c r="BFF100" s="798"/>
      <c r="BFG100" s="798"/>
      <c r="BFH100" s="798"/>
      <c r="BFI100" s="798"/>
      <c r="BFJ100" s="798"/>
      <c r="BFK100" s="798"/>
      <c r="BFL100" s="798"/>
      <c r="BFM100" s="798"/>
      <c r="BFN100" s="798"/>
      <c r="BFO100" s="798"/>
      <c r="BFP100" s="798"/>
      <c r="BFQ100" s="798"/>
      <c r="BFR100" s="798"/>
      <c r="BFS100" s="798"/>
      <c r="BFT100" s="798"/>
      <c r="BFU100" s="798"/>
      <c r="BFV100" s="798"/>
      <c r="BFW100" s="798"/>
      <c r="BFX100" s="798"/>
      <c r="BFY100" s="798"/>
      <c r="BFZ100" s="798"/>
      <c r="BGA100" s="798"/>
      <c r="BGB100" s="798"/>
      <c r="BGC100" s="798"/>
      <c r="BGD100" s="798"/>
      <c r="BGE100" s="798"/>
      <c r="BGF100" s="798"/>
      <c r="BGG100" s="798"/>
      <c r="BGH100" s="798"/>
      <c r="BGI100" s="798"/>
      <c r="BGJ100" s="798"/>
      <c r="BGK100" s="798"/>
      <c r="BGL100" s="798"/>
      <c r="BGM100" s="798"/>
      <c r="BGN100" s="798"/>
      <c r="BGO100" s="798"/>
      <c r="BGP100" s="798"/>
      <c r="BGQ100" s="798"/>
      <c r="BGR100" s="798"/>
      <c r="BGS100" s="798"/>
      <c r="BGT100" s="798"/>
      <c r="BGU100" s="798"/>
      <c r="BGV100" s="798"/>
      <c r="BGW100" s="798"/>
      <c r="BGX100" s="798"/>
      <c r="BGY100" s="798"/>
      <c r="BGZ100" s="798"/>
      <c r="BHA100" s="798"/>
      <c r="BHB100" s="798"/>
      <c r="BHC100" s="798"/>
      <c r="BHD100" s="798"/>
      <c r="BHE100" s="798"/>
      <c r="BHF100" s="798"/>
      <c r="BHG100" s="798"/>
      <c r="BHH100" s="798"/>
      <c r="BHI100" s="798"/>
      <c r="BHJ100" s="798"/>
      <c r="BHK100" s="798"/>
      <c r="BHL100" s="798"/>
      <c r="BHM100" s="798"/>
      <c r="BHN100" s="798"/>
      <c r="BHO100" s="798"/>
      <c r="BHP100" s="798"/>
      <c r="BHQ100" s="798"/>
      <c r="BHR100" s="798"/>
      <c r="BHS100" s="798"/>
      <c r="BHT100" s="798"/>
      <c r="BHU100" s="798"/>
      <c r="BHV100" s="798"/>
      <c r="BHW100" s="798"/>
      <c r="BHX100" s="798"/>
      <c r="BHY100" s="798"/>
      <c r="BHZ100" s="798"/>
      <c r="BIA100" s="798"/>
      <c r="BIB100" s="798"/>
      <c r="BIC100" s="798"/>
      <c r="BID100" s="798"/>
      <c r="BIE100" s="798"/>
      <c r="BIF100" s="798"/>
      <c r="BIG100" s="798"/>
      <c r="BIH100" s="798"/>
      <c r="BII100" s="798"/>
      <c r="BIJ100" s="798"/>
      <c r="BIK100" s="798"/>
      <c r="BIL100" s="798"/>
      <c r="BIM100" s="798"/>
      <c r="BIN100" s="798"/>
      <c r="BIO100" s="798"/>
      <c r="BIP100" s="798"/>
      <c r="BIQ100" s="798"/>
      <c r="BIR100" s="798"/>
      <c r="BIS100" s="798"/>
      <c r="BIT100" s="798"/>
      <c r="BIU100" s="798"/>
      <c r="BIV100" s="798"/>
      <c r="BIW100" s="798"/>
      <c r="BIX100" s="798"/>
      <c r="BIY100" s="798"/>
      <c r="BIZ100" s="798"/>
      <c r="BJA100" s="798"/>
      <c r="BJB100" s="798"/>
      <c r="BJC100" s="798"/>
      <c r="BJD100" s="798"/>
      <c r="BJE100" s="798"/>
      <c r="BJF100" s="798"/>
      <c r="BJG100" s="798"/>
      <c r="BJH100" s="798"/>
      <c r="BJI100" s="798"/>
      <c r="BJJ100" s="798"/>
      <c r="BJK100" s="798"/>
      <c r="BJL100" s="798"/>
      <c r="BJM100" s="798"/>
      <c r="BJN100" s="798"/>
      <c r="BJO100" s="798"/>
      <c r="BJP100" s="798"/>
      <c r="BJQ100" s="798"/>
      <c r="BJR100" s="798"/>
      <c r="BJS100" s="798"/>
      <c r="BJT100" s="798"/>
      <c r="BJU100" s="798"/>
      <c r="BJV100" s="798"/>
      <c r="BJW100" s="798"/>
      <c r="BJX100" s="798"/>
      <c r="BJY100" s="798"/>
      <c r="BJZ100" s="798"/>
      <c r="BKA100" s="798"/>
      <c r="BKB100" s="798"/>
      <c r="BKC100" s="798"/>
      <c r="BKD100" s="798"/>
      <c r="BKE100" s="798"/>
      <c r="BKF100" s="798"/>
      <c r="BKG100" s="798"/>
      <c r="BKH100" s="798"/>
      <c r="BKI100" s="798"/>
      <c r="BKJ100" s="798"/>
      <c r="BKK100" s="798"/>
      <c r="BKL100" s="798"/>
      <c r="BKM100" s="798"/>
      <c r="BKN100" s="798"/>
      <c r="BKO100" s="798"/>
      <c r="BKP100" s="798"/>
      <c r="BKQ100" s="798"/>
      <c r="BKR100" s="798"/>
      <c r="BKS100" s="798"/>
      <c r="BKT100" s="798"/>
      <c r="BKU100" s="798"/>
      <c r="BKV100" s="798"/>
      <c r="BKW100" s="798"/>
      <c r="BKX100" s="798"/>
      <c r="BKY100" s="798"/>
      <c r="BKZ100" s="798"/>
      <c r="BLA100" s="798"/>
      <c r="BLB100" s="798"/>
      <c r="BLC100" s="798"/>
      <c r="BLD100" s="798"/>
      <c r="BLE100" s="798"/>
      <c r="BLF100" s="798"/>
      <c r="BLG100" s="798"/>
      <c r="BLH100" s="798"/>
      <c r="BLI100" s="798"/>
      <c r="BLJ100" s="798"/>
      <c r="BLK100" s="798"/>
      <c r="BLL100" s="798"/>
      <c r="BLM100" s="798"/>
      <c r="BLN100" s="798"/>
      <c r="BLO100" s="798"/>
      <c r="BLP100" s="798"/>
      <c r="BLQ100" s="798"/>
      <c r="BLR100" s="798"/>
      <c r="BLS100" s="798"/>
      <c r="BLT100" s="798"/>
      <c r="BLU100" s="798"/>
      <c r="BLV100" s="798"/>
      <c r="BLW100" s="798"/>
      <c r="BLX100" s="798"/>
      <c r="BLY100" s="798"/>
      <c r="BLZ100" s="798"/>
      <c r="BMA100" s="798"/>
      <c r="BMB100" s="798"/>
      <c r="BMC100" s="798"/>
      <c r="BMD100" s="798"/>
      <c r="BME100" s="798"/>
      <c r="BMF100" s="798"/>
      <c r="BMG100" s="798"/>
      <c r="BMH100" s="798"/>
      <c r="BMI100" s="798"/>
      <c r="BMJ100" s="798"/>
      <c r="BMK100" s="798"/>
      <c r="BML100" s="798"/>
      <c r="BMM100" s="798"/>
      <c r="BMN100" s="798"/>
      <c r="BMO100" s="798"/>
      <c r="BMP100" s="798"/>
      <c r="BMQ100" s="798"/>
      <c r="BMR100" s="798"/>
      <c r="BMS100" s="798"/>
      <c r="BMT100" s="798"/>
      <c r="BMU100" s="798"/>
      <c r="BMV100" s="798"/>
      <c r="BMW100" s="798"/>
      <c r="BMX100" s="798"/>
      <c r="BMY100" s="798"/>
      <c r="BMZ100" s="798"/>
      <c r="BNA100" s="798"/>
      <c r="BNB100" s="798"/>
      <c r="BNC100" s="798"/>
      <c r="BND100" s="798"/>
      <c r="BNE100" s="798"/>
      <c r="BNF100" s="798"/>
      <c r="BNG100" s="798"/>
      <c r="BNH100" s="798"/>
      <c r="BNI100" s="798"/>
      <c r="BNJ100" s="798"/>
      <c r="BNK100" s="798"/>
      <c r="BNL100" s="798"/>
      <c r="BNM100" s="798"/>
      <c r="BNN100" s="798"/>
      <c r="BNO100" s="798"/>
      <c r="BNP100" s="798"/>
      <c r="BNQ100" s="798"/>
      <c r="BNR100" s="798"/>
      <c r="BNS100" s="798"/>
      <c r="BNT100" s="798"/>
      <c r="BNU100" s="798"/>
      <c r="BNV100" s="798"/>
      <c r="BNW100" s="798"/>
      <c r="BNX100" s="798"/>
      <c r="BNY100" s="798"/>
      <c r="BNZ100" s="798"/>
      <c r="BOA100" s="798"/>
      <c r="BOB100" s="798"/>
      <c r="BOC100" s="798"/>
      <c r="BOD100" s="798"/>
      <c r="BOE100" s="798"/>
      <c r="BOF100" s="798"/>
      <c r="BOG100" s="798"/>
      <c r="BOH100" s="798"/>
      <c r="BOI100" s="798"/>
      <c r="BOJ100" s="798"/>
      <c r="BOK100" s="798"/>
      <c r="BOL100" s="798"/>
      <c r="BOM100" s="798"/>
      <c r="BON100" s="798"/>
      <c r="BOO100" s="798"/>
      <c r="BOP100" s="798"/>
      <c r="BOQ100" s="798"/>
      <c r="BOR100" s="798"/>
      <c r="BOS100" s="798"/>
      <c r="BOT100" s="798"/>
      <c r="BOU100" s="798"/>
      <c r="BOV100" s="798"/>
      <c r="BOW100" s="798"/>
      <c r="BOX100" s="798"/>
      <c r="BOY100" s="798"/>
      <c r="BOZ100" s="798"/>
      <c r="BPA100" s="798"/>
      <c r="BPB100" s="798"/>
      <c r="BPC100" s="798"/>
      <c r="BPD100" s="798"/>
      <c r="BPE100" s="798"/>
      <c r="BPF100" s="798"/>
      <c r="BPG100" s="798"/>
      <c r="BPH100" s="798"/>
      <c r="BPI100" s="798"/>
      <c r="BPJ100" s="798"/>
      <c r="BPK100" s="798"/>
      <c r="BPL100" s="798"/>
      <c r="BPM100" s="798"/>
      <c r="BPN100" s="798"/>
      <c r="BPO100" s="798"/>
      <c r="BPP100" s="798"/>
      <c r="BPQ100" s="798"/>
      <c r="BPR100" s="798"/>
      <c r="BPS100" s="798"/>
      <c r="BPT100" s="798"/>
      <c r="BPU100" s="798"/>
      <c r="BPV100" s="798"/>
      <c r="BPW100" s="798"/>
      <c r="BPX100" s="798"/>
      <c r="BPY100" s="798"/>
      <c r="BPZ100" s="798"/>
      <c r="BQA100" s="798"/>
      <c r="BQB100" s="798"/>
      <c r="BQC100" s="798"/>
      <c r="BQD100" s="798"/>
      <c r="BQE100" s="798"/>
      <c r="BQF100" s="798"/>
      <c r="BQG100" s="798"/>
      <c r="BQH100" s="798"/>
      <c r="BQI100" s="798"/>
      <c r="BQJ100" s="798"/>
      <c r="BQK100" s="798"/>
      <c r="BQL100" s="798"/>
      <c r="BQM100" s="798"/>
      <c r="BQN100" s="798"/>
      <c r="BQO100" s="798"/>
      <c r="BQP100" s="798"/>
      <c r="BQQ100" s="798"/>
      <c r="BQR100" s="798"/>
      <c r="BQS100" s="798"/>
      <c r="BQT100" s="798"/>
      <c r="BQU100" s="798"/>
      <c r="BQV100" s="798"/>
      <c r="BQW100" s="798"/>
      <c r="BQX100" s="798"/>
      <c r="BQY100" s="798"/>
      <c r="BQZ100" s="798"/>
      <c r="BRA100" s="798"/>
      <c r="BRB100" s="798"/>
      <c r="BRC100" s="798"/>
      <c r="BRD100" s="798"/>
      <c r="BRE100" s="798"/>
      <c r="BRF100" s="798"/>
      <c r="BRG100" s="798"/>
      <c r="BRH100" s="798"/>
      <c r="BRI100" s="798"/>
      <c r="BRJ100" s="798"/>
      <c r="BRK100" s="798"/>
      <c r="BRL100" s="798"/>
      <c r="BRM100" s="798"/>
      <c r="BRN100" s="798"/>
      <c r="BRO100" s="798"/>
      <c r="BRP100" s="798"/>
      <c r="BRQ100" s="798"/>
      <c r="BRR100" s="798"/>
      <c r="BRS100" s="798"/>
      <c r="BRT100" s="798"/>
      <c r="BRU100" s="798"/>
      <c r="BRV100" s="798"/>
      <c r="BRW100" s="798"/>
      <c r="BRX100" s="798"/>
      <c r="BRY100" s="798"/>
      <c r="BRZ100" s="798"/>
      <c r="BSA100" s="798"/>
      <c r="BSB100" s="798"/>
      <c r="BSC100" s="798"/>
      <c r="BSD100" s="798"/>
      <c r="BSE100" s="798"/>
      <c r="BSF100" s="798"/>
      <c r="BSG100" s="798"/>
      <c r="BSH100" s="798"/>
      <c r="BSI100" s="798"/>
      <c r="BSJ100" s="798"/>
      <c r="BSK100" s="798"/>
      <c r="BSL100" s="798"/>
      <c r="BSM100" s="798"/>
      <c r="BSN100" s="798"/>
      <c r="BSO100" s="798"/>
      <c r="BSP100" s="798"/>
      <c r="BSQ100" s="798"/>
      <c r="BSR100" s="798"/>
      <c r="BSS100" s="798"/>
      <c r="BST100" s="798"/>
      <c r="BSU100" s="798"/>
      <c r="BSV100" s="798"/>
      <c r="BSW100" s="798"/>
      <c r="BSX100" s="798"/>
      <c r="BSY100" s="798"/>
      <c r="BSZ100" s="798"/>
      <c r="BTA100" s="798"/>
      <c r="BTB100" s="798"/>
      <c r="BTC100" s="798"/>
      <c r="BTD100" s="798"/>
      <c r="BTE100" s="798"/>
      <c r="BTF100" s="798"/>
      <c r="BTG100" s="798"/>
      <c r="BTH100" s="798"/>
      <c r="BTI100" s="798"/>
      <c r="BTJ100" s="798"/>
      <c r="BTK100" s="798"/>
      <c r="BTL100" s="798"/>
      <c r="BTM100" s="798"/>
      <c r="BTN100" s="798"/>
      <c r="BTO100" s="798"/>
      <c r="BTP100" s="798"/>
      <c r="BTQ100" s="798"/>
      <c r="BTR100" s="798"/>
      <c r="BTS100" s="798"/>
      <c r="BTT100" s="798"/>
      <c r="BTU100" s="798"/>
      <c r="BTV100" s="798"/>
      <c r="BTW100" s="798"/>
      <c r="BTX100" s="798"/>
      <c r="BTY100" s="798"/>
      <c r="BTZ100" s="798"/>
      <c r="BUA100" s="798"/>
      <c r="BUB100" s="798"/>
      <c r="BUC100" s="798"/>
      <c r="BUD100" s="798"/>
      <c r="BUE100" s="798"/>
      <c r="BUF100" s="798"/>
      <c r="BUG100" s="798"/>
      <c r="BUH100" s="798"/>
      <c r="BUI100" s="798"/>
      <c r="BUJ100" s="798"/>
      <c r="BUK100" s="798"/>
      <c r="BUL100" s="798"/>
      <c r="BUM100" s="798"/>
      <c r="BUN100" s="798"/>
      <c r="BUO100" s="798"/>
      <c r="BUP100" s="798"/>
      <c r="BUQ100" s="798"/>
      <c r="BUR100" s="798"/>
      <c r="BUS100" s="798"/>
      <c r="BUT100" s="798"/>
      <c r="BUU100" s="798"/>
      <c r="BUV100" s="798"/>
      <c r="BUW100" s="798"/>
      <c r="BUX100" s="798"/>
      <c r="BUY100" s="798"/>
      <c r="BUZ100" s="798"/>
      <c r="BVA100" s="798"/>
      <c r="BVB100" s="798"/>
      <c r="BVC100" s="798"/>
      <c r="BVD100" s="798"/>
      <c r="BVE100" s="798"/>
      <c r="BVF100" s="798"/>
      <c r="BVG100" s="798"/>
      <c r="BVH100" s="798"/>
      <c r="BVI100" s="798"/>
      <c r="BVJ100" s="798"/>
      <c r="BVK100" s="798"/>
      <c r="BVL100" s="798"/>
      <c r="BVM100" s="798"/>
      <c r="BVN100" s="798"/>
      <c r="BVO100" s="798"/>
      <c r="BVP100" s="798"/>
      <c r="BVQ100" s="798"/>
      <c r="BVR100" s="798"/>
      <c r="BVS100" s="798"/>
      <c r="BVT100" s="798"/>
      <c r="BVU100" s="798"/>
      <c r="BVV100" s="798"/>
      <c r="BVW100" s="798"/>
      <c r="BVX100" s="798"/>
      <c r="BVY100" s="798"/>
      <c r="BVZ100" s="798"/>
      <c r="BWA100" s="798"/>
      <c r="BWB100" s="798"/>
      <c r="BWC100" s="798"/>
      <c r="BWD100" s="798"/>
      <c r="BWE100" s="798"/>
      <c r="BWF100" s="798"/>
      <c r="BWG100" s="798"/>
      <c r="BWH100" s="798"/>
      <c r="BWI100" s="798"/>
      <c r="BWJ100" s="798"/>
      <c r="BWK100" s="798"/>
      <c r="BWL100" s="798"/>
      <c r="BWM100" s="798"/>
      <c r="BWN100" s="798"/>
      <c r="BWO100" s="798"/>
      <c r="BWP100" s="798"/>
      <c r="BWQ100" s="798"/>
      <c r="BWR100" s="798"/>
      <c r="BWS100" s="798"/>
      <c r="BWT100" s="798"/>
      <c r="BWU100" s="798"/>
      <c r="BWV100" s="798"/>
      <c r="BWW100" s="798"/>
      <c r="BWX100" s="798"/>
      <c r="BWY100" s="798"/>
      <c r="BWZ100" s="798"/>
      <c r="BXA100" s="798"/>
      <c r="BXB100" s="798"/>
      <c r="BXC100" s="798"/>
      <c r="BXD100" s="798"/>
      <c r="BXE100" s="798"/>
      <c r="BXF100" s="798"/>
      <c r="BXG100" s="798"/>
      <c r="BXH100" s="798"/>
      <c r="BXI100" s="798"/>
      <c r="BXJ100" s="798"/>
      <c r="BXK100" s="798"/>
      <c r="BXL100" s="798"/>
      <c r="BXM100" s="798"/>
      <c r="BXN100" s="798"/>
      <c r="BXO100" s="798"/>
      <c r="BXP100" s="798"/>
      <c r="BXQ100" s="798"/>
      <c r="BXR100" s="798"/>
      <c r="BXS100" s="798"/>
      <c r="BXT100" s="798"/>
      <c r="BXU100" s="798"/>
      <c r="BXV100" s="798"/>
      <c r="BXW100" s="798"/>
      <c r="BXX100" s="798"/>
      <c r="BXY100" s="798"/>
      <c r="BXZ100" s="798"/>
      <c r="BYA100" s="798"/>
      <c r="BYB100" s="798"/>
      <c r="BYC100" s="798"/>
      <c r="BYD100" s="798"/>
      <c r="BYE100" s="798"/>
      <c r="BYF100" s="798"/>
      <c r="BYG100" s="798"/>
      <c r="BYH100" s="798"/>
      <c r="BYI100" s="798"/>
      <c r="BYJ100" s="798"/>
      <c r="BYK100" s="798"/>
      <c r="BYL100" s="798"/>
      <c r="BYM100" s="798"/>
      <c r="BYN100" s="798"/>
      <c r="BYO100" s="798"/>
      <c r="BYP100" s="798"/>
      <c r="BYQ100" s="798"/>
      <c r="BYR100" s="798"/>
      <c r="BYS100" s="798"/>
      <c r="BYT100" s="798"/>
      <c r="BYU100" s="798"/>
      <c r="BYV100" s="798"/>
      <c r="BYW100" s="798"/>
      <c r="BYX100" s="798"/>
      <c r="BYY100" s="798"/>
      <c r="BYZ100" s="798"/>
      <c r="BZA100" s="798"/>
      <c r="BZB100" s="798"/>
      <c r="BZC100" s="798"/>
      <c r="BZD100" s="798"/>
      <c r="BZE100" s="798"/>
      <c r="BZF100" s="798"/>
      <c r="BZG100" s="798"/>
      <c r="BZH100" s="798"/>
      <c r="BZI100" s="798"/>
      <c r="BZJ100" s="798"/>
      <c r="BZK100" s="798"/>
      <c r="BZL100" s="798"/>
      <c r="BZM100" s="798"/>
      <c r="BZN100" s="798"/>
      <c r="BZO100" s="798"/>
      <c r="BZP100" s="798"/>
      <c r="BZQ100" s="798"/>
      <c r="BZR100" s="798"/>
      <c r="BZS100" s="798"/>
      <c r="BZT100" s="798"/>
      <c r="BZU100" s="798"/>
      <c r="BZV100" s="798"/>
      <c r="BZW100" s="798"/>
      <c r="BZX100" s="798"/>
      <c r="BZY100" s="798"/>
      <c r="BZZ100" s="798"/>
      <c r="CAA100" s="798"/>
      <c r="CAB100" s="798"/>
      <c r="CAC100" s="798"/>
      <c r="CAD100" s="798"/>
      <c r="CAE100" s="798"/>
      <c r="CAF100" s="798"/>
      <c r="CAG100" s="798"/>
      <c r="CAH100" s="798"/>
      <c r="CAI100" s="798"/>
      <c r="CAJ100" s="798"/>
      <c r="CAK100" s="798"/>
      <c r="CAL100" s="798"/>
      <c r="CAM100" s="798"/>
      <c r="CAN100" s="798"/>
      <c r="CAO100" s="798"/>
      <c r="CAP100" s="798"/>
      <c r="CAQ100" s="798"/>
      <c r="CAR100" s="798"/>
      <c r="CAS100" s="798"/>
      <c r="CAT100" s="798"/>
      <c r="CAU100" s="798"/>
      <c r="CAV100" s="798"/>
      <c r="CAW100" s="798"/>
      <c r="CAX100" s="798"/>
      <c r="CAY100" s="798"/>
      <c r="CAZ100" s="798"/>
      <c r="CBA100" s="798"/>
      <c r="CBB100" s="798"/>
      <c r="CBC100" s="798"/>
      <c r="CBD100" s="798"/>
      <c r="CBE100" s="798"/>
      <c r="CBF100" s="798"/>
      <c r="CBG100" s="798"/>
      <c r="CBH100" s="798"/>
      <c r="CBI100" s="798"/>
      <c r="CBJ100" s="798"/>
      <c r="CBK100" s="798"/>
      <c r="CBL100" s="798"/>
      <c r="CBM100" s="798"/>
      <c r="CBN100" s="798"/>
      <c r="CBO100" s="798"/>
      <c r="CBP100" s="798"/>
      <c r="CBQ100" s="798"/>
      <c r="CBR100" s="798"/>
      <c r="CBS100" s="798"/>
      <c r="CBT100" s="798"/>
      <c r="CBU100" s="798"/>
      <c r="CBV100" s="798"/>
      <c r="CBW100" s="798"/>
      <c r="CBX100" s="798"/>
      <c r="CBY100" s="798"/>
      <c r="CBZ100" s="798"/>
      <c r="CCA100" s="798"/>
      <c r="CCB100" s="798"/>
      <c r="CCC100" s="798"/>
      <c r="CCD100" s="798"/>
      <c r="CCE100" s="798"/>
      <c r="CCF100" s="798"/>
      <c r="CCG100" s="798"/>
      <c r="CCH100" s="798"/>
      <c r="CCI100" s="798"/>
      <c r="CCJ100" s="798"/>
      <c r="CCK100" s="798"/>
      <c r="CCL100" s="798"/>
      <c r="CCM100" s="798"/>
      <c r="CCN100" s="798"/>
      <c r="CCO100" s="798"/>
      <c r="CCP100" s="798"/>
      <c r="CCQ100" s="798"/>
      <c r="CCR100" s="798"/>
      <c r="CCS100" s="798"/>
      <c r="CCT100" s="798"/>
      <c r="CCU100" s="798"/>
      <c r="CCV100" s="798"/>
      <c r="CCW100" s="798"/>
      <c r="CCX100" s="798"/>
      <c r="CCY100" s="798"/>
      <c r="CCZ100" s="798"/>
      <c r="CDA100" s="798"/>
      <c r="CDB100" s="798"/>
      <c r="CDC100" s="798"/>
      <c r="CDD100" s="798"/>
      <c r="CDE100" s="798"/>
      <c r="CDF100" s="798"/>
      <c r="CDG100" s="798"/>
      <c r="CDH100" s="798"/>
      <c r="CDI100" s="798"/>
      <c r="CDJ100" s="798"/>
      <c r="CDK100" s="798"/>
      <c r="CDL100" s="798"/>
      <c r="CDM100" s="798"/>
      <c r="CDN100" s="798"/>
      <c r="CDO100" s="798"/>
      <c r="CDP100" s="798"/>
      <c r="CDQ100" s="798"/>
      <c r="CDR100" s="798"/>
      <c r="CDS100" s="798"/>
      <c r="CDT100" s="798"/>
      <c r="CDU100" s="798"/>
      <c r="CDV100" s="798"/>
      <c r="CDW100" s="798"/>
      <c r="CDX100" s="798"/>
      <c r="CDY100" s="798"/>
      <c r="CDZ100" s="798"/>
      <c r="CEA100" s="798"/>
      <c r="CEB100" s="798"/>
      <c r="CEC100" s="798"/>
      <c r="CED100" s="798"/>
      <c r="CEE100" s="798"/>
      <c r="CEF100" s="798"/>
      <c r="CEG100" s="798"/>
      <c r="CEH100" s="798"/>
      <c r="CEI100" s="798"/>
      <c r="CEJ100" s="798"/>
      <c r="CEK100" s="798"/>
      <c r="CEL100" s="798"/>
      <c r="CEM100" s="798"/>
      <c r="CEN100" s="798"/>
      <c r="CEO100" s="798"/>
      <c r="CEP100" s="798"/>
      <c r="CEQ100" s="798"/>
      <c r="CER100" s="798"/>
      <c r="CES100" s="798"/>
      <c r="CET100" s="798"/>
      <c r="CEU100" s="798"/>
      <c r="CEV100" s="798"/>
      <c r="CEW100" s="798"/>
      <c r="CEX100" s="798"/>
      <c r="CEY100" s="798"/>
      <c r="CEZ100" s="798"/>
      <c r="CFA100" s="798"/>
      <c r="CFB100" s="798"/>
      <c r="CFC100" s="798"/>
      <c r="CFD100" s="798"/>
      <c r="CFE100" s="798"/>
      <c r="CFF100" s="798"/>
      <c r="CFG100" s="798"/>
      <c r="CFH100" s="798"/>
      <c r="CFI100" s="798"/>
      <c r="CFJ100" s="798"/>
      <c r="CFK100" s="798"/>
      <c r="CFL100" s="798"/>
      <c r="CFM100" s="798"/>
      <c r="CFN100" s="798"/>
      <c r="CFO100" s="798"/>
      <c r="CFP100" s="798"/>
      <c r="CFQ100" s="798"/>
      <c r="CFR100" s="798"/>
      <c r="CFS100" s="798"/>
      <c r="CFT100" s="798"/>
      <c r="CFU100" s="798"/>
      <c r="CFV100" s="798"/>
      <c r="CFW100" s="798"/>
      <c r="CFX100" s="798"/>
      <c r="CFY100" s="798"/>
      <c r="CFZ100" s="798"/>
      <c r="CGA100" s="798"/>
      <c r="CGB100" s="798"/>
      <c r="CGC100" s="798"/>
      <c r="CGD100" s="798"/>
      <c r="CGE100" s="798"/>
      <c r="CGF100" s="798"/>
      <c r="CGG100" s="798"/>
      <c r="CGH100" s="798"/>
      <c r="CGI100" s="798"/>
      <c r="CGJ100" s="798"/>
      <c r="CGK100" s="798"/>
      <c r="CGL100" s="798"/>
      <c r="CGM100" s="798"/>
      <c r="CGN100" s="798"/>
      <c r="CGO100" s="798"/>
      <c r="CGP100" s="798"/>
      <c r="CGQ100" s="798"/>
      <c r="CGR100" s="798"/>
      <c r="CGS100" s="798"/>
      <c r="CGT100" s="798"/>
      <c r="CGU100" s="798"/>
      <c r="CGV100" s="798"/>
      <c r="CGW100" s="798"/>
      <c r="CGX100" s="798"/>
      <c r="CGY100" s="798"/>
      <c r="CGZ100" s="798"/>
      <c r="CHA100" s="798"/>
      <c r="CHB100" s="798"/>
      <c r="CHC100" s="798"/>
      <c r="CHD100" s="798"/>
      <c r="CHE100" s="798"/>
      <c r="CHF100" s="798"/>
      <c r="CHG100" s="798"/>
      <c r="CHH100" s="798"/>
      <c r="CHI100" s="798"/>
      <c r="CHJ100" s="798"/>
      <c r="CHK100" s="798"/>
      <c r="CHL100" s="798"/>
      <c r="CHM100" s="798"/>
      <c r="CHN100" s="798"/>
      <c r="CHO100" s="798"/>
      <c r="CHP100" s="798"/>
      <c r="CHQ100" s="798"/>
      <c r="CHR100" s="798"/>
      <c r="CHS100" s="798"/>
      <c r="CHT100" s="798"/>
      <c r="CHU100" s="798"/>
      <c r="CHV100" s="798"/>
      <c r="CHW100" s="798"/>
      <c r="CHX100" s="798"/>
      <c r="CHY100" s="798"/>
      <c r="CHZ100" s="798"/>
      <c r="CIA100" s="798"/>
      <c r="CIB100" s="798"/>
      <c r="CIC100" s="798"/>
      <c r="CID100" s="798"/>
      <c r="CIE100" s="798"/>
      <c r="CIF100" s="798"/>
      <c r="CIG100" s="798"/>
      <c r="CIH100" s="798"/>
      <c r="CII100" s="798"/>
      <c r="CIJ100" s="798"/>
      <c r="CIK100" s="798"/>
      <c r="CIL100" s="798"/>
      <c r="CIM100" s="798"/>
      <c r="CIN100" s="798"/>
      <c r="CIO100" s="798"/>
      <c r="CIP100" s="798"/>
      <c r="CIQ100" s="798"/>
      <c r="CIR100" s="798"/>
      <c r="CIS100" s="798"/>
      <c r="CIT100" s="798"/>
      <c r="CIU100" s="798"/>
      <c r="CIV100" s="798"/>
      <c r="CIW100" s="798"/>
      <c r="CIX100" s="798"/>
      <c r="CIY100" s="798"/>
      <c r="CIZ100" s="798"/>
      <c r="CJA100" s="798"/>
      <c r="CJB100" s="798"/>
      <c r="CJC100" s="798"/>
      <c r="CJD100" s="798"/>
      <c r="CJE100" s="798"/>
      <c r="CJF100" s="798"/>
      <c r="CJG100" s="798"/>
      <c r="CJH100" s="798"/>
      <c r="CJI100" s="798"/>
      <c r="CJJ100" s="798"/>
      <c r="CJK100" s="798"/>
      <c r="CJL100" s="798"/>
      <c r="CJM100" s="798"/>
      <c r="CJN100" s="798"/>
      <c r="CJO100" s="798"/>
      <c r="CJP100" s="798"/>
      <c r="CJQ100" s="798"/>
      <c r="CJR100" s="798"/>
      <c r="CJS100" s="798"/>
      <c r="CJT100" s="798"/>
      <c r="CJU100" s="798"/>
      <c r="CJV100" s="798"/>
      <c r="CJW100" s="798"/>
      <c r="CJX100" s="798"/>
      <c r="CJY100" s="798"/>
      <c r="CJZ100" s="798"/>
      <c r="CKA100" s="798"/>
      <c r="CKB100" s="798"/>
      <c r="CKC100" s="798"/>
      <c r="CKD100" s="798"/>
      <c r="CKE100" s="798"/>
      <c r="CKF100" s="798"/>
      <c r="CKG100" s="798"/>
      <c r="CKH100" s="798"/>
      <c r="CKI100" s="798"/>
      <c r="CKJ100" s="798"/>
      <c r="CKK100" s="798"/>
      <c r="CKL100" s="798"/>
      <c r="CKM100" s="798"/>
      <c r="CKN100" s="798"/>
      <c r="CKO100" s="798"/>
      <c r="CKP100" s="798"/>
      <c r="CKQ100" s="798"/>
      <c r="CKR100" s="798"/>
      <c r="CKS100" s="798"/>
      <c r="CKT100" s="798"/>
      <c r="CKU100" s="798"/>
      <c r="CKV100" s="798"/>
      <c r="CKW100" s="798"/>
      <c r="CKX100" s="798"/>
      <c r="CKY100" s="798"/>
      <c r="CKZ100" s="798"/>
      <c r="CLA100" s="798"/>
      <c r="CLB100" s="798"/>
      <c r="CLC100" s="798"/>
      <c r="CLD100" s="798"/>
      <c r="CLE100" s="798"/>
      <c r="CLF100" s="798"/>
      <c r="CLG100" s="798"/>
      <c r="CLH100" s="798"/>
      <c r="CLI100" s="798"/>
      <c r="CLJ100" s="798"/>
      <c r="CLK100" s="798"/>
      <c r="CLL100" s="798"/>
      <c r="CLM100" s="798"/>
      <c r="CLN100" s="798"/>
      <c r="CLO100" s="798"/>
      <c r="CLP100" s="798"/>
      <c r="CLQ100" s="798"/>
      <c r="CLR100" s="798"/>
      <c r="CLS100" s="798"/>
      <c r="CLT100" s="798"/>
      <c r="CLU100" s="798"/>
      <c r="CLV100" s="798"/>
      <c r="CLW100" s="798"/>
      <c r="CLX100" s="798"/>
      <c r="CLY100" s="798"/>
      <c r="CLZ100" s="798"/>
      <c r="CMA100" s="798"/>
      <c r="CMB100" s="798"/>
      <c r="CMC100" s="798"/>
      <c r="CMD100" s="798"/>
      <c r="CME100" s="798"/>
      <c r="CMF100" s="798"/>
      <c r="CMG100" s="798"/>
      <c r="CMH100" s="798"/>
      <c r="CMI100" s="798"/>
      <c r="CMJ100" s="798"/>
      <c r="CMK100" s="798"/>
      <c r="CML100" s="798"/>
      <c r="CMM100" s="798"/>
      <c r="CMN100" s="798"/>
      <c r="CMO100" s="798"/>
      <c r="CMP100" s="798"/>
      <c r="CMQ100" s="798"/>
      <c r="CMR100" s="798"/>
      <c r="CMS100" s="798"/>
      <c r="CMT100" s="798"/>
      <c r="CMU100" s="798"/>
      <c r="CMV100" s="798"/>
      <c r="CMW100" s="798"/>
      <c r="CMX100" s="798"/>
      <c r="CMY100" s="798"/>
      <c r="CMZ100" s="798"/>
      <c r="CNA100" s="798"/>
      <c r="CNB100" s="798"/>
      <c r="CNC100" s="798"/>
      <c r="CND100" s="798"/>
      <c r="CNE100" s="798"/>
      <c r="CNF100" s="798"/>
      <c r="CNG100" s="798"/>
      <c r="CNH100" s="798"/>
      <c r="CNI100" s="798"/>
      <c r="CNJ100" s="798"/>
      <c r="CNK100" s="798"/>
      <c r="CNL100" s="798"/>
      <c r="CNM100" s="798"/>
      <c r="CNN100" s="798"/>
      <c r="CNO100" s="798"/>
      <c r="CNP100" s="798"/>
      <c r="CNQ100" s="798"/>
      <c r="CNR100" s="798"/>
      <c r="CNS100" s="798"/>
      <c r="CNT100" s="798"/>
      <c r="CNU100" s="798"/>
      <c r="CNV100" s="798"/>
      <c r="CNW100" s="798"/>
      <c r="CNX100" s="798"/>
      <c r="CNY100" s="798"/>
      <c r="CNZ100" s="798"/>
      <c r="COA100" s="798"/>
      <c r="COB100" s="798"/>
      <c r="COC100" s="798"/>
      <c r="COD100" s="798"/>
      <c r="COE100" s="798"/>
      <c r="COF100" s="798"/>
      <c r="COG100" s="798"/>
      <c r="COH100" s="798"/>
      <c r="COI100" s="798"/>
      <c r="COJ100" s="798"/>
      <c r="COK100" s="798"/>
      <c r="COL100" s="798"/>
      <c r="COM100" s="798"/>
      <c r="CON100" s="798"/>
      <c r="COO100" s="798"/>
      <c r="COP100" s="798"/>
      <c r="COQ100" s="798"/>
      <c r="COR100" s="798"/>
      <c r="COS100" s="798"/>
      <c r="COT100" s="798"/>
      <c r="COU100" s="798"/>
      <c r="COV100" s="798"/>
      <c r="COW100" s="798"/>
      <c r="COX100" s="798"/>
      <c r="COY100" s="798"/>
      <c r="COZ100" s="798"/>
      <c r="CPA100" s="798"/>
      <c r="CPB100" s="798"/>
      <c r="CPC100" s="798"/>
      <c r="CPD100" s="798"/>
      <c r="CPE100" s="798"/>
      <c r="CPF100" s="798"/>
      <c r="CPG100" s="798"/>
      <c r="CPH100" s="798"/>
      <c r="CPI100" s="798"/>
      <c r="CPJ100" s="798"/>
      <c r="CPK100" s="798"/>
      <c r="CPL100" s="798"/>
      <c r="CPM100" s="798"/>
      <c r="CPN100" s="798"/>
      <c r="CPO100" s="798"/>
      <c r="CPP100" s="798"/>
      <c r="CPQ100" s="798"/>
      <c r="CPR100" s="798"/>
      <c r="CPS100" s="798"/>
      <c r="CPT100" s="798"/>
      <c r="CPU100" s="798"/>
      <c r="CPV100" s="798"/>
      <c r="CPW100" s="798"/>
      <c r="CPX100" s="798"/>
      <c r="CPY100" s="798"/>
      <c r="CPZ100" s="798"/>
      <c r="CQA100" s="798"/>
      <c r="CQB100" s="798"/>
      <c r="CQC100" s="798"/>
      <c r="CQD100" s="798"/>
      <c r="CQE100" s="798"/>
      <c r="CQF100" s="798"/>
      <c r="CQG100" s="798"/>
      <c r="CQH100" s="798"/>
      <c r="CQI100" s="798"/>
      <c r="CQJ100" s="798"/>
      <c r="CQK100" s="798"/>
      <c r="CQL100" s="798"/>
      <c r="CQM100" s="798"/>
      <c r="CQN100" s="798"/>
      <c r="CQO100" s="798"/>
      <c r="CQP100" s="798"/>
      <c r="CQQ100" s="798"/>
      <c r="CQR100" s="798"/>
      <c r="CQS100" s="798"/>
      <c r="CQT100" s="798"/>
      <c r="CQU100" s="798"/>
      <c r="CQV100" s="798"/>
      <c r="CQW100" s="798"/>
      <c r="CQX100" s="798"/>
      <c r="CQY100" s="798"/>
      <c r="CQZ100" s="798"/>
      <c r="CRA100" s="798"/>
      <c r="CRB100" s="798"/>
      <c r="CRC100" s="798"/>
      <c r="CRD100" s="798"/>
      <c r="CRE100" s="798"/>
      <c r="CRF100" s="798"/>
      <c r="CRG100" s="798"/>
      <c r="CRH100" s="798"/>
      <c r="CRI100" s="798"/>
      <c r="CRJ100" s="798"/>
      <c r="CRK100" s="798"/>
      <c r="CRL100" s="798"/>
      <c r="CRM100" s="798"/>
      <c r="CRN100" s="798"/>
      <c r="CRO100" s="798"/>
      <c r="CRP100" s="798"/>
      <c r="CRQ100" s="798"/>
      <c r="CRR100" s="798"/>
      <c r="CRS100" s="798"/>
      <c r="CRT100" s="798"/>
      <c r="CRU100" s="798"/>
      <c r="CRV100" s="798"/>
      <c r="CRW100" s="798"/>
      <c r="CRX100" s="798"/>
      <c r="CRY100" s="798"/>
      <c r="CRZ100" s="798"/>
      <c r="CSA100" s="798"/>
      <c r="CSB100" s="798"/>
      <c r="CSC100" s="798"/>
      <c r="CSD100" s="798"/>
      <c r="CSE100" s="798"/>
      <c r="CSF100" s="798"/>
      <c r="CSG100" s="798"/>
      <c r="CSH100" s="798"/>
      <c r="CSI100" s="798"/>
      <c r="CSJ100" s="798"/>
      <c r="CSK100" s="798"/>
      <c r="CSL100" s="798"/>
      <c r="CSM100" s="798"/>
      <c r="CSN100" s="798"/>
      <c r="CSO100" s="798"/>
      <c r="CSP100" s="798"/>
      <c r="CSQ100" s="798"/>
      <c r="CSR100" s="798"/>
      <c r="CSS100" s="798"/>
      <c r="CST100" s="798"/>
      <c r="CSU100" s="798"/>
      <c r="CSV100" s="798"/>
      <c r="CSW100" s="798"/>
      <c r="CSX100" s="798"/>
      <c r="CSY100" s="798"/>
      <c r="CSZ100" s="798"/>
      <c r="CTA100" s="798"/>
      <c r="CTB100" s="798"/>
      <c r="CTC100" s="798"/>
      <c r="CTD100" s="798"/>
      <c r="CTE100" s="798"/>
      <c r="CTF100" s="798"/>
      <c r="CTG100" s="798"/>
      <c r="CTH100" s="798"/>
      <c r="CTI100" s="798"/>
      <c r="CTJ100" s="798"/>
      <c r="CTK100" s="798"/>
      <c r="CTL100" s="798"/>
      <c r="CTM100" s="798"/>
      <c r="CTN100" s="798"/>
      <c r="CTO100" s="798"/>
      <c r="CTP100" s="798"/>
      <c r="CTQ100" s="798"/>
      <c r="CTR100" s="798"/>
      <c r="CTS100" s="798"/>
      <c r="CTT100" s="798"/>
      <c r="CTU100" s="798"/>
      <c r="CTV100" s="798"/>
      <c r="CTW100" s="798"/>
      <c r="CTX100" s="798"/>
      <c r="CTY100" s="798"/>
      <c r="CTZ100" s="798"/>
      <c r="CUA100" s="798"/>
      <c r="CUB100" s="798"/>
      <c r="CUC100" s="798"/>
      <c r="CUD100" s="798"/>
      <c r="CUE100" s="798"/>
      <c r="CUF100" s="798"/>
      <c r="CUG100" s="798"/>
      <c r="CUH100" s="798"/>
      <c r="CUI100" s="798"/>
      <c r="CUJ100" s="798"/>
      <c r="CUK100" s="798"/>
      <c r="CUL100" s="798"/>
      <c r="CUM100" s="798"/>
      <c r="CUN100" s="798"/>
      <c r="CUO100" s="798"/>
      <c r="CUP100" s="798"/>
      <c r="CUQ100" s="798"/>
      <c r="CUR100" s="798"/>
      <c r="CUS100" s="798"/>
      <c r="CUT100" s="798"/>
      <c r="CUU100" s="798"/>
      <c r="CUV100" s="798"/>
      <c r="CUW100" s="798"/>
      <c r="CUX100" s="798"/>
      <c r="CUY100" s="798"/>
      <c r="CUZ100" s="798"/>
      <c r="CVA100" s="798"/>
      <c r="CVB100" s="798"/>
      <c r="CVC100" s="798"/>
      <c r="CVD100" s="798"/>
      <c r="CVE100" s="798"/>
      <c r="CVF100" s="798"/>
      <c r="CVG100" s="798"/>
      <c r="CVH100" s="798"/>
      <c r="CVI100" s="798"/>
      <c r="CVJ100" s="798"/>
      <c r="CVK100" s="798"/>
      <c r="CVL100" s="798"/>
      <c r="CVM100" s="798"/>
      <c r="CVN100" s="798"/>
      <c r="CVO100" s="798"/>
      <c r="CVP100" s="798"/>
      <c r="CVQ100" s="798"/>
      <c r="CVR100" s="798"/>
      <c r="CVS100" s="798"/>
      <c r="CVT100" s="798"/>
      <c r="CVU100" s="798"/>
      <c r="CVV100" s="798"/>
      <c r="CVW100" s="798"/>
      <c r="CVX100" s="798"/>
      <c r="CVY100" s="798"/>
      <c r="CVZ100" s="798"/>
      <c r="CWA100" s="798"/>
      <c r="CWB100" s="798"/>
      <c r="CWC100" s="798"/>
      <c r="CWD100" s="798"/>
      <c r="CWE100" s="798"/>
      <c r="CWF100" s="798"/>
      <c r="CWG100" s="798"/>
      <c r="CWH100" s="798"/>
      <c r="CWI100" s="798"/>
      <c r="CWJ100" s="798"/>
      <c r="CWK100" s="798"/>
      <c r="CWL100" s="798"/>
      <c r="CWM100" s="798"/>
      <c r="CWN100" s="798"/>
      <c r="CWO100" s="798"/>
      <c r="CWP100" s="798"/>
      <c r="CWQ100" s="798"/>
      <c r="CWR100" s="798"/>
      <c r="CWS100" s="798"/>
      <c r="CWT100" s="798"/>
      <c r="CWU100" s="798"/>
      <c r="CWV100" s="798"/>
      <c r="CWW100" s="798"/>
      <c r="CWX100" s="798"/>
      <c r="CWY100" s="798"/>
      <c r="CWZ100" s="798"/>
      <c r="CXA100" s="798"/>
      <c r="CXB100" s="798"/>
      <c r="CXC100" s="798"/>
      <c r="CXD100" s="798"/>
      <c r="CXE100" s="798"/>
      <c r="CXF100" s="798"/>
      <c r="CXG100" s="798"/>
      <c r="CXH100" s="798"/>
      <c r="CXI100" s="798"/>
      <c r="CXJ100" s="798"/>
      <c r="CXK100" s="798"/>
      <c r="CXL100" s="798"/>
      <c r="CXM100" s="798"/>
      <c r="CXN100" s="798"/>
      <c r="CXO100" s="798"/>
      <c r="CXP100" s="798"/>
      <c r="CXQ100" s="798"/>
      <c r="CXR100" s="798"/>
      <c r="CXS100" s="798"/>
      <c r="CXT100" s="798"/>
      <c r="CXU100" s="798"/>
      <c r="CXV100" s="798"/>
      <c r="CXW100" s="798"/>
      <c r="CXX100" s="798"/>
      <c r="CXY100" s="798"/>
      <c r="CXZ100" s="798"/>
      <c r="CYA100" s="798"/>
      <c r="CYB100" s="798"/>
      <c r="CYC100" s="798"/>
      <c r="CYD100" s="798"/>
      <c r="CYE100" s="798"/>
      <c r="CYF100" s="798"/>
      <c r="CYG100" s="798"/>
      <c r="CYH100" s="798"/>
      <c r="CYI100" s="798"/>
      <c r="CYJ100" s="798"/>
      <c r="CYK100" s="798"/>
      <c r="CYL100" s="798"/>
      <c r="CYM100" s="798"/>
      <c r="CYN100" s="798"/>
      <c r="CYO100" s="798"/>
      <c r="CYP100" s="798"/>
      <c r="CYQ100" s="798"/>
      <c r="CYR100" s="798"/>
      <c r="CYS100" s="798"/>
      <c r="CYT100" s="798"/>
      <c r="CYU100" s="798"/>
      <c r="CYV100" s="798"/>
      <c r="CYW100" s="798"/>
      <c r="CYX100" s="798"/>
      <c r="CYY100" s="798"/>
      <c r="CYZ100" s="798"/>
      <c r="CZA100" s="798"/>
      <c r="CZB100" s="798"/>
      <c r="CZC100" s="798"/>
      <c r="CZD100" s="798"/>
      <c r="CZE100" s="798"/>
      <c r="CZF100" s="798"/>
      <c r="CZG100" s="798"/>
      <c r="CZH100" s="798"/>
      <c r="CZI100" s="798"/>
      <c r="CZJ100" s="798"/>
      <c r="CZK100" s="798"/>
      <c r="CZL100" s="798"/>
      <c r="CZM100" s="798"/>
      <c r="CZN100" s="798"/>
      <c r="CZO100" s="798"/>
      <c r="CZP100" s="798"/>
      <c r="CZQ100" s="798"/>
      <c r="CZR100" s="798"/>
      <c r="CZS100" s="798"/>
      <c r="CZT100" s="798"/>
      <c r="CZU100" s="798"/>
      <c r="CZV100" s="798"/>
      <c r="CZW100" s="798"/>
      <c r="CZX100" s="798"/>
      <c r="CZY100" s="798"/>
      <c r="CZZ100" s="798"/>
      <c r="DAA100" s="798"/>
      <c r="DAB100" s="798"/>
      <c r="DAC100" s="798"/>
      <c r="DAD100" s="798"/>
      <c r="DAE100" s="798"/>
      <c r="DAF100" s="798"/>
      <c r="DAG100" s="798"/>
      <c r="DAH100" s="798"/>
      <c r="DAI100" s="798"/>
      <c r="DAJ100" s="798"/>
      <c r="DAK100" s="798"/>
      <c r="DAL100" s="798"/>
      <c r="DAM100" s="798"/>
      <c r="DAN100" s="798"/>
      <c r="DAO100" s="798"/>
      <c r="DAP100" s="798"/>
      <c r="DAQ100" s="798"/>
      <c r="DAR100" s="798"/>
      <c r="DAS100" s="798"/>
      <c r="DAT100" s="798"/>
      <c r="DAU100" s="798"/>
      <c r="DAV100" s="798"/>
      <c r="DAW100" s="798"/>
      <c r="DAX100" s="798"/>
      <c r="DAY100" s="798"/>
      <c r="DAZ100" s="798"/>
      <c r="DBA100" s="798"/>
      <c r="DBB100" s="798"/>
      <c r="DBC100" s="798"/>
      <c r="DBD100" s="798"/>
      <c r="DBE100" s="798"/>
      <c r="DBF100" s="798"/>
      <c r="DBG100" s="798"/>
      <c r="DBH100" s="798"/>
      <c r="DBI100" s="798"/>
      <c r="DBJ100" s="798"/>
      <c r="DBK100" s="798"/>
      <c r="DBL100" s="798"/>
      <c r="DBM100" s="798"/>
      <c r="DBN100" s="798"/>
      <c r="DBO100" s="798"/>
      <c r="DBP100" s="798"/>
      <c r="DBQ100" s="798"/>
      <c r="DBR100" s="798"/>
      <c r="DBS100" s="798"/>
      <c r="DBT100" s="798"/>
      <c r="DBU100" s="798"/>
      <c r="DBV100" s="798"/>
      <c r="DBW100" s="798"/>
      <c r="DBX100" s="798"/>
      <c r="DBY100" s="798"/>
      <c r="DBZ100" s="798"/>
      <c r="DCA100" s="798"/>
      <c r="DCB100" s="798"/>
      <c r="DCC100" s="798"/>
      <c r="DCD100" s="798"/>
      <c r="DCE100" s="798"/>
      <c r="DCF100" s="798"/>
      <c r="DCG100" s="798"/>
      <c r="DCH100" s="798"/>
      <c r="DCI100" s="798"/>
      <c r="DCJ100" s="798"/>
      <c r="DCK100" s="798"/>
      <c r="DCL100" s="798"/>
      <c r="DCM100" s="798"/>
      <c r="DCN100" s="798"/>
      <c r="DCO100" s="798"/>
      <c r="DCP100" s="798"/>
      <c r="DCQ100" s="798"/>
      <c r="DCR100" s="798"/>
      <c r="DCS100" s="798"/>
      <c r="DCT100" s="798"/>
      <c r="DCU100" s="798"/>
      <c r="DCV100" s="798"/>
      <c r="DCW100" s="798"/>
      <c r="DCX100" s="798"/>
      <c r="DCY100" s="798"/>
      <c r="DCZ100" s="798"/>
      <c r="DDA100" s="798"/>
      <c r="DDB100" s="798"/>
      <c r="DDC100" s="798"/>
      <c r="DDD100" s="798"/>
      <c r="DDE100" s="798"/>
      <c r="DDF100" s="798"/>
      <c r="DDG100" s="798"/>
      <c r="DDH100" s="798"/>
      <c r="DDI100" s="798"/>
      <c r="DDJ100" s="798"/>
      <c r="DDK100" s="798"/>
      <c r="DDL100" s="798"/>
      <c r="DDM100" s="798"/>
      <c r="DDN100" s="798"/>
      <c r="DDO100" s="798"/>
      <c r="DDP100" s="798"/>
      <c r="DDQ100" s="798"/>
      <c r="DDR100" s="798"/>
      <c r="DDS100" s="798"/>
      <c r="DDT100" s="798"/>
      <c r="DDU100" s="798"/>
      <c r="DDV100" s="798"/>
      <c r="DDW100" s="798"/>
      <c r="DDX100" s="798"/>
      <c r="DDY100" s="798"/>
      <c r="DDZ100" s="798"/>
      <c r="DEA100" s="798"/>
      <c r="DEB100" s="798"/>
      <c r="DEC100" s="798"/>
      <c r="DED100" s="798"/>
      <c r="DEE100" s="798"/>
      <c r="DEF100" s="798"/>
      <c r="DEG100" s="798"/>
      <c r="DEH100" s="798"/>
      <c r="DEI100" s="798"/>
      <c r="DEJ100" s="798"/>
      <c r="DEK100" s="798"/>
      <c r="DEL100" s="798"/>
      <c r="DEM100" s="798"/>
      <c r="DEN100" s="798"/>
      <c r="DEO100" s="798"/>
      <c r="DEP100" s="798"/>
      <c r="DEQ100" s="798"/>
      <c r="DER100" s="798"/>
      <c r="DES100" s="798"/>
      <c r="DET100" s="798"/>
      <c r="DEU100" s="798"/>
      <c r="DEV100" s="798"/>
      <c r="DEW100" s="798"/>
      <c r="DEX100" s="798"/>
      <c r="DEY100" s="798"/>
      <c r="DEZ100" s="798"/>
      <c r="DFA100" s="798"/>
      <c r="DFB100" s="798"/>
      <c r="DFC100" s="798"/>
      <c r="DFD100" s="798"/>
      <c r="DFE100" s="798"/>
      <c r="DFF100" s="798"/>
      <c r="DFG100" s="798"/>
      <c r="DFH100" s="798"/>
      <c r="DFI100" s="798"/>
      <c r="DFJ100" s="798"/>
      <c r="DFK100" s="798"/>
      <c r="DFL100" s="798"/>
      <c r="DFM100" s="798"/>
      <c r="DFN100" s="798"/>
      <c r="DFO100" s="798"/>
      <c r="DFP100" s="798"/>
      <c r="DFQ100" s="798"/>
      <c r="DFR100" s="798"/>
      <c r="DFS100" s="798"/>
      <c r="DFT100" s="798"/>
      <c r="DFU100" s="798"/>
      <c r="DFV100" s="798"/>
      <c r="DFW100" s="798"/>
      <c r="DFX100" s="798"/>
      <c r="DFY100" s="798"/>
      <c r="DFZ100" s="798"/>
      <c r="DGA100" s="798"/>
      <c r="DGB100" s="798"/>
      <c r="DGC100" s="798"/>
      <c r="DGD100" s="798"/>
      <c r="DGE100" s="798"/>
      <c r="DGF100" s="798"/>
      <c r="DGG100" s="798"/>
      <c r="DGH100" s="798"/>
      <c r="DGI100" s="798"/>
      <c r="DGJ100" s="798"/>
      <c r="DGK100" s="798"/>
      <c r="DGL100" s="798"/>
      <c r="DGM100" s="798"/>
      <c r="DGN100" s="798"/>
      <c r="DGO100" s="798"/>
      <c r="DGP100" s="798"/>
      <c r="DGQ100" s="798"/>
      <c r="DGR100" s="798"/>
      <c r="DGS100" s="798"/>
      <c r="DGT100" s="798"/>
      <c r="DGU100" s="798"/>
      <c r="DGV100" s="798"/>
      <c r="DGW100" s="798"/>
      <c r="DGX100" s="798"/>
      <c r="DGY100" s="798"/>
      <c r="DGZ100" s="798"/>
      <c r="DHA100" s="798"/>
      <c r="DHB100" s="798"/>
      <c r="DHC100" s="798"/>
      <c r="DHD100" s="798"/>
      <c r="DHE100" s="798"/>
      <c r="DHF100" s="798"/>
      <c r="DHG100" s="798"/>
      <c r="DHH100" s="798"/>
      <c r="DHI100" s="798"/>
      <c r="DHJ100" s="798"/>
      <c r="DHK100" s="798"/>
      <c r="DHL100" s="798"/>
      <c r="DHM100" s="798"/>
      <c r="DHN100" s="798"/>
      <c r="DHO100" s="798"/>
      <c r="DHP100" s="798"/>
      <c r="DHQ100" s="798"/>
      <c r="DHR100" s="798"/>
      <c r="DHS100" s="798"/>
      <c r="DHT100" s="798"/>
      <c r="DHU100" s="798"/>
      <c r="DHV100" s="798"/>
      <c r="DHW100" s="798"/>
      <c r="DHX100" s="798"/>
      <c r="DHY100" s="798"/>
      <c r="DHZ100" s="798"/>
      <c r="DIA100" s="798"/>
      <c r="DIB100" s="798"/>
      <c r="DIC100" s="798"/>
      <c r="DID100" s="798"/>
      <c r="DIE100" s="798"/>
      <c r="DIF100" s="798"/>
      <c r="DIG100" s="798"/>
      <c r="DIH100" s="798"/>
      <c r="DII100" s="798"/>
      <c r="DIJ100" s="798"/>
      <c r="DIK100" s="798"/>
      <c r="DIL100" s="798"/>
      <c r="DIM100" s="798"/>
      <c r="DIN100" s="798"/>
      <c r="DIO100" s="798"/>
      <c r="DIP100" s="798"/>
      <c r="DIQ100" s="798"/>
      <c r="DIR100" s="798"/>
      <c r="DIS100" s="798"/>
      <c r="DIT100" s="798"/>
      <c r="DIU100" s="798"/>
      <c r="DIV100" s="798"/>
      <c r="DIW100" s="798"/>
      <c r="DIX100" s="798"/>
      <c r="DIY100" s="798"/>
      <c r="DIZ100" s="798"/>
      <c r="DJA100" s="798"/>
      <c r="DJB100" s="798"/>
      <c r="DJC100" s="798"/>
      <c r="DJD100" s="798"/>
      <c r="DJE100" s="798"/>
      <c r="DJF100" s="798"/>
      <c r="DJG100" s="798"/>
      <c r="DJH100" s="798"/>
      <c r="DJI100" s="798"/>
      <c r="DJJ100" s="798"/>
      <c r="DJK100" s="798"/>
      <c r="DJL100" s="798"/>
      <c r="DJM100" s="798"/>
      <c r="DJN100" s="798"/>
      <c r="DJO100" s="798"/>
      <c r="DJP100" s="798"/>
      <c r="DJQ100" s="798"/>
      <c r="DJR100" s="798"/>
      <c r="DJS100" s="798"/>
      <c r="DJT100" s="798"/>
      <c r="DJU100" s="798"/>
      <c r="DJV100" s="798"/>
      <c r="DJW100" s="798"/>
      <c r="DJX100" s="798"/>
      <c r="DJY100" s="798"/>
      <c r="DJZ100" s="798"/>
      <c r="DKA100" s="798"/>
      <c r="DKB100" s="798"/>
      <c r="DKC100" s="798"/>
      <c r="DKD100" s="798"/>
      <c r="DKE100" s="798"/>
      <c r="DKF100" s="798"/>
      <c r="DKG100" s="798"/>
      <c r="DKH100" s="798"/>
      <c r="DKI100" s="798"/>
      <c r="DKJ100" s="798"/>
      <c r="DKK100" s="798"/>
      <c r="DKL100" s="798"/>
      <c r="DKM100" s="798"/>
      <c r="DKN100" s="798"/>
      <c r="DKO100" s="798"/>
      <c r="DKP100" s="798"/>
      <c r="DKQ100" s="798"/>
      <c r="DKR100" s="798"/>
      <c r="DKS100" s="798"/>
      <c r="DKT100" s="798"/>
      <c r="DKU100" s="798"/>
      <c r="DKV100" s="798"/>
      <c r="DKW100" s="798"/>
      <c r="DKX100" s="798"/>
      <c r="DKY100" s="798"/>
      <c r="DKZ100" s="798"/>
      <c r="DLA100" s="798"/>
      <c r="DLB100" s="798"/>
      <c r="DLC100" s="798"/>
      <c r="DLD100" s="798"/>
      <c r="DLE100" s="798"/>
      <c r="DLF100" s="798"/>
      <c r="DLG100" s="798"/>
      <c r="DLH100" s="798"/>
      <c r="DLI100" s="798"/>
      <c r="DLJ100" s="798"/>
      <c r="DLK100" s="798"/>
      <c r="DLL100" s="798"/>
      <c r="DLM100" s="798"/>
      <c r="DLN100" s="798"/>
      <c r="DLO100" s="798"/>
      <c r="DLP100" s="798"/>
      <c r="DLQ100" s="798"/>
      <c r="DLR100" s="798"/>
      <c r="DLS100" s="798"/>
      <c r="DLT100" s="798"/>
      <c r="DLU100" s="798"/>
      <c r="DLV100" s="798"/>
      <c r="DLW100" s="798"/>
      <c r="DLX100" s="798"/>
      <c r="DLY100" s="798"/>
      <c r="DLZ100" s="798"/>
      <c r="DMA100" s="798"/>
      <c r="DMB100" s="798"/>
      <c r="DMC100" s="798"/>
      <c r="DMD100" s="798"/>
      <c r="DME100" s="798"/>
      <c r="DMF100" s="798"/>
      <c r="DMG100" s="798"/>
      <c r="DMH100" s="798"/>
      <c r="DMI100" s="798"/>
      <c r="DMJ100" s="798"/>
      <c r="DMK100" s="798"/>
      <c r="DML100" s="798"/>
      <c r="DMM100" s="798"/>
      <c r="DMN100" s="798"/>
      <c r="DMO100" s="798"/>
      <c r="DMP100" s="798"/>
      <c r="DMQ100" s="798"/>
      <c r="DMR100" s="798"/>
      <c r="DMS100" s="798"/>
      <c r="DMT100" s="798"/>
      <c r="DMU100" s="798"/>
      <c r="DMV100" s="798"/>
      <c r="DMW100" s="798"/>
      <c r="DMX100" s="798"/>
      <c r="DMY100" s="798"/>
      <c r="DMZ100" s="798"/>
      <c r="DNA100" s="798"/>
      <c r="DNB100" s="798"/>
      <c r="DNC100" s="798"/>
      <c r="DND100" s="798"/>
      <c r="DNE100" s="798"/>
      <c r="DNF100" s="798"/>
      <c r="DNG100" s="798"/>
      <c r="DNH100" s="798"/>
      <c r="DNI100" s="798"/>
      <c r="DNJ100" s="798"/>
      <c r="DNK100" s="798"/>
      <c r="DNL100" s="798"/>
      <c r="DNM100" s="798"/>
      <c r="DNN100" s="798"/>
      <c r="DNO100" s="798"/>
      <c r="DNP100" s="798"/>
      <c r="DNQ100" s="798"/>
      <c r="DNR100" s="798"/>
      <c r="DNS100" s="798"/>
      <c r="DNT100" s="798"/>
      <c r="DNU100" s="798"/>
      <c r="DNV100" s="798"/>
      <c r="DNW100" s="798"/>
      <c r="DNX100" s="798"/>
      <c r="DNY100" s="798"/>
      <c r="DNZ100" s="798"/>
      <c r="DOA100" s="798"/>
      <c r="DOB100" s="798"/>
      <c r="DOC100" s="798"/>
      <c r="DOD100" s="798"/>
      <c r="DOE100" s="798"/>
      <c r="DOF100" s="798"/>
      <c r="DOG100" s="798"/>
      <c r="DOH100" s="798"/>
      <c r="DOI100" s="798"/>
      <c r="DOJ100" s="798"/>
      <c r="DOK100" s="798"/>
      <c r="DOL100" s="798"/>
      <c r="DOM100" s="798"/>
      <c r="DON100" s="798"/>
      <c r="DOO100" s="798"/>
      <c r="DOP100" s="798"/>
      <c r="DOQ100" s="798"/>
      <c r="DOR100" s="798"/>
      <c r="DOS100" s="798"/>
      <c r="DOT100" s="798"/>
      <c r="DOU100" s="798"/>
      <c r="DOV100" s="798"/>
      <c r="DOW100" s="798"/>
      <c r="DOX100" s="798"/>
      <c r="DOY100" s="798"/>
      <c r="DOZ100" s="798"/>
      <c r="DPA100" s="798"/>
      <c r="DPB100" s="798"/>
      <c r="DPC100" s="798"/>
      <c r="DPD100" s="798"/>
      <c r="DPE100" s="798"/>
      <c r="DPF100" s="798"/>
      <c r="DPG100" s="798"/>
      <c r="DPH100" s="798"/>
      <c r="DPI100" s="798"/>
      <c r="DPJ100" s="798"/>
      <c r="DPK100" s="798"/>
      <c r="DPL100" s="798"/>
      <c r="DPM100" s="798"/>
      <c r="DPN100" s="798"/>
      <c r="DPO100" s="798"/>
      <c r="DPP100" s="798"/>
      <c r="DPQ100" s="798"/>
      <c r="DPR100" s="798"/>
      <c r="DPS100" s="798"/>
      <c r="DPT100" s="798"/>
      <c r="DPU100" s="798"/>
      <c r="DPV100" s="798"/>
      <c r="DPW100" s="798"/>
      <c r="DPX100" s="798"/>
      <c r="DPY100" s="798"/>
      <c r="DPZ100" s="798"/>
      <c r="DQA100" s="798"/>
      <c r="DQB100" s="798"/>
      <c r="DQC100" s="798"/>
      <c r="DQD100" s="798"/>
      <c r="DQE100" s="798"/>
      <c r="DQF100" s="798"/>
      <c r="DQG100" s="798"/>
      <c r="DQH100" s="798"/>
      <c r="DQI100" s="798"/>
      <c r="DQJ100" s="798"/>
      <c r="DQK100" s="798"/>
      <c r="DQL100" s="798"/>
      <c r="DQM100" s="798"/>
      <c r="DQN100" s="798"/>
      <c r="DQO100" s="798"/>
      <c r="DQP100" s="798"/>
      <c r="DQQ100" s="798"/>
      <c r="DQR100" s="798"/>
      <c r="DQS100" s="798"/>
      <c r="DQT100" s="798"/>
      <c r="DQU100" s="798"/>
      <c r="DQV100" s="798"/>
      <c r="DQW100" s="798"/>
      <c r="DQX100" s="798"/>
      <c r="DQY100" s="798"/>
      <c r="DQZ100" s="798"/>
      <c r="DRA100" s="798"/>
      <c r="DRB100" s="798"/>
      <c r="DRC100" s="798"/>
      <c r="DRD100" s="798"/>
      <c r="DRE100" s="798"/>
      <c r="DRF100" s="798"/>
      <c r="DRG100" s="798"/>
      <c r="DRH100" s="798"/>
      <c r="DRI100" s="798"/>
      <c r="DRJ100" s="798"/>
      <c r="DRK100" s="798"/>
      <c r="DRL100" s="798"/>
      <c r="DRM100" s="798"/>
      <c r="DRN100" s="798"/>
      <c r="DRO100" s="798"/>
      <c r="DRP100" s="798"/>
      <c r="DRQ100" s="798"/>
      <c r="DRR100" s="798"/>
      <c r="DRS100" s="798"/>
      <c r="DRT100" s="798"/>
      <c r="DRU100" s="798"/>
      <c r="DRV100" s="798"/>
      <c r="DRW100" s="798"/>
      <c r="DRX100" s="798"/>
      <c r="DRY100" s="798"/>
      <c r="DRZ100" s="798"/>
      <c r="DSA100" s="798"/>
      <c r="DSB100" s="798"/>
      <c r="DSC100" s="798"/>
      <c r="DSD100" s="798"/>
      <c r="DSE100" s="798"/>
      <c r="DSF100" s="798"/>
      <c r="DSG100" s="798"/>
      <c r="DSH100" s="798"/>
      <c r="DSI100" s="798"/>
      <c r="DSJ100" s="798"/>
      <c r="DSK100" s="798"/>
      <c r="DSL100" s="798"/>
      <c r="DSM100" s="798"/>
      <c r="DSN100" s="798"/>
      <c r="DSO100" s="798"/>
      <c r="DSP100" s="798"/>
      <c r="DSQ100" s="798"/>
      <c r="DSR100" s="798"/>
      <c r="DSS100" s="798"/>
      <c r="DST100" s="798"/>
      <c r="DSU100" s="798"/>
      <c r="DSV100" s="798"/>
      <c r="DSW100" s="798"/>
      <c r="DSX100" s="798"/>
      <c r="DSY100" s="798"/>
      <c r="DSZ100" s="798"/>
      <c r="DTA100" s="798"/>
      <c r="DTB100" s="798"/>
      <c r="DTC100" s="798"/>
      <c r="DTD100" s="798"/>
      <c r="DTE100" s="798"/>
      <c r="DTF100" s="798"/>
      <c r="DTG100" s="798"/>
      <c r="DTH100" s="798"/>
      <c r="DTI100" s="798"/>
      <c r="DTJ100" s="798"/>
      <c r="DTK100" s="798"/>
      <c r="DTL100" s="798"/>
      <c r="DTM100" s="798"/>
      <c r="DTN100" s="798"/>
      <c r="DTO100" s="798"/>
      <c r="DTP100" s="798"/>
      <c r="DTQ100" s="798"/>
      <c r="DTR100" s="798"/>
      <c r="DTS100" s="798"/>
      <c r="DTT100" s="798"/>
      <c r="DTU100" s="798"/>
      <c r="DTV100" s="798"/>
      <c r="DTW100" s="798"/>
      <c r="DTX100" s="798"/>
      <c r="DTY100" s="798"/>
      <c r="DTZ100" s="798"/>
      <c r="DUA100" s="798"/>
      <c r="DUB100" s="798"/>
      <c r="DUC100" s="798"/>
      <c r="DUD100" s="798"/>
      <c r="DUE100" s="798"/>
      <c r="DUF100" s="798"/>
      <c r="DUG100" s="798"/>
      <c r="DUH100" s="798"/>
      <c r="DUI100" s="798"/>
      <c r="DUJ100" s="798"/>
      <c r="DUK100" s="798"/>
      <c r="DUL100" s="798"/>
      <c r="DUM100" s="798"/>
      <c r="DUN100" s="798"/>
      <c r="DUO100" s="798"/>
      <c r="DUP100" s="798"/>
      <c r="DUQ100" s="798"/>
      <c r="DUR100" s="798"/>
      <c r="DUS100" s="798"/>
      <c r="DUT100" s="798"/>
      <c r="DUU100" s="798"/>
      <c r="DUV100" s="798"/>
      <c r="DUW100" s="798"/>
      <c r="DUX100" s="798"/>
      <c r="DUY100" s="798"/>
      <c r="DUZ100" s="798"/>
      <c r="DVA100" s="798"/>
      <c r="DVB100" s="798"/>
      <c r="DVC100" s="798"/>
      <c r="DVD100" s="798"/>
      <c r="DVE100" s="798"/>
      <c r="DVF100" s="798"/>
      <c r="DVG100" s="798"/>
      <c r="DVH100" s="798"/>
      <c r="DVI100" s="798"/>
      <c r="DVJ100" s="798"/>
      <c r="DVK100" s="798"/>
      <c r="DVL100" s="798"/>
      <c r="DVM100" s="798"/>
      <c r="DVN100" s="798"/>
      <c r="DVO100" s="798"/>
      <c r="DVP100" s="798"/>
      <c r="DVQ100" s="798"/>
      <c r="DVR100" s="798"/>
      <c r="DVS100" s="798"/>
      <c r="DVT100" s="798"/>
      <c r="DVU100" s="798"/>
      <c r="DVV100" s="798"/>
      <c r="DVW100" s="798"/>
      <c r="DVX100" s="798"/>
      <c r="DVY100" s="798"/>
      <c r="DVZ100" s="798"/>
      <c r="DWA100" s="798"/>
      <c r="DWB100" s="798"/>
      <c r="DWC100" s="798"/>
      <c r="DWD100" s="798"/>
      <c r="DWE100" s="798"/>
      <c r="DWF100" s="798"/>
      <c r="DWG100" s="798"/>
      <c r="DWH100" s="798"/>
      <c r="DWI100" s="798"/>
      <c r="DWJ100" s="798"/>
      <c r="DWK100" s="798"/>
      <c r="DWL100" s="798"/>
      <c r="DWM100" s="798"/>
      <c r="DWN100" s="798"/>
      <c r="DWO100" s="798"/>
      <c r="DWP100" s="798"/>
      <c r="DWQ100" s="798"/>
      <c r="DWR100" s="798"/>
      <c r="DWS100" s="798"/>
      <c r="DWT100" s="798"/>
      <c r="DWU100" s="798"/>
      <c r="DWV100" s="798"/>
      <c r="DWW100" s="798"/>
      <c r="DWX100" s="798"/>
      <c r="DWY100" s="798"/>
      <c r="DWZ100" s="798"/>
      <c r="DXA100" s="798"/>
      <c r="DXB100" s="798"/>
      <c r="DXC100" s="798"/>
      <c r="DXD100" s="798"/>
      <c r="DXE100" s="798"/>
      <c r="DXF100" s="798"/>
      <c r="DXG100" s="798"/>
      <c r="DXH100" s="798"/>
      <c r="DXI100" s="798"/>
      <c r="DXJ100" s="798"/>
      <c r="DXK100" s="798"/>
      <c r="DXL100" s="798"/>
      <c r="DXM100" s="798"/>
      <c r="DXN100" s="798"/>
      <c r="DXO100" s="798"/>
      <c r="DXP100" s="798"/>
      <c r="DXQ100" s="798"/>
      <c r="DXR100" s="798"/>
      <c r="DXS100" s="798"/>
      <c r="DXT100" s="798"/>
      <c r="DXU100" s="798"/>
      <c r="DXV100" s="798"/>
      <c r="DXW100" s="798"/>
      <c r="DXX100" s="798"/>
      <c r="DXY100" s="798"/>
      <c r="DXZ100" s="798"/>
      <c r="DYA100" s="798"/>
      <c r="DYB100" s="798"/>
      <c r="DYC100" s="798"/>
      <c r="DYD100" s="798"/>
      <c r="DYE100" s="798"/>
      <c r="DYF100" s="798"/>
      <c r="DYG100" s="798"/>
      <c r="DYH100" s="798"/>
      <c r="DYI100" s="798"/>
      <c r="DYJ100" s="798"/>
      <c r="DYK100" s="798"/>
      <c r="DYL100" s="798"/>
      <c r="DYM100" s="798"/>
      <c r="DYN100" s="798"/>
      <c r="DYO100" s="798"/>
      <c r="DYP100" s="798"/>
      <c r="DYQ100" s="798"/>
      <c r="DYR100" s="798"/>
      <c r="DYS100" s="798"/>
      <c r="DYT100" s="798"/>
      <c r="DYU100" s="798"/>
      <c r="DYV100" s="798"/>
      <c r="DYW100" s="798"/>
      <c r="DYX100" s="798"/>
      <c r="DYY100" s="798"/>
      <c r="DYZ100" s="798"/>
      <c r="DZA100" s="798"/>
      <c r="DZB100" s="798"/>
      <c r="DZC100" s="798"/>
      <c r="DZD100" s="798"/>
      <c r="DZE100" s="798"/>
      <c r="DZF100" s="798"/>
      <c r="DZG100" s="798"/>
      <c r="DZH100" s="798"/>
      <c r="DZI100" s="798"/>
      <c r="DZJ100" s="798"/>
      <c r="DZK100" s="798"/>
      <c r="DZL100" s="798"/>
      <c r="DZM100" s="798"/>
      <c r="DZN100" s="798"/>
      <c r="DZO100" s="798"/>
      <c r="DZP100" s="798"/>
      <c r="DZQ100" s="798"/>
      <c r="DZR100" s="798"/>
      <c r="DZS100" s="798"/>
      <c r="DZT100" s="798"/>
      <c r="DZU100" s="798"/>
      <c r="DZV100" s="798"/>
      <c r="DZW100" s="798"/>
      <c r="DZX100" s="798"/>
      <c r="DZY100" s="798"/>
      <c r="DZZ100" s="798"/>
      <c r="EAA100" s="798"/>
      <c r="EAB100" s="798"/>
      <c r="EAC100" s="798"/>
      <c r="EAD100" s="798"/>
      <c r="EAE100" s="798"/>
      <c r="EAF100" s="798"/>
      <c r="EAG100" s="798"/>
      <c r="EAH100" s="798"/>
      <c r="EAI100" s="798"/>
      <c r="EAJ100" s="798"/>
      <c r="EAK100" s="798"/>
      <c r="EAL100" s="798"/>
      <c r="EAM100" s="798"/>
      <c r="EAN100" s="798"/>
      <c r="EAO100" s="798"/>
      <c r="EAP100" s="798"/>
      <c r="EAQ100" s="798"/>
      <c r="EAR100" s="798"/>
      <c r="EAS100" s="798"/>
      <c r="EAT100" s="798"/>
      <c r="EAU100" s="798"/>
      <c r="EAV100" s="798"/>
      <c r="EAW100" s="798"/>
      <c r="EAX100" s="798"/>
      <c r="EAY100" s="798"/>
      <c r="EAZ100" s="798"/>
      <c r="EBA100" s="798"/>
      <c r="EBB100" s="798"/>
      <c r="EBC100" s="798"/>
      <c r="EBD100" s="798"/>
      <c r="EBE100" s="798"/>
      <c r="EBF100" s="798"/>
      <c r="EBG100" s="798"/>
      <c r="EBH100" s="798"/>
      <c r="EBI100" s="798"/>
      <c r="EBJ100" s="798"/>
      <c r="EBK100" s="798"/>
      <c r="EBL100" s="798"/>
      <c r="EBM100" s="798"/>
      <c r="EBN100" s="798"/>
      <c r="EBO100" s="798"/>
      <c r="EBP100" s="798"/>
      <c r="EBQ100" s="798"/>
      <c r="EBR100" s="798"/>
      <c r="EBS100" s="798"/>
      <c r="EBT100" s="798"/>
      <c r="EBU100" s="798"/>
      <c r="EBV100" s="798"/>
      <c r="EBW100" s="798"/>
      <c r="EBX100" s="798"/>
      <c r="EBY100" s="798"/>
      <c r="EBZ100" s="798"/>
      <c r="ECA100" s="798"/>
      <c r="ECB100" s="798"/>
      <c r="ECC100" s="798"/>
      <c r="ECD100" s="798"/>
      <c r="ECE100" s="798"/>
      <c r="ECF100" s="798"/>
      <c r="ECG100" s="798"/>
      <c r="ECH100" s="798"/>
      <c r="ECI100" s="798"/>
      <c r="ECJ100" s="798"/>
      <c r="ECK100" s="798"/>
      <c r="ECL100" s="798"/>
      <c r="ECM100" s="798"/>
      <c r="ECN100" s="798"/>
      <c r="ECO100" s="798"/>
      <c r="ECP100" s="798"/>
      <c r="ECQ100" s="798"/>
      <c r="ECR100" s="798"/>
      <c r="ECS100" s="798"/>
      <c r="ECT100" s="798"/>
      <c r="ECU100" s="798"/>
      <c r="ECV100" s="798"/>
      <c r="ECW100" s="798"/>
      <c r="ECX100" s="798"/>
      <c r="ECY100" s="798"/>
      <c r="ECZ100" s="798"/>
      <c r="EDA100" s="798"/>
      <c r="EDB100" s="798"/>
      <c r="EDC100" s="798"/>
      <c r="EDD100" s="798"/>
      <c r="EDE100" s="798"/>
      <c r="EDF100" s="798"/>
      <c r="EDG100" s="798"/>
      <c r="EDH100" s="798"/>
      <c r="EDI100" s="798"/>
      <c r="EDJ100" s="798"/>
      <c r="EDK100" s="798"/>
      <c r="EDL100" s="798"/>
      <c r="EDM100" s="798"/>
      <c r="EDN100" s="798"/>
      <c r="EDO100" s="798"/>
      <c r="EDP100" s="798"/>
      <c r="EDQ100" s="798"/>
      <c r="EDR100" s="798"/>
      <c r="EDS100" s="798"/>
      <c r="EDT100" s="798"/>
      <c r="EDU100" s="798"/>
      <c r="EDV100" s="798"/>
      <c r="EDW100" s="798"/>
      <c r="EDX100" s="798"/>
      <c r="EDY100" s="798"/>
      <c r="EDZ100" s="798"/>
      <c r="EEA100" s="798"/>
      <c r="EEB100" s="798"/>
      <c r="EEC100" s="798"/>
      <c r="EED100" s="798"/>
      <c r="EEE100" s="798"/>
      <c r="EEF100" s="798"/>
      <c r="EEG100" s="798"/>
      <c r="EEH100" s="798"/>
      <c r="EEI100" s="798"/>
      <c r="EEJ100" s="798"/>
      <c r="EEK100" s="798"/>
      <c r="EEL100" s="798"/>
      <c r="EEM100" s="798"/>
      <c r="EEN100" s="798"/>
      <c r="EEO100" s="798"/>
      <c r="EEP100" s="798"/>
      <c r="EEQ100" s="798"/>
      <c r="EER100" s="798"/>
      <c r="EES100" s="798"/>
      <c r="EET100" s="798"/>
      <c r="EEU100" s="798"/>
      <c r="EEV100" s="798"/>
      <c r="EEW100" s="798"/>
      <c r="EEX100" s="798"/>
      <c r="EEY100" s="798"/>
      <c r="EEZ100" s="798"/>
      <c r="EFA100" s="798"/>
      <c r="EFB100" s="798"/>
      <c r="EFC100" s="798"/>
      <c r="EFD100" s="798"/>
      <c r="EFE100" s="798"/>
      <c r="EFF100" s="798"/>
      <c r="EFG100" s="798"/>
      <c r="EFH100" s="798"/>
      <c r="EFI100" s="798"/>
      <c r="EFJ100" s="798"/>
      <c r="EFK100" s="798"/>
      <c r="EFL100" s="798"/>
      <c r="EFM100" s="798"/>
      <c r="EFN100" s="798"/>
      <c r="EFO100" s="798"/>
      <c r="EFP100" s="798"/>
      <c r="EFQ100" s="798"/>
      <c r="EFR100" s="798"/>
      <c r="EFS100" s="798"/>
      <c r="EFT100" s="798"/>
      <c r="EFU100" s="798"/>
      <c r="EFV100" s="798"/>
      <c r="EFW100" s="798"/>
      <c r="EFX100" s="798"/>
      <c r="EFY100" s="798"/>
      <c r="EFZ100" s="798"/>
      <c r="EGA100" s="798"/>
      <c r="EGB100" s="798"/>
      <c r="EGC100" s="798"/>
      <c r="EGD100" s="798"/>
      <c r="EGE100" s="798"/>
      <c r="EGF100" s="798"/>
      <c r="EGG100" s="798"/>
      <c r="EGH100" s="798"/>
      <c r="EGI100" s="798"/>
      <c r="EGJ100" s="798"/>
      <c r="EGK100" s="798"/>
      <c r="EGL100" s="798"/>
      <c r="EGM100" s="798"/>
      <c r="EGN100" s="798"/>
      <c r="EGO100" s="798"/>
      <c r="EGP100" s="798"/>
      <c r="EGQ100" s="798"/>
      <c r="EGR100" s="798"/>
      <c r="EGS100" s="798"/>
      <c r="EGT100" s="798"/>
      <c r="EGU100" s="798"/>
      <c r="EGV100" s="798"/>
      <c r="EGW100" s="798"/>
      <c r="EGX100" s="798"/>
      <c r="EGY100" s="798"/>
      <c r="EGZ100" s="798"/>
      <c r="EHA100" s="798"/>
      <c r="EHB100" s="798"/>
      <c r="EHC100" s="798"/>
      <c r="EHD100" s="798"/>
      <c r="EHE100" s="798"/>
      <c r="EHF100" s="798"/>
      <c r="EHG100" s="798"/>
      <c r="EHH100" s="798"/>
      <c r="EHI100" s="798"/>
      <c r="EHJ100" s="798"/>
      <c r="EHK100" s="798"/>
      <c r="EHL100" s="798"/>
      <c r="EHM100" s="798"/>
      <c r="EHN100" s="798"/>
      <c r="EHO100" s="798"/>
      <c r="EHP100" s="798"/>
      <c r="EHQ100" s="798"/>
      <c r="EHR100" s="798"/>
      <c r="EHS100" s="798"/>
      <c r="EHT100" s="798"/>
      <c r="EHU100" s="798"/>
      <c r="EHV100" s="798"/>
      <c r="EHW100" s="798"/>
      <c r="EHX100" s="798"/>
      <c r="EHY100" s="798"/>
      <c r="EHZ100" s="798"/>
      <c r="EIA100" s="798"/>
      <c r="EIB100" s="798"/>
      <c r="EIC100" s="798"/>
      <c r="EID100" s="798"/>
      <c r="EIE100" s="798"/>
      <c r="EIF100" s="798"/>
      <c r="EIG100" s="798"/>
      <c r="EIH100" s="798"/>
      <c r="EII100" s="798"/>
      <c r="EIJ100" s="798"/>
      <c r="EIK100" s="798"/>
      <c r="EIL100" s="798"/>
      <c r="EIM100" s="798"/>
      <c r="EIN100" s="798"/>
      <c r="EIO100" s="798"/>
      <c r="EIP100" s="798"/>
      <c r="EIQ100" s="798"/>
      <c r="EIR100" s="798"/>
      <c r="EIS100" s="798"/>
      <c r="EIT100" s="798"/>
      <c r="EIU100" s="798"/>
      <c r="EIV100" s="798"/>
      <c r="EIW100" s="798"/>
      <c r="EIX100" s="798"/>
      <c r="EIY100" s="798"/>
      <c r="EIZ100" s="798"/>
      <c r="EJA100" s="798"/>
      <c r="EJB100" s="798"/>
      <c r="EJC100" s="798"/>
      <c r="EJD100" s="798"/>
      <c r="EJE100" s="798"/>
      <c r="EJF100" s="798"/>
      <c r="EJG100" s="798"/>
      <c r="EJH100" s="798"/>
      <c r="EJI100" s="798"/>
      <c r="EJJ100" s="798"/>
      <c r="EJK100" s="798"/>
      <c r="EJL100" s="798"/>
      <c r="EJM100" s="798"/>
      <c r="EJN100" s="798"/>
      <c r="EJO100" s="798"/>
      <c r="EJP100" s="798"/>
      <c r="EJQ100" s="798"/>
      <c r="EJR100" s="798"/>
      <c r="EJS100" s="798"/>
      <c r="EJT100" s="798"/>
      <c r="EJU100" s="798"/>
      <c r="EJV100" s="798"/>
      <c r="EJW100" s="798"/>
      <c r="EJX100" s="798"/>
      <c r="EJY100" s="798"/>
      <c r="EJZ100" s="798"/>
      <c r="EKA100" s="798"/>
      <c r="EKB100" s="798"/>
      <c r="EKC100" s="798"/>
      <c r="EKD100" s="798"/>
      <c r="EKE100" s="798"/>
      <c r="EKF100" s="798"/>
      <c r="EKG100" s="798"/>
      <c r="EKH100" s="798"/>
      <c r="EKI100" s="798"/>
      <c r="EKJ100" s="798"/>
      <c r="EKK100" s="798"/>
      <c r="EKL100" s="798"/>
      <c r="EKM100" s="798"/>
      <c r="EKN100" s="798"/>
      <c r="EKO100" s="798"/>
      <c r="EKP100" s="798"/>
      <c r="EKQ100" s="798"/>
      <c r="EKR100" s="798"/>
      <c r="EKS100" s="798"/>
      <c r="EKT100" s="798"/>
      <c r="EKU100" s="798"/>
      <c r="EKV100" s="798"/>
      <c r="EKW100" s="798"/>
      <c r="EKX100" s="798"/>
      <c r="EKY100" s="798"/>
      <c r="EKZ100" s="798"/>
      <c r="ELA100" s="798"/>
      <c r="ELB100" s="798"/>
      <c r="ELC100" s="798"/>
      <c r="ELD100" s="798"/>
      <c r="ELE100" s="798"/>
      <c r="ELF100" s="798"/>
      <c r="ELG100" s="798"/>
      <c r="ELH100" s="798"/>
      <c r="ELI100" s="798"/>
      <c r="ELJ100" s="798"/>
      <c r="ELK100" s="798"/>
      <c r="ELL100" s="798"/>
      <c r="ELM100" s="798"/>
      <c r="ELN100" s="798"/>
      <c r="ELO100" s="798"/>
      <c r="ELP100" s="798"/>
      <c r="ELQ100" s="798"/>
      <c r="ELR100" s="798"/>
      <c r="ELS100" s="798"/>
      <c r="ELT100" s="798"/>
      <c r="ELU100" s="798"/>
      <c r="ELV100" s="798"/>
      <c r="ELW100" s="798"/>
      <c r="ELX100" s="798"/>
      <c r="ELY100" s="798"/>
      <c r="ELZ100" s="798"/>
      <c r="EMA100" s="798"/>
      <c r="EMB100" s="798"/>
      <c r="EMC100" s="798"/>
      <c r="EMD100" s="798"/>
      <c r="EME100" s="798"/>
      <c r="EMF100" s="798"/>
      <c r="EMG100" s="798"/>
      <c r="EMH100" s="798"/>
      <c r="EMI100" s="798"/>
      <c r="EMJ100" s="798"/>
      <c r="EMK100" s="798"/>
      <c r="EML100" s="798"/>
      <c r="EMM100" s="798"/>
      <c r="EMN100" s="798"/>
      <c r="EMO100" s="798"/>
      <c r="EMP100" s="798"/>
      <c r="EMQ100" s="798"/>
      <c r="EMR100" s="798"/>
      <c r="EMS100" s="798"/>
      <c r="EMT100" s="798"/>
      <c r="EMU100" s="798"/>
      <c r="EMV100" s="798"/>
      <c r="EMW100" s="798"/>
      <c r="EMX100" s="798"/>
      <c r="EMY100" s="798"/>
      <c r="EMZ100" s="798"/>
      <c r="ENA100" s="798"/>
      <c r="ENB100" s="798"/>
      <c r="ENC100" s="798"/>
      <c r="END100" s="798"/>
      <c r="ENE100" s="798"/>
      <c r="ENF100" s="798"/>
      <c r="ENG100" s="798"/>
      <c r="ENH100" s="798"/>
      <c r="ENI100" s="798"/>
      <c r="ENJ100" s="798"/>
      <c r="ENK100" s="798"/>
      <c r="ENL100" s="798"/>
      <c r="ENM100" s="798"/>
      <c r="ENN100" s="798"/>
      <c r="ENO100" s="798"/>
      <c r="ENP100" s="798"/>
      <c r="ENQ100" s="798"/>
      <c r="ENR100" s="798"/>
      <c r="ENS100" s="798"/>
      <c r="ENT100" s="798"/>
      <c r="ENU100" s="798"/>
      <c r="ENV100" s="798"/>
      <c r="ENW100" s="798"/>
      <c r="ENX100" s="798"/>
      <c r="ENY100" s="798"/>
      <c r="ENZ100" s="798"/>
      <c r="EOA100" s="798"/>
      <c r="EOB100" s="798"/>
      <c r="EOC100" s="798"/>
      <c r="EOD100" s="798"/>
      <c r="EOE100" s="798"/>
      <c r="EOF100" s="798"/>
      <c r="EOG100" s="798"/>
      <c r="EOH100" s="798"/>
      <c r="EOI100" s="798"/>
      <c r="EOJ100" s="798"/>
      <c r="EOK100" s="798"/>
      <c r="EOL100" s="798"/>
      <c r="EOM100" s="798"/>
      <c r="EON100" s="798"/>
      <c r="EOO100" s="798"/>
      <c r="EOP100" s="798"/>
      <c r="EOQ100" s="798"/>
      <c r="EOR100" s="798"/>
      <c r="EOS100" s="798"/>
      <c r="EOT100" s="798"/>
      <c r="EOU100" s="798"/>
      <c r="EOV100" s="798"/>
      <c r="EOW100" s="798"/>
      <c r="EOX100" s="798"/>
      <c r="EOY100" s="798"/>
      <c r="EOZ100" s="798"/>
      <c r="EPA100" s="798"/>
      <c r="EPB100" s="798"/>
      <c r="EPC100" s="798"/>
      <c r="EPD100" s="798"/>
      <c r="EPE100" s="798"/>
      <c r="EPF100" s="798"/>
      <c r="EPG100" s="798"/>
      <c r="EPH100" s="798"/>
      <c r="EPI100" s="798"/>
      <c r="EPJ100" s="798"/>
      <c r="EPK100" s="798"/>
      <c r="EPL100" s="798"/>
      <c r="EPM100" s="798"/>
      <c r="EPN100" s="798"/>
      <c r="EPO100" s="798"/>
      <c r="EPP100" s="798"/>
      <c r="EPQ100" s="798"/>
      <c r="EPR100" s="798"/>
      <c r="EPS100" s="798"/>
      <c r="EPT100" s="798"/>
      <c r="EPU100" s="798"/>
      <c r="EPV100" s="798"/>
      <c r="EPW100" s="798"/>
      <c r="EPX100" s="798"/>
      <c r="EPY100" s="798"/>
      <c r="EPZ100" s="798"/>
      <c r="EQA100" s="798"/>
      <c r="EQB100" s="798"/>
      <c r="EQC100" s="798"/>
      <c r="EQD100" s="798"/>
      <c r="EQE100" s="798"/>
      <c r="EQF100" s="798"/>
      <c r="EQG100" s="798"/>
      <c r="EQH100" s="798"/>
      <c r="EQI100" s="798"/>
      <c r="EQJ100" s="798"/>
      <c r="EQK100" s="798"/>
      <c r="EQL100" s="798"/>
      <c r="EQM100" s="798"/>
      <c r="EQN100" s="798"/>
      <c r="EQO100" s="798"/>
      <c r="EQP100" s="798"/>
      <c r="EQQ100" s="798"/>
      <c r="EQR100" s="798"/>
      <c r="EQS100" s="798"/>
      <c r="EQT100" s="798"/>
      <c r="EQU100" s="798"/>
      <c r="EQV100" s="798"/>
      <c r="EQW100" s="798"/>
      <c r="EQX100" s="798"/>
      <c r="EQY100" s="798"/>
      <c r="EQZ100" s="798"/>
      <c r="ERA100" s="798"/>
      <c r="ERB100" s="798"/>
      <c r="ERC100" s="798"/>
      <c r="ERD100" s="798"/>
      <c r="ERE100" s="798"/>
      <c r="ERF100" s="798"/>
      <c r="ERG100" s="798"/>
      <c r="ERH100" s="798"/>
      <c r="ERI100" s="798"/>
      <c r="ERJ100" s="798"/>
      <c r="ERK100" s="798"/>
      <c r="ERL100" s="798"/>
      <c r="ERM100" s="798"/>
      <c r="ERN100" s="798"/>
      <c r="ERO100" s="798"/>
      <c r="ERP100" s="798"/>
      <c r="ERQ100" s="798"/>
      <c r="ERR100" s="798"/>
      <c r="ERS100" s="798"/>
      <c r="ERT100" s="798"/>
      <c r="ERU100" s="798"/>
      <c r="ERV100" s="798"/>
      <c r="ERW100" s="798"/>
      <c r="ERX100" s="798"/>
      <c r="ERY100" s="798"/>
      <c r="ERZ100" s="798"/>
      <c r="ESA100" s="798"/>
      <c r="ESB100" s="798"/>
      <c r="ESC100" s="798"/>
      <c r="ESD100" s="798"/>
      <c r="ESE100" s="798"/>
      <c r="ESF100" s="798"/>
      <c r="ESG100" s="798"/>
      <c r="ESH100" s="798"/>
      <c r="ESI100" s="798"/>
      <c r="ESJ100" s="798"/>
      <c r="ESK100" s="798"/>
      <c r="ESL100" s="798"/>
      <c r="ESM100" s="798"/>
      <c r="ESN100" s="798"/>
      <c r="ESO100" s="798"/>
      <c r="ESP100" s="798"/>
      <c r="ESQ100" s="798"/>
      <c r="ESR100" s="798"/>
      <c r="ESS100" s="798"/>
      <c r="EST100" s="798"/>
      <c r="ESU100" s="798"/>
      <c r="ESV100" s="798"/>
      <c r="ESW100" s="798"/>
      <c r="ESX100" s="798"/>
      <c r="ESY100" s="798"/>
      <c r="ESZ100" s="798"/>
      <c r="ETA100" s="798"/>
      <c r="ETB100" s="798"/>
      <c r="ETC100" s="798"/>
      <c r="ETD100" s="798"/>
      <c r="ETE100" s="798"/>
      <c r="ETF100" s="798"/>
      <c r="ETG100" s="798"/>
      <c r="ETH100" s="798"/>
      <c r="ETI100" s="798"/>
      <c r="ETJ100" s="798"/>
      <c r="ETK100" s="798"/>
      <c r="ETL100" s="798"/>
      <c r="ETM100" s="798"/>
      <c r="ETN100" s="798"/>
      <c r="ETO100" s="798"/>
      <c r="ETP100" s="798"/>
      <c r="ETQ100" s="798"/>
      <c r="ETR100" s="798"/>
      <c r="ETS100" s="798"/>
      <c r="ETT100" s="798"/>
      <c r="ETU100" s="798"/>
      <c r="ETV100" s="798"/>
      <c r="ETW100" s="798"/>
      <c r="ETX100" s="798"/>
      <c r="ETY100" s="798"/>
      <c r="ETZ100" s="798"/>
      <c r="EUA100" s="798"/>
      <c r="EUB100" s="798"/>
      <c r="EUC100" s="798"/>
      <c r="EUD100" s="798"/>
      <c r="EUE100" s="798"/>
      <c r="EUF100" s="798"/>
      <c r="EUG100" s="798"/>
      <c r="EUH100" s="798"/>
      <c r="EUI100" s="798"/>
      <c r="EUJ100" s="798"/>
      <c r="EUK100" s="798"/>
      <c r="EUL100" s="798"/>
      <c r="EUM100" s="798"/>
      <c r="EUN100" s="798"/>
      <c r="EUO100" s="798"/>
      <c r="EUP100" s="798"/>
      <c r="EUQ100" s="798"/>
      <c r="EUR100" s="798"/>
      <c r="EUS100" s="798"/>
      <c r="EUT100" s="798"/>
      <c r="EUU100" s="798"/>
      <c r="EUV100" s="798"/>
      <c r="EUW100" s="798"/>
      <c r="EUX100" s="798"/>
      <c r="EUY100" s="798"/>
      <c r="EUZ100" s="798"/>
      <c r="EVA100" s="798"/>
      <c r="EVB100" s="798"/>
      <c r="EVC100" s="798"/>
      <c r="EVD100" s="798"/>
      <c r="EVE100" s="798"/>
      <c r="EVF100" s="798"/>
      <c r="EVG100" s="798"/>
      <c r="EVH100" s="798"/>
      <c r="EVI100" s="798"/>
      <c r="EVJ100" s="798"/>
      <c r="EVK100" s="798"/>
      <c r="EVL100" s="798"/>
      <c r="EVM100" s="798"/>
      <c r="EVN100" s="798"/>
      <c r="EVO100" s="798"/>
      <c r="EVP100" s="798"/>
      <c r="EVQ100" s="798"/>
      <c r="EVR100" s="798"/>
      <c r="EVS100" s="798"/>
      <c r="EVT100" s="798"/>
      <c r="EVU100" s="798"/>
      <c r="EVV100" s="798"/>
      <c r="EVW100" s="798"/>
      <c r="EVX100" s="798"/>
      <c r="EVY100" s="798"/>
      <c r="EVZ100" s="798"/>
      <c r="EWA100" s="798"/>
      <c r="EWB100" s="798"/>
      <c r="EWC100" s="798"/>
      <c r="EWD100" s="798"/>
      <c r="EWE100" s="798"/>
      <c r="EWF100" s="798"/>
      <c r="EWG100" s="798"/>
      <c r="EWH100" s="798"/>
      <c r="EWI100" s="798"/>
      <c r="EWJ100" s="798"/>
      <c r="EWK100" s="798"/>
      <c r="EWL100" s="798"/>
      <c r="EWM100" s="798"/>
      <c r="EWN100" s="798"/>
      <c r="EWO100" s="798"/>
      <c r="EWP100" s="798"/>
      <c r="EWQ100" s="798"/>
      <c r="EWR100" s="798"/>
      <c r="EWS100" s="798"/>
      <c r="EWT100" s="798"/>
      <c r="EWU100" s="798"/>
      <c r="EWV100" s="798"/>
      <c r="EWW100" s="798"/>
      <c r="EWX100" s="798"/>
      <c r="EWY100" s="798"/>
      <c r="EWZ100" s="798"/>
      <c r="EXA100" s="798"/>
      <c r="EXB100" s="798"/>
      <c r="EXC100" s="798"/>
      <c r="EXD100" s="798"/>
      <c r="EXE100" s="798"/>
      <c r="EXF100" s="798"/>
      <c r="EXG100" s="798"/>
      <c r="EXH100" s="798"/>
      <c r="EXI100" s="798"/>
      <c r="EXJ100" s="798"/>
      <c r="EXK100" s="798"/>
      <c r="EXL100" s="798"/>
      <c r="EXM100" s="798"/>
      <c r="EXN100" s="798"/>
      <c r="EXO100" s="798"/>
      <c r="EXP100" s="798"/>
      <c r="EXQ100" s="798"/>
      <c r="EXR100" s="798"/>
      <c r="EXS100" s="798"/>
      <c r="EXT100" s="798"/>
      <c r="EXU100" s="798"/>
      <c r="EXV100" s="798"/>
      <c r="EXW100" s="798"/>
      <c r="EXX100" s="798"/>
      <c r="EXY100" s="798"/>
      <c r="EXZ100" s="798"/>
      <c r="EYA100" s="798"/>
      <c r="EYB100" s="798"/>
      <c r="EYC100" s="798"/>
      <c r="EYD100" s="798"/>
      <c r="EYE100" s="798"/>
      <c r="EYF100" s="798"/>
      <c r="EYG100" s="798"/>
      <c r="EYH100" s="798"/>
      <c r="EYI100" s="798"/>
      <c r="EYJ100" s="798"/>
      <c r="EYK100" s="798"/>
      <c r="EYL100" s="798"/>
      <c r="EYM100" s="798"/>
      <c r="EYN100" s="798"/>
      <c r="EYO100" s="798"/>
      <c r="EYP100" s="798"/>
      <c r="EYQ100" s="798"/>
      <c r="EYR100" s="798"/>
      <c r="EYS100" s="798"/>
      <c r="EYT100" s="798"/>
      <c r="EYU100" s="798"/>
      <c r="EYV100" s="798"/>
      <c r="EYW100" s="798"/>
      <c r="EYX100" s="798"/>
      <c r="EYY100" s="798"/>
      <c r="EYZ100" s="798"/>
      <c r="EZA100" s="798"/>
      <c r="EZB100" s="798"/>
      <c r="EZC100" s="798"/>
      <c r="EZD100" s="798"/>
      <c r="EZE100" s="798"/>
      <c r="EZF100" s="798"/>
      <c r="EZG100" s="798"/>
      <c r="EZH100" s="798"/>
      <c r="EZI100" s="798"/>
      <c r="EZJ100" s="798"/>
      <c r="EZK100" s="798"/>
      <c r="EZL100" s="798"/>
      <c r="EZM100" s="798"/>
      <c r="EZN100" s="798"/>
      <c r="EZO100" s="798"/>
      <c r="EZP100" s="798"/>
      <c r="EZQ100" s="798"/>
      <c r="EZR100" s="798"/>
      <c r="EZS100" s="798"/>
      <c r="EZT100" s="798"/>
      <c r="EZU100" s="798"/>
      <c r="EZV100" s="798"/>
      <c r="EZW100" s="798"/>
      <c r="EZX100" s="798"/>
      <c r="EZY100" s="798"/>
      <c r="EZZ100" s="798"/>
      <c r="FAA100" s="798"/>
      <c r="FAB100" s="798"/>
      <c r="FAC100" s="798"/>
      <c r="FAD100" s="798"/>
      <c r="FAE100" s="798"/>
      <c r="FAF100" s="798"/>
      <c r="FAG100" s="798"/>
      <c r="FAH100" s="798"/>
      <c r="FAI100" s="798"/>
      <c r="FAJ100" s="798"/>
      <c r="FAK100" s="798"/>
      <c r="FAL100" s="798"/>
      <c r="FAM100" s="798"/>
      <c r="FAN100" s="798"/>
      <c r="FAO100" s="798"/>
      <c r="FAP100" s="798"/>
      <c r="FAQ100" s="798"/>
      <c r="FAR100" s="798"/>
      <c r="FAS100" s="798"/>
      <c r="FAT100" s="798"/>
      <c r="FAU100" s="798"/>
      <c r="FAV100" s="798"/>
      <c r="FAW100" s="798"/>
      <c r="FAX100" s="798"/>
      <c r="FAY100" s="798"/>
      <c r="FAZ100" s="798"/>
      <c r="FBA100" s="798"/>
      <c r="FBB100" s="798"/>
      <c r="FBC100" s="798"/>
      <c r="FBD100" s="798"/>
      <c r="FBE100" s="798"/>
      <c r="FBF100" s="798"/>
      <c r="FBG100" s="798"/>
      <c r="FBH100" s="798"/>
      <c r="FBI100" s="798"/>
      <c r="FBJ100" s="798"/>
      <c r="FBK100" s="798"/>
      <c r="FBL100" s="798"/>
      <c r="FBM100" s="798"/>
      <c r="FBN100" s="798"/>
      <c r="FBO100" s="798"/>
      <c r="FBP100" s="798"/>
      <c r="FBQ100" s="798"/>
      <c r="FBR100" s="798"/>
      <c r="FBS100" s="798"/>
      <c r="FBT100" s="798"/>
      <c r="FBU100" s="798"/>
      <c r="FBV100" s="798"/>
      <c r="FBW100" s="798"/>
      <c r="FBX100" s="798"/>
      <c r="FBY100" s="798"/>
      <c r="FBZ100" s="798"/>
      <c r="FCA100" s="798"/>
      <c r="FCB100" s="798"/>
      <c r="FCC100" s="798"/>
      <c r="FCD100" s="798"/>
      <c r="FCE100" s="798"/>
      <c r="FCF100" s="798"/>
      <c r="FCG100" s="798"/>
      <c r="FCH100" s="798"/>
      <c r="FCI100" s="798"/>
      <c r="FCJ100" s="798"/>
      <c r="FCK100" s="798"/>
      <c r="FCL100" s="798"/>
      <c r="FCM100" s="798"/>
      <c r="FCN100" s="798"/>
      <c r="FCO100" s="798"/>
      <c r="FCP100" s="798"/>
      <c r="FCQ100" s="798"/>
      <c r="FCR100" s="798"/>
      <c r="FCS100" s="798"/>
      <c r="FCT100" s="798"/>
      <c r="FCU100" s="798"/>
      <c r="FCV100" s="798"/>
      <c r="FCW100" s="798"/>
      <c r="FCX100" s="798"/>
      <c r="FCY100" s="798"/>
      <c r="FCZ100" s="798"/>
      <c r="FDA100" s="798"/>
      <c r="FDB100" s="798"/>
      <c r="FDC100" s="798"/>
      <c r="FDD100" s="798"/>
      <c r="FDE100" s="798"/>
      <c r="FDF100" s="798"/>
      <c r="FDG100" s="798"/>
      <c r="FDH100" s="798"/>
      <c r="FDI100" s="798"/>
      <c r="FDJ100" s="798"/>
      <c r="FDK100" s="798"/>
      <c r="FDL100" s="798"/>
      <c r="FDM100" s="798"/>
      <c r="FDN100" s="798"/>
      <c r="FDO100" s="798"/>
      <c r="FDP100" s="798"/>
      <c r="FDQ100" s="798"/>
      <c r="FDR100" s="798"/>
      <c r="FDS100" s="798"/>
      <c r="FDT100" s="798"/>
      <c r="FDU100" s="798"/>
      <c r="FDV100" s="798"/>
      <c r="FDW100" s="798"/>
      <c r="FDX100" s="798"/>
      <c r="FDY100" s="798"/>
      <c r="FDZ100" s="798"/>
      <c r="FEA100" s="798"/>
      <c r="FEB100" s="798"/>
      <c r="FEC100" s="798"/>
      <c r="FED100" s="798"/>
      <c r="FEE100" s="798"/>
      <c r="FEF100" s="798"/>
      <c r="FEG100" s="798"/>
      <c r="FEH100" s="798"/>
      <c r="FEI100" s="798"/>
      <c r="FEJ100" s="798"/>
      <c r="FEK100" s="798"/>
      <c r="FEL100" s="798"/>
      <c r="FEM100" s="798"/>
      <c r="FEN100" s="798"/>
      <c r="FEO100" s="798"/>
      <c r="FEP100" s="798"/>
      <c r="FEQ100" s="798"/>
      <c r="FER100" s="798"/>
      <c r="FES100" s="798"/>
      <c r="FET100" s="798"/>
      <c r="FEU100" s="798"/>
      <c r="FEV100" s="798"/>
      <c r="FEW100" s="798"/>
      <c r="FEX100" s="798"/>
      <c r="FEY100" s="798"/>
      <c r="FEZ100" s="798"/>
      <c r="FFA100" s="798"/>
      <c r="FFB100" s="798"/>
      <c r="FFC100" s="798"/>
      <c r="FFD100" s="798"/>
      <c r="FFE100" s="798"/>
      <c r="FFF100" s="798"/>
      <c r="FFG100" s="798"/>
      <c r="FFH100" s="798"/>
      <c r="FFI100" s="798"/>
      <c r="FFJ100" s="798"/>
      <c r="FFK100" s="798"/>
      <c r="FFL100" s="798"/>
      <c r="FFM100" s="798"/>
      <c r="FFN100" s="798"/>
      <c r="FFO100" s="798"/>
      <c r="FFP100" s="798"/>
      <c r="FFQ100" s="798"/>
      <c r="FFR100" s="798"/>
      <c r="FFS100" s="798"/>
      <c r="FFT100" s="798"/>
      <c r="FFU100" s="798"/>
      <c r="FFV100" s="798"/>
      <c r="FFW100" s="798"/>
      <c r="FFX100" s="798"/>
      <c r="FFY100" s="798"/>
      <c r="FFZ100" s="798"/>
      <c r="FGA100" s="798"/>
      <c r="FGB100" s="798"/>
      <c r="FGC100" s="798"/>
      <c r="FGD100" s="798"/>
      <c r="FGE100" s="798"/>
      <c r="FGF100" s="798"/>
      <c r="FGG100" s="798"/>
      <c r="FGH100" s="798"/>
      <c r="FGI100" s="798"/>
      <c r="FGJ100" s="798"/>
      <c r="FGK100" s="798"/>
      <c r="FGL100" s="798"/>
      <c r="FGM100" s="798"/>
      <c r="FGN100" s="798"/>
      <c r="FGO100" s="798"/>
      <c r="FGP100" s="798"/>
      <c r="FGQ100" s="798"/>
      <c r="FGR100" s="798"/>
      <c r="FGS100" s="798"/>
      <c r="FGT100" s="798"/>
      <c r="FGU100" s="798"/>
      <c r="FGV100" s="798"/>
      <c r="FGW100" s="798"/>
      <c r="FGX100" s="798"/>
      <c r="FGY100" s="798"/>
      <c r="FGZ100" s="798"/>
      <c r="FHA100" s="798"/>
      <c r="FHB100" s="798"/>
      <c r="FHC100" s="798"/>
      <c r="FHD100" s="798"/>
      <c r="FHE100" s="798"/>
      <c r="FHF100" s="798"/>
      <c r="FHG100" s="798"/>
      <c r="FHH100" s="798"/>
      <c r="FHI100" s="798"/>
      <c r="FHJ100" s="798"/>
      <c r="FHK100" s="798"/>
      <c r="FHL100" s="798"/>
      <c r="FHM100" s="798"/>
      <c r="FHN100" s="798"/>
      <c r="FHO100" s="798"/>
      <c r="FHP100" s="798"/>
      <c r="FHQ100" s="798"/>
      <c r="FHR100" s="798"/>
      <c r="FHS100" s="798"/>
      <c r="FHT100" s="798"/>
      <c r="FHU100" s="798"/>
      <c r="FHV100" s="798"/>
      <c r="FHW100" s="798"/>
      <c r="FHX100" s="798"/>
      <c r="FHY100" s="798"/>
      <c r="FHZ100" s="798"/>
      <c r="FIA100" s="798"/>
      <c r="FIB100" s="798"/>
      <c r="FIC100" s="798"/>
      <c r="FID100" s="798"/>
      <c r="FIE100" s="798"/>
      <c r="FIF100" s="798"/>
      <c r="FIG100" s="798"/>
      <c r="FIH100" s="798"/>
      <c r="FII100" s="798"/>
      <c r="FIJ100" s="798"/>
      <c r="FIK100" s="798"/>
      <c r="FIL100" s="798"/>
      <c r="FIM100" s="798"/>
      <c r="FIN100" s="798"/>
      <c r="FIO100" s="798"/>
      <c r="FIP100" s="798"/>
      <c r="FIQ100" s="798"/>
      <c r="FIR100" s="798"/>
      <c r="FIS100" s="798"/>
      <c r="FIT100" s="798"/>
      <c r="FIU100" s="798"/>
      <c r="FIV100" s="798"/>
      <c r="FIW100" s="798"/>
      <c r="FIX100" s="798"/>
      <c r="FIY100" s="798"/>
      <c r="FIZ100" s="798"/>
      <c r="FJA100" s="798"/>
      <c r="FJB100" s="798"/>
      <c r="FJC100" s="798"/>
      <c r="FJD100" s="798"/>
      <c r="FJE100" s="798"/>
      <c r="FJF100" s="798"/>
      <c r="FJG100" s="798"/>
      <c r="FJH100" s="798"/>
      <c r="FJI100" s="798"/>
      <c r="FJJ100" s="798"/>
      <c r="FJK100" s="798"/>
      <c r="FJL100" s="798"/>
      <c r="FJM100" s="798"/>
      <c r="FJN100" s="798"/>
      <c r="FJO100" s="798"/>
      <c r="FJP100" s="798"/>
      <c r="FJQ100" s="798"/>
      <c r="FJR100" s="798"/>
      <c r="FJS100" s="798"/>
      <c r="FJT100" s="798"/>
      <c r="FJU100" s="798"/>
      <c r="FJV100" s="798"/>
      <c r="FJW100" s="798"/>
      <c r="FJX100" s="798"/>
      <c r="FJY100" s="798"/>
      <c r="FJZ100" s="798"/>
      <c r="FKA100" s="798"/>
      <c r="FKB100" s="798"/>
      <c r="FKC100" s="798"/>
      <c r="FKD100" s="798"/>
      <c r="FKE100" s="798"/>
      <c r="FKF100" s="798"/>
      <c r="FKG100" s="798"/>
      <c r="FKH100" s="798"/>
      <c r="FKI100" s="798"/>
      <c r="FKJ100" s="798"/>
      <c r="FKK100" s="798"/>
      <c r="FKL100" s="798"/>
      <c r="FKM100" s="798"/>
      <c r="FKN100" s="798"/>
      <c r="FKO100" s="798"/>
      <c r="FKP100" s="798"/>
      <c r="FKQ100" s="798"/>
      <c r="FKR100" s="798"/>
      <c r="FKS100" s="798"/>
      <c r="FKT100" s="798"/>
      <c r="FKU100" s="798"/>
      <c r="FKV100" s="798"/>
      <c r="FKW100" s="798"/>
      <c r="FKX100" s="798"/>
      <c r="FKY100" s="798"/>
      <c r="FKZ100" s="798"/>
      <c r="FLA100" s="798"/>
      <c r="FLB100" s="798"/>
      <c r="FLC100" s="798"/>
      <c r="FLD100" s="798"/>
      <c r="FLE100" s="798"/>
      <c r="FLF100" s="798"/>
      <c r="FLG100" s="798"/>
      <c r="FLH100" s="798"/>
      <c r="FLI100" s="798"/>
      <c r="FLJ100" s="798"/>
      <c r="FLK100" s="798"/>
      <c r="FLL100" s="798"/>
      <c r="FLM100" s="798"/>
      <c r="FLN100" s="798"/>
      <c r="FLO100" s="798"/>
      <c r="FLP100" s="798"/>
      <c r="FLQ100" s="798"/>
      <c r="FLR100" s="798"/>
      <c r="FLS100" s="798"/>
      <c r="FLT100" s="798"/>
      <c r="FLU100" s="798"/>
      <c r="FLV100" s="798"/>
      <c r="FLW100" s="798"/>
      <c r="FLX100" s="798"/>
      <c r="FLY100" s="798"/>
      <c r="FLZ100" s="798"/>
      <c r="FMA100" s="798"/>
      <c r="FMB100" s="798"/>
      <c r="FMC100" s="798"/>
      <c r="FMD100" s="798"/>
      <c r="FME100" s="798"/>
      <c r="FMF100" s="798"/>
      <c r="FMG100" s="798"/>
      <c r="FMH100" s="798"/>
      <c r="FMI100" s="798"/>
      <c r="FMJ100" s="798"/>
      <c r="FMK100" s="798"/>
      <c r="FML100" s="798"/>
      <c r="FMM100" s="798"/>
      <c r="FMN100" s="798"/>
      <c r="FMO100" s="798"/>
      <c r="FMP100" s="798"/>
      <c r="FMQ100" s="798"/>
      <c r="FMR100" s="798"/>
      <c r="FMS100" s="798"/>
      <c r="FMT100" s="798"/>
      <c r="FMU100" s="798"/>
      <c r="FMV100" s="798"/>
      <c r="FMW100" s="798"/>
      <c r="FMX100" s="798"/>
      <c r="FMY100" s="798"/>
      <c r="FMZ100" s="798"/>
      <c r="FNA100" s="798"/>
      <c r="FNB100" s="798"/>
      <c r="FNC100" s="798"/>
      <c r="FND100" s="798"/>
      <c r="FNE100" s="798"/>
      <c r="FNF100" s="798"/>
      <c r="FNG100" s="798"/>
      <c r="FNH100" s="798"/>
      <c r="FNI100" s="798"/>
      <c r="FNJ100" s="798"/>
      <c r="FNK100" s="798"/>
      <c r="FNL100" s="798"/>
      <c r="FNM100" s="798"/>
      <c r="FNN100" s="798"/>
      <c r="FNO100" s="798"/>
      <c r="FNP100" s="798"/>
      <c r="FNQ100" s="798"/>
      <c r="FNR100" s="798"/>
      <c r="FNS100" s="798"/>
      <c r="FNT100" s="798"/>
      <c r="FNU100" s="798"/>
      <c r="FNV100" s="798"/>
      <c r="FNW100" s="798"/>
      <c r="FNX100" s="798"/>
      <c r="FNY100" s="798"/>
      <c r="FNZ100" s="798"/>
      <c r="FOA100" s="798"/>
      <c r="FOB100" s="798"/>
      <c r="FOC100" s="798"/>
      <c r="FOD100" s="798"/>
      <c r="FOE100" s="798"/>
      <c r="FOF100" s="798"/>
      <c r="FOG100" s="798"/>
      <c r="FOH100" s="798"/>
      <c r="FOI100" s="798"/>
      <c r="FOJ100" s="798"/>
      <c r="FOK100" s="798"/>
      <c r="FOL100" s="798"/>
      <c r="FOM100" s="798"/>
      <c r="FON100" s="798"/>
      <c r="FOO100" s="798"/>
      <c r="FOP100" s="798"/>
      <c r="FOQ100" s="798"/>
      <c r="FOR100" s="798"/>
      <c r="FOS100" s="798"/>
      <c r="FOT100" s="798"/>
      <c r="FOU100" s="798"/>
      <c r="FOV100" s="798"/>
      <c r="FOW100" s="798"/>
      <c r="FOX100" s="798"/>
      <c r="FOY100" s="798"/>
      <c r="FOZ100" s="798"/>
      <c r="FPA100" s="798"/>
      <c r="FPB100" s="798"/>
      <c r="FPC100" s="798"/>
      <c r="FPD100" s="798"/>
      <c r="FPE100" s="798"/>
      <c r="FPF100" s="798"/>
      <c r="FPG100" s="798"/>
      <c r="FPH100" s="798"/>
      <c r="FPI100" s="798"/>
      <c r="FPJ100" s="798"/>
      <c r="FPK100" s="798"/>
      <c r="FPL100" s="798"/>
      <c r="FPM100" s="798"/>
      <c r="FPN100" s="798"/>
      <c r="FPO100" s="798"/>
      <c r="FPP100" s="798"/>
      <c r="FPQ100" s="798"/>
      <c r="FPR100" s="798"/>
      <c r="FPS100" s="798"/>
      <c r="FPT100" s="798"/>
      <c r="FPU100" s="798"/>
      <c r="FPV100" s="798"/>
      <c r="FPW100" s="798"/>
      <c r="FPX100" s="798"/>
      <c r="FPY100" s="798"/>
      <c r="FPZ100" s="798"/>
      <c r="FQA100" s="798"/>
      <c r="FQB100" s="798"/>
      <c r="FQC100" s="798"/>
      <c r="FQD100" s="798"/>
      <c r="FQE100" s="798"/>
      <c r="FQF100" s="798"/>
      <c r="FQG100" s="798"/>
      <c r="FQH100" s="798"/>
      <c r="FQI100" s="798"/>
      <c r="FQJ100" s="798"/>
      <c r="FQK100" s="798"/>
      <c r="FQL100" s="798"/>
      <c r="FQM100" s="798"/>
      <c r="FQN100" s="798"/>
      <c r="FQO100" s="798"/>
      <c r="FQP100" s="798"/>
      <c r="FQQ100" s="798"/>
      <c r="FQR100" s="798"/>
      <c r="FQS100" s="798"/>
      <c r="FQT100" s="798"/>
      <c r="FQU100" s="798"/>
      <c r="FQV100" s="798"/>
      <c r="FQW100" s="798"/>
      <c r="FQX100" s="798"/>
      <c r="FQY100" s="798"/>
      <c r="FQZ100" s="798"/>
      <c r="FRA100" s="798"/>
      <c r="FRB100" s="798"/>
      <c r="FRC100" s="798"/>
      <c r="FRD100" s="798"/>
      <c r="FRE100" s="798"/>
      <c r="FRF100" s="798"/>
      <c r="FRG100" s="798"/>
      <c r="FRH100" s="798"/>
      <c r="FRI100" s="798"/>
      <c r="FRJ100" s="798"/>
      <c r="FRK100" s="798"/>
      <c r="FRL100" s="798"/>
      <c r="FRM100" s="798"/>
      <c r="FRN100" s="798"/>
      <c r="FRO100" s="798"/>
      <c r="FRP100" s="798"/>
      <c r="FRQ100" s="798"/>
      <c r="FRR100" s="798"/>
      <c r="FRS100" s="798"/>
      <c r="FRT100" s="798"/>
      <c r="FRU100" s="798"/>
      <c r="FRV100" s="798"/>
      <c r="FRW100" s="798"/>
      <c r="FRX100" s="798"/>
      <c r="FRY100" s="798"/>
      <c r="FRZ100" s="798"/>
      <c r="FSA100" s="798"/>
      <c r="FSB100" s="798"/>
      <c r="FSC100" s="798"/>
      <c r="FSD100" s="798"/>
      <c r="FSE100" s="798"/>
      <c r="FSF100" s="798"/>
      <c r="FSG100" s="798"/>
      <c r="FSH100" s="798"/>
      <c r="FSI100" s="798"/>
      <c r="FSJ100" s="798"/>
      <c r="FSK100" s="798"/>
      <c r="FSL100" s="798"/>
      <c r="FSM100" s="798"/>
      <c r="FSN100" s="798"/>
      <c r="FSO100" s="798"/>
      <c r="FSP100" s="798"/>
      <c r="FSQ100" s="798"/>
      <c r="FSR100" s="798"/>
      <c r="FSS100" s="798"/>
      <c r="FST100" s="798"/>
      <c r="FSU100" s="798"/>
      <c r="FSV100" s="798"/>
      <c r="FSW100" s="798"/>
      <c r="FSX100" s="798"/>
      <c r="FSY100" s="798"/>
      <c r="FSZ100" s="798"/>
      <c r="FTA100" s="798"/>
      <c r="FTB100" s="798"/>
      <c r="FTC100" s="798"/>
      <c r="FTD100" s="798"/>
      <c r="FTE100" s="798"/>
      <c r="FTF100" s="798"/>
      <c r="FTG100" s="798"/>
      <c r="FTH100" s="798"/>
      <c r="FTI100" s="798"/>
      <c r="FTJ100" s="798"/>
      <c r="FTK100" s="798"/>
      <c r="FTL100" s="798"/>
      <c r="FTM100" s="798"/>
      <c r="FTN100" s="798"/>
      <c r="FTO100" s="798"/>
      <c r="FTP100" s="798"/>
      <c r="FTQ100" s="798"/>
      <c r="FTR100" s="798"/>
      <c r="FTS100" s="798"/>
      <c r="FTT100" s="798"/>
      <c r="FTU100" s="798"/>
      <c r="FTV100" s="798"/>
      <c r="FTW100" s="798"/>
      <c r="FTX100" s="798"/>
      <c r="FTY100" s="798"/>
      <c r="FTZ100" s="798"/>
      <c r="FUA100" s="798"/>
      <c r="FUB100" s="798"/>
      <c r="FUC100" s="798"/>
      <c r="FUD100" s="798"/>
      <c r="FUE100" s="798"/>
      <c r="FUF100" s="798"/>
      <c r="FUG100" s="798"/>
      <c r="FUH100" s="798"/>
      <c r="FUI100" s="798"/>
      <c r="FUJ100" s="798"/>
      <c r="FUK100" s="798"/>
      <c r="FUL100" s="798"/>
      <c r="FUM100" s="798"/>
      <c r="FUN100" s="798"/>
      <c r="FUO100" s="798"/>
      <c r="FUP100" s="798"/>
      <c r="FUQ100" s="798"/>
      <c r="FUR100" s="798"/>
      <c r="FUS100" s="798"/>
      <c r="FUT100" s="798"/>
      <c r="FUU100" s="798"/>
      <c r="FUV100" s="798"/>
      <c r="FUW100" s="798"/>
      <c r="FUX100" s="798"/>
      <c r="FUY100" s="798"/>
      <c r="FUZ100" s="798"/>
      <c r="FVA100" s="798"/>
      <c r="FVB100" s="798"/>
      <c r="FVC100" s="798"/>
      <c r="FVD100" s="798"/>
      <c r="FVE100" s="798"/>
      <c r="FVF100" s="798"/>
      <c r="FVG100" s="798"/>
      <c r="FVH100" s="798"/>
      <c r="FVI100" s="798"/>
      <c r="FVJ100" s="798"/>
      <c r="FVK100" s="798"/>
      <c r="FVL100" s="798"/>
      <c r="FVM100" s="798"/>
      <c r="FVN100" s="798"/>
      <c r="FVO100" s="798"/>
      <c r="FVP100" s="798"/>
      <c r="FVQ100" s="798"/>
      <c r="FVR100" s="798"/>
      <c r="FVS100" s="798"/>
      <c r="FVT100" s="798"/>
      <c r="FVU100" s="798"/>
      <c r="FVV100" s="798"/>
      <c r="FVW100" s="798"/>
      <c r="FVX100" s="798"/>
      <c r="FVY100" s="798"/>
      <c r="FVZ100" s="798"/>
      <c r="FWA100" s="798"/>
      <c r="FWB100" s="798"/>
      <c r="FWC100" s="798"/>
      <c r="FWD100" s="798"/>
      <c r="FWE100" s="798"/>
      <c r="FWF100" s="798"/>
      <c r="FWG100" s="798"/>
      <c r="FWH100" s="798"/>
      <c r="FWI100" s="798"/>
      <c r="FWJ100" s="798"/>
      <c r="FWK100" s="798"/>
      <c r="FWL100" s="798"/>
      <c r="FWM100" s="798"/>
      <c r="FWN100" s="798"/>
      <c r="FWO100" s="798"/>
      <c r="FWP100" s="798"/>
      <c r="FWQ100" s="798"/>
      <c r="FWR100" s="798"/>
      <c r="FWS100" s="798"/>
      <c r="FWT100" s="798"/>
      <c r="FWU100" s="798"/>
      <c r="FWV100" s="798"/>
      <c r="FWW100" s="798"/>
      <c r="FWX100" s="798"/>
      <c r="FWY100" s="798"/>
      <c r="FWZ100" s="798"/>
      <c r="FXA100" s="798"/>
      <c r="FXB100" s="798"/>
      <c r="FXC100" s="798"/>
      <c r="FXD100" s="798"/>
      <c r="FXE100" s="798"/>
      <c r="FXF100" s="798"/>
      <c r="FXG100" s="798"/>
      <c r="FXH100" s="798"/>
      <c r="FXI100" s="798"/>
      <c r="FXJ100" s="798"/>
      <c r="FXK100" s="798"/>
      <c r="FXL100" s="798"/>
      <c r="FXM100" s="798"/>
      <c r="FXN100" s="798"/>
      <c r="FXO100" s="798"/>
      <c r="FXP100" s="798"/>
      <c r="FXQ100" s="798"/>
      <c r="FXR100" s="798"/>
      <c r="FXS100" s="798"/>
      <c r="FXT100" s="798"/>
      <c r="FXU100" s="798"/>
      <c r="FXV100" s="798"/>
      <c r="FXW100" s="798"/>
      <c r="FXX100" s="798"/>
      <c r="FXY100" s="798"/>
      <c r="FXZ100" s="798"/>
      <c r="FYA100" s="798"/>
      <c r="FYB100" s="798"/>
      <c r="FYC100" s="798"/>
      <c r="FYD100" s="798"/>
      <c r="FYE100" s="798"/>
      <c r="FYF100" s="798"/>
      <c r="FYG100" s="798"/>
      <c r="FYH100" s="798"/>
      <c r="FYI100" s="798"/>
      <c r="FYJ100" s="798"/>
      <c r="FYK100" s="798"/>
      <c r="FYL100" s="798"/>
      <c r="FYM100" s="798"/>
      <c r="FYN100" s="798"/>
      <c r="FYO100" s="798"/>
      <c r="FYP100" s="798"/>
      <c r="FYQ100" s="798"/>
      <c r="FYR100" s="798"/>
      <c r="FYS100" s="798"/>
      <c r="FYT100" s="798"/>
      <c r="FYU100" s="798"/>
      <c r="FYV100" s="798"/>
      <c r="FYW100" s="798"/>
      <c r="FYX100" s="798"/>
      <c r="FYY100" s="798"/>
      <c r="FYZ100" s="798"/>
      <c r="FZA100" s="798"/>
      <c r="FZB100" s="798"/>
      <c r="FZC100" s="798"/>
      <c r="FZD100" s="798"/>
      <c r="FZE100" s="798"/>
      <c r="FZF100" s="798"/>
      <c r="FZG100" s="798"/>
      <c r="FZH100" s="798"/>
      <c r="FZI100" s="798"/>
      <c r="FZJ100" s="798"/>
      <c r="FZK100" s="798"/>
      <c r="FZL100" s="798"/>
      <c r="FZM100" s="798"/>
      <c r="FZN100" s="798"/>
      <c r="FZO100" s="798"/>
      <c r="FZP100" s="798"/>
      <c r="FZQ100" s="798"/>
      <c r="FZR100" s="798"/>
      <c r="FZS100" s="798"/>
      <c r="FZT100" s="798"/>
      <c r="FZU100" s="798"/>
      <c r="FZV100" s="798"/>
      <c r="FZW100" s="798"/>
      <c r="FZX100" s="798"/>
      <c r="FZY100" s="798"/>
      <c r="FZZ100" s="798"/>
      <c r="GAA100" s="798"/>
      <c r="GAB100" s="798"/>
      <c r="GAC100" s="798"/>
      <c r="GAD100" s="798"/>
      <c r="GAE100" s="798"/>
      <c r="GAF100" s="798"/>
      <c r="GAG100" s="798"/>
      <c r="GAH100" s="798"/>
      <c r="GAI100" s="798"/>
      <c r="GAJ100" s="798"/>
      <c r="GAK100" s="798"/>
      <c r="GAL100" s="798"/>
      <c r="GAM100" s="798"/>
      <c r="GAN100" s="798"/>
      <c r="GAO100" s="798"/>
      <c r="GAP100" s="798"/>
      <c r="GAQ100" s="798"/>
      <c r="GAR100" s="798"/>
      <c r="GAS100" s="798"/>
      <c r="GAT100" s="798"/>
      <c r="GAU100" s="798"/>
      <c r="GAV100" s="798"/>
      <c r="GAW100" s="798"/>
      <c r="GAX100" s="798"/>
      <c r="GAY100" s="798"/>
      <c r="GAZ100" s="798"/>
      <c r="GBA100" s="798"/>
      <c r="GBB100" s="798"/>
      <c r="GBC100" s="798"/>
      <c r="GBD100" s="798"/>
      <c r="GBE100" s="798"/>
      <c r="GBF100" s="798"/>
      <c r="GBG100" s="798"/>
      <c r="GBH100" s="798"/>
      <c r="GBI100" s="798"/>
      <c r="GBJ100" s="798"/>
      <c r="GBK100" s="798"/>
      <c r="GBL100" s="798"/>
      <c r="GBM100" s="798"/>
      <c r="GBN100" s="798"/>
      <c r="GBO100" s="798"/>
      <c r="GBP100" s="798"/>
      <c r="GBQ100" s="798"/>
      <c r="GBR100" s="798"/>
      <c r="GBS100" s="798"/>
      <c r="GBT100" s="798"/>
      <c r="GBU100" s="798"/>
      <c r="GBV100" s="798"/>
      <c r="GBW100" s="798"/>
      <c r="GBX100" s="798"/>
      <c r="GBY100" s="798"/>
      <c r="GBZ100" s="798"/>
      <c r="GCA100" s="798"/>
      <c r="GCB100" s="798"/>
      <c r="GCC100" s="798"/>
      <c r="GCD100" s="798"/>
      <c r="GCE100" s="798"/>
      <c r="GCF100" s="798"/>
      <c r="GCG100" s="798"/>
      <c r="GCH100" s="798"/>
      <c r="GCI100" s="798"/>
      <c r="GCJ100" s="798"/>
      <c r="GCK100" s="798"/>
      <c r="GCL100" s="798"/>
      <c r="GCM100" s="798"/>
      <c r="GCN100" s="798"/>
      <c r="GCO100" s="798"/>
      <c r="GCP100" s="798"/>
      <c r="GCQ100" s="798"/>
      <c r="GCR100" s="798"/>
      <c r="GCS100" s="798"/>
      <c r="GCT100" s="798"/>
      <c r="GCU100" s="798"/>
      <c r="GCV100" s="798"/>
      <c r="GCW100" s="798"/>
      <c r="GCX100" s="798"/>
      <c r="GCY100" s="798"/>
      <c r="GCZ100" s="798"/>
      <c r="GDA100" s="798"/>
      <c r="GDB100" s="798"/>
      <c r="GDC100" s="798"/>
      <c r="GDD100" s="798"/>
      <c r="GDE100" s="798"/>
      <c r="GDF100" s="798"/>
      <c r="GDG100" s="798"/>
      <c r="GDH100" s="798"/>
      <c r="GDI100" s="798"/>
      <c r="GDJ100" s="798"/>
      <c r="GDK100" s="798"/>
      <c r="GDL100" s="798"/>
      <c r="GDM100" s="798"/>
      <c r="GDN100" s="798"/>
      <c r="GDO100" s="798"/>
      <c r="GDP100" s="798"/>
      <c r="GDQ100" s="798"/>
      <c r="GDR100" s="798"/>
      <c r="GDS100" s="798"/>
      <c r="GDT100" s="798"/>
      <c r="GDU100" s="798"/>
      <c r="GDV100" s="798"/>
      <c r="GDW100" s="798"/>
      <c r="GDX100" s="798"/>
      <c r="GDY100" s="798"/>
      <c r="GDZ100" s="798"/>
      <c r="GEA100" s="798"/>
      <c r="GEB100" s="798"/>
      <c r="GEC100" s="798"/>
      <c r="GED100" s="798"/>
      <c r="GEE100" s="798"/>
      <c r="GEF100" s="798"/>
      <c r="GEG100" s="798"/>
      <c r="GEH100" s="798"/>
      <c r="GEI100" s="798"/>
      <c r="GEJ100" s="798"/>
      <c r="GEK100" s="798"/>
      <c r="GEL100" s="798"/>
      <c r="GEM100" s="798"/>
      <c r="GEN100" s="798"/>
      <c r="GEO100" s="798"/>
      <c r="GEP100" s="798"/>
      <c r="GEQ100" s="798"/>
      <c r="GER100" s="798"/>
      <c r="GES100" s="798"/>
      <c r="GET100" s="798"/>
      <c r="GEU100" s="798"/>
      <c r="GEV100" s="798"/>
      <c r="GEW100" s="798"/>
      <c r="GEX100" s="798"/>
      <c r="GEY100" s="798"/>
      <c r="GEZ100" s="798"/>
      <c r="GFA100" s="798"/>
      <c r="GFB100" s="798"/>
      <c r="GFC100" s="798"/>
      <c r="GFD100" s="798"/>
      <c r="GFE100" s="798"/>
      <c r="GFF100" s="798"/>
      <c r="GFG100" s="798"/>
      <c r="GFH100" s="798"/>
      <c r="GFI100" s="798"/>
      <c r="GFJ100" s="798"/>
      <c r="GFK100" s="798"/>
      <c r="GFL100" s="798"/>
      <c r="GFM100" s="798"/>
      <c r="GFN100" s="798"/>
      <c r="GFO100" s="798"/>
      <c r="GFP100" s="798"/>
      <c r="GFQ100" s="798"/>
      <c r="GFR100" s="798"/>
      <c r="GFS100" s="798"/>
      <c r="GFT100" s="798"/>
      <c r="GFU100" s="798"/>
      <c r="GFV100" s="798"/>
      <c r="GFW100" s="798"/>
      <c r="GFX100" s="798"/>
      <c r="GFY100" s="798"/>
      <c r="GFZ100" s="798"/>
      <c r="GGA100" s="798"/>
      <c r="GGB100" s="798"/>
      <c r="GGC100" s="798"/>
      <c r="GGD100" s="798"/>
      <c r="GGE100" s="798"/>
      <c r="GGF100" s="798"/>
      <c r="GGG100" s="798"/>
      <c r="GGH100" s="798"/>
      <c r="GGI100" s="798"/>
      <c r="GGJ100" s="798"/>
      <c r="GGK100" s="798"/>
      <c r="GGL100" s="798"/>
      <c r="GGM100" s="798"/>
      <c r="GGN100" s="798"/>
      <c r="GGO100" s="798"/>
      <c r="GGP100" s="798"/>
      <c r="GGQ100" s="798"/>
      <c r="GGR100" s="798"/>
      <c r="GGS100" s="798"/>
      <c r="GGT100" s="798"/>
      <c r="GGU100" s="798"/>
      <c r="GGV100" s="798"/>
      <c r="GGW100" s="798"/>
      <c r="GGX100" s="798"/>
      <c r="GGY100" s="798"/>
      <c r="GGZ100" s="798"/>
      <c r="GHA100" s="798"/>
      <c r="GHB100" s="798"/>
      <c r="GHC100" s="798"/>
      <c r="GHD100" s="798"/>
      <c r="GHE100" s="798"/>
      <c r="GHF100" s="798"/>
      <c r="GHG100" s="798"/>
      <c r="GHH100" s="798"/>
      <c r="GHI100" s="798"/>
      <c r="GHJ100" s="798"/>
      <c r="GHK100" s="798"/>
      <c r="GHL100" s="798"/>
      <c r="GHM100" s="798"/>
      <c r="GHN100" s="798"/>
      <c r="GHO100" s="798"/>
      <c r="GHP100" s="798"/>
      <c r="GHQ100" s="798"/>
      <c r="GHR100" s="798"/>
      <c r="GHS100" s="798"/>
      <c r="GHT100" s="798"/>
      <c r="GHU100" s="798"/>
      <c r="GHV100" s="798"/>
      <c r="GHW100" s="798"/>
      <c r="GHX100" s="798"/>
      <c r="GHY100" s="798"/>
      <c r="GHZ100" s="798"/>
      <c r="GIA100" s="798"/>
      <c r="GIB100" s="798"/>
      <c r="GIC100" s="798"/>
      <c r="GID100" s="798"/>
      <c r="GIE100" s="798"/>
      <c r="GIF100" s="798"/>
      <c r="GIG100" s="798"/>
      <c r="GIH100" s="798"/>
      <c r="GII100" s="798"/>
      <c r="GIJ100" s="798"/>
      <c r="GIK100" s="798"/>
      <c r="GIL100" s="798"/>
      <c r="GIM100" s="798"/>
      <c r="GIN100" s="798"/>
      <c r="GIO100" s="798"/>
      <c r="GIP100" s="798"/>
      <c r="GIQ100" s="798"/>
      <c r="GIR100" s="798"/>
      <c r="GIS100" s="798"/>
      <c r="GIT100" s="798"/>
      <c r="GIU100" s="798"/>
      <c r="GIV100" s="798"/>
      <c r="GIW100" s="798"/>
      <c r="GIX100" s="798"/>
      <c r="GIY100" s="798"/>
      <c r="GIZ100" s="798"/>
      <c r="GJA100" s="798"/>
      <c r="GJB100" s="798"/>
      <c r="GJC100" s="798"/>
      <c r="GJD100" s="798"/>
      <c r="GJE100" s="798"/>
      <c r="GJF100" s="798"/>
      <c r="GJG100" s="798"/>
      <c r="GJH100" s="798"/>
      <c r="GJI100" s="798"/>
      <c r="GJJ100" s="798"/>
      <c r="GJK100" s="798"/>
      <c r="GJL100" s="798"/>
      <c r="GJM100" s="798"/>
      <c r="GJN100" s="798"/>
      <c r="GJO100" s="798"/>
      <c r="GJP100" s="798"/>
      <c r="GJQ100" s="798"/>
      <c r="GJR100" s="798"/>
      <c r="GJS100" s="798"/>
      <c r="GJT100" s="798"/>
      <c r="GJU100" s="798"/>
      <c r="GJV100" s="798"/>
      <c r="GJW100" s="798"/>
      <c r="GJX100" s="798"/>
      <c r="GJY100" s="798"/>
      <c r="GJZ100" s="798"/>
      <c r="GKA100" s="798"/>
      <c r="GKB100" s="798"/>
      <c r="GKC100" s="798"/>
      <c r="GKD100" s="798"/>
      <c r="GKE100" s="798"/>
      <c r="GKF100" s="798"/>
      <c r="GKG100" s="798"/>
      <c r="GKH100" s="798"/>
      <c r="GKI100" s="798"/>
      <c r="GKJ100" s="798"/>
      <c r="GKK100" s="798"/>
      <c r="GKL100" s="798"/>
      <c r="GKM100" s="798"/>
      <c r="GKN100" s="798"/>
      <c r="GKO100" s="798"/>
      <c r="GKP100" s="798"/>
      <c r="GKQ100" s="798"/>
      <c r="GKR100" s="798"/>
      <c r="GKS100" s="798"/>
      <c r="GKT100" s="798"/>
      <c r="GKU100" s="798"/>
      <c r="GKV100" s="798"/>
      <c r="GKW100" s="798"/>
      <c r="GKX100" s="798"/>
      <c r="GKY100" s="798"/>
      <c r="GKZ100" s="798"/>
      <c r="GLA100" s="798"/>
      <c r="GLB100" s="798"/>
      <c r="GLC100" s="798"/>
      <c r="GLD100" s="798"/>
      <c r="GLE100" s="798"/>
      <c r="GLF100" s="798"/>
      <c r="GLG100" s="798"/>
      <c r="GLH100" s="798"/>
      <c r="GLI100" s="798"/>
      <c r="GLJ100" s="798"/>
      <c r="GLK100" s="798"/>
      <c r="GLL100" s="798"/>
      <c r="GLM100" s="798"/>
      <c r="GLN100" s="798"/>
      <c r="GLO100" s="798"/>
      <c r="GLP100" s="798"/>
      <c r="GLQ100" s="798"/>
      <c r="GLR100" s="798"/>
      <c r="GLS100" s="798"/>
      <c r="GLT100" s="798"/>
      <c r="GLU100" s="798"/>
      <c r="GLV100" s="798"/>
      <c r="GLW100" s="798"/>
      <c r="GLX100" s="798"/>
      <c r="GLY100" s="798"/>
      <c r="GLZ100" s="798"/>
      <c r="GMA100" s="798"/>
      <c r="GMB100" s="798"/>
      <c r="GMC100" s="798"/>
      <c r="GMD100" s="798"/>
      <c r="GME100" s="798"/>
      <c r="GMF100" s="798"/>
      <c r="GMG100" s="798"/>
      <c r="GMH100" s="798"/>
      <c r="GMI100" s="798"/>
      <c r="GMJ100" s="798"/>
      <c r="GMK100" s="798"/>
      <c r="GML100" s="798"/>
      <c r="GMM100" s="798"/>
      <c r="GMN100" s="798"/>
      <c r="GMO100" s="798"/>
      <c r="GMP100" s="798"/>
      <c r="GMQ100" s="798"/>
      <c r="GMR100" s="798"/>
      <c r="GMS100" s="798"/>
      <c r="GMT100" s="798"/>
      <c r="GMU100" s="798"/>
      <c r="GMV100" s="798"/>
      <c r="GMW100" s="798"/>
      <c r="GMX100" s="798"/>
      <c r="GMY100" s="798"/>
      <c r="GMZ100" s="798"/>
      <c r="GNA100" s="798"/>
      <c r="GNB100" s="798"/>
      <c r="GNC100" s="798"/>
      <c r="GND100" s="798"/>
      <c r="GNE100" s="798"/>
      <c r="GNF100" s="798"/>
      <c r="GNG100" s="798"/>
      <c r="GNH100" s="798"/>
      <c r="GNI100" s="798"/>
      <c r="GNJ100" s="798"/>
      <c r="GNK100" s="798"/>
      <c r="GNL100" s="798"/>
      <c r="GNM100" s="798"/>
      <c r="GNN100" s="798"/>
      <c r="GNO100" s="798"/>
      <c r="GNP100" s="798"/>
      <c r="GNQ100" s="798"/>
      <c r="GNR100" s="798"/>
      <c r="GNS100" s="798"/>
      <c r="GNT100" s="798"/>
      <c r="GNU100" s="798"/>
      <c r="GNV100" s="798"/>
      <c r="GNW100" s="798"/>
      <c r="GNX100" s="798"/>
      <c r="GNY100" s="798"/>
      <c r="GNZ100" s="798"/>
      <c r="GOA100" s="798"/>
      <c r="GOB100" s="798"/>
      <c r="GOC100" s="798"/>
      <c r="GOD100" s="798"/>
      <c r="GOE100" s="798"/>
      <c r="GOF100" s="798"/>
      <c r="GOG100" s="798"/>
      <c r="GOH100" s="798"/>
      <c r="GOI100" s="798"/>
      <c r="GOJ100" s="798"/>
      <c r="GOK100" s="798"/>
      <c r="GOL100" s="798"/>
      <c r="GOM100" s="798"/>
      <c r="GON100" s="798"/>
      <c r="GOO100" s="798"/>
      <c r="GOP100" s="798"/>
      <c r="GOQ100" s="798"/>
      <c r="GOR100" s="798"/>
      <c r="GOS100" s="798"/>
      <c r="GOT100" s="798"/>
      <c r="GOU100" s="798"/>
      <c r="GOV100" s="798"/>
      <c r="GOW100" s="798"/>
      <c r="GOX100" s="798"/>
      <c r="GOY100" s="798"/>
      <c r="GOZ100" s="798"/>
      <c r="GPA100" s="798"/>
      <c r="GPB100" s="798"/>
      <c r="GPC100" s="798"/>
      <c r="GPD100" s="798"/>
      <c r="GPE100" s="798"/>
      <c r="GPF100" s="798"/>
      <c r="GPG100" s="798"/>
      <c r="GPH100" s="798"/>
      <c r="GPI100" s="798"/>
      <c r="GPJ100" s="798"/>
      <c r="GPK100" s="798"/>
      <c r="GPL100" s="798"/>
      <c r="GPM100" s="798"/>
      <c r="GPN100" s="798"/>
      <c r="GPO100" s="798"/>
      <c r="GPP100" s="798"/>
      <c r="GPQ100" s="798"/>
      <c r="GPR100" s="798"/>
      <c r="GPS100" s="798"/>
      <c r="GPT100" s="798"/>
      <c r="GPU100" s="798"/>
      <c r="GPV100" s="798"/>
      <c r="GPW100" s="798"/>
      <c r="GPX100" s="798"/>
      <c r="GPY100" s="798"/>
      <c r="GPZ100" s="798"/>
      <c r="GQA100" s="798"/>
      <c r="GQB100" s="798"/>
      <c r="GQC100" s="798"/>
      <c r="GQD100" s="798"/>
      <c r="GQE100" s="798"/>
      <c r="GQF100" s="798"/>
      <c r="GQG100" s="798"/>
      <c r="GQH100" s="798"/>
      <c r="GQI100" s="798"/>
      <c r="GQJ100" s="798"/>
      <c r="GQK100" s="798"/>
      <c r="GQL100" s="798"/>
      <c r="GQM100" s="798"/>
      <c r="GQN100" s="798"/>
      <c r="GQO100" s="798"/>
      <c r="GQP100" s="798"/>
      <c r="GQQ100" s="798"/>
      <c r="GQR100" s="798"/>
      <c r="GQS100" s="798"/>
      <c r="GQT100" s="798"/>
      <c r="GQU100" s="798"/>
      <c r="GQV100" s="798"/>
      <c r="GQW100" s="798"/>
      <c r="GQX100" s="798"/>
      <c r="GQY100" s="798"/>
      <c r="GQZ100" s="798"/>
      <c r="GRA100" s="798"/>
      <c r="GRB100" s="798"/>
      <c r="GRC100" s="798"/>
      <c r="GRD100" s="798"/>
      <c r="GRE100" s="798"/>
      <c r="GRF100" s="798"/>
      <c r="GRG100" s="798"/>
      <c r="GRH100" s="798"/>
      <c r="GRI100" s="798"/>
      <c r="GRJ100" s="798"/>
      <c r="GRK100" s="798"/>
      <c r="GRL100" s="798"/>
      <c r="GRM100" s="798"/>
      <c r="GRN100" s="798"/>
      <c r="GRO100" s="798"/>
      <c r="GRP100" s="798"/>
      <c r="GRQ100" s="798"/>
      <c r="GRR100" s="798"/>
      <c r="GRS100" s="798"/>
      <c r="GRT100" s="798"/>
      <c r="GRU100" s="798"/>
      <c r="GRV100" s="798"/>
      <c r="GRW100" s="798"/>
      <c r="GRX100" s="798"/>
      <c r="GRY100" s="798"/>
      <c r="GRZ100" s="798"/>
      <c r="GSA100" s="798"/>
      <c r="GSB100" s="798"/>
      <c r="GSC100" s="798"/>
      <c r="GSD100" s="798"/>
      <c r="GSE100" s="798"/>
      <c r="GSF100" s="798"/>
      <c r="GSG100" s="798"/>
      <c r="GSH100" s="798"/>
      <c r="GSI100" s="798"/>
      <c r="GSJ100" s="798"/>
      <c r="GSK100" s="798"/>
      <c r="GSL100" s="798"/>
      <c r="GSM100" s="798"/>
      <c r="GSN100" s="798"/>
      <c r="GSO100" s="798"/>
      <c r="GSP100" s="798"/>
      <c r="GSQ100" s="798"/>
      <c r="GSR100" s="798"/>
      <c r="GSS100" s="798"/>
      <c r="GST100" s="798"/>
      <c r="GSU100" s="798"/>
      <c r="GSV100" s="798"/>
      <c r="GSW100" s="798"/>
      <c r="GSX100" s="798"/>
      <c r="GSY100" s="798"/>
      <c r="GSZ100" s="798"/>
      <c r="GTA100" s="798"/>
      <c r="GTB100" s="798"/>
      <c r="GTC100" s="798"/>
      <c r="GTD100" s="798"/>
      <c r="GTE100" s="798"/>
      <c r="GTF100" s="798"/>
      <c r="GTG100" s="798"/>
      <c r="GTH100" s="798"/>
      <c r="GTI100" s="798"/>
      <c r="GTJ100" s="798"/>
      <c r="GTK100" s="798"/>
      <c r="GTL100" s="798"/>
      <c r="GTM100" s="798"/>
      <c r="GTN100" s="798"/>
      <c r="GTO100" s="798"/>
      <c r="GTP100" s="798"/>
      <c r="GTQ100" s="798"/>
      <c r="GTR100" s="798"/>
      <c r="GTS100" s="798"/>
      <c r="GTT100" s="798"/>
      <c r="GTU100" s="798"/>
      <c r="GTV100" s="798"/>
      <c r="GTW100" s="798"/>
      <c r="GTX100" s="798"/>
      <c r="GTY100" s="798"/>
      <c r="GTZ100" s="798"/>
      <c r="GUA100" s="798"/>
      <c r="GUB100" s="798"/>
      <c r="GUC100" s="798"/>
      <c r="GUD100" s="798"/>
      <c r="GUE100" s="798"/>
      <c r="GUF100" s="798"/>
      <c r="GUG100" s="798"/>
      <c r="GUH100" s="798"/>
      <c r="GUI100" s="798"/>
      <c r="GUJ100" s="798"/>
      <c r="GUK100" s="798"/>
      <c r="GUL100" s="798"/>
      <c r="GUM100" s="798"/>
      <c r="GUN100" s="798"/>
      <c r="GUO100" s="798"/>
      <c r="GUP100" s="798"/>
      <c r="GUQ100" s="798"/>
      <c r="GUR100" s="798"/>
      <c r="GUS100" s="798"/>
      <c r="GUT100" s="798"/>
      <c r="GUU100" s="798"/>
      <c r="GUV100" s="798"/>
      <c r="GUW100" s="798"/>
      <c r="GUX100" s="798"/>
      <c r="GUY100" s="798"/>
      <c r="GUZ100" s="798"/>
      <c r="GVA100" s="798"/>
      <c r="GVB100" s="798"/>
      <c r="GVC100" s="798"/>
      <c r="GVD100" s="798"/>
      <c r="GVE100" s="798"/>
      <c r="GVF100" s="798"/>
      <c r="GVG100" s="798"/>
      <c r="GVH100" s="798"/>
      <c r="GVI100" s="798"/>
      <c r="GVJ100" s="798"/>
      <c r="GVK100" s="798"/>
      <c r="GVL100" s="798"/>
      <c r="GVM100" s="798"/>
      <c r="GVN100" s="798"/>
      <c r="GVO100" s="798"/>
      <c r="GVP100" s="798"/>
      <c r="GVQ100" s="798"/>
      <c r="GVR100" s="798"/>
      <c r="GVS100" s="798"/>
      <c r="GVT100" s="798"/>
      <c r="GVU100" s="798"/>
      <c r="GVV100" s="798"/>
      <c r="GVW100" s="798"/>
      <c r="GVX100" s="798"/>
      <c r="GVY100" s="798"/>
      <c r="GVZ100" s="798"/>
      <c r="GWA100" s="798"/>
      <c r="GWB100" s="798"/>
      <c r="GWC100" s="798"/>
      <c r="GWD100" s="798"/>
      <c r="GWE100" s="798"/>
      <c r="GWF100" s="798"/>
      <c r="GWG100" s="798"/>
      <c r="GWH100" s="798"/>
      <c r="GWI100" s="798"/>
      <c r="GWJ100" s="798"/>
      <c r="GWK100" s="798"/>
      <c r="GWL100" s="798"/>
      <c r="GWM100" s="798"/>
      <c r="GWN100" s="798"/>
      <c r="GWO100" s="798"/>
      <c r="GWP100" s="798"/>
      <c r="GWQ100" s="798"/>
      <c r="GWR100" s="798"/>
      <c r="GWS100" s="798"/>
      <c r="GWT100" s="798"/>
      <c r="GWU100" s="798"/>
      <c r="GWV100" s="798"/>
      <c r="GWW100" s="798"/>
      <c r="GWX100" s="798"/>
      <c r="GWY100" s="798"/>
      <c r="GWZ100" s="798"/>
      <c r="GXA100" s="798"/>
      <c r="GXB100" s="798"/>
      <c r="GXC100" s="798"/>
      <c r="GXD100" s="798"/>
      <c r="GXE100" s="798"/>
      <c r="GXF100" s="798"/>
      <c r="GXG100" s="798"/>
      <c r="GXH100" s="798"/>
      <c r="GXI100" s="798"/>
      <c r="GXJ100" s="798"/>
      <c r="GXK100" s="798"/>
      <c r="GXL100" s="798"/>
      <c r="GXM100" s="798"/>
      <c r="GXN100" s="798"/>
      <c r="GXO100" s="798"/>
      <c r="GXP100" s="798"/>
      <c r="GXQ100" s="798"/>
      <c r="GXR100" s="798"/>
      <c r="GXS100" s="798"/>
      <c r="GXT100" s="798"/>
      <c r="GXU100" s="798"/>
      <c r="GXV100" s="798"/>
      <c r="GXW100" s="798"/>
      <c r="GXX100" s="798"/>
      <c r="GXY100" s="798"/>
      <c r="GXZ100" s="798"/>
      <c r="GYA100" s="798"/>
      <c r="GYB100" s="798"/>
      <c r="GYC100" s="798"/>
      <c r="GYD100" s="798"/>
      <c r="GYE100" s="798"/>
      <c r="GYF100" s="798"/>
      <c r="GYG100" s="798"/>
      <c r="GYH100" s="798"/>
      <c r="GYI100" s="798"/>
      <c r="GYJ100" s="798"/>
      <c r="GYK100" s="798"/>
      <c r="GYL100" s="798"/>
      <c r="GYM100" s="798"/>
      <c r="GYN100" s="798"/>
      <c r="GYO100" s="798"/>
      <c r="GYP100" s="798"/>
      <c r="GYQ100" s="798"/>
      <c r="GYR100" s="798"/>
      <c r="GYS100" s="798"/>
      <c r="GYT100" s="798"/>
      <c r="GYU100" s="798"/>
      <c r="GYV100" s="798"/>
      <c r="GYW100" s="798"/>
      <c r="GYX100" s="798"/>
      <c r="GYY100" s="798"/>
      <c r="GYZ100" s="798"/>
      <c r="GZA100" s="798"/>
      <c r="GZB100" s="798"/>
      <c r="GZC100" s="798"/>
      <c r="GZD100" s="798"/>
      <c r="GZE100" s="798"/>
      <c r="GZF100" s="798"/>
      <c r="GZG100" s="798"/>
      <c r="GZH100" s="798"/>
      <c r="GZI100" s="798"/>
      <c r="GZJ100" s="798"/>
      <c r="GZK100" s="798"/>
      <c r="GZL100" s="798"/>
      <c r="GZM100" s="798"/>
      <c r="GZN100" s="798"/>
      <c r="GZO100" s="798"/>
      <c r="GZP100" s="798"/>
      <c r="GZQ100" s="798"/>
      <c r="GZR100" s="798"/>
      <c r="GZS100" s="798"/>
      <c r="GZT100" s="798"/>
      <c r="GZU100" s="798"/>
      <c r="GZV100" s="798"/>
      <c r="GZW100" s="798"/>
      <c r="GZX100" s="798"/>
      <c r="GZY100" s="798"/>
      <c r="GZZ100" s="798"/>
      <c r="HAA100" s="798"/>
      <c r="HAB100" s="798"/>
      <c r="HAC100" s="798"/>
      <c r="HAD100" s="798"/>
      <c r="HAE100" s="798"/>
      <c r="HAF100" s="798"/>
      <c r="HAG100" s="798"/>
      <c r="HAH100" s="798"/>
      <c r="HAI100" s="798"/>
      <c r="HAJ100" s="798"/>
      <c r="HAK100" s="798"/>
      <c r="HAL100" s="798"/>
      <c r="HAM100" s="798"/>
      <c r="HAN100" s="798"/>
      <c r="HAO100" s="798"/>
      <c r="HAP100" s="798"/>
      <c r="HAQ100" s="798"/>
      <c r="HAR100" s="798"/>
      <c r="HAS100" s="798"/>
      <c r="HAT100" s="798"/>
      <c r="HAU100" s="798"/>
      <c r="HAV100" s="798"/>
      <c r="HAW100" s="798"/>
      <c r="HAX100" s="798"/>
      <c r="HAY100" s="798"/>
      <c r="HAZ100" s="798"/>
      <c r="HBA100" s="798"/>
      <c r="HBB100" s="798"/>
      <c r="HBC100" s="798"/>
      <c r="HBD100" s="798"/>
      <c r="HBE100" s="798"/>
      <c r="HBF100" s="798"/>
      <c r="HBG100" s="798"/>
      <c r="HBH100" s="798"/>
      <c r="HBI100" s="798"/>
      <c r="HBJ100" s="798"/>
      <c r="HBK100" s="798"/>
      <c r="HBL100" s="798"/>
      <c r="HBM100" s="798"/>
      <c r="HBN100" s="798"/>
      <c r="HBO100" s="798"/>
      <c r="HBP100" s="798"/>
      <c r="HBQ100" s="798"/>
      <c r="HBR100" s="798"/>
      <c r="HBS100" s="798"/>
      <c r="HBT100" s="798"/>
      <c r="HBU100" s="798"/>
      <c r="HBV100" s="798"/>
      <c r="HBW100" s="798"/>
      <c r="HBX100" s="798"/>
      <c r="HBY100" s="798"/>
      <c r="HBZ100" s="798"/>
      <c r="HCA100" s="798"/>
      <c r="HCB100" s="798"/>
      <c r="HCC100" s="798"/>
      <c r="HCD100" s="798"/>
      <c r="HCE100" s="798"/>
      <c r="HCF100" s="798"/>
      <c r="HCG100" s="798"/>
      <c r="HCH100" s="798"/>
      <c r="HCI100" s="798"/>
      <c r="HCJ100" s="798"/>
      <c r="HCK100" s="798"/>
      <c r="HCL100" s="798"/>
      <c r="HCM100" s="798"/>
      <c r="HCN100" s="798"/>
      <c r="HCO100" s="798"/>
      <c r="HCP100" s="798"/>
      <c r="HCQ100" s="798"/>
      <c r="HCR100" s="798"/>
      <c r="HCS100" s="798"/>
      <c r="HCT100" s="798"/>
      <c r="HCU100" s="798"/>
      <c r="HCV100" s="798"/>
      <c r="HCW100" s="798"/>
      <c r="HCX100" s="798"/>
      <c r="HCY100" s="798"/>
      <c r="HCZ100" s="798"/>
      <c r="HDA100" s="798"/>
      <c r="HDB100" s="798"/>
      <c r="HDC100" s="798"/>
      <c r="HDD100" s="798"/>
      <c r="HDE100" s="798"/>
      <c r="HDF100" s="798"/>
      <c r="HDG100" s="798"/>
      <c r="HDH100" s="798"/>
      <c r="HDI100" s="798"/>
      <c r="HDJ100" s="798"/>
      <c r="HDK100" s="798"/>
      <c r="HDL100" s="798"/>
      <c r="HDM100" s="798"/>
      <c r="HDN100" s="798"/>
      <c r="HDO100" s="798"/>
      <c r="HDP100" s="798"/>
      <c r="HDQ100" s="798"/>
      <c r="HDR100" s="798"/>
      <c r="HDS100" s="798"/>
      <c r="HDT100" s="798"/>
      <c r="HDU100" s="798"/>
      <c r="HDV100" s="798"/>
      <c r="HDW100" s="798"/>
      <c r="HDX100" s="798"/>
      <c r="HDY100" s="798"/>
      <c r="HDZ100" s="798"/>
      <c r="HEA100" s="798"/>
      <c r="HEB100" s="798"/>
      <c r="HEC100" s="798"/>
      <c r="HED100" s="798"/>
      <c r="HEE100" s="798"/>
      <c r="HEF100" s="798"/>
      <c r="HEG100" s="798"/>
      <c r="HEH100" s="798"/>
      <c r="HEI100" s="798"/>
      <c r="HEJ100" s="798"/>
      <c r="HEK100" s="798"/>
      <c r="HEL100" s="798"/>
      <c r="HEM100" s="798"/>
      <c r="HEN100" s="798"/>
      <c r="HEO100" s="798"/>
      <c r="HEP100" s="798"/>
      <c r="HEQ100" s="798"/>
      <c r="HER100" s="798"/>
      <c r="HES100" s="798"/>
      <c r="HET100" s="798"/>
      <c r="HEU100" s="798"/>
      <c r="HEV100" s="798"/>
      <c r="HEW100" s="798"/>
      <c r="HEX100" s="798"/>
      <c r="HEY100" s="798"/>
      <c r="HEZ100" s="798"/>
      <c r="HFA100" s="798"/>
      <c r="HFB100" s="798"/>
      <c r="HFC100" s="798"/>
      <c r="HFD100" s="798"/>
      <c r="HFE100" s="798"/>
      <c r="HFF100" s="798"/>
      <c r="HFG100" s="798"/>
      <c r="HFH100" s="798"/>
      <c r="HFI100" s="798"/>
      <c r="HFJ100" s="798"/>
      <c r="HFK100" s="798"/>
      <c r="HFL100" s="798"/>
      <c r="HFM100" s="798"/>
      <c r="HFN100" s="798"/>
      <c r="HFO100" s="798"/>
      <c r="HFP100" s="798"/>
      <c r="HFQ100" s="798"/>
      <c r="HFR100" s="798"/>
      <c r="HFS100" s="798"/>
      <c r="HFT100" s="798"/>
      <c r="HFU100" s="798"/>
      <c r="HFV100" s="798"/>
      <c r="HFW100" s="798"/>
      <c r="HFX100" s="798"/>
      <c r="HFY100" s="798"/>
      <c r="HFZ100" s="798"/>
      <c r="HGA100" s="798"/>
      <c r="HGB100" s="798"/>
      <c r="HGC100" s="798"/>
      <c r="HGD100" s="798"/>
      <c r="HGE100" s="798"/>
      <c r="HGF100" s="798"/>
      <c r="HGG100" s="798"/>
      <c r="HGH100" s="798"/>
      <c r="HGI100" s="798"/>
      <c r="HGJ100" s="798"/>
      <c r="HGK100" s="798"/>
      <c r="HGL100" s="798"/>
      <c r="HGM100" s="798"/>
      <c r="HGN100" s="798"/>
      <c r="HGO100" s="798"/>
      <c r="HGP100" s="798"/>
      <c r="HGQ100" s="798"/>
      <c r="HGR100" s="798"/>
      <c r="HGS100" s="798"/>
      <c r="HGT100" s="798"/>
      <c r="HGU100" s="798"/>
      <c r="HGV100" s="798"/>
      <c r="HGW100" s="798"/>
      <c r="HGX100" s="798"/>
      <c r="HGY100" s="798"/>
      <c r="HGZ100" s="798"/>
      <c r="HHA100" s="798"/>
      <c r="HHB100" s="798"/>
      <c r="HHC100" s="798"/>
      <c r="HHD100" s="798"/>
      <c r="HHE100" s="798"/>
      <c r="HHF100" s="798"/>
      <c r="HHG100" s="798"/>
      <c r="HHH100" s="798"/>
      <c r="HHI100" s="798"/>
      <c r="HHJ100" s="798"/>
      <c r="HHK100" s="798"/>
      <c r="HHL100" s="798"/>
      <c r="HHM100" s="798"/>
      <c r="HHN100" s="798"/>
      <c r="HHO100" s="798"/>
      <c r="HHP100" s="798"/>
      <c r="HHQ100" s="798"/>
      <c r="HHR100" s="798"/>
      <c r="HHS100" s="798"/>
      <c r="HHT100" s="798"/>
      <c r="HHU100" s="798"/>
      <c r="HHV100" s="798"/>
      <c r="HHW100" s="798"/>
      <c r="HHX100" s="798"/>
      <c r="HHY100" s="798"/>
      <c r="HHZ100" s="798"/>
      <c r="HIA100" s="798"/>
      <c r="HIB100" s="798"/>
      <c r="HIC100" s="798"/>
      <c r="HID100" s="798"/>
      <c r="HIE100" s="798"/>
      <c r="HIF100" s="798"/>
      <c r="HIG100" s="798"/>
      <c r="HIH100" s="798"/>
      <c r="HII100" s="798"/>
      <c r="HIJ100" s="798"/>
      <c r="HIK100" s="798"/>
      <c r="HIL100" s="798"/>
      <c r="HIM100" s="798"/>
      <c r="HIN100" s="798"/>
      <c r="HIO100" s="798"/>
      <c r="HIP100" s="798"/>
      <c r="HIQ100" s="798"/>
      <c r="HIR100" s="798"/>
      <c r="HIS100" s="798"/>
      <c r="HIT100" s="798"/>
      <c r="HIU100" s="798"/>
      <c r="HIV100" s="798"/>
      <c r="HIW100" s="798"/>
      <c r="HIX100" s="798"/>
      <c r="HIY100" s="798"/>
      <c r="HIZ100" s="798"/>
      <c r="HJA100" s="798"/>
      <c r="HJB100" s="798"/>
      <c r="HJC100" s="798"/>
      <c r="HJD100" s="798"/>
      <c r="HJE100" s="798"/>
      <c r="HJF100" s="798"/>
      <c r="HJG100" s="798"/>
      <c r="HJH100" s="798"/>
      <c r="HJI100" s="798"/>
      <c r="HJJ100" s="798"/>
      <c r="HJK100" s="798"/>
      <c r="HJL100" s="798"/>
      <c r="HJM100" s="798"/>
      <c r="HJN100" s="798"/>
      <c r="HJO100" s="798"/>
      <c r="HJP100" s="798"/>
      <c r="HJQ100" s="798"/>
      <c r="HJR100" s="798"/>
      <c r="HJS100" s="798"/>
      <c r="HJT100" s="798"/>
      <c r="HJU100" s="798"/>
      <c r="HJV100" s="798"/>
      <c r="HJW100" s="798"/>
      <c r="HJX100" s="798"/>
      <c r="HJY100" s="798"/>
      <c r="HJZ100" s="798"/>
      <c r="HKA100" s="798"/>
      <c r="HKB100" s="798"/>
      <c r="HKC100" s="798"/>
      <c r="HKD100" s="798"/>
      <c r="HKE100" s="798"/>
      <c r="HKF100" s="798"/>
      <c r="HKG100" s="798"/>
      <c r="HKH100" s="798"/>
      <c r="HKI100" s="798"/>
      <c r="HKJ100" s="798"/>
      <c r="HKK100" s="798"/>
      <c r="HKL100" s="798"/>
      <c r="HKM100" s="798"/>
      <c r="HKN100" s="798"/>
      <c r="HKO100" s="798"/>
      <c r="HKP100" s="798"/>
      <c r="HKQ100" s="798"/>
      <c r="HKR100" s="798"/>
      <c r="HKS100" s="798"/>
      <c r="HKT100" s="798"/>
      <c r="HKU100" s="798"/>
      <c r="HKV100" s="798"/>
      <c r="HKW100" s="798"/>
      <c r="HKX100" s="798"/>
      <c r="HKY100" s="798"/>
      <c r="HKZ100" s="798"/>
      <c r="HLA100" s="798"/>
      <c r="HLB100" s="798"/>
      <c r="HLC100" s="798"/>
      <c r="HLD100" s="798"/>
      <c r="HLE100" s="798"/>
      <c r="HLF100" s="798"/>
      <c r="HLG100" s="798"/>
      <c r="HLH100" s="798"/>
      <c r="HLI100" s="798"/>
      <c r="HLJ100" s="798"/>
      <c r="HLK100" s="798"/>
      <c r="HLL100" s="798"/>
      <c r="HLM100" s="798"/>
      <c r="HLN100" s="798"/>
      <c r="HLO100" s="798"/>
      <c r="HLP100" s="798"/>
      <c r="HLQ100" s="798"/>
      <c r="HLR100" s="798"/>
      <c r="HLS100" s="798"/>
      <c r="HLT100" s="798"/>
      <c r="HLU100" s="798"/>
      <c r="HLV100" s="798"/>
      <c r="HLW100" s="798"/>
      <c r="HLX100" s="798"/>
      <c r="HLY100" s="798"/>
      <c r="HLZ100" s="798"/>
      <c r="HMA100" s="798"/>
      <c r="HMB100" s="798"/>
      <c r="HMC100" s="798"/>
      <c r="HMD100" s="798"/>
      <c r="HME100" s="798"/>
      <c r="HMF100" s="798"/>
      <c r="HMG100" s="798"/>
      <c r="HMH100" s="798"/>
      <c r="HMI100" s="798"/>
      <c r="HMJ100" s="798"/>
      <c r="HMK100" s="798"/>
      <c r="HML100" s="798"/>
      <c r="HMM100" s="798"/>
      <c r="HMN100" s="798"/>
      <c r="HMO100" s="798"/>
      <c r="HMP100" s="798"/>
      <c r="HMQ100" s="798"/>
      <c r="HMR100" s="798"/>
      <c r="HMS100" s="798"/>
      <c r="HMT100" s="798"/>
      <c r="HMU100" s="798"/>
      <c r="HMV100" s="798"/>
      <c r="HMW100" s="798"/>
      <c r="HMX100" s="798"/>
      <c r="HMY100" s="798"/>
      <c r="HMZ100" s="798"/>
      <c r="HNA100" s="798"/>
      <c r="HNB100" s="798"/>
      <c r="HNC100" s="798"/>
      <c r="HND100" s="798"/>
      <c r="HNE100" s="798"/>
      <c r="HNF100" s="798"/>
      <c r="HNG100" s="798"/>
      <c r="HNH100" s="798"/>
      <c r="HNI100" s="798"/>
      <c r="HNJ100" s="798"/>
      <c r="HNK100" s="798"/>
      <c r="HNL100" s="798"/>
      <c r="HNM100" s="798"/>
      <c r="HNN100" s="798"/>
      <c r="HNO100" s="798"/>
      <c r="HNP100" s="798"/>
      <c r="HNQ100" s="798"/>
      <c r="HNR100" s="798"/>
      <c r="HNS100" s="798"/>
      <c r="HNT100" s="798"/>
      <c r="HNU100" s="798"/>
      <c r="HNV100" s="798"/>
      <c r="HNW100" s="798"/>
      <c r="HNX100" s="798"/>
      <c r="HNY100" s="798"/>
      <c r="HNZ100" s="798"/>
      <c r="HOA100" s="798"/>
      <c r="HOB100" s="798"/>
      <c r="HOC100" s="798"/>
      <c r="HOD100" s="798"/>
      <c r="HOE100" s="798"/>
      <c r="HOF100" s="798"/>
      <c r="HOG100" s="798"/>
      <c r="HOH100" s="798"/>
      <c r="HOI100" s="798"/>
      <c r="HOJ100" s="798"/>
      <c r="HOK100" s="798"/>
      <c r="HOL100" s="798"/>
      <c r="HOM100" s="798"/>
      <c r="HON100" s="798"/>
      <c r="HOO100" s="798"/>
      <c r="HOP100" s="798"/>
      <c r="HOQ100" s="798"/>
      <c r="HOR100" s="798"/>
      <c r="HOS100" s="798"/>
      <c r="HOT100" s="798"/>
      <c r="HOU100" s="798"/>
      <c r="HOV100" s="798"/>
      <c r="HOW100" s="798"/>
      <c r="HOX100" s="798"/>
      <c r="HOY100" s="798"/>
      <c r="HOZ100" s="798"/>
      <c r="HPA100" s="798"/>
      <c r="HPB100" s="798"/>
      <c r="HPC100" s="798"/>
      <c r="HPD100" s="798"/>
      <c r="HPE100" s="798"/>
      <c r="HPF100" s="798"/>
      <c r="HPG100" s="798"/>
      <c r="HPH100" s="798"/>
      <c r="HPI100" s="798"/>
      <c r="HPJ100" s="798"/>
      <c r="HPK100" s="798"/>
      <c r="HPL100" s="798"/>
      <c r="HPM100" s="798"/>
      <c r="HPN100" s="798"/>
      <c r="HPO100" s="798"/>
      <c r="HPP100" s="798"/>
      <c r="HPQ100" s="798"/>
      <c r="HPR100" s="798"/>
      <c r="HPS100" s="798"/>
      <c r="HPT100" s="798"/>
      <c r="HPU100" s="798"/>
      <c r="HPV100" s="798"/>
      <c r="HPW100" s="798"/>
      <c r="HPX100" s="798"/>
      <c r="HPY100" s="798"/>
      <c r="HPZ100" s="798"/>
      <c r="HQA100" s="798"/>
      <c r="HQB100" s="798"/>
      <c r="HQC100" s="798"/>
      <c r="HQD100" s="798"/>
      <c r="HQE100" s="798"/>
      <c r="HQF100" s="798"/>
      <c r="HQG100" s="798"/>
      <c r="HQH100" s="798"/>
      <c r="HQI100" s="798"/>
      <c r="HQJ100" s="798"/>
      <c r="HQK100" s="798"/>
      <c r="HQL100" s="798"/>
      <c r="HQM100" s="798"/>
      <c r="HQN100" s="798"/>
      <c r="HQO100" s="798"/>
      <c r="HQP100" s="798"/>
      <c r="HQQ100" s="798"/>
      <c r="HQR100" s="798"/>
      <c r="HQS100" s="798"/>
      <c r="HQT100" s="798"/>
      <c r="HQU100" s="798"/>
      <c r="HQV100" s="798"/>
      <c r="HQW100" s="798"/>
      <c r="HQX100" s="798"/>
      <c r="HQY100" s="798"/>
      <c r="HQZ100" s="798"/>
      <c r="HRA100" s="798"/>
      <c r="HRB100" s="798"/>
      <c r="HRC100" s="798"/>
      <c r="HRD100" s="798"/>
      <c r="HRE100" s="798"/>
      <c r="HRF100" s="798"/>
      <c r="HRG100" s="798"/>
      <c r="HRH100" s="798"/>
      <c r="HRI100" s="798"/>
      <c r="HRJ100" s="798"/>
      <c r="HRK100" s="798"/>
      <c r="HRL100" s="798"/>
      <c r="HRM100" s="798"/>
      <c r="HRN100" s="798"/>
      <c r="HRO100" s="798"/>
      <c r="HRP100" s="798"/>
      <c r="HRQ100" s="798"/>
      <c r="HRR100" s="798"/>
      <c r="HRS100" s="798"/>
      <c r="HRT100" s="798"/>
      <c r="HRU100" s="798"/>
      <c r="HRV100" s="798"/>
      <c r="HRW100" s="798"/>
      <c r="HRX100" s="798"/>
      <c r="HRY100" s="798"/>
      <c r="HRZ100" s="798"/>
      <c r="HSA100" s="798"/>
      <c r="HSB100" s="798"/>
      <c r="HSC100" s="798"/>
      <c r="HSD100" s="798"/>
      <c r="HSE100" s="798"/>
      <c r="HSF100" s="798"/>
      <c r="HSG100" s="798"/>
      <c r="HSH100" s="798"/>
      <c r="HSI100" s="798"/>
      <c r="HSJ100" s="798"/>
      <c r="HSK100" s="798"/>
      <c r="HSL100" s="798"/>
      <c r="HSM100" s="798"/>
      <c r="HSN100" s="798"/>
      <c r="HSO100" s="798"/>
      <c r="HSP100" s="798"/>
      <c r="HSQ100" s="798"/>
      <c r="HSR100" s="798"/>
      <c r="HSS100" s="798"/>
      <c r="HST100" s="798"/>
      <c r="HSU100" s="798"/>
      <c r="HSV100" s="798"/>
      <c r="HSW100" s="798"/>
      <c r="HSX100" s="798"/>
      <c r="HSY100" s="798"/>
      <c r="HSZ100" s="798"/>
      <c r="HTA100" s="798"/>
      <c r="HTB100" s="798"/>
      <c r="HTC100" s="798"/>
      <c r="HTD100" s="798"/>
      <c r="HTE100" s="798"/>
      <c r="HTF100" s="798"/>
      <c r="HTG100" s="798"/>
      <c r="HTH100" s="798"/>
      <c r="HTI100" s="798"/>
      <c r="HTJ100" s="798"/>
      <c r="HTK100" s="798"/>
      <c r="HTL100" s="798"/>
      <c r="HTM100" s="798"/>
      <c r="HTN100" s="798"/>
      <c r="HTO100" s="798"/>
      <c r="HTP100" s="798"/>
      <c r="HTQ100" s="798"/>
      <c r="HTR100" s="798"/>
      <c r="HTS100" s="798"/>
      <c r="HTT100" s="798"/>
      <c r="HTU100" s="798"/>
      <c r="HTV100" s="798"/>
      <c r="HTW100" s="798"/>
      <c r="HTX100" s="798"/>
      <c r="HTY100" s="798"/>
      <c r="HTZ100" s="798"/>
      <c r="HUA100" s="798"/>
      <c r="HUB100" s="798"/>
      <c r="HUC100" s="798"/>
      <c r="HUD100" s="798"/>
      <c r="HUE100" s="798"/>
      <c r="HUF100" s="798"/>
      <c r="HUG100" s="798"/>
      <c r="HUH100" s="798"/>
      <c r="HUI100" s="798"/>
      <c r="HUJ100" s="798"/>
      <c r="HUK100" s="798"/>
      <c r="HUL100" s="798"/>
      <c r="HUM100" s="798"/>
      <c r="HUN100" s="798"/>
      <c r="HUO100" s="798"/>
      <c r="HUP100" s="798"/>
      <c r="HUQ100" s="798"/>
      <c r="HUR100" s="798"/>
      <c r="HUS100" s="798"/>
      <c r="HUT100" s="798"/>
      <c r="HUU100" s="798"/>
      <c r="HUV100" s="798"/>
      <c r="HUW100" s="798"/>
      <c r="HUX100" s="798"/>
      <c r="HUY100" s="798"/>
      <c r="HUZ100" s="798"/>
      <c r="HVA100" s="798"/>
      <c r="HVB100" s="798"/>
      <c r="HVC100" s="798"/>
      <c r="HVD100" s="798"/>
      <c r="HVE100" s="798"/>
      <c r="HVF100" s="798"/>
      <c r="HVG100" s="798"/>
      <c r="HVH100" s="798"/>
      <c r="HVI100" s="798"/>
      <c r="HVJ100" s="798"/>
      <c r="HVK100" s="798"/>
      <c r="HVL100" s="798"/>
      <c r="HVM100" s="798"/>
      <c r="HVN100" s="798"/>
      <c r="HVO100" s="798"/>
      <c r="HVP100" s="798"/>
      <c r="HVQ100" s="798"/>
      <c r="HVR100" s="798"/>
      <c r="HVS100" s="798"/>
      <c r="HVT100" s="798"/>
      <c r="HVU100" s="798"/>
      <c r="HVV100" s="798"/>
      <c r="HVW100" s="798"/>
      <c r="HVX100" s="798"/>
      <c r="HVY100" s="798"/>
      <c r="HVZ100" s="798"/>
      <c r="HWA100" s="798"/>
      <c r="HWB100" s="798"/>
      <c r="HWC100" s="798"/>
      <c r="HWD100" s="798"/>
      <c r="HWE100" s="798"/>
      <c r="HWF100" s="798"/>
      <c r="HWG100" s="798"/>
      <c r="HWH100" s="798"/>
      <c r="HWI100" s="798"/>
      <c r="HWJ100" s="798"/>
      <c r="HWK100" s="798"/>
      <c r="HWL100" s="798"/>
      <c r="HWM100" s="798"/>
      <c r="HWN100" s="798"/>
      <c r="HWO100" s="798"/>
      <c r="HWP100" s="798"/>
      <c r="HWQ100" s="798"/>
      <c r="HWR100" s="798"/>
      <c r="HWS100" s="798"/>
      <c r="HWT100" s="798"/>
      <c r="HWU100" s="798"/>
      <c r="HWV100" s="798"/>
      <c r="HWW100" s="798"/>
      <c r="HWX100" s="798"/>
      <c r="HWY100" s="798"/>
      <c r="HWZ100" s="798"/>
      <c r="HXA100" s="798"/>
      <c r="HXB100" s="798"/>
      <c r="HXC100" s="798"/>
      <c r="HXD100" s="798"/>
      <c r="HXE100" s="798"/>
      <c r="HXF100" s="798"/>
      <c r="HXG100" s="798"/>
      <c r="HXH100" s="798"/>
      <c r="HXI100" s="798"/>
      <c r="HXJ100" s="798"/>
      <c r="HXK100" s="798"/>
      <c r="HXL100" s="798"/>
      <c r="HXM100" s="798"/>
      <c r="HXN100" s="798"/>
      <c r="HXO100" s="798"/>
      <c r="HXP100" s="798"/>
      <c r="HXQ100" s="798"/>
      <c r="HXR100" s="798"/>
      <c r="HXS100" s="798"/>
      <c r="HXT100" s="798"/>
      <c r="HXU100" s="798"/>
      <c r="HXV100" s="798"/>
      <c r="HXW100" s="798"/>
      <c r="HXX100" s="798"/>
      <c r="HXY100" s="798"/>
      <c r="HXZ100" s="798"/>
      <c r="HYA100" s="798"/>
      <c r="HYB100" s="798"/>
      <c r="HYC100" s="798"/>
      <c r="HYD100" s="798"/>
      <c r="HYE100" s="798"/>
      <c r="HYF100" s="798"/>
      <c r="HYG100" s="798"/>
      <c r="HYH100" s="798"/>
      <c r="HYI100" s="798"/>
      <c r="HYJ100" s="798"/>
      <c r="HYK100" s="798"/>
      <c r="HYL100" s="798"/>
      <c r="HYM100" s="798"/>
      <c r="HYN100" s="798"/>
      <c r="HYO100" s="798"/>
      <c r="HYP100" s="798"/>
      <c r="HYQ100" s="798"/>
      <c r="HYR100" s="798"/>
      <c r="HYS100" s="798"/>
      <c r="HYT100" s="798"/>
      <c r="HYU100" s="798"/>
      <c r="HYV100" s="798"/>
      <c r="HYW100" s="798"/>
      <c r="HYX100" s="798"/>
      <c r="HYY100" s="798"/>
      <c r="HYZ100" s="798"/>
      <c r="HZA100" s="798"/>
      <c r="HZB100" s="798"/>
      <c r="HZC100" s="798"/>
      <c r="HZD100" s="798"/>
      <c r="HZE100" s="798"/>
      <c r="HZF100" s="798"/>
      <c r="HZG100" s="798"/>
      <c r="HZH100" s="798"/>
      <c r="HZI100" s="798"/>
      <c r="HZJ100" s="798"/>
      <c r="HZK100" s="798"/>
      <c r="HZL100" s="798"/>
      <c r="HZM100" s="798"/>
      <c r="HZN100" s="798"/>
      <c r="HZO100" s="798"/>
      <c r="HZP100" s="798"/>
      <c r="HZQ100" s="798"/>
      <c r="HZR100" s="798"/>
      <c r="HZS100" s="798"/>
      <c r="HZT100" s="798"/>
      <c r="HZU100" s="798"/>
      <c r="HZV100" s="798"/>
      <c r="HZW100" s="798"/>
      <c r="HZX100" s="798"/>
      <c r="HZY100" s="798"/>
      <c r="HZZ100" s="798"/>
      <c r="IAA100" s="798"/>
      <c r="IAB100" s="798"/>
      <c r="IAC100" s="798"/>
      <c r="IAD100" s="798"/>
      <c r="IAE100" s="798"/>
      <c r="IAF100" s="798"/>
      <c r="IAG100" s="798"/>
      <c r="IAH100" s="798"/>
      <c r="IAI100" s="798"/>
      <c r="IAJ100" s="798"/>
      <c r="IAK100" s="798"/>
      <c r="IAL100" s="798"/>
      <c r="IAM100" s="798"/>
      <c r="IAN100" s="798"/>
      <c r="IAO100" s="798"/>
      <c r="IAP100" s="798"/>
      <c r="IAQ100" s="798"/>
      <c r="IAR100" s="798"/>
      <c r="IAS100" s="798"/>
      <c r="IAT100" s="798"/>
      <c r="IAU100" s="798"/>
      <c r="IAV100" s="798"/>
      <c r="IAW100" s="798"/>
      <c r="IAX100" s="798"/>
      <c r="IAY100" s="798"/>
      <c r="IAZ100" s="798"/>
      <c r="IBA100" s="798"/>
      <c r="IBB100" s="798"/>
      <c r="IBC100" s="798"/>
      <c r="IBD100" s="798"/>
      <c r="IBE100" s="798"/>
      <c r="IBF100" s="798"/>
      <c r="IBG100" s="798"/>
      <c r="IBH100" s="798"/>
      <c r="IBI100" s="798"/>
      <c r="IBJ100" s="798"/>
      <c r="IBK100" s="798"/>
      <c r="IBL100" s="798"/>
      <c r="IBM100" s="798"/>
      <c r="IBN100" s="798"/>
      <c r="IBO100" s="798"/>
      <c r="IBP100" s="798"/>
      <c r="IBQ100" s="798"/>
      <c r="IBR100" s="798"/>
      <c r="IBS100" s="798"/>
      <c r="IBT100" s="798"/>
      <c r="IBU100" s="798"/>
      <c r="IBV100" s="798"/>
      <c r="IBW100" s="798"/>
      <c r="IBX100" s="798"/>
      <c r="IBY100" s="798"/>
      <c r="IBZ100" s="798"/>
      <c r="ICA100" s="798"/>
      <c r="ICB100" s="798"/>
      <c r="ICC100" s="798"/>
      <c r="ICD100" s="798"/>
      <c r="ICE100" s="798"/>
      <c r="ICF100" s="798"/>
      <c r="ICG100" s="798"/>
      <c r="ICH100" s="798"/>
      <c r="ICI100" s="798"/>
      <c r="ICJ100" s="798"/>
      <c r="ICK100" s="798"/>
      <c r="ICL100" s="798"/>
      <c r="ICM100" s="798"/>
      <c r="ICN100" s="798"/>
      <c r="ICO100" s="798"/>
      <c r="ICP100" s="798"/>
      <c r="ICQ100" s="798"/>
      <c r="ICR100" s="798"/>
      <c r="ICS100" s="798"/>
      <c r="ICT100" s="798"/>
      <c r="ICU100" s="798"/>
      <c r="ICV100" s="798"/>
      <c r="ICW100" s="798"/>
      <c r="ICX100" s="798"/>
      <c r="ICY100" s="798"/>
      <c r="ICZ100" s="798"/>
      <c r="IDA100" s="798"/>
      <c r="IDB100" s="798"/>
      <c r="IDC100" s="798"/>
      <c r="IDD100" s="798"/>
      <c r="IDE100" s="798"/>
      <c r="IDF100" s="798"/>
      <c r="IDG100" s="798"/>
      <c r="IDH100" s="798"/>
      <c r="IDI100" s="798"/>
      <c r="IDJ100" s="798"/>
      <c r="IDK100" s="798"/>
      <c r="IDL100" s="798"/>
      <c r="IDM100" s="798"/>
      <c r="IDN100" s="798"/>
      <c r="IDO100" s="798"/>
      <c r="IDP100" s="798"/>
      <c r="IDQ100" s="798"/>
      <c r="IDR100" s="798"/>
      <c r="IDS100" s="798"/>
      <c r="IDT100" s="798"/>
      <c r="IDU100" s="798"/>
      <c r="IDV100" s="798"/>
      <c r="IDW100" s="798"/>
      <c r="IDX100" s="798"/>
      <c r="IDY100" s="798"/>
      <c r="IDZ100" s="798"/>
      <c r="IEA100" s="798"/>
      <c r="IEB100" s="798"/>
      <c r="IEC100" s="798"/>
      <c r="IED100" s="798"/>
      <c r="IEE100" s="798"/>
      <c r="IEF100" s="798"/>
      <c r="IEG100" s="798"/>
      <c r="IEH100" s="798"/>
      <c r="IEI100" s="798"/>
      <c r="IEJ100" s="798"/>
      <c r="IEK100" s="798"/>
      <c r="IEL100" s="798"/>
      <c r="IEM100" s="798"/>
      <c r="IEN100" s="798"/>
      <c r="IEO100" s="798"/>
      <c r="IEP100" s="798"/>
      <c r="IEQ100" s="798"/>
      <c r="IER100" s="798"/>
      <c r="IES100" s="798"/>
      <c r="IET100" s="798"/>
      <c r="IEU100" s="798"/>
      <c r="IEV100" s="798"/>
      <c r="IEW100" s="798"/>
      <c r="IEX100" s="798"/>
      <c r="IEY100" s="798"/>
      <c r="IEZ100" s="798"/>
      <c r="IFA100" s="798"/>
      <c r="IFB100" s="798"/>
      <c r="IFC100" s="798"/>
      <c r="IFD100" s="798"/>
      <c r="IFE100" s="798"/>
      <c r="IFF100" s="798"/>
      <c r="IFG100" s="798"/>
      <c r="IFH100" s="798"/>
      <c r="IFI100" s="798"/>
      <c r="IFJ100" s="798"/>
      <c r="IFK100" s="798"/>
      <c r="IFL100" s="798"/>
      <c r="IFM100" s="798"/>
      <c r="IFN100" s="798"/>
      <c r="IFO100" s="798"/>
      <c r="IFP100" s="798"/>
      <c r="IFQ100" s="798"/>
      <c r="IFR100" s="798"/>
      <c r="IFS100" s="798"/>
      <c r="IFT100" s="798"/>
      <c r="IFU100" s="798"/>
      <c r="IFV100" s="798"/>
      <c r="IFW100" s="798"/>
      <c r="IFX100" s="798"/>
      <c r="IFY100" s="798"/>
      <c r="IFZ100" s="798"/>
      <c r="IGA100" s="798"/>
      <c r="IGB100" s="798"/>
      <c r="IGC100" s="798"/>
      <c r="IGD100" s="798"/>
      <c r="IGE100" s="798"/>
      <c r="IGF100" s="798"/>
      <c r="IGG100" s="798"/>
      <c r="IGH100" s="798"/>
      <c r="IGI100" s="798"/>
      <c r="IGJ100" s="798"/>
      <c r="IGK100" s="798"/>
      <c r="IGL100" s="798"/>
      <c r="IGM100" s="798"/>
      <c r="IGN100" s="798"/>
      <c r="IGO100" s="798"/>
      <c r="IGP100" s="798"/>
      <c r="IGQ100" s="798"/>
      <c r="IGR100" s="798"/>
      <c r="IGS100" s="798"/>
      <c r="IGT100" s="798"/>
      <c r="IGU100" s="798"/>
      <c r="IGV100" s="798"/>
      <c r="IGW100" s="798"/>
      <c r="IGX100" s="798"/>
      <c r="IGY100" s="798"/>
      <c r="IGZ100" s="798"/>
      <c r="IHA100" s="798"/>
      <c r="IHB100" s="798"/>
      <c r="IHC100" s="798"/>
      <c r="IHD100" s="798"/>
      <c r="IHE100" s="798"/>
      <c r="IHF100" s="798"/>
      <c r="IHG100" s="798"/>
      <c r="IHH100" s="798"/>
      <c r="IHI100" s="798"/>
      <c r="IHJ100" s="798"/>
      <c r="IHK100" s="798"/>
      <c r="IHL100" s="798"/>
      <c r="IHM100" s="798"/>
      <c r="IHN100" s="798"/>
      <c r="IHO100" s="798"/>
      <c r="IHP100" s="798"/>
      <c r="IHQ100" s="798"/>
      <c r="IHR100" s="798"/>
      <c r="IHS100" s="798"/>
      <c r="IHT100" s="798"/>
      <c r="IHU100" s="798"/>
      <c r="IHV100" s="798"/>
      <c r="IHW100" s="798"/>
      <c r="IHX100" s="798"/>
      <c r="IHY100" s="798"/>
      <c r="IHZ100" s="798"/>
      <c r="IIA100" s="798"/>
      <c r="IIB100" s="798"/>
      <c r="IIC100" s="798"/>
      <c r="IID100" s="798"/>
      <c r="IIE100" s="798"/>
      <c r="IIF100" s="798"/>
      <c r="IIG100" s="798"/>
      <c r="IIH100" s="798"/>
      <c r="III100" s="798"/>
      <c r="IIJ100" s="798"/>
      <c r="IIK100" s="798"/>
      <c r="IIL100" s="798"/>
      <c r="IIM100" s="798"/>
      <c r="IIN100" s="798"/>
      <c r="IIO100" s="798"/>
      <c r="IIP100" s="798"/>
      <c r="IIQ100" s="798"/>
      <c r="IIR100" s="798"/>
      <c r="IIS100" s="798"/>
      <c r="IIT100" s="798"/>
      <c r="IIU100" s="798"/>
      <c r="IIV100" s="798"/>
      <c r="IIW100" s="798"/>
      <c r="IIX100" s="798"/>
      <c r="IIY100" s="798"/>
      <c r="IIZ100" s="798"/>
      <c r="IJA100" s="798"/>
      <c r="IJB100" s="798"/>
      <c r="IJC100" s="798"/>
      <c r="IJD100" s="798"/>
      <c r="IJE100" s="798"/>
      <c r="IJF100" s="798"/>
      <c r="IJG100" s="798"/>
      <c r="IJH100" s="798"/>
      <c r="IJI100" s="798"/>
      <c r="IJJ100" s="798"/>
      <c r="IJK100" s="798"/>
      <c r="IJL100" s="798"/>
      <c r="IJM100" s="798"/>
      <c r="IJN100" s="798"/>
      <c r="IJO100" s="798"/>
      <c r="IJP100" s="798"/>
      <c r="IJQ100" s="798"/>
      <c r="IJR100" s="798"/>
      <c r="IJS100" s="798"/>
      <c r="IJT100" s="798"/>
      <c r="IJU100" s="798"/>
      <c r="IJV100" s="798"/>
      <c r="IJW100" s="798"/>
      <c r="IJX100" s="798"/>
      <c r="IJY100" s="798"/>
      <c r="IJZ100" s="798"/>
      <c r="IKA100" s="798"/>
      <c r="IKB100" s="798"/>
      <c r="IKC100" s="798"/>
      <c r="IKD100" s="798"/>
      <c r="IKE100" s="798"/>
      <c r="IKF100" s="798"/>
      <c r="IKG100" s="798"/>
      <c r="IKH100" s="798"/>
      <c r="IKI100" s="798"/>
      <c r="IKJ100" s="798"/>
      <c r="IKK100" s="798"/>
      <c r="IKL100" s="798"/>
      <c r="IKM100" s="798"/>
      <c r="IKN100" s="798"/>
      <c r="IKO100" s="798"/>
      <c r="IKP100" s="798"/>
      <c r="IKQ100" s="798"/>
      <c r="IKR100" s="798"/>
      <c r="IKS100" s="798"/>
      <c r="IKT100" s="798"/>
      <c r="IKU100" s="798"/>
      <c r="IKV100" s="798"/>
      <c r="IKW100" s="798"/>
      <c r="IKX100" s="798"/>
      <c r="IKY100" s="798"/>
      <c r="IKZ100" s="798"/>
      <c r="ILA100" s="798"/>
      <c r="ILB100" s="798"/>
      <c r="ILC100" s="798"/>
      <c r="ILD100" s="798"/>
      <c r="ILE100" s="798"/>
      <c r="ILF100" s="798"/>
      <c r="ILG100" s="798"/>
      <c r="ILH100" s="798"/>
      <c r="ILI100" s="798"/>
      <c r="ILJ100" s="798"/>
      <c r="ILK100" s="798"/>
      <c r="ILL100" s="798"/>
      <c r="ILM100" s="798"/>
      <c r="ILN100" s="798"/>
      <c r="ILO100" s="798"/>
      <c r="ILP100" s="798"/>
      <c r="ILQ100" s="798"/>
      <c r="ILR100" s="798"/>
      <c r="ILS100" s="798"/>
      <c r="ILT100" s="798"/>
      <c r="ILU100" s="798"/>
      <c r="ILV100" s="798"/>
      <c r="ILW100" s="798"/>
      <c r="ILX100" s="798"/>
      <c r="ILY100" s="798"/>
      <c r="ILZ100" s="798"/>
      <c r="IMA100" s="798"/>
      <c r="IMB100" s="798"/>
      <c r="IMC100" s="798"/>
      <c r="IMD100" s="798"/>
      <c r="IME100" s="798"/>
      <c r="IMF100" s="798"/>
      <c r="IMG100" s="798"/>
      <c r="IMH100" s="798"/>
      <c r="IMI100" s="798"/>
      <c r="IMJ100" s="798"/>
      <c r="IMK100" s="798"/>
      <c r="IML100" s="798"/>
      <c r="IMM100" s="798"/>
      <c r="IMN100" s="798"/>
      <c r="IMO100" s="798"/>
      <c r="IMP100" s="798"/>
      <c r="IMQ100" s="798"/>
      <c r="IMR100" s="798"/>
      <c r="IMS100" s="798"/>
      <c r="IMT100" s="798"/>
      <c r="IMU100" s="798"/>
      <c r="IMV100" s="798"/>
      <c r="IMW100" s="798"/>
      <c r="IMX100" s="798"/>
      <c r="IMY100" s="798"/>
      <c r="IMZ100" s="798"/>
      <c r="INA100" s="798"/>
      <c r="INB100" s="798"/>
      <c r="INC100" s="798"/>
      <c r="IND100" s="798"/>
      <c r="INE100" s="798"/>
      <c r="INF100" s="798"/>
      <c r="ING100" s="798"/>
      <c r="INH100" s="798"/>
      <c r="INI100" s="798"/>
      <c r="INJ100" s="798"/>
      <c r="INK100" s="798"/>
      <c r="INL100" s="798"/>
      <c r="INM100" s="798"/>
      <c r="INN100" s="798"/>
      <c r="INO100" s="798"/>
      <c r="INP100" s="798"/>
      <c r="INQ100" s="798"/>
      <c r="INR100" s="798"/>
      <c r="INS100" s="798"/>
      <c r="INT100" s="798"/>
      <c r="INU100" s="798"/>
      <c r="INV100" s="798"/>
      <c r="INW100" s="798"/>
      <c r="INX100" s="798"/>
      <c r="INY100" s="798"/>
      <c r="INZ100" s="798"/>
      <c r="IOA100" s="798"/>
      <c r="IOB100" s="798"/>
      <c r="IOC100" s="798"/>
      <c r="IOD100" s="798"/>
      <c r="IOE100" s="798"/>
      <c r="IOF100" s="798"/>
      <c r="IOG100" s="798"/>
      <c r="IOH100" s="798"/>
      <c r="IOI100" s="798"/>
      <c r="IOJ100" s="798"/>
      <c r="IOK100" s="798"/>
      <c r="IOL100" s="798"/>
      <c r="IOM100" s="798"/>
      <c r="ION100" s="798"/>
      <c r="IOO100" s="798"/>
      <c r="IOP100" s="798"/>
      <c r="IOQ100" s="798"/>
      <c r="IOR100" s="798"/>
      <c r="IOS100" s="798"/>
      <c r="IOT100" s="798"/>
      <c r="IOU100" s="798"/>
      <c r="IOV100" s="798"/>
      <c r="IOW100" s="798"/>
      <c r="IOX100" s="798"/>
      <c r="IOY100" s="798"/>
      <c r="IOZ100" s="798"/>
      <c r="IPA100" s="798"/>
      <c r="IPB100" s="798"/>
      <c r="IPC100" s="798"/>
      <c r="IPD100" s="798"/>
      <c r="IPE100" s="798"/>
      <c r="IPF100" s="798"/>
      <c r="IPG100" s="798"/>
      <c r="IPH100" s="798"/>
      <c r="IPI100" s="798"/>
      <c r="IPJ100" s="798"/>
      <c r="IPK100" s="798"/>
      <c r="IPL100" s="798"/>
      <c r="IPM100" s="798"/>
      <c r="IPN100" s="798"/>
      <c r="IPO100" s="798"/>
      <c r="IPP100" s="798"/>
      <c r="IPQ100" s="798"/>
      <c r="IPR100" s="798"/>
      <c r="IPS100" s="798"/>
      <c r="IPT100" s="798"/>
      <c r="IPU100" s="798"/>
      <c r="IPV100" s="798"/>
      <c r="IPW100" s="798"/>
      <c r="IPX100" s="798"/>
      <c r="IPY100" s="798"/>
      <c r="IPZ100" s="798"/>
      <c r="IQA100" s="798"/>
      <c r="IQB100" s="798"/>
      <c r="IQC100" s="798"/>
      <c r="IQD100" s="798"/>
      <c r="IQE100" s="798"/>
      <c r="IQF100" s="798"/>
      <c r="IQG100" s="798"/>
      <c r="IQH100" s="798"/>
      <c r="IQI100" s="798"/>
      <c r="IQJ100" s="798"/>
      <c r="IQK100" s="798"/>
      <c r="IQL100" s="798"/>
      <c r="IQM100" s="798"/>
      <c r="IQN100" s="798"/>
      <c r="IQO100" s="798"/>
      <c r="IQP100" s="798"/>
      <c r="IQQ100" s="798"/>
      <c r="IQR100" s="798"/>
      <c r="IQS100" s="798"/>
      <c r="IQT100" s="798"/>
      <c r="IQU100" s="798"/>
      <c r="IQV100" s="798"/>
      <c r="IQW100" s="798"/>
      <c r="IQX100" s="798"/>
      <c r="IQY100" s="798"/>
      <c r="IQZ100" s="798"/>
      <c r="IRA100" s="798"/>
      <c r="IRB100" s="798"/>
      <c r="IRC100" s="798"/>
      <c r="IRD100" s="798"/>
      <c r="IRE100" s="798"/>
      <c r="IRF100" s="798"/>
      <c r="IRG100" s="798"/>
      <c r="IRH100" s="798"/>
      <c r="IRI100" s="798"/>
      <c r="IRJ100" s="798"/>
      <c r="IRK100" s="798"/>
      <c r="IRL100" s="798"/>
      <c r="IRM100" s="798"/>
      <c r="IRN100" s="798"/>
      <c r="IRO100" s="798"/>
      <c r="IRP100" s="798"/>
      <c r="IRQ100" s="798"/>
      <c r="IRR100" s="798"/>
      <c r="IRS100" s="798"/>
      <c r="IRT100" s="798"/>
      <c r="IRU100" s="798"/>
      <c r="IRV100" s="798"/>
      <c r="IRW100" s="798"/>
      <c r="IRX100" s="798"/>
      <c r="IRY100" s="798"/>
      <c r="IRZ100" s="798"/>
      <c r="ISA100" s="798"/>
      <c r="ISB100" s="798"/>
      <c r="ISC100" s="798"/>
      <c r="ISD100" s="798"/>
      <c r="ISE100" s="798"/>
      <c r="ISF100" s="798"/>
      <c r="ISG100" s="798"/>
      <c r="ISH100" s="798"/>
      <c r="ISI100" s="798"/>
      <c r="ISJ100" s="798"/>
      <c r="ISK100" s="798"/>
      <c r="ISL100" s="798"/>
      <c r="ISM100" s="798"/>
      <c r="ISN100" s="798"/>
      <c r="ISO100" s="798"/>
      <c r="ISP100" s="798"/>
      <c r="ISQ100" s="798"/>
      <c r="ISR100" s="798"/>
      <c r="ISS100" s="798"/>
      <c r="IST100" s="798"/>
      <c r="ISU100" s="798"/>
      <c r="ISV100" s="798"/>
      <c r="ISW100" s="798"/>
      <c r="ISX100" s="798"/>
      <c r="ISY100" s="798"/>
      <c r="ISZ100" s="798"/>
      <c r="ITA100" s="798"/>
      <c r="ITB100" s="798"/>
      <c r="ITC100" s="798"/>
      <c r="ITD100" s="798"/>
      <c r="ITE100" s="798"/>
      <c r="ITF100" s="798"/>
      <c r="ITG100" s="798"/>
      <c r="ITH100" s="798"/>
      <c r="ITI100" s="798"/>
      <c r="ITJ100" s="798"/>
      <c r="ITK100" s="798"/>
      <c r="ITL100" s="798"/>
      <c r="ITM100" s="798"/>
      <c r="ITN100" s="798"/>
      <c r="ITO100" s="798"/>
      <c r="ITP100" s="798"/>
      <c r="ITQ100" s="798"/>
      <c r="ITR100" s="798"/>
      <c r="ITS100" s="798"/>
      <c r="ITT100" s="798"/>
      <c r="ITU100" s="798"/>
      <c r="ITV100" s="798"/>
      <c r="ITW100" s="798"/>
      <c r="ITX100" s="798"/>
      <c r="ITY100" s="798"/>
      <c r="ITZ100" s="798"/>
      <c r="IUA100" s="798"/>
      <c r="IUB100" s="798"/>
      <c r="IUC100" s="798"/>
      <c r="IUD100" s="798"/>
      <c r="IUE100" s="798"/>
      <c r="IUF100" s="798"/>
      <c r="IUG100" s="798"/>
      <c r="IUH100" s="798"/>
      <c r="IUI100" s="798"/>
      <c r="IUJ100" s="798"/>
      <c r="IUK100" s="798"/>
      <c r="IUL100" s="798"/>
      <c r="IUM100" s="798"/>
      <c r="IUN100" s="798"/>
      <c r="IUO100" s="798"/>
      <c r="IUP100" s="798"/>
      <c r="IUQ100" s="798"/>
      <c r="IUR100" s="798"/>
      <c r="IUS100" s="798"/>
      <c r="IUT100" s="798"/>
      <c r="IUU100" s="798"/>
      <c r="IUV100" s="798"/>
      <c r="IUW100" s="798"/>
      <c r="IUX100" s="798"/>
      <c r="IUY100" s="798"/>
      <c r="IUZ100" s="798"/>
      <c r="IVA100" s="798"/>
      <c r="IVB100" s="798"/>
      <c r="IVC100" s="798"/>
      <c r="IVD100" s="798"/>
      <c r="IVE100" s="798"/>
      <c r="IVF100" s="798"/>
      <c r="IVG100" s="798"/>
      <c r="IVH100" s="798"/>
      <c r="IVI100" s="798"/>
      <c r="IVJ100" s="798"/>
      <c r="IVK100" s="798"/>
      <c r="IVL100" s="798"/>
      <c r="IVM100" s="798"/>
      <c r="IVN100" s="798"/>
      <c r="IVO100" s="798"/>
      <c r="IVP100" s="798"/>
      <c r="IVQ100" s="798"/>
      <c r="IVR100" s="798"/>
      <c r="IVS100" s="798"/>
      <c r="IVT100" s="798"/>
      <c r="IVU100" s="798"/>
      <c r="IVV100" s="798"/>
      <c r="IVW100" s="798"/>
      <c r="IVX100" s="798"/>
      <c r="IVY100" s="798"/>
      <c r="IVZ100" s="798"/>
      <c r="IWA100" s="798"/>
      <c r="IWB100" s="798"/>
      <c r="IWC100" s="798"/>
      <c r="IWD100" s="798"/>
      <c r="IWE100" s="798"/>
      <c r="IWF100" s="798"/>
      <c r="IWG100" s="798"/>
      <c r="IWH100" s="798"/>
      <c r="IWI100" s="798"/>
      <c r="IWJ100" s="798"/>
      <c r="IWK100" s="798"/>
      <c r="IWL100" s="798"/>
      <c r="IWM100" s="798"/>
      <c r="IWN100" s="798"/>
      <c r="IWO100" s="798"/>
      <c r="IWP100" s="798"/>
      <c r="IWQ100" s="798"/>
      <c r="IWR100" s="798"/>
      <c r="IWS100" s="798"/>
      <c r="IWT100" s="798"/>
      <c r="IWU100" s="798"/>
      <c r="IWV100" s="798"/>
      <c r="IWW100" s="798"/>
      <c r="IWX100" s="798"/>
      <c r="IWY100" s="798"/>
      <c r="IWZ100" s="798"/>
      <c r="IXA100" s="798"/>
      <c r="IXB100" s="798"/>
      <c r="IXC100" s="798"/>
      <c r="IXD100" s="798"/>
      <c r="IXE100" s="798"/>
      <c r="IXF100" s="798"/>
      <c r="IXG100" s="798"/>
      <c r="IXH100" s="798"/>
      <c r="IXI100" s="798"/>
      <c r="IXJ100" s="798"/>
      <c r="IXK100" s="798"/>
      <c r="IXL100" s="798"/>
      <c r="IXM100" s="798"/>
      <c r="IXN100" s="798"/>
      <c r="IXO100" s="798"/>
      <c r="IXP100" s="798"/>
      <c r="IXQ100" s="798"/>
      <c r="IXR100" s="798"/>
      <c r="IXS100" s="798"/>
      <c r="IXT100" s="798"/>
      <c r="IXU100" s="798"/>
      <c r="IXV100" s="798"/>
      <c r="IXW100" s="798"/>
      <c r="IXX100" s="798"/>
      <c r="IXY100" s="798"/>
      <c r="IXZ100" s="798"/>
      <c r="IYA100" s="798"/>
      <c r="IYB100" s="798"/>
      <c r="IYC100" s="798"/>
      <c r="IYD100" s="798"/>
      <c r="IYE100" s="798"/>
      <c r="IYF100" s="798"/>
      <c r="IYG100" s="798"/>
      <c r="IYH100" s="798"/>
      <c r="IYI100" s="798"/>
      <c r="IYJ100" s="798"/>
      <c r="IYK100" s="798"/>
      <c r="IYL100" s="798"/>
      <c r="IYM100" s="798"/>
      <c r="IYN100" s="798"/>
      <c r="IYO100" s="798"/>
      <c r="IYP100" s="798"/>
      <c r="IYQ100" s="798"/>
      <c r="IYR100" s="798"/>
      <c r="IYS100" s="798"/>
      <c r="IYT100" s="798"/>
      <c r="IYU100" s="798"/>
      <c r="IYV100" s="798"/>
      <c r="IYW100" s="798"/>
      <c r="IYX100" s="798"/>
      <c r="IYY100" s="798"/>
      <c r="IYZ100" s="798"/>
      <c r="IZA100" s="798"/>
      <c r="IZB100" s="798"/>
      <c r="IZC100" s="798"/>
      <c r="IZD100" s="798"/>
      <c r="IZE100" s="798"/>
      <c r="IZF100" s="798"/>
      <c r="IZG100" s="798"/>
      <c r="IZH100" s="798"/>
      <c r="IZI100" s="798"/>
      <c r="IZJ100" s="798"/>
      <c r="IZK100" s="798"/>
      <c r="IZL100" s="798"/>
      <c r="IZM100" s="798"/>
      <c r="IZN100" s="798"/>
      <c r="IZO100" s="798"/>
      <c r="IZP100" s="798"/>
      <c r="IZQ100" s="798"/>
      <c r="IZR100" s="798"/>
      <c r="IZS100" s="798"/>
      <c r="IZT100" s="798"/>
      <c r="IZU100" s="798"/>
      <c r="IZV100" s="798"/>
      <c r="IZW100" s="798"/>
      <c r="IZX100" s="798"/>
      <c r="IZY100" s="798"/>
      <c r="IZZ100" s="798"/>
      <c r="JAA100" s="798"/>
      <c r="JAB100" s="798"/>
      <c r="JAC100" s="798"/>
      <c r="JAD100" s="798"/>
      <c r="JAE100" s="798"/>
      <c r="JAF100" s="798"/>
      <c r="JAG100" s="798"/>
      <c r="JAH100" s="798"/>
      <c r="JAI100" s="798"/>
      <c r="JAJ100" s="798"/>
      <c r="JAK100" s="798"/>
      <c r="JAL100" s="798"/>
      <c r="JAM100" s="798"/>
      <c r="JAN100" s="798"/>
      <c r="JAO100" s="798"/>
      <c r="JAP100" s="798"/>
      <c r="JAQ100" s="798"/>
      <c r="JAR100" s="798"/>
      <c r="JAS100" s="798"/>
      <c r="JAT100" s="798"/>
      <c r="JAU100" s="798"/>
      <c r="JAV100" s="798"/>
      <c r="JAW100" s="798"/>
      <c r="JAX100" s="798"/>
      <c r="JAY100" s="798"/>
      <c r="JAZ100" s="798"/>
      <c r="JBA100" s="798"/>
      <c r="JBB100" s="798"/>
      <c r="JBC100" s="798"/>
      <c r="JBD100" s="798"/>
      <c r="JBE100" s="798"/>
      <c r="JBF100" s="798"/>
      <c r="JBG100" s="798"/>
      <c r="JBH100" s="798"/>
      <c r="JBI100" s="798"/>
      <c r="JBJ100" s="798"/>
      <c r="JBK100" s="798"/>
      <c r="JBL100" s="798"/>
      <c r="JBM100" s="798"/>
      <c r="JBN100" s="798"/>
      <c r="JBO100" s="798"/>
      <c r="JBP100" s="798"/>
      <c r="JBQ100" s="798"/>
      <c r="JBR100" s="798"/>
      <c r="JBS100" s="798"/>
      <c r="JBT100" s="798"/>
      <c r="JBU100" s="798"/>
      <c r="JBV100" s="798"/>
      <c r="JBW100" s="798"/>
      <c r="JBX100" s="798"/>
      <c r="JBY100" s="798"/>
      <c r="JBZ100" s="798"/>
      <c r="JCA100" s="798"/>
      <c r="JCB100" s="798"/>
      <c r="JCC100" s="798"/>
      <c r="JCD100" s="798"/>
      <c r="JCE100" s="798"/>
      <c r="JCF100" s="798"/>
      <c r="JCG100" s="798"/>
      <c r="JCH100" s="798"/>
      <c r="JCI100" s="798"/>
      <c r="JCJ100" s="798"/>
      <c r="JCK100" s="798"/>
      <c r="JCL100" s="798"/>
      <c r="JCM100" s="798"/>
      <c r="JCN100" s="798"/>
      <c r="JCO100" s="798"/>
      <c r="JCP100" s="798"/>
      <c r="JCQ100" s="798"/>
      <c r="JCR100" s="798"/>
      <c r="JCS100" s="798"/>
      <c r="JCT100" s="798"/>
      <c r="JCU100" s="798"/>
      <c r="JCV100" s="798"/>
      <c r="JCW100" s="798"/>
      <c r="JCX100" s="798"/>
      <c r="JCY100" s="798"/>
      <c r="JCZ100" s="798"/>
      <c r="JDA100" s="798"/>
      <c r="JDB100" s="798"/>
      <c r="JDC100" s="798"/>
      <c r="JDD100" s="798"/>
      <c r="JDE100" s="798"/>
      <c r="JDF100" s="798"/>
      <c r="JDG100" s="798"/>
      <c r="JDH100" s="798"/>
      <c r="JDI100" s="798"/>
      <c r="JDJ100" s="798"/>
      <c r="JDK100" s="798"/>
      <c r="JDL100" s="798"/>
      <c r="JDM100" s="798"/>
      <c r="JDN100" s="798"/>
      <c r="JDO100" s="798"/>
      <c r="JDP100" s="798"/>
      <c r="JDQ100" s="798"/>
      <c r="JDR100" s="798"/>
      <c r="JDS100" s="798"/>
      <c r="JDT100" s="798"/>
      <c r="JDU100" s="798"/>
      <c r="JDV100" s="798"/>
      <c r="JDW100" s="798"/>
      <c r="JDX100" s="798"/>
      <c r="JDY100" s="798"/>
      <c r="JDZ100" s="798"/>
      <c r="JEA100" s="798"/>
      <c r="JEB100" s="798"/>
      <c r="JEC100" s="798"/>
      <c r="JED100" s="798"/>
      <c r="JEE100" s="798"/>
      <c r="JEF100" s="798"/>
      <c r="JEG100" s="798"/>
      <c r="JEH100" s="798"/>
      <c r="JEI100" s="798"/>
      <c r="JEJ100" s="798"/>
      <c r="JEK100" s="798"/>
      <c r="JEL100" s="798"/>
      <c r="JEM100" s="798"/>
      <c r="JEN100" s="798"/>
      <c r="JEO100" s="798"/>
      <c r="JEP100" s="798"/>
      <c r="JEQ100" s="798"/>
      <c r="JER100" s="798"/>
      <c r="JES100" s="798"/>
      <c r="JET100" s="798"/>
      <c r="JEU100" s="798"/>
      <c r="JEV100" s="798"/>
      <c r="JEW100" s="798"/>
      <c r="JEX100" s="798"/>
      <c r="JEY100" s="798"/>
      <c r="JEZ100" s="798"/>
      <c r="JFA100" s="798"/>
      <c r="JFB100" s="798"/>
      <c r="JFC100" s="798"/>
      <c r="JFD100" s="798"/>
      <c r="JFE100" s="798"/>
      <c r="JFF100" s="798"/>
      <c r="JFG100" s="798"/>
      <c r="JFH100" s="798"/>
      <c r="JFI100" s="798"/>
      <c r="JFJ100" s="798"/>
      <c r="JFK100" s="798"/>
      <c r="JFL100" s="798"/>
      <c r="JFM100" s="798"/>
      <c r="JFN100" s="798"/>
      <c r="JFO100" s="798"/>
      <c r="JFP100" s="798"/>
      <c r="JFQ100" s="798"/>
      <c r="JFR100" s="798"/>
      <c r="JFS100" s="798"/>
      <c r="JFT100" s="798"/>
      <c r="JFU100" s="798"/>
      <c r="JFV100" s="798"/>
      <c r="JFW100" s="798"/>
      <c r="JFX100" s="798"/>
      <c r="JFY100" s="798"/>
      <c r="JFZ100" s="798"/>
      <c r="JGA100" s="798"/>
      <c r="JGB100" s="798"/>
      <c r="JGC100" s="798"/>
      <c r="JGD100" s="798"/>
      <c r="JGE100" s="798"/>
      <c r="JGF100" s="798"/>
      <c r="JGG100" s="798"/>
      <c r="JGH100" s="798"/>
      <c r="JGI100" s="798"/>
      <c r="JGJ100" s="798"/>
      <c r="JGK100" s="798"/>
      <c r="JGL100" s="798"/>
      <c r="JGM100" s="798"/>
      <c r="JGN100" s="798"/>
      <c r="JGO100" s="798"/>
      <c r="JGP100" s="798"/>
      <c r="JGQ100" s="798"/>
      <c r="JGR100" s="798"/>
      <c r="JGS100" s="798"/>
      <c r="JGT100" s="798"/>
      <c r="JGU100" s="798"/>
      <c r="JGV100" s="798"/>
      <c r="JGW100" s="798"/>
      <c r="JGX100" s="798"/>
      <c r="JGY100" s="798"/>
      <c r="JGZ100" s="798"/>
      <c r="JHA100" s="798"/>
      <c r="JHB100" s="798"/>
      <c r="JHC100" s="798"/>
      <c r="JHD100" s="798"/>
      <c r="JHE100" s="798"/>
      <c r="JHF100" s="798"/>
      <c r="JHG100" s="798"/>
      <c r="JHH100" s="798"/>
      <c r="JHI100" s="798"/>
      <c r="JHJ100" s="798"/>
      <c r="JHK100" s="798"/>
      <c r="JHL100" s="798"/>
      <c r="JHM100" s="798"/>
      <c r="JHN100" s="798"/>
      <c r="JHO100" s="798"/>
      <c r="JHP100" s="798"/>
      <c r="JHQ100" s="798"/>
      <c r="JHR100" s="798"/>
      <c r="JHS100" s="798"/>
      <c r="JHT100" s="798"/>
      <c r="JHU100" s="798"/>
      <c r="JHV100" s="798"/>
      <c r="JHW100" s="798"/>
      <c r="JHX100" s="798"/>
      <c r="JHY100" s="798"/>
      <c r="JHZ100" s="798"/>
      <c r="JIA100" s="798"/>
      <c r="JIB100" s="798"/>
      <c r="JIC100" s="798"/>
      <c r="JID100" s="798"/>
      <c r="JIE100" s="798"/>
      <c r="JIF100" s="798"/>
      <c r="JIG100" s="798"/>
      <c r="JIH100" s="798"/>
      <c r="JII100" s="798"/>
      <c r="JIJ100" s="798"/>
      <c r="JIK100" s="798"/>
      <c r="JIL100" s="798"/>
      <c r="JIM100" s="798"/>
      <c r="JIN100" s="798"/>
      <c r="JIO100" s="798"/>
      <c r="JIP100" s="798"/>
      <c r="JIQ100" s="798"/>
      <c r="JIR100" s="798"/>
      <c r="JIS100" s="798"/>
      <c r="JIT100" s="798"/>
      <c r="JIU100" s="798"/>
      <c r="JIV100" s="798"/>
      <c r="JIW100" s="798"/>
      <c r="JIX100" s="798"/>
      <c r="JIY100" s="798"/>
      <c r="JIZ100" s="798"/>
      <c r="JJA100" s="798"/>
      <c r="JJB100" s="798"/>
      <c r="JJC100" s="798"/>
      <c r="JJD100" s="798"/>
      <c r="JJE100" s="798"/>
      <c r="JJF100" s="798"/>
      <c r="JJG100" s="798"/>
      <c r="JJH100" s="798"/>
      <c r="JJI100" s="798"/>
      <c r="JJJ100" s="798"/>
      <c r="JJK100" s="798"/>
      <c r="JJL100" s="798"/>
      <c r="JJM100" s="798"/>
      <c r="JJN100" s="798"/>
      <c r="JJO100" s="798"/>
      <c r="JJP100" s="798"/>
      <c r="JJQ100" s="798"/>
      <c r="JJR100" s="798"/>
      <c r="JJS100" s="798"/>
      <c r="JJT100" s="798"/>
      <c r="JJU100" s="798"/>
      <c r="JJV100" s="798"/>
      <c r="JJW100" s="798"/>
      <c r="JJX100" s="798"/>
      <c r="JJY100" s="798"/>
      <c r="JJZ100" s="798"/>
      <c r="JKA100" s="798"/>
      <c r="JKB100" s="798"/>
      <c r="JKC100" s="798"/>
      <c r="JKD100" s="798"/>
      <c r="JKE100" s="798"/>
      <c r="JKF100" s="798"/>
      <c r="JKG100" s="798"/>
      <c r="JKH100" s="798"/>
      <c r="JKI100" s="798"/>
      <c r="JKJ100" s="798"/>
      <c r="JKK100" s="798"/>
      <c r="JKL100" s="798"/>
      <c r="JKM100" s="798"/>
      <c r="JKN100" s="798"/>
      <c r="JKO100" s="798"/>
      <c r="JKP100" s="798"/>
      <c r="JKQ100" s="798"/>
      <c r="JKR100" s="798"/>
      <c r="JKS100" s="798"/>
      <c r="JKT100" s="798"/>
      <c r="JKU100" s="798"/>
      <c r="JKV100" s="798"/>
      <c r="JKW100" s="798"/>
      <c r="JKX100" s="798"/>
      <c r="JKY100" s="798"/>
      <c r="JKZ100" s="798"/>
      <c r="JLA100" s="798"/>
      <c r="JLB100" s="798"/>
      <c r="JLC100" s="798"/>
      <c r="JLD100" s="798"/>
      <c r="JLE100" s="798"/>
      <c r="JLF100" s="798"/>
      <c r="JLG100" s="798"/>
      <c r="JLH100" s="798"/>
      <c r="JLI100" s="798"/>
      <c r="JLJ100" s="798"/>
      <c r="JLK100" s="798"/>
      <c r="JLL100" s="798"/>
      <c r="JLM100" s="798"/>
      <c r="JLN100" s="798"/>
      <c r="JLO100" s="798"/>
      <c r="JLP100" s="798"/>
      <c r="JLQ100" s="798"/>
      <c r="JLR100" s="798"/>
      <c r="JLS100" s="798"/>
      <c r="JLT100" s="798"/>
      <c r="JLU100" s="798"/>
      <c r="JLV100" s="798"/>
      <c r="JLW100" s="798"/>
      <c r="JLX100" s="798"/>
      <c r="JLY100" s="798"/>
      <c r="JLZ100" s="798"/>
      <c r="JMA100" s="798"/>
      <c r="JMB100" s="798"/>
      <c r="JMC100" s="798"/>
      <c r="JMD100" s="798"/>
      <c r="JME100" s="798"/>
      <c r="JMF100" s="798"/>
      <c r="JMG100" s="798"/>
      <c r="JMH100" s="798"/>
      <c r="JMI100" s="798"/>
      <c r="JMJ100" s="798"/>
      <c r="JMK100" s="798"/>
      <c r="JML100" s="798"/>
      <c r="JMM100" s="798"/>
      <c r="JMN100" s="798"/>
      <c r="JMO100" s="798"/>
      <c r="JMP100" s="798"/>
      <c r="JMQ100" s="798"/>
      <c r="JMR100" s="798"/>
      <c r="JMS100" s="798"/>
      <c r="JMT100" s="798"/>
      <c r="JMU100" s="798"/>
      <c r="JMV100" s="798"/>
      <c r="JMW100" s="798"/>
      <c r="JMX100" s="798"/>
      <c r="JMY100" s="798"/>
      <c r="JMZ100" s="798"/>
      <c r="JNA100" s="798"/>
      <c r="JNB100" s="798"/>
      <c r="JNC100" s="798"/>
      <c r="JND100" s="798"/>
      <c r="JNE100" s="798"/>
      <c r="JNF100" s="798"/>
      <c r="JNG100" s="798"/>
      <c r="JNH100" s="798"/>
      <c r="JNI100" s="798"/>
      <c r="JNJ100" s="798"/>
      <c r="JNK100" s="798"/>
      <c r="JNL100" s="798"/>
      <c r="JNM100" s="798"/>
      <c r="JNN100" s="798"/>
      <c r="JNO100" s="798"/>
      <c r="JNP100" s="798"/>
      <c r="JNQ100" s="798"/>
      <c r="JNR100" s="798"/>
      <c r="JNS100" s="798"/>
      <c r="JNT100" s="798"/>
      <c r="JNU100" s="798"/>
      <c r="JNV100" s="798"/>
      <c r="JNW100" s="798"/>
      <c r="JNX100" s="798"/>
      <c r="JNY100" s="798"/>
      <c r="JNZ100" s="798"/>
      <c r="JOA100" s="798"/>
      <c r="JOB100" s="798"/>
      <c r="JOC100" s="798"/>
      <c r="JOD100" s="798"/>
      <c r="JOE100" s="798"/>
      <c r="JOF100" s="798"/>
      <c r="JOG100" s="798"/>
      <c r="JOH100" s="798"/>
      <c r="JOI100" s="798"/>
      <c r="JOJ100" s="798"/>
      <c r="JOK100" s="798"/>
      <c r="JOL100" s="798"/>
      <c r="JOM100" s="798"/>
      <c r="JON100" s="798"/>
      <c r="JOO100" s="798"/>
      <c r="JOP100" s="798"/>
      <c r="JOQ100" s="798"/>
      <c r="JOR100" s="798"/>
      <c r="JOS100" s="798"/>
      <c r="JOT100" s="798"/>
      <c r="JOU100" s="798"/>
      <c r="JOV100" s="798"/>
      <c r="JOW100" s="798"/>
      <c r="JOX100" s="798"/>
      <c r="JOY100" s="798"/>
      <c r="JOZ100" s="798"/>
      <c r="JPA100" s="798"/>
      <c r="JPB100" s="798"/>
      <c r="JPC100" s="798"/>
      <c r="JPD100" s="798"/>
      <c r="JPE100" s="798"/>
      <c r="JPF100" s="798"/>
      <c r="JPG100" s="798"/>
      <c r="JPH100" s="798"/>
      <c r="JPI100" s="798"/>
      <c r="JPJ100" s="798"/>
      <c r="JPK100" s="798"/>
      <c r="JPL100" s="798"/>
      <c r="JPM100" s="798"/>
      <c r="JPN100" s="798"/>
      <c r="JPO100" s="798"/>
      <c r="JPP100" s="798"/>
      <c r="JPQ100" s="798"/>
      <c r="JPR100" s="798"/>
      <c r="JPS100" s="798"/>
      <c r="JPT100" s="798"/>
      <c r="JPU100" s="798"/>
      <c r="JPV100" s="798"/>
      <c r="JPW100" s="798"/>
      <c r="JPX100" s="798"/>
      <c r="JPY100" s="798"/>
      <c r="JPZ100" s="798"/>
      <c r="JQA100" s="798"/>
      <c r="JQB100" s="798"/>
      <c r="JQC100" s="798"/>
      <c r="JQD100" s="798"/>
      <c r="JQE100" s="798"/>
      <c r="JQF100" s="798"/>
      <c r="JQG100" s="798"/>
      <c r="JQH100" s="798"/>
      <c r="JQI100" s="798"/>
      <c r="JQJ100" s="798"/>
      <c r="JQK100" s="798"/>
      <c r="JQL100" s="798"/>
      <c r="JQM100" s="798"/>
      <c r="JQN100" s="798"/>
      <c r="JQO100" s="798"/>
      <c r="JQP100" s="798"/>
      <c r="JQQ100" s="798"/>
      <c r="JQR100" s="798"/>
      <c r="JQS100" s="798"/>
      <c r="JQT100" s="798"/>
      <c r="JQU100" s="798"/>
      <c r="JQV100" s="798"/>
      <c r="JQW100" s="798"/>
      <c r="JQX100" s="798"/>
      <c r="JQY100" s="798"/>
      <c r="JQZ100" s="798"/>
      <c r="JRA100" s="798"/>
      <c r="JRB100" s="798"/>
      <c r="JRC100" s="798"/>
      <c r="JRD100" s="798"/>
      <c r="JRE100" s="798"/>
      <c r="JRF100" s="798"/>
      <c r="JRG100" s="798"/>
      <c r="JRH100" s="798"/>
      <c r="JRI100" s="798"/>
      <c r="JRJ100" s="798"/>
      <c r="JRK100" s="798"/>
      <c r="JRL100" s="798"/>
      <c r="JRM100" s="798"/>
      <c r="JRN100" s="798"/>
      <c r="JRO100" s="798"/>
      <c r="JRP100" s="798"/>
      <c r="JRQ100" s="798"/>
      <c r="JRR100" s="798"/>
      <c r="JRS100" s="798"/>
      <c r="JRT100" s="798"/>
      <c r="JRU100" s="798"/>
      <c r="JRV100" s="798"/>
      <c r="JRW100" s="798"/>
      <c r="JRX100" s="798"/>
      <c r="JRY100" s="798"/>
      <c r="JRZ100" s="798"/>
      <c r="JSA100" s="798"/>
      <c r="JSB100" s="798"/>
      <c r="JSC100" s="798"/>
      <c r="JSD100" s="798"/>
      <c r="JSE100" s="798"/>
      <c r="JSF100" s="798"/>
      <c r="JSG100" s="798"/>
      <c r="JSH100" s="798"/>
      <c r="JSI100" s="798"/>
      <c r="JSJ100" s="798"/>
      <c r="JSK100" s="798"/>
      <c r="JSL100" s="798"/>
      <c r="JSM100" s="798"/>
      <c r="JSN100" s="798"/>
      <c r="JSO100" s="798"/>
      <c r="JSP100" s="798"/>
      <c r="JSQ100" s="798"/>
      <c r="JSR100" s="798"/>
      <c r="JSS100" s="798"/>
      <c r="JST100" s="798"/>
      <c r="JSU100" s="798"/>
      <c r="JSV100" s="798"/>
      <c r="JSW100" s="798"/>
      <c r="JSX100" s="798"/>
      <c r="JSY100" s="798"/>
      <c r="JSZ100" s="798"/>
      <c r="JTA100" s="798"/>
      <c r="JTB100" s="798"/>
      <c r="JTC100" s="798"/>
      <c r="JTD100" s="798"/>
      <c r="JTE100" s="798"/>
      <c r="JTF100" s="798"/>
      <c r="JTG100" s="798"/>
      <c r="JTH100" s="798"/>
      <c r="JTI100" s="798"/>
      <c r="JTJ100" s="798"/>
      <c r="JTK100" s="798"/>
      <c r="JTL100" s="798"/>
      <c r="JTM100" s="798"/>
      <c r="JTN100" s="798"/>
      <c r="JTO100" s="798"/>
      <c r="JTP100" s="798"/>
      <c r="JTQ100" s="798"/>
      <c r="JTR100" s="798"/>
      <c r="JTS100" s="798"/>
      <c r="JTT100" s="798"/>
      <c r="JTU100" s="798"/>
      <c r="JTV100" s="798"/>
      <c r="JTW100" s="798"/>
      <c r="JTX100" s="798"/>
      <c r="JTY100" s="798"/>
      <c r="JTZ100" s="798"/>
      <c r="JUA100" s="798"/>
      <c r="JUB100" s="798"/>
      <c r="JUC100" s="798"/>
      <c r="JUD100" s="798"/>
      <c r="JUE100" s="798"/>
      <c r="JUF100" s="798"/>
      <c r="JUG100" s="798"/>
      <c r="JUH100" s="798"/>
      <c r="JUI100" s="798"/>
      <c r="JUJ100" s="798"/>
      <c r="JUK100" s="798"/>
      <c r="JUL100" s="798"/>
      <c r="JUM100" s="798"/>
      <c r="JUN100" s="798"/>
      <c r="JUO100" s="798"/>
      <c r="JUP100" s="798"/>
      <c r="JUQ100" s="798"/>
      <c r="JUR100" s="798"/>
      <c r="JUS100" s="798"/>
      <c r="JUT100" s="798"/>
      <c r="JUU100" s="798"/>
      <c r="JUV100" s="798"/>
      <c r="JUW100" s="798"/>
      <c r="JUX100" s="798"/>
      <c r="JUY100" s="798"/>
      <c r="JUZ100" s="798"/>
      <c r="JVA100" s="798"/>
      <c r="JVB100" s="798"/>
      <c r="JVC100" s="798"/>
      <c r="JVD100" s="798"/>
      <c r="JVE100" s="798"/>
      <c r="JVF100" s="798"/>
      <c r="JVG100" s="798"/>
      <c r="JVH100" s="798"/>
      <c r="JVI100" s="798"/>
      <c r="JVJ100" s="798"/>
      <c r="JVK100" s="798"/>
      <c r="JVL100" s="798"/>
      <c r="JVM100" s="798"/>
      <c r="JVN100" s="798"/>
      <c r="JVO100" s="798"/>
      <c r="JVP100" s="798"/>
      <c r="JVQ100" s="798"/>
      <c r="JVR100" s="798"/>
      <c r="JVS100" s="798"/>
      <c r="JVT100" s="798"/>
      <c r="JVU100" s="798"/>
      <c r="JVV100" s="798"/>
      <c r="JVW100" s="798"/>
      <c r="JVX100" s="798"/>
      <c r="JVY100" s="798"/>
      <c r="JVZ100" s="798"/>
      <c r="JWA100" s="798"/>
      <c r="JWB100" s="798"/>
      <c r="JWC100" s="798"/>
      <c r="JWD100" s="798"/>
      <c r="JWE100" s="798"/>
      <c r="JWF100" s="798"/>
      <c r="JWG100" s="798"/>
      <c r="JWH100" s="798"/>
      <c r="JWI100" s="798"/>
      <c r="JWJ100" s="798"/>
      <c r="JWK100" s="798"/>
      <c r="JWL100" s="798"/>
      <c r="JWM100" s="798"/>
      <c r="JWN100" s="798"/>
      <c r="JWO100" s="798"/>
      <c r="JWP100" s="798"/>
      <c r="JWQ100" s="798"/>
      <c r="JWR100" s="798"/>
      <c r="JWS100" s="798"/>
      <c r="JWT100" s="798"/>
      <c r="JWU100" s="798"/>
      <c r="JWV100" s="798"/>
      <c r="JWW100" s="798"/>
      <c r="JWX100" s="798"/>
      <c r="JWY100" s="798"/>
      <c r="JWZ100" s="798"/>
      <c r="JXA100" s="798"/>
      <c r="JXB100" s="798"/>
      <c r="JXC100" s="798"/>
      <c r="JXD100" s="798"/>
      <c r="JXE100" s="798"/>
      <c r="JXF100" s="798"/>
      <c r="JXG100" s="798"/>
      <c r="JXH100" s="798"/>
      <c r="JXI100" s="798"/>
      <c r="JXJ100" s="798"/>
      <c r="JXK100" s="798"/>
      <c r="JXL100" s="798"/>
      <c r="JXM100" s="798"/>
      <c r="JXN100" s="798"/>
      <c r="JXO100" s="798"/>
      <c r="JXP100" s="798"/>
      <c r="JXQ100" s="798"/>
      <c r="JXR100" s="798"/>
      <c r="JXS100" s="798"/>
      <c r="JXT100" s="798"/>
      <c r="JXU100" s="798"/>
      <c r="JXV100" s="798"/>
      <c r="JXW100" s="798"/>
      <c r="JXX100" s="798"/>
      <c r="JXY100" s="798"/>
      <c r="JXZ100" s="798"/>
      <c r="JYA100" s="798"/>
      <c r="JYB100" s="798"/>
      <c r="JYC100" s="798"/>
      <c r="JYD100" s="798"/>
      <c r="JYE100" s="798"/>
      <c r="JYF100" s="798"/>
      <c r="JYG100" s="798"/>
      <c r="JYH100" s="798"/>
      <c r="JYI100" s="798"/>
      <c r="JYJ100" s="798"/>
      <c r="JYK100" s="798"/>
      <c r="JYL100" s="798"/>
      <c r="JYM100" s="798"/>
      <c r="JYN100" s="798"/>
      <c r="JYO100" s="798"/>
      <c r="JYP100" s="798"/>
      <c r="JYQ100" s="798"/>
      <c r="JYR100" s="798"/>
      <c r="JYS100" s="798"/>
      <c r="JYT100" s="798"/>
      <c r="JYU100" s="798"/>
      <c r="JYV100" s="798"/>
      <c r="JYW100" s="798"/>
      <c r="JYX100" s="798"/>
      <c r="JYY100" s="798"/>
      <c r="JYZ100" s="798"/>
      <c r="JZA100" s="798"/>
      <c r="JZB100" s="798"/>
      <c r="JZC100" s="798"/>
      <c r="JZD100" s="798"/>
      <c r="JZE100" s="798"/>
      <c r="JZF100" s="798"/>
      <c r="JZG100" s="798"/>
      <c r="JZH100" s="798"/>
      <c r="JZI100" s="798"/>
      <c r="JZJ100" s="798"/>
      <c r="JZK100" s="798"/>
      <c r="JZL100" s="798"/>
      <c r="JZM100" s="798"/>
      <c r="JZN100" s="798"/>
      <c r="JZO100" s="798"/>
      <c r="JZP100" s="798"/>
      <c r="JZQ100" s="798"/>
      <c r="JZR100" s="798"/>
      <c r="JZS100" s="798"/>
      <c r="JZT100" s="798"/>
      <c r="JZU100" s="798"/>
      <c r="JZV100" s="798"/>
      <c r="JZW100" s="798"/>
      <c r="JZX100" s="798"/>
      <c r="JZY100" s="798"/>
      <c r="JZZ100" s="798"/>
      <c r="KAA100" s="798"/>
      <c r="KAB100" s="798"/>
      <c r="KAC100" s="798"/>
      <c r="KAD100" s="798"/>
      <c r="KAE100" s="798"/>
      <c r="KAF100" s="798"/>
      <c r="KAG100" s="798"/>
      <c r="KAH100" s="798"/>
      <c r="KAI100" s="798"/>
      <c r="KAJ100" s="798"/>
      <c r="KAK100" s="798"/>
      <c r="KAL100" s="798"/>
      <c r="KAM100" s="798"/>
      <c r="KAN100" s="798"/>
      <c r="KAO100" s="798"/>
      <c r="KAP100" s="798"/>
      <c r="KAQ100" s="798"/>
      <c r="KAR100" s="798"/>
      <c r="KAS100" s="798"/>
      <c r="KAT100" s="798"/>
      <c r="KAU100" s="798"/>
      <c r="KAV100" s="798"/>
      <c r="KAW100" s="798"/>
      <c r="KAX100" s="798"/>
      <c r="KAY100" s="798"/>
      <c r="KAZ100" s="798"/>
      <c r="KBA100" s="798"/>
      <c r="KBB100" s="798"/>
      <c r="KBC100" s="798"/>
      <c r="KBD100" s="798"/>
      <c r="KBE100" s="798"/>
      <c r="KBF100" s="798"/>
      <c r="KBG100" s="798"/>
      <c r="KBH100" s="798"/>
      <c r="KBI100" s="798"/>
      <c r="KBJ100" s="798"/>
      <c r="KBK100" s="798"/>
      <c r="KBL100" s="798"/>
      <c r="KBM100" s="798"/>
      <c r="KBN100" s="798"/>
      <c r="KBO100" s="798"/>
      <c r="KBP100" s="798"/>
      <c r="KBQ100" s="798"/>
      <c r="KBR100" s="798"/>
      <c r="KBS100" s="798"/>
      <c r="KBT100" s="798"/>
      <c r="KBU100" s="798"/>
      <c r="KBV100" s="798"/>
      <c r="KBW100" s="798"/>
      <c r="KBX100" s="798"/>
      <c r="KBY100" s="798"/>
      <c r="KBZ100" s="798"/>
      <c r="KCA100" s="798"/>
      <c r="KCB100" s="798"/>
      <c r="KCC100" s="798"/>
      <c r="KCD100" s="798"/>
      <c r="KCE100" s="798"/>
      <c r="KCF100" s="798"/>
      <c r="KCG100" s="798"/>
      <c r="KCH100" s="798"/>
      <c r="KCI100" s="798"/>
      <c r="KCJ100" s="798"/>
      <c r="KCK100" s="798"/>
      <c r="KCL100" s="798"/>
      <c r="KCM100" s="798"/>
      <c r="KCN100" s="798"/>
      <c r="KCO100" s="798"/>
      <c r="KCP100" s="798"/>
      <c r="KCQ100" s="798"/>
      <c r="KCR100" s="798"/>
      <c r="KCS100" s="798"/>
      <c r="KCT100" s="798"/>
      <c r="KCU100" s="798"/>
      <c r="KCV100" s="798"/>
      <c r="KCW100" s="798"/>
      <c r="KCX100" s="798"/>
      <c r="KCY100" s="798"/>
      <c r="KCZ100" s="798"/>
      <c r="KDA100" s="798"/>
      <c r="KDB100" s="798"/>
      <c r="KDC100" s="798"/>
      <c r="KDD100" s="798"/>
      <c r="KDE100" s="798"/>
      <c r="KDF100" s="798"/>
      <c r="KDG100" s="798"/>
      <c r="KDH100" s="798"/>
      <c r="KDI100" s="798"/>
      <c r="KDJ100" s="798"/>
      <c r="KDK100" s="798"/>
      <c r="KDL100" s="798"/>
      <c r="KDM100" s="798"/>
      <c r="KDN100" s="798"/>
      <c r="KDO100" s="798"/>
      <c r="KDP100" s="798"/>
      <c r="KDQ100" s="798"/>
      <c r="KDR100" s="798"/>
      <c r="KDS100" s="798"/>
      <c r="KDT100" s="798"/>
      <c r="KDU100" s="798"/>
      <c r="KDV100" s="798"/>
      <c r="KDW100" s="798"/>
      <c r="KDX100" s="798"/>
      <c r="KDY100" s="798"/>
      <c r="KDZ100" s="798"/>
      <c r="KEA100" s="798"/>
      <c r="KEB100" s="798"/>
      <c r="KEC100" s="798"/>
      <c r="KED100" s="798"/>
      <c r="KEE100" s="798"/>
      <c r="KEF100" s="798"/>
      <c r="KEG100" s="798"/>
      <c r="KEH100" s="798"/>
      <c r="KEI100" s="798"/>
      <c r="KEJ100" s="798"/>
      <c r="KEK100" s="798"/>
      <c r="KEL100" s="798"/>
      <c r="KEM100" s="798"/>
      <c r="KEN100" s="798"/>
      <c r="KEO100" s="798"/>
      <c r="KEP100" s="798"/>
      <c r="KEQ100" s="798"/>
      <c r="KER100" s="798"/>
      <c r="KES100" s="798"/>
      <c r="KET100" s="798"/>
      <c r="KEU100" s="798"/>
      <c r="KEV100" s="798"/>
      <c r="KEW100" s="798"/>
      <c r="KEX100" s="798"/>
      <c r="KEY100" s="798"/>
      <c r="KEZ100" s="798"/>
      <c r="KFA100" s="798"/>
      <c r="KFB100" s="798"/>
      <c r="KFC100" s="798"/>
      <c r="KFD100" s="798"/>
      <c r="KFE100" s="798"/>
      <c r="KFF100" s="798"/>
      <c r="KFG100" s="798"/>
      <c r="KFH100" s="798"/>
      <c r="KFI100" s="798"/>
      <c r="KFJ100" s="798"/>
      <c r="KFK100" s="798"/>
      <c r="KFL100" s="798"/>
      <c r="KFM100" s="798"/>
      <c r="KFN100" s="798"/>
      <c r="KFO100" s="798"/>
      <c r="KFP100" s="798"/>
      <c r="KFQ100" s="798"/>
      <c r="KFR100" s="798"/>
      <c r="KFS100" s="798"/>
      <c r="KFT100" s="798"/>
      <c r="KFU100" s="798"/>
      <c r="KFV100" s="798"/>
      <c r="KFW100" s="798"/>
      <c r="KFX100" s="798"/>
      <c r="KFY100" s="798"/>
      <c r="KFZ100" s="798"/>
      <c r="KGA100" s="798"/>
      <c r="KGB100" s="798"/>
      <c r="KGC100" s="798"/>
      <c r="KGD100" s="798"/>
      <c r="KGE100" s="798"/>
      <c r="KGF100" s="798"/>
      <c r="KGG100" s="798"/>
      <c r="KGH100" s="798"/>
      <c r="KGI100" s="798"/>
      <c r="KGJ100" s="798"/>
      <c r="KGK100" s="798"/>
      <c r="KGL100" s="798"/>
      <c r="KGM100" s="798"/>
      <c r="KGN100" s="798"/>
      <c r="KGO100" s="798"/>
      <c r="KGP100" s="798"/>
      <c r="KGQ100" s="798"/>
      <c r="KGR100" s="798"/>
      <c r="KGS100" s="798"/>
      <c r="KGT100" s="798"/>
      <c r="KGU100" s="798"/>
      <c r="KGV100" s="798"/>
      <c r="KGW100" s="798"/>
      <c r="KGX100" s="798"/>
      <c r="KGY100" s="798"/>
      <c r="KGZ100" s="798"/>
      <c r="KHA100" s="798"/>
      <c r="KHB100" s="798"/>
      <c r="KHC100" s="798"/>
      <c r="KHD100" s="798"/>
      <c r="KHE100" s="798"/>
      <c r="KHF100" s="798"/>
      <c r="KHG100" s="798"/>
      <c r="KHH100" s="798"/>
      <c r="KHI100" s="798"/>
      <c r="KHJ100" s="798"/>
      <c r="KHK100" s="798"/>
      <c r="KHL100" s="798"/>
      <c r="KHM100" s="798"/>
      <c r="KHN100" s="798"/>
      <c r="KHO100" s="798"/>
      <c r="KHP100" s="798"/>
      <c r="KHQ100" s="798"/>
      <c r="KHR100" s="798"/>
      <c r="KHS100" s="798"/>
      <c r="KHT100" s="798"/>
      <c r="KHU100" s="798"/>
      <c r="KHV100" s="798"/>
      <c r="KHW100" s="798"/>
      <c r="KHX100" s="798"/>
      <c r="KHY100" s="798"/>
      <c r="KHZ100" s="798"/>
      <c r="KIA100" s="798"/>
      <c r="KIB100" s="798"/>
      <c r="KIC100" s="798"/>
      <c r="KID100" s="798"/>
      <c r="KIE100" s="798"/>
      <c r="KIF100" s="798"/>
      <c r="KIG100" s="798"/>
      <c r="KIH100" s="798"/>
      <c r="KII100" s="798"/>
      <c r="KIJ100" s="798"/>
      <c r="KIK100" s="798"/>
      <c r="KIL100" s="798"/>
      <c r="KIM100" s="798"/>
      <c r="KIN100" s="798"/>
      <c r="KIO100" s="798"/>
      <c r="KIP100" s="798"/>
      <c r="KIQ100" s="798"/>
      <c r="KIR100" s="798"/>
      <c r="KIS100" s="798"/>
      <c r="KIT100" s="798"/>
      <c r="KIU100" s="798"/>
      <c r="KIV100" s="798"/>
      <c r="KIW100" s="798"/>
      <c r="KIX100" s="798"/>
      <c r="KIY100" s="798"/>
      <c r="KIZ100" s="798"/>
      <c r="KJA100" s="798"/>
      <c r="KJB100" s="798"/>
      <c r="KJC100" s="798"/>
      <c r="KJD100" s="798"/>
      <c r="KJE100" s="798"/>
      <c r="KJF100" s="798"/>
      <c r="KJG100" s="798"/>
      <c r="KJH100" s="798"/>
      <c r="KJI100" s="798"/>
      <c r="KJJ100" s="798"/>
      <c r="KJK100" s="798"/>
      <c r="KJL100" s="798"/>
      <c r="KJM100" s="798"/>
      <c r="KJN100" s="798"/>
      <c r="KJO100" s="798"/>
      <c r="KJP100" s="798"/>
      <c r="KJQ100" s="798"/>
      <c r="KJR100" s="798"/>
      <c r="KJS100" s="798"/>
      <c r="KJT100" s="798"/>
      <c r="KJU100" s="798"/>
      <c r="KJV100" s="798"/>
      <c r="KJW100" s="798"/>
      <c r="KJX100" s="798"/>
      <c r="KJY100" s="798"/>
      <c r="KJZ100" s="798"/>
      <c r="KKA100" s="798"/>
      <c r="KKB100" s="798"/>
      <c r="KKC100" s="798"/>
      <c r="KKD100" s="798"/>
      <c r="KKE100" s="798"/>
      <c r="KKF100" s="798"/>
      <c r="KKG100" s="798"/>
      <c r="KKH100" s="798"/>
      <c r="KKI100" s="798"/>
      <c r="KKJ100" s="798"/>
      <c r="KKK100" s="798"/>
      <c r="KKL100" s="798"/>
      <c r="KKM100" s="798"/>
      <c r="KKN100" s="798"/>
      <c r="KKO100" s="798"/>
      <c r="KKP100" s="798"/>
      <c r="KKQ100" s="798"/>
      <c r="KKR100" s="798"/>
      <c r="KKS100" s="798"/>
      <c r="KKT100" s="798"/>
      <c r="KKU100" s="798"/>
      <c r="KKV100" s="798"/>
      <c r="KKW100" s="798"/>
      <c r="KKX100" s="798"/>
      <c r="KKY100" s="798"/>
      <c r="KKZ100" s="798"/>
      <c r="KLA100" s="798"/>
      <c r="KLB100" s="798"/>
      <c r="KLC100" s="798"/>
      <c r="KLD100" s="798"/>
      <c r="KLE100" s="798"/>
      <c r="KLF100" s="798"/>
      <c r="KLG100" s="798"/>
      <c r="KLH100" s="798"/>
      <c r="KLI100" s="798"/>
      <c r="KLJ100" s="798"/>
      <c r="KLK100" s="798"/>
      <c r="KLL100" s="798"/>
      <c r="KLM100" s="798"/>
      <c r="KLN100" s="798"/>
      <c r="KLO100" s="798"/>
      <c r="KLP100" s="798"/>
      <c r="KLQ100" s="798"/>
      <c r="KLR100" s="798"/>
      <c r="KLS100" s="798"/>
      <c r="KLT100" s="798"/>
      <c r="KLU100" s="798"/>
      <c r="KLV100" s="798"/>
      <c r="KLW100" s="798"/>
      <c r="KLX100" s="798"/>
      <c r="KLY100" s="798"/>
      <c r="KLZ100" s="798"/>
      <c r="KMA100" s="798"/>
      <c r="KMB100" s="798"/>
      <c r="KMC100" s="798"/>
      <c r="KMD100" s="798"/>
      <c r="KME100" s="798"/>
      <c r="KMF100" s="798"/>
      <c r="KMG100" s="798"/>
      <c r="KMH100" s="798"/>
      <c r="KMI100" s="798"/>
      <c r="KMJ100" s="798"/>
      <c r="KMK100" s="798"/>
      <c r="KML100" s="798"/>
      <c r="KMM100" s="798"/>
      <c r="KMN100" s="798"/>
      <c r="KMO100" s="798"/>
      <c r="KMP100" s="798"/>
      <c r="KMQ100" s="798"/>
      <c r="KMR100" s="798"/>
      <c r="KMS100" s="798"/>
      <c r="KMT100" s="798"/>
      <c r="KMU100" s="798"/>
      <c r="KMV100" s="798"/>
      <c r="KMW100" s="798"/>
      <c r="KMX100" s="798"/>
      <c r="KMY100" s="798"/>
      <c r="KMZ100" s="798"/>
      <c r="KNA100" s="798"/>
      <c r="KNB100" s="798"/>
      <c r="KNC100" s="798"/>
      <c r="KND100" s="798"/>
      <c r="KNE100" s="798"/>
      <c r="KNF100" s="798"/>
      <c r="KNG100" s="798"/>
      <c r="KNH100" s="798"/>
      <c r="KNI100" s="798"/>
      <c r="KNJ100" s="798"/>
      <c r="KNK100" s="798"/>
      <c r="KNL100" s="798"/>
      <c r="KNM100" s="798"/>
      <c r="KNN100" s="798"/>
      <c r="KNO100" s="798"/>
      <c r="KNP100" s="798"/>
      <c r="KNQ100" s="798"/>
      <c r="KNR100" s="798"/>
      <c r="KNS100" s="798"/>
      <c r="KNT100" s="798"/>
      <c r="KNU100" s="798"/>
      <c r="KNV100" s="798"/>
      <c r="KNW100" s="798"/>
      <c r="KNX100" s="798"/>
      <c r="KNY100" s="798"/>
      <c r="KNZ100" s="798"/>
      <c r="KOA100" s="798"/>
      <c r="KOB100" s="798"/>
      <c r="KOC100" s="798"/>
      <c r="KOD100" s="798"/>
      <c r="KOE100" s="798"/>
      <c r="KOF100" s="798"/>
      <c r="KOG100" s="798"/>
      <c r="KOH100" s="798"/>
      <c r="KOI100" s="798"/>
      <c r="KOJ100" s="798"/>
      <c r="KOK100" s="798"/>
      <c r="KOL100" s="798"/>
      <c r="KOM100" s="798"/>
      <c r="KON100" s="798"/>
      <c r="KOO100" s="798"/>
      <c r="KOP100" s="798"/>
      <c r="KOQ100" s="798"/>
      <c r="KOR100" s="798"/>
      <c r="KOS100" s="798"/>
      <c r="KOT100" s="798"/>
      <c r="KOU100" s="798"/>
      <c r="KOV100" s="798"/>
      <c r="KOW100" s="798"/>
      <c r="KOX100" s="798"/>
      <c r="KOY100" s="798"/>
      <c r="KOZ100" s="798"/>
      <c r="KPA100" s="798"/>
      <c r="KPB100" s="798"/>
      <c r="KPC100" s="798"/>
      <c r="KPD100" s="798"/>
      <c r="KPE100" s="798"/>
      <c r="KPF100" s="798"/>
      <c r="KPG100" s="798"/>
      <c r="KPH100" s="798"/>
      <c r="KPI100" s="798"/>
      <c r="KPJ100" s="798"/>
      <c r="KPK100" s="798"/>
      <c r="KPL100" s="798"/>
      <c r="KPM100" s="798"/>
      <c r="KPN100" s="798"/>
      <c r="KPO100" s="798"/>
      <c r="KPP100" s="798"/>
      <c r="KPQ100" s="798"/>
      <c r="KPR100" s="798"/>
      <c r="KPS100" s="798"/>
      <c r="KPT100" s="798"/>
      <c r="KPU100" s="798"/>
      <c r="KPV100" s="798"/>
      <c r="KPW100" s="798"/>
      <c r="KPX100" s="798"/>
      <c r="KPY100" s="798"/>
      <c r="KPZ100" s="798"/>
      <c r="KQA100" s="798"/>
      <c r="KQB100" s="798"/>
      <c r="KQC100" s="798"/>
      <c r="KQD100" s="798"/>
      <c r="KQE100" s="798"/>
      <c r="KQF100" s="798"/>
      <c r="KQG100" s="798"/>
      <c r="KQH100" s="798"/>
      <c r="KQI100" s="798"/>
      <c r="KQJ100" s="798"/>
      <c r="KQK100" s="798"/>
      <c r="KQL100" s="798"/>
      <c r="KQM100" s="798"/>
      <c r="KQN100" s="798"/>
      <c r="KQO100" s="798"/>
      <c r="KQP100" s="798"/>
      <c r="KQQ100" s="798"/>
      <c r="KQR100" s="798"/>
      <c r="KQS100" s="798"/>
      <c r="KQT100" s="798"/>
      <c r="KQU100" s="798"/>
      <c r="KQV100" s="798"/>
      <c r="KQW100" s="798"/>
      <c r="KQX100" s="798"/>
      <c r="KQY100" s="798"/>
      <c r="KQZ100" s="798"/>
      <c r="KRA100" s="798"/>
      <c r="KRB100" s="798"/>
      <c r="KRC100" s="798"/>
      <c r="KRD100" s="798"/>
      <c r="KRE100" s="798"/>
      <c r="KRF100" s="798"/>
      <c r="KRG100" s="798"/>
      <c r="KRH100" s="798"/>
      <c r="KRI100" s="798"/>
      <c r="KRJ100" s="798"/>
      <c r="KRK100" s="798"/>
      <c r="KRL100" s="798"/>
      <c r="KRM100" s="798"/>
      <c r="KRN100" s="798"/>
      <c r="KRO100" s="798"/>
      <c r="KRP100" s="798"/>
      <c r="KRQ100" s="798"/>
      <c r="KRR100" s="798"/>
      <c r="KRS100" s="798"/>
      <c r="KRT100" s="798"/>
      <c r="KRU100" s="798"/>
      <c r="KRV100" s="798"/>
      <c r="KRW100" s="798"/>
      <c r="KRX100" s="798"/>
      <c r="KRY100" s="798"/>
      <c r="KRZ100" s="798"/>
      <c r="KSA100" s="798"/>
      <c r="KSB100" s="798"/>
      <c r="KSC100" s="798"/>
      <c r="KSD100" s="798"/>
      <c r="KSE100" s="798"/>
      <c r="KSF100" s="798"/>
      <c r="KSG100" s="798"/>
      <c r="KSH100" s="798"/>
      <c r="KSI100" s="798"/>
      <c r="KSJ100" s="798"/>
      <c r="KSK100" s="798"/>
      <c r="KSL100" s="798"/>
      <c r="KSM100" s="798"/>
      <c r="KSN100" s="798"/>
      <c r="KSO100" s="798"/>
      <c r="KSP100" s="798"/>
      <c r="KSQ100" s="798"/>
      <c r="KSR100" s="798"/>
      <c r="KSS100" s="798"/>
      <c r="KST100" s="798"/>
      <c r="KSU100" s="798"/>
      <c r="KSV100" s="798"/>
      <c r="KSW100" s="798"/>
      <c r="KSX100" s="798"/>
      <c r="KSY100" s="798"/>
      <c r="KSZ100" s="798"/>
      <c r="KTA100" s="798"/>
      <c r="KTB100" s="798"/>
      <c r="KTC100" s="798"/>
      <c r="KTD100" s="798"/>
      <c r="KTE100" s="798"/>
      <c r="KTF100" s="798"/>
      <c r="KTG100" s="798"/>
      <c r="KTH100" s="798"/>
      <c r="KTI100" s="798"/>
      <c r="KTJ100" s="798"/>
      <c r="KTK100" s="798"/>
      <c r="KTL100" s="798"/>
      <c r="KTM100" s="798"/>
      <c r="KTN100" s="798"/>
      <c r="KTO100" s="798"/>
      <c r="KTP100" s="798"/>
      <c r="KTQ100" s="798"/>
      <c r="KTR100" s="798"/>
      <c r="KTS100" s="798"/>
      <c r="KTT100" s="798"/>
      <c r="KTU100" s="798"/>
      <c r="KTV100" s="798"/>
      <c r="KTW100" s="798"/>
      <c r="KTX100" s="798"/>
      <c r="KTY100" s="798"/>
      <c r="KTZ100" s="798"/>
      <c r="KUA100" s="798"/>
      <c r="KUB100" s="798"/>
      <c r="KUC100" s="798"/>
      <c r="KUD100" s="798"/>
      <c r="KUE100" s="798"/>
      <c r="KUF100" s="798"/>
      <c r="KUG100" s="798"/>
      <c r="KUH100" s="798"/>
      <c r="KUI100" s="798"/>
      <c r="KUJ100" s="798"/>
      <c r="KUK100" s="798"/>
      <c r="KUL100" s="798"/>
      <c r="KUM100" s="798"/>
      <c r="KUN100" s="798"/>
      <c r="KUO100" s="798"/>
      <c r="KUP100" s="798"/>
      <c r="KUQ100" s="798"/>
      <c r="KUR100" s="798"/>
      <c r="KUS100" s="798"/>
      <c r="KUT100" s="798"/>
      <c r="KUU100" s="798"/>
      <c r="KUV100" s="798"/>
      <c r="KUW100" s="798"/>
      <c r="KUX100" s="798"/>
      <c r="KUY100" s="798"/>
      <c r="KUZ100" s="798"/>
      <c r="KVA100" s="798"/>
      <c r="KVB100" s="798"/>
      <c r="KVC100" s="798"/>
      <c r="KVD100" s="798"/>
      <c r="KVE100" s="798"/>
      <c r="KVF100" s="798"/>
      <c r="KVG100" s="798"/>
      <c r="KVH100" s="798"/>
      <c r="KVI100" s="798"/>
      <c r="KVJ100" s="798"/>
      <c r="KVK100" s="798"/>
      <c r="KVL100" s="798"/>
      <c r="KVM100" s="798"/>
      <c r="KVN100" s="798"/>
      <c r="KVO100" s="798"/>
      <c r="KVP100" s="798"/>
      <c r="KVQ100" s="798"/>
      <c r="KVR100" s="798"/>
      <c r="KVS100" s="798"/>
      <c r="KVT100" s="798"/>
      <c r="KVU100" s="798"/>
      <c r="KVV100" s="798"/>
      <c r="KVW100" s="798"/>
      <c r="KVX100" s="798"/>
      <c r="KVY100" s="798"/>
      <c r="KVZ100" s="798"/>
      <c r="KWA100" s="798"/>
      <c r="KWB100" s="798"/>
      <c r="KWC100" s="798"/>
      <c r="KWD100" s="798"/>
      <c r="KWE100" s="798"/>
      <c r="KWF100" s="798"/>
      <c r="KWG100" s="798"/>
      <c r="KWH100" s="798"/>
      <c r="KWI100" s="798"/>
      <c r="KWJ100" s="798"/>
      <c r="KWK100" s="798"/>
      <c r="KWL100" s="798"/>
      <c r="KWM100" s="798"/>
      <c r="KWN100" s="798"/>
      <c r="KWO100" s="798"/>
      <c r="KWP100" s="798"/>
      <c r="KWQ100" s="798"/>
      <c r="KWR100" s="798"/>
      <c r="KWS100" s="798"/>
      <c r="KWT100" s="798"/>
      <c r="KWU100" s="798"/>
      <c r="KWV100" s="798"/>
      <c r="KWW100" s="798"/>
      <c r="KWX100" s="798"/>
      <c r="KWY100" s="798"/>
      <c r="KWZ100" s="798"/>
      <c r="KXA100" s="798"/>
      <c r="KXB100" s="798"/>
      <c r="KXC100" s="798"/>
      <c r="KXD100" s="798"/>
      <c r="KXE100" s="798"/>
      <c r="KXF100" s="798"/>
      <c r="KXG100" s="798"/>
      <c r="KXH100" s="798"/>
      <c r="KXI100" s="798"/>
      <c r="KXJ100" s="798"/>
      <c r="KXK100" s="798"/>
      <c r="KXL100" s="798"/>
      <c r="KXM100" s="798"/>
      <c r="KXN100" s="798"/>
      <c r="KXO100" s="798"/>
      <c r="KXP100" s="798"/>
      <c r="KXQ100" s="798"/>
      <c r="KXR100" s="798"/>
      <c r="KXS100" s="798"/>
      <c r="KXT100" s="798"/>
      <c r="KXU100" s="798"/>
      <c r="KXV100" s="798"/>
      <c r="KXW100" s="798"/>
      <c r="KXX100" s="798"/>
      <c r="KXY100" s="798"/>
      <c r="KXZ100" s="798"/>
      <c r="KYA100" s="798"/>
      <c r="KYB100" s="798"/>
      <c r="KYC100" s="798"/>
      <c r="KYD100" s="798"/>
      <c r="KYE100" s="798"/>
      <c r="KYF100" s="798"/>
      <c r="KYG100" s="798"/>
      <c r="KYH100" s="798"/>
      <c r="KYI100" s="798"/>
      <c r="KYJ100" s="798"/>
      <c r="KYK100" s="798"/>
      <c r="KYL100" s="798"/>
      <c r="KYM100" s="798"/>
      <c r="KYN100" s="798"/>
      <c r="KYO100" s="798"/>
      <c r="KYP100" s="798"/>
      <c r="KYQ100" s="798"/>
      <c r="KYR100" s="798"/>
      <c r="KYS100" s="798"/>
      <c r="KYT100" s="798"/>
      <c r="KYU100" s="798"/>
      <c r="KYV100" s="798"/>
      <c r="KYW100" s="798"/>
      <c r="KYX100" s="798"/>
      <c r="KYY100" s="798"/>
      <c r="KYZ100" s="798"/>
      <c r="KZA100" s="798"/>
      <c r="KZB100" s="798"/>
      <c r="KZC100" s="798"/>
      <c r="KZD100" s="798"/>
      <c r="KZE100" s="798"/>
      <c r="KZF100" s="798"/>
      <c r="KZG100" s="798"/>
      <c r="KZH100" s="798"/>
      <c r="KZI100" s="798"/>
      <c r="KZJ100" s="798"/>
      <c r="KZK100" s="798"/>
      <c r="KZL100" s="798"/>
      <c r="KZM100" s="798"/>
      <c r="KZN100" s="798"/>
      <c r="KZO100" s="798"/>
      <c r="KZP100" s="798"/>
      <c r="KZQ100" s="798"/>
      <c r="KZR100" s="798"/>
      <c r="KZS100" s="798"/>
      <c r="KZT100" s="798"/>
      <c r="KZU100" s="798"/>
      <c r="KZV100" s="798"/>
      <c r="KZW100" s="798"/>
      <c r="KZX100" s="798"/>
      <c r="KZY100" s="798"/>
      <c r="KZZ100" s="798"/>
      <c r="LAA100" s="798"/>
      <c r="LAB100" s="798"/>
      <c r="LAC100" s="798"/>
      <c r="LAD100" s="798"/>
      <c r="LAE100" s="798"/>
      <c r="LAF100" s="798"/>
      <c r="LAG100" s="798"/>
      <c r="LAH100" s="798"/>
      <c r="LAI100" s="798"/>
      <c r="LAJ100" s="798"/>
      <c r="LAK100" s="798"/>
      <c r="LAL100" s="798"/>
      <c r="LAM100" s="798"/>
      <c r="LAN100" s="798"/>
      <c r="LAO100" s="798"/>
      <c r="LAP100" s="798"/>
      <c r="LAQ100" s="798"/>
      <c r="LAR100" s="798"/>
      <c r="LAS100" s="798"/>
      <c r="LAT100" s="798"/>
      <c r="LAU100" s="798"/>
      <c r="LAV100" s="798"/>
      <c r="LAW100" s="798"/>
      <c r="LAX100" s="798"/>
      <c r="LAY100" s="798"/>
      <c r="LAZ100" s="798"/>
      <c r="LBA100" s="798"/>
      <c r="LBB100" s="798"/>
      <c r="LBC100" s="798"/>
      <c r="LBD100" s="798"/>
      <c r="LBE100" s="798"/>
      <c r="LBF100" s="798"/>
      <c r="LBG100" s="798"/>
      <c r="LBH100" s="798"/>
      <c r="LBI100" s="798"/>
      <c r="LBJ100" s="798"/>
      <c r="LBK100" s="798"/>
      <c r="LBL100" s="798"/>
      <c r="LBM100" s="798"/>
      <c r="LBN100" s="798"/>
      <c r="LBO100" s="798"/>
      <c r="LBP100" s="798"/>
      <c r="LBQ100" s="798"/>
      <c r="LBR100" s="798"/>
      <c r="LBS100" s="798"/>
      <c r="LBT100" s="798"/>
      <c r="LBU100" s="798"/>
      <c r="LBV100" s="798"/>
      <c r="LBW100" s="798"/>
      <c r="LBX100" s="798"/>
      <c r="LBY100" s="798"/>
      <c r="LBZ100" s="798"/>
      <c r="LCA100" s="798"/>
      <c r="LCB100" s="798"/>
      <c r="LCC100" s="798"/>
      <c r="LCD100" s="798"/>
      <c r="LCE100" s="798"/>
      <c r="LCF100" s="798"/>
      <c r="LCG100" s="798"/>
      <c r="LCH100" s="798"/>
      <c r="LCI100" s="798"/>
      <c r="LCJ100" s="798"/>
      <c r="LCK100" s="798"/>
      <c r="LCL100" s="798"/>
      <c r="LCM100" s="798"/>
      <c r="LCN100" s="798"/>
      <c r="LCO100" s="798"/>
      <c r="LCP100" s="798"/>
      <c r="LCQ100" s="798"/>
      <c r="LCR100" s="798"/>
      <c r="LCS100" s="798"/>
      <c r="LCT100" s="798"/>
      <c r="LCU100" s="798"/>
      <c r="LCV100" s="798"/>
      <c r="LCW100" s="798"/>
      <c r="LCX100" s="798"/>
      <c r="LCY100" s="798"/>
      <c r="LCZ100" s="798"/>
      <c r="LDA100" s="798"/>
      <c r="LDB100" s="798"/>
      <c r="LDC100" s="798"/>
      <c r="LDD100" s="798"/>
      <c r="LDE100" s="798"/>
      <c r="LDF100" s="798"/>
      <c r="LDG100" s="798"/>
      <c r="LDH100" s="798"/>
      <c r="LDI100" s="798"/>
      <c r="LDJ100" s="798"/>
      <c r="LDK100" s="798"/>
      <c r="LDL100" s="798"/>
      <c r="LDM100" s="798"/>
      <c r="LDN100" s="798"/>
      <c r="LDO100" s="798"/>
      <c r="LDP100" s="798"/>
      <c r="LDQ100" s="798"/>
      <c r="LDR100" s="798"/>
      <c r="LDS100" s="798"/>
      <c r="LDT100" s="798"/>
      <c r="LDU100" s="798"/>
      <c r="LDV100" s="798"/>
      <c r="LDW100" s="798"/>
      <c r="LDX100" s="798"/>
      <c r="LDY100" s="798"/>
      <c r="LDZ100" s="798"/>
      <c r="LEA100" s="798"/>
      <c r="LEB100" s="798"/>
      <c r="LEC100" s="798"/>
      <c r="LED100" s="798"/>
      <c r="LEE100" s="798"/>
      <c r="LEF100" s="798"/>
      <c r="LEG100" s="798"/>
      <c r="LEH100" s="798"/>
      <c r="LEI100" s="798"/>
      <c r="LEJ100" s="798"/>
      <c r="LEK100" s="798"/>
      <c r="LEL100" s="798"/>
      <c r="LEM100" s="798"/>
      <c r="LEN100" s="798"/>
      <c r="LEO100" s="798"/>
      <c r="LEP100" s="798"/>
      <c r="LEQ100" s="798"/>
      <c r="LER100" s="798"/>
      <c r="LES100" s="798"/>
      <c r="LET100" s="798"/>
      <c r="LEU100" s="798"/>
      <c r="LEV100" s="798"/>
      <c r="LEW100" s="798"/>
      <c r="LEX100" s="798"/>
      <c r="LEY100" s="798"/>
      <c r="LEZ100" s="798"/>
      <c r="LFA100" s="798"/>
      <c r="LFB100" s="798"/>
      <c r="LFC100" s="798"/>
      <c r="LFD100" s="798"/>
      <c r="LFE100" s="798"/>
      <c r="LFF100" s="798"/>
      <c r="LFG100" s="798"/>
      <c r="LFH100" s="798"/>
      <c r="LFI100" s="798"/>
      <c r="LFJ100" s="798"/>
      <c r="LFK100" s="798"/>
      <c r="LFL100" s="798"/>
      <c r="LFM100" s="798"/>
      <c r="LFN100" s="798"/>
      <c r="LFO100" s="798"/>
      <c r="LFP100" s="798"/>
      <c r="LFQ100" s="798"/>
      <c r="LFR100" s="798"/>
      <c r="LFS100" s="798"/>
      <c r="LFT100" s="798"/>
      <c r="LFU100" s="798"/>
      <c r="LFV100" s="798"/>
      <c r="LFW100" s="798"/>
      <c r="LFX100" s="798"/>
      <c r="LFY100" s="798"/>
      <c r="LFZ100" s="798"/>
      <c r="LGA100" s="798"/>
      <c r="LGB100" s="798"/>
      <c r="LGC100" s="798"/>
      <c r="LGD100" s="798"/>
      <c r="LGE100" s="798"/>
      <c r="LGF100" s="798"/>
      <c r="LGG100" s="798"/>
      <c r="LGH100" s="798"/>
      <c r="LGI100" s="798"/>
      <c r="LGJ100" s="798"/>
      <c r="LGK100" s="798"/>
      <c r="LGL100" s="798"/>
      <c r="LGM100" s="798"/>
      <c r="LGN100" s="798"/>
      <c r="LGO100" s="798"/>
      <c r="LGP100" s="798"/>
      <c r="LGQ100" s="798"/>
      <c r="LGR100" s="798"/>
      <c r="LGS100" s="798"/>
      <c r="LGT100" s="798"/>
      <c r="LGU100" s="798"/>
      <c r="LGV100" s="798"/>
      <c r="LGW100" s="798"/>
      <c r="LGX100" s="798"/>
      <c r="LGY100" s="798"/>
      <c r="LGZ100" s="798"/>
      <c r="LHA100" s="798"/>
      <c r="LHB100" s="798"/>
      <c r="LHC100" s="798"/>
      <c r="LHD100" s="798"/>
      <c r="LHE100" s="798"/>
      <c r="LHF100" s="798"/>
      <c r="LHG100" s="798"/>
      <c r="LHH100" s="798"/>
      <c r="LHI100" s="798"/>
      <c r="LHJ100" s="798"/>
      <c r="LHK100" s="798"/>
      <c r="LHL100" s="798"/>
      <c r="LHM100" s="798"/>
      <c r="LHN100" s="798"/>
      <c r="LHO100" s="798"/>
      <c r="LHP100" s="798"/>
      <c r="LHQ100" s="798"/>
      <c r="LHR100" s="798"/>
      <c r="LHS100" s="798"/>
      <c r="LHT100" s="798"/>
      <c r="LHU100" s="798"/>
      <c r="LHV100" s="798"/>
      <c r="LHW100" s="798"/>
      <c r="LHX100" s="798"/>
      <c r="LHY100" s="798"/>
      <c r="LHZ100" s="798"/>
      <c r="LIA100" s="798"/>
      <c r="LIB100" s="798"/>
      <c r="LIC100" s="798"/>
      <c r="LID100" s="798"/>
      <c r="LIE100" s="798"/>
      <c r="LIF100" s="798"/>
      <c r="LIG100" s="798"/>
      <c r="LIH100" s="798"/>
      <c r="LII100" s="798"/>
      <c r="LIJ100" s="798"/>
      <c r="LIK100" s="798"/>
      <c r="LIL100" s="798"/>
      <c r="LIM100" s="798"/>
      <c r="LIN100" s="798"/>
      <c r="LIO100" s="798"/>
      <c r="LIP100" s="798"/>
      <c r="LIQ100" s="798"/>
      <c r="LIR100" s="798"/>
      <c r="LIS100" s="798"/>
      <c r="LIT100" s="798"/>
      <c r="LIU100" s="798"/>
      <c r="LIV100" s="798"/>
      <c r="LIW100" s="798"/>
      <c r="LIX100" s="798"/>
      <c r="LIY100" s="798"/>
      <c r="LIZ100" s="798"/>
      <c r="LJA100" s="798"/>
      <c r="LJB100" s="798"/>
      <c r="LJC100" s="798"/>
      <c r="LJD100" s="798"/>
      <c r="LJE100" s="798"/>
      <c r="LJF100" s="798"/>
      <c r="LJG100" s="798"/>
      <c r="LJH100" s="798"/>
      <c r="LJI100" s="798"/>
      <c r="LJJ100" s="798"/>
      <c r="LJK100" s="798"/>
      <c r="LJL100" s="798"/>
      <c r="LJM100" s="798"/>
      <c r="LJN100" s="798"/>
      <c r="LJO100" s="798"/>
      <c r="LJP100" s="798"/>
      <c r="LJQ100" s="798"/>
      <c r="LJR100" s="798"/>
      <c r="LJS100" s="798"/>
      <c r="LJT100" s="798"/>
      <c r="LJU100" s="798"/>
      <c r="LJV100" s="798"/>
      <c r="LJW100" s="798"/>
      <c r="LJX100" s="798"/>
      <c r="LJY100" s="798"/>
      <c r="LJZ100" s="798"/>
      <c r="LKA100" s="798"/>
      <c r="LKB100" s="798"/>
      <c r="LKC100" s="798"/>
      <c r="LKD100" s="798"/>
      <c r="LKE100" s="798"/>
      <c r="LKF100" s="798"/>
      <c r="LKG100" s="798"/>
      <c r="LKH100" s="798"/>
      <c r="LKI100" s="798"/>
      <c r="LKJ100" s="798"/>
      <c r="LKK100" s="798"/>
      <c r="LKL100" s="798"/>
      <c r="LKM100" s="798"/>
      <c r="LKN100" s="798"/>
      <c r="LKO100" s="798"/>
      <c r="LKP100" s="798"/>
      <c r="LKQ100" s="798"/>
      <c r="LKR100" s="798"/>
      <c r="LKS100" s="798"/>
      <c r="LKT100" s="798"/>
      <c r="LKU100" s="798"/>
      <c r="LKV100" s="798"/>
      <c r="LKW100" s="798"/>
      <c r="LKX100" s="798"/>
      <c r="LKY100" s="798"/>
      <c r="LKZ100" s="798"/>
      <c r="LLA100" s="798"/>
      <c r="LLB100" s="798"/>
      <c r="LLC100" s="798"/>
      <c r="LLD100" s="798"/>
      <c r="LLE100" s="798"/>
      <c r="LLF100" s="798"/>
      <c r="LLG100" s="798"/>
      <c r="LLH100" s="798"/>
      <c r="LLI100" s="798"/>
      <c r="LLJ100" s="798"/>
      <c r="LLK100" s="798"/>
      <c r="LLL100" s="798"/>
      <c r="LLM100" s="798"/>
      <c r="LLN100" s="798"/>
      <c r="LLO100" s="798"/>
      <c r="LLP100" s="798"/>
      <c r="LLQ100" s="798"/>
      <c r="LLR100" s="798"/>
      <c r="LLS100" s="798"/>
      <c r="LLT100" s="798"/>
      <c r="LLU100" s="798"/>
      <c r="LLV100" s="798"/>
      <c r="LLW100" s="798"/>
      <c r="LLX100" s="798"/>
      <c r="LLY100" s="798"/>
      <c r="LLZ100" s="798"/>
      <c r="LMA100" s="798"/>
      <c r="LMB100" s="798"/>
      <c r="LMC100" s="798"/>
      <c r="LMD100" s="798"/>
      <c r="LME100" s="798"/>
      <c r="LMF100" s="798"/>
      <c r="LMG100" s="798"/>
      <c r="LMH100" s="798"/>
      <c r="LMI100" s="798"/>
      <c r="LMJ100" s="798"/>
      <c r="LMK100" s="798"/>
      <c r="LML100" s="798"/>
      <c r="LMM100" s="798"/>
      <c r="LMN100" s="798"/>
      <c r="LMO100" s="798"/>
      <c r="LMP100" s="798"/>
      <c r="LMQ100" s="798"/>
      <c r="LMR100" s="798"/>
      <c r="LMS100" s="798"/>
      <c r="LMT100" s="798"/>
      <c r="LMU100" s="798"/>
      <c r="LMV100" s="798"/>
      <c r="LMW100" s="798"/>
      <c r="LMX100" s="798"/>
      <c r="LMY100" s="798"/>
      <c r="LMZ100" s="798"/>
      <c r="LNA100" s="798"/>
      <c r="LNB100" s="798"/>
      <c r="LNC100" s="798"/>
      <c r="LND100" s="798"/>
      <c r="LNE100" s="798"/>
      <c r="LNF100" s="798"/>
      <c r="LNG100" s="798"/>
      <c r="LNH100" s="798"/>
      <c r="LNI100" s="798"/>
      <c r="LNJ100" s="798"/>
      <c r="LNK100" s="798"/>
      <c r="LNL100" s="798"/>
      <c r="LNM100" s="798"/>
      <c r="LNN100" s="798"/>
      <c r="LNO100" s="798"/>
      <c r="LNP100" s="798"/>
      <c r="LNQ100" s="798"/>
      <c r="LNR100" s="798"/>
      <c r="LNS100" s="798"/>
      <c r="LNT100" s="798"/>
      <c r="LNU100" s="798"/>
      <c r="LNV100" s="798"/>
      <c r="LNW100" s="798"/>
      <c r="LNX100" s="798"/>
      <c r="LNY100" s="798"/>
      <c r="LNZ100" s="798"/>
      <c r="LOA100" s="798"/>
      <c r="LOB100" s="798"/>
      <c r="LOC100" s="798"/>
      <c r="LOD100" s="798"/>
      <c r="LOE100" s="798"/>
      <c r="LOF100" s="798"/>
      <c r="LOG100" s="798"/>
      <c r="LOH100" s="798"/>
      <c r="LOI100" s="798"/>
      <c r="LOJ100" s="798"/>
      <c r="LOK100" s="798"/>
      <c r="LOL100" s="798"/>
      <c r="LOM100" s="798"/>
      <c r="LON100" s="798"/>
      <c r="LOO100" s="798"/>
      <c r="LOP100" s="798"/>
      <c r="LOQ100" s="798"/>
      <c r="LOR100" s="798"/>
      <c r="LOS100" s="798"/>
      <c r="LOT100" s="798"/>
      <c r="LOU100" s="798"/>
      <c r="LOV100" s="798"/>
      <c r="LOW100" s="798"/>
      <c r="LOX100" s="798"/>
      <c r="LOY100" s="798"/>
      <c r="LOZ100" s="798"/>
      <c r="LPA100" s="798"/>
      <c r="LPB100" s="798"/>
      <c r="LPC100" s="798"/>
      <c r="LPD100" s="798"/>
      <c r="LPE100" s="798"/>
      <c r="LPF100" s="798"/>
      <c r="LPG100" s="798"/>
      <c r="LPH100" s="798"/>
      <c r="LPI100" s="798"/>
      <c r="LPJ100" s="798"/>
      <c r="LPK100" s="798"/>
      <c r="LPL100" s="798"/>
      <c r="LPM100" s="798"/>
      <c r="LPN100" s="798"/>
      <c r="LPO100" s="798"/>
      <c r="LPP100" s="798"/>
      <c r="LPQ100" s="798"/>
      <c r="LPR100" s="798"/>
      <c r="LPS100" s="798"/>
      <c r="LPT100" s="798"/>
      <c r="LPU100" s="798"/>
      <c r="LPV100" s="798"/>
      <c r="LPW100" s="798"/>
      <c r="LPX100" s="798"/>
      <c r="LPY100" s="798"/>
      <c r="LPZ100" s="798"/>
      <c r="LQA100" s="798"/>
      <c r="LQB100" s="798"/>
      <c r="LQC100" s="798"/>
      <c r="LQD100" s="798"/>
      <c r="LQE100" s="798"/>
      <c r="LQF100" s="798"/>
      <c r="LQG100" s="798"/>
      <c r="LQH100" s="798"/>
      <c r="LQI100" s="798"/>
      <c r="LQJ100" s="798"/>
      <c r="LQK100" s="798"/>
      <c r="LQL100" s="798"/>
      <c r="LQM100" s="798"/>
      <c r="LQN100" s="798"/>
      <c r="LQO100" s="798"/>
      <c r="LQP100" s="798"/>
      <c r="LQQ100" s="798"/>
      <c r="LQR100" s="798"/>
      <c r="LQS100" s="798"/>
      <c r="LQT100" s="798"/>
      <c r="LQU100" s="798"/>
      <c r="LQV100" s="798"/>
      <c r="LQW100" s="798"/>
      <c r="LQX100" s="798"/>
      <c r="LQY100" s="798"/>
      <c r="LQZ100" s="798"/>
      <c r="LRA100" s="798"/>
      <c r="LRB100" s="798"/>
      <c r="LRC100" s="798"/>
      <c r="LRD100" s="798"/>
      <c r="LRE100" s="798"/>
      <c r="LRF100" s="798"/>
      <c r="LRG100" s="798"/>
      <c r="LRH100" s="798"/>
      <c r="LRI100" s="798"/>
      <c r="LRJ100" s="798"/>
      <c r="LRK100" s="798"/>
      <c r="LRL100" s="798"/>
      <c r="LRM100" s="798"/>
      <c r="LRN100" s="798"/>
      <c r="LRO100" s="798"/>
      <c r="LRP100" s="798"/>
      <c r="LRQ100" s="798"/>
      <c r="LRR100" s="798"/>
      <c r="LRS100" s="798"/>
      <c r="LRT100" s="798"/>
      <c r="LRU100" s="798"/>
      <c r="LRV100" s="798"/>
      <c r="LRW100" s="798"/>
      <c r="LRX100" s="798"/>
      <c r="LRY100" s="798"/>
      <c r="LRZ100" s="798"/>
      <c r="LSA100" s="798"/>
      <c r="LSB100" s="798"/>
      <c r="LSC100" s="798"/>
      <c r="LSD100" s="798"/>
      <c r="LSE100" s="798"/>
      <c r="LSF100" s="798"/>
      <c r="LSG100" s="798"/>
      <c r="LSH100" s="798"/>
      <c r="LSI100" s="798"/>
      <c r="LSJ100" s="798"/>
      <c r="LSK100" s="798"/>
      <c r="LSL100" s="798"/>
      <c r="LSM100" s="798"/>
      <c r="LSN100" s="798"/>
      <c r="LSO100" s="798"/>
      <c r="LSP100" s="798"/>
      <c r="LSQ100" s="798"/>
      <c r="LSR100" s="798"/>
      <c r="LSS100" s="798"/>
      <c r="LST100" s="798"/>
      <c r="LSU100" s="798"/>
      <c r="LSV100" s="798"/>
      <c r="LSW100" s="798"/>
      <c r="LSX100" s="798"/>
      <c r="LSY100" s="798"/>
      <c r="LSZ100" s="798"/>
      <c r="LTA100" s="798"/>
      <c r="LTB100" s="798"/>
      <c r="LTC100" s="798"/>
      <c r="LTD100" s="798"/>
      <c r="LTE100" s="798"/>
      <c r="LTF100" s="798"/>
      <c r="LTG100" s="798"/>
      <c r="LTH100" s="798"/>
      <c r="LTI100" s="798"/>
      <c r="LTJ100" s="798"/>
      <c r="LTK100" s="798"/>
      <c r="LTL100" s="798"/>
      <c r="LTM100" s="798"/>
      <c r="LTN100" s="798"/>
      <c r="LTO100" s="798"/>
      <c r="LTP100" s="798"/>
      <c r="LTQ100" s="798"/>
      <c r="LTR100" s="798"/>
      <c r="LTS100" s="798"/>
      <c r="LTT100" s="798"/>
      <c r="LTU100" s="798"/>
      <c r="LTV100" s="798"/>
      <c r="LTW100" s="798"/>
      <c r="LTX100" s="798"/>
      <c r="LTY100" s="798"/>
      <c r="LTZ100" s="798"/>
      <c r="LUA100" s="798"/>
      <c r="LUB100" s="798"/>
      <c r="LUC100" s="798"/>
      <c r="LUD100" s="798"/>
      <c r="LUE100" s="798"/>
      <c r="LUF100" s="798"/>
      <c r="LUG100" s="798"/>
      <c r="LUH100" s="798"/>
      <c r="LUI100" s="798"/>
      <c r="LUJ100" s="798"/>
      <c r="LUK100" s="798"/>
      <c r="LUL100" s="798"/>
      <c r="LUM100" s="798"/>
      <c r="LUN100" s="798"/>
      <c r="LUO100" s="798"/>
      <c r="LUP100" s="798"/>
      <c r="LUQ100" s="798"/>
      <c r="LUR100" s="798"/>
      <c r="LUS100" s="798"/>
      <c r="LUT100" s="798"/>
      <c r="LUU100" s="798"/>
      <c r="LUV100" s="798"/>
      <c r="LUW100" s="798"/>
      <c r="LUX100" s="798"/>
      <c r="LUY100" s="798"/>
      <c r="LUZ100" s="798"/>
      <c r="LVA100" s="798"/>
      <c r="LVB100" s="798"/>
      <c r="LVC100" s="798"/>
      <c r="LVD100" s="798"/>
      <c r="LVE100" s="798"/>
      <c r="LVF100" s="798"/>
      <c r="LVG100" s="798"/>
      <c r="LVH100" s="798"/>
      <c r="LVI100" s="798"/>
      <c r="LVJ100" s="798"/>
      <c r="LVK100" s="798"/>
      <c r="LVL100" s="798"/>
      <c r="LVM100" s="798"/>
      <c r="LVN100" s="798"/>
      <c r="LVO100" s="798"/>
      <c r="LVP100" s="798"/>
      <c r="LVQ100" s="798"/>
      <c r="LVR100" s="798"/>
      <c r="LVS100" s="798"/>
      <c r="LVT100" s="798"/>
      <c r="LVU100" s="798"/>
      <c r="LVV100" s="798"/>
      <c r="LVW100" s="798"/>
      <c r="LVX100" s="798"/>
      <c r="LVY100" s="798"/>
      <c r="LVZ100" s="798"/>
      <c r="LWA100" s="798"/>
      <c r="LWB100" s="798"/>
      <c r="LWC100" s="798"/>
      <c r="LWD100" s="798"/>
      <c r="LWE100" s="798"/>
      <c r="LWF100" s="798"/>
      <c r="LWG100" s="798"/>
      <c r="LWH100" s="798"/>
      <c r="LWI100" s="798"/>
      <c r="LWJ100" s="798"/>
      <c r="LWK100" s="798"/>
      <c r="LWL100" s="798"/>
      <c r="LWM100" s="798"/>
      <c r="LWN100" s="798"/>
      <c r="LWO100" s="798"/>
      <c r="LWP100" s="798"/>
      <c r="LWQ100" s="798"/>
      <c r="LWR100" s="798"/>
      <c r="LWS100" s="798"/>
      <c r="LWT100" s="798"/>
      <c r="LWU100" s="798"/>
      <c r="LWV100" s="798"/>
      <c r="LWW100" s="798"/>
      <c r="LWX100" s="798"/>
      <c r="LWY100" s="798"/>
      <c r="LWZ100" s="798"/>
      <c r="LXA100" s="798"/>
      <c r="LXB100" s="798"/>
      <c r="LXC100" s="798"/>
      <c r="LXD100" s="798"/>
      <c r="LXE100" s="798"/>
      <c r="LXF100" s="798"/>
      <c r="LXG100" s="798"/>
      <c r="LXH100" s="798"/>
      <c r="LXI100" s="798"/>
      <c r="LXJ100" s="798"/>
      <c r="LXK100" s="798"/>
      <c r="LXL100" s="798"/>
      <c r="LXM100" s="798"/>
      <c r="LXN100" s="798"/>
      <c r="LXO100" s="798"/>
      <c r="LXP100" s="798"/>
      <c r="LXQ100" s="798"/>
      <c r="LXR100" s="798"/>
      <c r="LXS100" s="798"/>
      <c r="LXT100" s="798"/>
      <c r="LXU100" s="798"/>
      <c r="LXV100" s="798"/>
      <c r="LXW100" s="798"/>
      <c r="LXX100" s="798"/>
      <c r="LXY100" s="798"/>
      <c r="LXZ100" s="798"/>
      <c r="LYA100" s="798"/>
      <c r="LYB100" s="798"/>
      <c r="LYC100" s="798"/>
      <c r="LYD100" s="798"/>
      <c r="LYE100" s="798"/>
      <c r="LYF100" s="798"/>
      <c r="LYG100" s="798"/>
      <c r="LYH100" s="798"/>
      <c r="LYI100" s="798"/>
      <c r="LYJ100" s="798"/>
      <c r="LYK100" s="798"/>
      <c r="LYL100" s="798"/>
      <c r="LYM100" s="798"/>
      <c r="LYN100" s="798"/>
      <c r="LYO100" s="798"/>
      <c r="LYP100" s="798"/>
      <c r="LYQ100" s="798"/>
      <c r="LYR100" s="798"/>
      <c r="LYS100" s="798"/>
      <c r="LYT100" s="798"/>
      <c r="LYU100" s="798"/>
      <c r="LYV100" s="798"/>
      <c r="LYW100" s="798"/>
      <c r="LYX100" s="798"/>
      <c r="LYY100" s="798"/>
      <c r="LYZ100" s="798"/>
      <c r="LZA100" s="798"/>
      <c r="LZB100" s="798"/>
      <c r="LZC100" s="798"/>
      <c r="LZD100" s="798"/>
      <c r="LZE100" s="798"/>
      <c r="LZF100" s="798"/>
      <c r="LZG100" s="798"/>
      <c r="LZH100" s="798"/>
      <c r="LZI100" s="798"/>
      <c r="LZJ100" s="798"/>
      <c r="LZK100" s="798"/>
      <c r="LZL100" s="798"/>
      <c r="LZM100" s="798"/>
      <c r="LZN100" s="798"/>
      <c r="LZO100" s="798"/>
      <c r="LZP100" s="798"/>
      <c r="LZQ100" s="798"/>
      <c r="LZR100" s="798"/>
      <c r="LZS100" s="798"/>
      <c r="LZT100" s="798"/>
      <c r="LZU100" s="798"/>
      <c r="LZV100" s="798"/>
      <c r="LZW100" s="798"/>
      <c r="LZX100" s="798"/>
      <c r="LZY100" s="798"/>
      <c r="LZZ100" s="798"/>
      <c r="MAA100" s="798"/>
      <c r="MAB100" s="798"/>
      <c r="MAC100" s="798"/>
      <c r="MAD100" s="798"/>
      <c r="MAE100" s="798"/>
      <c r="MAF100" s="798"/>
      <c r="MAG100" s="798"/>
      <c r="MAH100" s="798"/>
      <c r="MAI100" s="798"/>
      <c r="MAJ100" s="798"/>
      <c r="MAK100" s="798"/>
      <c r="MAL100" s="798"/>
      <c r="MAM100" s="798"/>
      <c r="MAN100" s="798"/>
      <c r="MAO100" s="798"/>
      <c r="MAP100" s="798"/>
      <c r="MAQ100" s="798"/>
      <c r="MAR100" s="798"/>
      <c r="MAS100" s="798"/>
      <c r="MAT100" s="798"/>
      <c r="MAU100" s="798"/>
      <c r="MAV100" s="798"/>
      <c r="MAW100" s="798"/>
      <c r="MAX100" s="798"/>
      <c r="MAY100" s="798"/>
      <c r="MAZ100" s="798"/>
      <c r="MBA100" s="798"/>
      <c r="MBB100" s="798"/>
      <c r="MBC100" s="798"/>
      <c r="MBD100" s="798"/>
      <c r="MBE100" s="798"/>
      <c r="MBF100" s="798"/>
      <c r="MBG100" s="798"/>
      <c r="MBH100" s="798"/>
      <c r="MBI100" s="798"/>
      <c r="MBJ100" s="798"/>
      <c r="MBK100" s="798"/>
      <c r="MBL100" s="798"/>
      <c r="MBM100" s="798"/>
      <c r="MBN100" s="798"/>
      <c r="MBO100" s="798"/>
      <c r="MBP100" s="798"/>
      <c r="MBQ100" s="798"/>
      <c r="MBR100" s="798"/>
      <c r="MBS100" s="798"/>
      <c r="MBT100" s="798"/>
      <c r="MBU100" s="798"/>
      <c r="MBV100" s="798"/>
      <c r="MBW100" s="798"/>
      <c r="MBX100" s="798"/>
      <c r="MBY100" s="798"/>
      <c r="MBZ100" s="798"/>
      <c r="MCA100" s="798"/>
      <c r="MCB100" s="798"/>
      <c r="MCC100" s="798"/>
      <c r="MCD100" s="798"/>
      <c r="MCE100" s="798"/>
      <c r="MCF100" s="798"/>
      <c r="MCG100" s="798"/>
      <c r="MCH100" s="798"/>
      <c r="MCI100" s="798"/>
      <c r="MCJ100" s="798"/>
      <c r="MCK100" s="798"/>
      <c r="MCL100" s="798"/>
      <c r="MCM100" s="798"/>
      <c r="MCN100" s="798"/>
      <c r="MCO100" s="798"/>
      <c r="MCP100" s="798"/>
      <c r="MCQ100" s="798"/>
      <c r="MCR100" s="798"/>
      <c r="MCS100" s="798"/>
      <c r="MCT100" s="798"/>
      <c r="MCU100" s="798"/>
      <c r="MCV100" s="798"/>
      <c r="MCW100" s="798"/>
      <c r="MCX100" s="798"/>
      <c r="MCY100" s="798"/>
      <c r="MCZ100" s="798"/>
      <c r="MDA100" s="798"/>
      <c r="MDB100" s="798"/>
      <c r="MDC100" s="798"/>
      <c r="MDD100" s="798"/>
      <c r="MDE100" s="798"/>
      <c r="MDF100" s="798"/>
      <c r="MDG100" s="798"/>
      <c r="MDH100" s="798"/>
      <c r="MDI100" s="798"/>
      <c r="MDJ100" s="798"/>
      <c r="MDK100" s="798"/>
      <c r="MDL100" s="798"/>
      <c r="MDM100" s="798"/>
      <c r="MDN100" s="798"/>
      <c r="MDO100" s="798"/>
      <c r="MDP100" s="798"/>
      <c r="MDQ100" s="798"/>
      <c r="MDR100" s="798"/>
      <c r="MDS100" s="798"/>
      <c r="MDT100" s="798"/>
      <c r="MDU100" s="798"/>
      <c r="MDV100" s="798"/>
      <c r="MDW100" s="798"/>
      <c r="MDX100" s="798"/>
      <c r="MDY100" s="798"/>
      <c r="MDZ100" s="798"/>
      <c r="MEA100" s="798"/>
      <c r="MEB100" s="798"/>
      <c r="MEC100" s="798"/>
      <c r="MED100" s="798"/>
      <c r="MEE100" s="798"/>
      <c r="MEF100" s="798"/>
      <c r="MEG100" s="798"/>
      <c r="MEH100" s="798"/>
      <c r="MEI100" s="798"/>
      <c r="MEJ100" s="798"/>
      <c r="MEK100" s="798"/>
      <c r="MEL100" s="798"/>
      <c r="MEM100" s="798"/>
      <c r="MEN100" s="798"/>
      <c r="MEO100" s="798"/>
      <c r="MEP100" s="798"/>
      <c r="MEQ100" s="798"/>
      <c r="MER100" s="798"/>
      <c r="MES100" s="798"/>
      <c r="MET100" s="798"/>
      <c r="MEU100" s="798"/>
      <c r="MEV100" s="798"/>
      <c r="MEW100" s="798"/>
      <c r="MEX100" s="798"/>
      <c r="MEY100" s="798"/>
      <c r="MEZ100" s="798"/>
      <c r="MFA100" s="798"/>
      <c r="MFB100" s="798"/>
      <c r="MFC100" s="798"/>
      <c r="MFD100" s="798"/>
      <c r="MFE100" s="798"/>
      <c r="MFF100" s="798"/>
      <c r="MFG100" s="798"/>
      <c r="MFH100" s="798"/>
      <c r="MFI100" s="798"/>
      <c r="MFJ100" s="798"/>
      <c r="MFK100" s="798"/>
      <c r="MFL100" s="798"/>
      <c r="MFM100" s="798"/>
      <c r="MFN100" s="798"/>
      <c r="MFO100" s="798"/>
      <c r="MFP100" s="798"/>
      <c r="MFQ100" s="798"/>
      <c r="MFR100" s="798"/>
      <c r="MFS100" s="798"/>
      <c r="MFT100" s="798"/>
      <c r="MFU100" s="798"/>
      <c r="MFV100" s="798"/>
      <c r="MFW100" s="798"/>
      <c r="MFX100" s="798"/>
      <c r="MFY100" s="798"/>
      <c r="MFZ100" s="798"/>
      <c r="MGA100" s="798"/>
      <c r="MGB100" s="798"/>
      <c r="MGC100" s="798"/>
      <c r="MGD100" s="798"/>
      <c r="MGE100" s="798"/>
      <c r="MGF100" s="798"/>
      <c r="MGG100" s="798"/>
      <c r="MGH100" s="798"/>
      <c r="MGI100" s="798"/>
      <c r="MGJ100" s="798"/>
      <c r="MGK100" s="798"/>
      <c r="MGL100" s="798"/>
      <c r="MGM100" s="798"/>
      <c r="MGN100" s="798"/>
      <c r="MGO100" s="798"/>
      <c r="MGP100" s="798"/>
      <c r="MGQ100" s="798"/>
      <c r="MGR100" s="798"/>
      <c r="MGS100" s="798"/>
      <c r="MGT100" s="798"/>
      <c r="MGU100" s="798"/>
      <c r="MGV100" s="798"/>
      <c r="MGW100" s="798"/>
      <c r="MGX100" s="798"/>
      <c r="MGY100" s="798"/>
      <c r="MGZ100" s="798"/>
      <c r="MHA100" s="798"/>
      <c r="MHB100" s="798"/>
      <c r="MHC100" s="798"/>
      <c r="MHD100" s="798"/>
      <c r="MHE100" s="798"/>
      <c r="MHF100" s="798"/>
      <c r="MHG100" s="798"/>
      <c r="MHH100" s="798"/>
      <c r="MHI100" s="798"/>
      <c r="MHJ100" s="798"/>
      <c r="MHK100" s="798"/>
      <c r="MHL100" s="798"/>
      <c r="MHM100" s="798"/>
      <c r="MHN100" s="798"/>
      <c r="MHO100" s="798"/>
      <c r="MHP100" s="798"/>
      <c r="MHQ100" s="798"/>
      <c r="MHR100" s="798"/>
      <c r="MHS100" s="798"/>
      <c r="MHT100" s="798"/>
      <c r="MHU100" s="798"/>
      <c r="MHV100" s="798"/>
      <c r="MHW100" s="798"/>
      <c r="MHX100" s="798"/>
      <c r="MHY100" s="798"/>
      <c r="MHZ100" s="798"/>
      <c r="MIA100" s="798"/>
      <c r="MIB100" s="798"/>
      <c r="MIC100" s="798"/>
      <c r="MID100" s="798"/>
      <c r="MIE100" s="798"/>
      <c r="MIF100" s="798"/>
      <c r="MIG100" s="798"/>
      <c r="MIH100" s="798"/>
      <c r="MII100" s="798"/>
      <c r="MIJ100" s="798"/>
      <c r="MIK100" s="798"/>
      <c r="MIL100" s="798"/>
      <c r="MIM100" s="798"/>
      <c r="MIN100" s="798"/>
      <c r="MIO100" s="798"/>
      <c r="MIP100" s="798"/>
      <c r="MIQ100" s="798"/>
      <c r="MIR100" s="798"/>
      <c r="MIS100" s="798"/>
      <c r="MIT100" s="798"/>
      <c r="MIU100" s="798"/>
      <c r="MIV100" s="798"/>
      <c r="MIW100" s="798"/>
      <c r="MIX100" s="798"/>
      <c r="MIY100" s="798"/>
      <c r="MIZ100" s="798"/>
      <c r="MJA100" s="798"/>
      <c r="MJB100" s="798"/>
      <c r="MJC100" s="798"/>
      <c r="MJD100" s="798"/>
      <c r="MJE100" s="798"/>
      <c r="MJF100" s="798"/>
      <c r="MJG100" s="798"/>
      <c r="MJH100" s="798"/>
      <c r="MJI100" s="798"/>
      <c r="MJJ100" s="798"/>
      <c r="MJK100" s="798"/>
      <c r="MJL100" s="798"/>
      <c r="MJM100" s="798"/>
      <c r="MJN100" s="798"/>
      <c r="MJO100" s="798"/>
      <c r="MJP100" s="798"/>
      <c r="MJQ100" s="798"/>
      <c r="MJR100" s="798"/>
      <c r="MJS100" s="798"/>
      <c r="MJT100" s="798"/>
      <c r="MJU100" s="798"/>
      <c r="MJV100" s="798"/>
      <c r="MJW100" s="798"/>
      <c r="MJX100" s="798"/>
      <c r="MJY100" s="798"/>
      <c r="MJZ100" s="798"/>
      <c r="MKA100" s="798"/>
      <c r="MKB100" s="798"/>
      <c r="MKC100" s="798"/>
      <c r="MKD100" s="798"/>
      <c r="MKE100" s="798"/>
      <c r="MKF100" s="798"/>
      <c r="MKG100" s="798"/>
      <c r="MKH100" s="798"/>
      <c r="MKI100" s="798"/>
      <c r="MKJ100" s="798"/>
      <c r="MKK100" s="798"/>
      <c r="MKL100" s="798"/>
      <c r="MKM100" s="798"/>
      <c r="MKN100" s="798"/>
      <c r="MKO100" s="798"/>
      <c r="MKP100" s="798"/>
      <c r="MKQ100" s="798"/>
      <c r="MKR100" s="798"/>
      <c r="MKS100" s="798"/>
      <c r="MKT100" s="798"/>
      <c r="MKU100" s="798"/>
      <c r="MKV100" s="798"/>
      <c r="MKW100" s="798"/>
      <c r="MKX100" s="798"/>
      <c r="MKY100" s="798"/>
      <c r="MKZ100" s="798"/>
      <c r="MLA100" s="798"/>
      <c r="MLB100" s="798"/>
      <c r="MLC100" s="798"/>
      <c r="MLD100" s="798"/>
      <c r="MLE100" s="798"/>
      <c r="MLF100" s="798"/>
      <c r="MLG100" s="798"/>
      <c r="MLH100" s="798"/>
      <c r="MLI100" s="798"/>
      <c r="MLJ100" s="798"/>
      <c r="MLK100" s="798"/>
      <c r="MLL100" s="798"/>
      <c r="MLM100" s="798"/>
      <c r="MLN100" s="798"/>
      <c r="MLO100" s="798"/>
      <c r="MLP100" s="798"/>
      <c r="MLQ100" s="798"/>
      <c r="MLR100" s="798"/>
      <c r="MLS100" s="798"/>
      <c r="MLT100" s="798"/>
      <c r="MLU100" s="798"/>
      <c r="MLV100" s="798"/>
      <c r="MLW100" s="798"/>
      <c r="MLX100" s="798"/>
      <c r="MLY100" s="798"/>
      <c r="MLZ100" s="798"/>
      <c r="MMA100" s="798"/>
      <c r="MMB100" s="798"/>
      <c r="MMC100" s="798"/>
      <c r="MMD100" s="798"/>
      <c r="MME100" s="798"/>
      <c r="MMF100" s="798"/>
      <c r="MMG100" s="798"/>
      <c r="MMH100" s="798"/>
      <c r="MMI100" s="798"/>
      <c r="MMJ100" s="798"/>
      <c r="MMK100" s="798"/>
      <c r="MML100" s="798"/>
      <c r="MMM100" s="798"/>
      <c r="MMN100" s="798"/>
      <c r="MMO100" s="798"/>
      <c r="MMP100" s="798"/>
      <c r="MMQ100" s="798"/>
      <c r="MMR100" s="798"/>
      <c r="MMS100" s="798"/>
      <c r="MMT100" s="798"/>
      <c r="MMU100" s="798"/>
      <c r="MMV100" s="798"/>
      <c r="MMW100" s="798"/>
      <c r="MMX100" s="798"/>
      <c r="MMY100" s="798"/>
      <c r="MMZ100" s="798"/>
      <c r="MNA100" s="798"/>
      <c r="MNB100" s="798"/>
      <c r="MNC100" s="798"/>
      <c r="MND100" s="798"/>
      <c r="MNE100" s="798"/>
      <c r="MNF100" s="798"/>
      <c r="MNG100" s="798"/>
      <c r="MNH100" s="798"/>
      <c r="MNI100" s="798"/>
      <c r="MNJ100" s="798"/>
      <c r="MNK100" s="798"/>
      <c r="MNL100" s="798"/>
      <c r="MNM100" s="798"/>
      <c r="MNN100" s="798"/>
      <c r="MNO100" s="798"/>
      <c r="MNP100" s="798"/>
      <c r="MNQ100" s="798"/>
      <c r="MNR100" s="798"/>
      <c r="MNS100" s="798"/>
      <c r="MNT100" s="798"/>
      <c r="MNU100" s="798"/>
      <c r="MNV100" s="798"/>
      <c r="MNW100" s="798"/>
      <c r="MNX100" s="798"/>
      <c r="MNY100" s="798"/>
      <c r="MNZ100" s="798"/>
      <c r="MOA100" s="798"/>
      <c r="MOB100" s="798"/>
      <c r="MOC100" s="798"/>
      <c r="MOD100" s="798"/>
      <c r="MOE100" s="798"/>
      <c r="MOF100" s="798"/>
      <c r="MOG100" s="798"/>
      <c r="MOH100" s="798"/>
      <c r="MOI100" s="798"/>
      <c r="MOJ100" s="798"/>
      <c r="MOK100" s="798"/>
      <c r="MOL100" s="798"/>
      <c r="MOM100" s="798"/>
      <c r="MON100" s="798"/>
      <c r="MOO100" s="798"/>
      <c r="MOP100" s="798"/>
      <c r="MOQ100" s="798"/>
      <c r="MOR100" s="798"/>
      <c r="MOS100" s="798"/>
      <c r="MOT100" s="798"/>
      <c r="MOU100" s="798"/>
      <c r="MOV100" s="798"/>
      <c r="MOW100" s="798"/>
      <c r="MOX100" s="798"/>
      <c r="MOY100" s="798"/>
      <c r="MOZ100" s="798"/>
      <c r="MPA100" s="798"/>
      <c r="MPB100" s="798"/>
      <c r="MPC100" s="798"/>
      <c r="MPD100" s="798"/>
      <c r="MPE100" s="798"/>
      <c r="MPF100" s="798"/>
      <c r="MPG100" s="798"/>
      <c r="MPH100" s="798"/>
      <c r="MPI100" s="798"/>
      <c r="MPJ100" s="798"/>
      <c r="MPK100" s="798"/>
      <c r="MPL100" s="798"/>
      <c r="MPM100" s="798"/>
      <c r="MPN100" s="798"/>
      <c r="MPO100" s="798"/>
      <c r="MPP100" s="798"/>
      <c r="MPQ100" s="798"/>
      <c r="MPR100" s="798"/>
      <c r="MPS100" s="798"/>
      <c r="MPT100" s="798"/>
      <c r="MPU100" s="798"/>
      <c r="MPV100" s="798"/>
      <c r="MPW100" s="798"/>
      <c r="MPX100" s="798"/>
      <c r="MPY100" s="798"/>
      <c r="MPZ100" s="798"/>
      <c r="MQA100" s="798"/>
      <c r="MQB100" s="798"/>
      <c r="MQC100" s="798"/>
      <c r="MQD100" s="798"/>
      <c r="MQE100" s="798"/>
      <c r="MQF100" s="798"/>
      <c r="MQG100" s="798"/>
      <c r="MQH100" s="798"/>
      <c r="MQI100" s="798"/>
      <c r="MQJ100" s="798"/>
      <c r="MQK100" s="798"/>
      <c r="MQL100" s="798"/>
      <c r="MQM100" s="798"/>
      <c r="MQN100" s="798"/>
      <c r="MQO100" s="798"/>
      <c r="MQP100" s="798"/>
      <c r="MQQ100" s="798"/>
      <c r="MQR100" s="798"/>
      <c r="MQS100" s="798"/>
      <c r="MQT100" s="798"/>
      <c r="MQU100" s="798"/>
      <c r="MQV100" s="798"/>
      <c r="MQW100" s="798"/>
      <c r="MQX100" s="798"/>
      <c r="MQY100" s="798"/>
      <c r="MQZ100" s="798"/>
      <c r="MRA100" s="798"/>
      <c r="MRB100" s="798"/>
      <c r="MRC100" s="798"/>
      <c r="MRD100" s="798"/>
      <c r="MRE100" s="798"/>
      <c r="MRF100" s="798"/>
      <c r="MRG100" s="798"/>
      <c r="MRH100" s="798"/>
      <c r="MRI100" s="798"/>
      <c r="MRJ100" s="798"/>
      <c r="MRK100" s="798"/>
      <c r="MRL100" s="798"/>
      <c r="MRM100" s="798"/>
      <c r="MRN100" s="798"/>
      <c r="MRO100" s="798"/>
      <c r="MRP100" s="798"/>
      <c r="MRQ100" s="798"/>
      <c r="MRR100" s="798"/>
      <c r="MRS100" s="798"/>
      <c r="MRT100" s="798"/>
      <c r="MRU100" s="798"/>
      <c r="MRV100" s="798"/>
      <c r="MRW100" s="798"/>
      <c r="MRX100" s="798"/>
      <c r="MRY100" s="798"/>
      <c r="MRZ100" s="798"/>
      <c r="MSA100" s="798"/>
      <c r="MSB100" s="798"/>
      <c r="MSC100" s="798"/>
      <c r="MSD100" s="798"/>
      <c r="MSE100" s="798"/>
      <c r="MSF100" s="798"/>
      <c r="MSG100" s="798"/>
      <c r="MSH100" s="798"/>
      <c r="MSI100" s="798"/>
      <c r="MSJ100" s="798"/>
      <c r="MSK100" s="798"/>
      <c r="MSL100" s="798"/>
      <c r="MSM100" s="798"/>
      <c r="MSN100" s="798"/>
      <c r="MSO100" s="798"/>
      <c r="MSP100" s="798"/>
      <c r="MSQ100" s="798"/>
      <c r="MSR100" s="798"/>
      <c r="MSS100" s="798"/>
      <c r="MST100" s="798"/>
      <c r="MSU100" s="798"/>
      <c r="MSV100" s="798"/>
      <c r="MSW100" s="798"/>
      <c r="MSX100" s="798"/>
      <c r="MSY100" s="798"/>
      <c r="MSZ100" s="798"/>
      <c r="MTA100" s="798"/>
      <c r="MTB100" s="798"/>
      <c r="MTC100" s="798"/>
      <c r="MTD100" s="798"/>
      <c r="MTE100" s="798"/>
      <c r="MTF100" s="798"/>
      <c r="MTG100" s="798"/>
      <c r="MTH100" s="798"/>
      <c r="MTI100" s="798"/>
      <c r="MTJ100" s="798"/>
      <c r="MTK100" s="798"/>
      <c r="MTL100" s="798"/>
      <c r="MTM100" s="798"/>
      <c r="MTN100" s="798"/>
      <c r="MTO100" s="798"/>
      <c r="MTP100" s="798"/>
      <c r="MTQ100" s="798"/>
      <c r="MTR100" s="798"/>
      <c r="MTS100" s="798"/>
      <c r="MTT100" s="798"/>
      <c r="MTU100" s="798"/>
      <c r="MTV100" s="798"/>
      <c r="MTW100" s="798"/>
      <c r="MTX100" s="798"/>
      <c r="MTY100" s="798"/>
      <c r="MTZ100" s="798"/>
      <c r="MUA100" s="798"/>
      <c r="MUB100" s="798"/>
      <c r="MUC100" s="798"/>
      <c r="MUD100" s="798"/>
      <c r="MUE100" s="798"/>
      <c r="MUF100" s="798"/>
      <c r="MUG100" s="798"/>
      <c r="MUH100" s="798"/>
      <c r="MUI100" s="798"/>
      <c r="MUJ100" s="798"/>
      <c r="MUK100" s="798"/>
      <c r="MUL100" s="798"/>
      <c r="MUM100" s="798"/>
      <c r="MUN100" s="798"/>
      <c r="MUO100" s="798"/>
      <c r="MUP100" s="798"/>
      <c r="MUQ100" s="798"/>
      <c r="MUR100" s="798"/>
      <c r="MUS100" s="798"/>
      <c r="MUT100" s="798"/>
      <c r="MUU100" s="798"/>
      <c r="MUV100" s="798"/>
      <c r="MUW100" s="798"/>
      <c r="MUX100" s="798"/>
      <c r="MUY100" s="798"/>
      <c r="MUZ100" s="798"/>
      <c r="MVA100" s="798"/>
      <c r="MVB100" s="798"/>
      <c r="MVC100" s="798"/>
      <c r="MVD100" s="798"/>
      <c r="MVE100" s="798"/>
      <c r="MVF100" s="798"/>
      <c r="MVG100" s="798"/>
      <c r="MVH100" s="798"/>
      <c r="MVI100" s="798"/>
      <c r="MVJ100" s="798"/>
      <c r="MVK100" s="798"/>
      <c r="MVL100" s="798"/>
      <c r="MVM100" s="798"/>
      <c r="MVN100" s="798"/>
      <c r="MVO100" s="798"/>
      <c r="MVP100" s="798"/>
      <c r="MVQ100" s="798"/>
      <c r="MVR100" s="798"/>
      <c r="MVS100" s="798"/>
      <c r="MVT100" s="798"/>
      <c r="MVU100" s="798"/>
      <c r="MVV100" s="798"/>
      <c r="MVW100" s="798"/>
      <c r="MVX100" s="798"/>
      <c r="MVY100" s="798"/>
      <c r="MVZ100" s="798"/>
      <c r="MWA100" s="798"/>
      <c r="MWB100" s="798"/>
      <c r="MWC100" s="798"/>
      <c r="MWD100" s="798"/>
      <c r="MWE100" s="798"/>
      <c r="MWF100" s="798"/>
      <c r="MWG100" s="798"/>
      <c r="MWH100" s="798"/>
      <c r="MWI100" s="798"/>
      <c r="MWJ100" s="798"/>
      <c r="MWK100" s="798"/>
      <c r="MWL100" s="798"/>
      <c r="MWM100" s="798"/>
      <c r="MWN100" s="798"/>
      <c r="MWO100" s="798"/>
      <c r="MWP100" s="798"/>
      <c r="MWQ100" s="798"/>
      <c r="MWR100" s="798"/>
      <c r="MWS100" s="798"/>
      <c r="MWT100" s="798"/>
      <c r="MWU100" s="798"/>
      <c r="MWV100" s="798"/>
      <c r="MWW100" s="798"/>
      <c r="MWX100" s="798"/>
      <c r="MWY100" s="798"/>
      <c r="MWZ100" s="798"/>
      <c r="MXA100" s="798"/>
      <c r="MXB100" s="798"/>
      <c r="MXC100" s="798"/>
      <c r="MXD100" s="798"/>
      <c r="MXE100" s="798"/>
      <c r="MXF100" s="798"/>
      <c r="MXG100" s="798"/>
      <c r="MXH100" s="798"/>
      <c r="MXI100" s="798"/>
      <c r="MXJ100" s="798"/>
      <c r="MXK100" s="798"/>
      <c r="MXL100" s="798"/>
      <c r="MXM100" s="798"/>
      <c r="MXN100" s="798"/>
      <c r="MXO100" s="798"/>
      <c r="MXP100" s="798"/>
      <c r="MXQ100" s="798"/>
      <c r="MXR100" s="798"/>
      <c r="MXS100" s="798"/>
      <c r="MXT100" s="798"/>
      <c r="MXU100" s="798"/>
      <c r="MXV100" s="798"/>
      <c r="MXW100" s="798"/>
      <c r="MXX100" s="798"/>
      <c r="MXY100" s="798"/>
      <c r="MXZ100" s="798"/>
      <c r="MYA100" s="798"/>
      <c r="MYB100" s="798"/>
      <c r="MYC100" s="798"/>
      <c r="MYD100" s="798"/>
      <c r="MYE100" s="798"/>
      <c r="MYF100" s="798"/>
      <c r="MYG100" s="798"/>
      <c r="MYH100" s="798"/>
      <c r="MYI100" s="798"/>
      <c r="MYJ100" s="798"/>
      <c r="MYK100" s="798"/>
      <c r="MYL100" s="798"/>
      <c r="MYM100" s="798"/>
      <c r="MYN100" s="798"/>
      <c r="MYO100" s="798"/>
      <c r="MYP100" s="798"/>
      <c r="MYQ100" s="798"/>
      <c r="MYR100" s="798"/>
      <c r="MYS100" s="798"/>
      <c r="MYT100" s="798"/>
      <c r="MYU100" s="798"/>
      <c r="MYV100" s="798"/>
      <c r="MYW100" s="798"/>
      <c r="MYX100" s="798"/>
      <c r="MYY100" s="798"/>
      <c r="MYZ100" s="798"/>
      <c r="MZA100" s="798"/>
      <c r="MZB100" s="798"/>
      <c r="MZC100" s="798"/>
      <c r="MZD100" s="798"/>
      <c r="MZE100" s="798"/>
      <c r="MZF100" s="798"/>
      <c r="MZG100" s="798"/>
      <c r="MZH100" s="798"/>
      <c r="MZI100" s="798"/>
      <c r="MZJ100" s="798"/>
      <c r="MZK100" s="798"/>
      <c r="MZL100" s="798"/>
      <c r="MZM100" s="798"/>
      <c r="MZN100" s="798"/>
      <c r="MZO100" s="798"/>
      <c r="MZP100" s="798"/>
      <c r="MZQ100" s="798"/>
      <c r="MZR100" s="798"/>
      <c r="MZS100" s="798"/>
      <c r="MZT100" s="798"/>
      <c r="MZU100" s="798"/>
      <c r="MZV100" s="798"/>
      <c r="MZW100" s="798"/>
      <c r="MZX100" s="798"/>
      <c r="MZY100" s="798"/>
      <c r="MZZ100" s="798"/>
      <c r="NAA100" s="798"/>
      <c r="NAB100" s="798"/>
      <c r="NAC100" s="798"/>
      <c r="NAD100" s="798"/>
      <c r="NAE100" s="798"/>
      <c r="NAF100" s="798"/>
      <c r="NAG100" s="798"/>
      <c r="NAH100" s="798"/>
      <c r="NAI100" s="798"/>
      <c r="NAJ100" s="798"/>
      <c r="NAK100" s="798"/>
      <c r="NAL100" s="798"/>
      <c r="NAM100" s="798"/>
      <c r="NAN100" s="798"/>
      <c r="NAO100" s="798"/>
      <c r="NAP100" s="798"/>
      <c r="NAQ100" s="798"/>
      <c r="NAR100" s="798"/>
      <c r="NAS100" s="798"/>
      <c r="NAT100" s="798"/>
      <c r="NAU100" s="798"/>
      <c r="NAV100" s="798"/>
      <c r="NAW100" s="798"/>
      <c r="NAX100" s="798"/>
      <c r="NAY100" s="798"/>
      <c r="NAZ100" s="798"/>
      <c r="NBA100" s="798"/>
      <c r="NBB100" s="798"/>
      <c r="NBC100" s="798"/>
      <c r="NBD100" s="798"/>
      <c r="NBE100" s="798"/>
      <c r="NBF100" s="798"/>
      <c r="NBG100" s="798"/>
      <c r="NBH100" s="798"/>
      <c r="NBI100" s="798"/>
      <c r="NBJ100" s="798"/>
      <c r="NBK100" s="798"/>
      <c r="NBL100" s="798"/>
      <c r="NBM100" s="798"/>
      <c r="NBN100" s="798"/>
      <c r="NBO100" s="798"/>
      <c r="NBP100" s="798"/>
      <c r="NBQ100" s="798"/>
      <c r="NBR100" s="798"/>
      <c r="NBS100" s="798"/>
      <c r="NBT100" s="798"/>
      <c r="NBU100" s="798"/>
      <c r="NBV100" s="798"/>
      <c r="NBW100" s="798"/>
      <c r="NBX100" s="798"/>
      <c r="NBY100" s="798"/>
      <c r="NBZ100" s="798"/>
      <c r="NCA100" s="798"/>
      <c r="NCB100" s="798"/>
      <c r="NCC100" s="798"/>
      <c r="NCD100" s="798"/>
      <c r="NCE100" s="798"/>
      <c r="NCF100" s="798"/>
      <c r="NCG100" s="798"/>
      <c r="NCH100" s="798"/>
      <c r="NCI100" s="798"/>
      <c r="NCJ100" s="798"/>
      <c r="NCK100" s="798"/>
      <c r="NCL100" s="798"/>
      <c r="NCM100" s="798"/>
      <c r="NCN100" s="798"/>
      <c r="NCO100" s="798"/>
      <c r="NCP100" s="798"/>
      <c r="NCQ100" s="798"/>
      <c r="NCR100" s="798"/>
      <c r="NCS100" s="798"/>
      <c r="NCT100" s="798"/>
      <c r="NCU100" s="798"/>
      <c r="NCV100" s="798"/>
      <c r="NCW100" s="798"/>
      <c r="NCX100" s="798"/>
      <c r="NCY100" s="798"/>
      <c r="NCZ100" s="798"/>
      <c r="NDA100" s="798"/>
      <c r="NDB100" s="798"/>
      <c r="NDC100" s="798"/>
      <c r="NDD100" s="798"/>
      <c r="NDE100" s="798"/>
      <c r="NDF100" s="798"/>
      <c r="NDG100" s="798"/>
      <c r="NDH100" s="798"/>
      <c r="NDI100" s="798"/>
      <c r="NDJ100" s="798"/>
      <c r="NDK100" s="798"/>
      <c r="NDL100" s="798"/>
      <c r="NDM100" s="798"/>
      <c r="NDN100" s="798"/>
      <c r="NDO100" s="798"/>
      <c r="NDP100" s="798"/>
      <c r="NDQ100" s="798"/>
      <c r="NDR100" s="798"/>
      <c r="NDS100" s="798"/>
      <c r="NDT100" s="798"/>
      <c r="NDU100" s="798"/>
      <c r="NDV100" s="798"/>
      <c r="NDW100" s="798"/>
      <c r="NDX100" s="798"/>
      <c r="NDY100" s="798"/>
      <c r="NDZ100" s="798"/>
      <c r="NEA100" s="798"/>
      <c r="NEB100" s="798"/>
      <c r="NEC100" s="798"/>
      <c r="NED100" s="798"/>
      <c r="NEE100" s="798"/>
      <c r="NEF100" s="798"/>
      <c r="NEG100" s="798"/>
      <c r="NEH100" s="798"/>
      <c r="NEI100" s="798"/>
      <c r="NEJ100" s="798"/>
      <c r="NEK100" s="798"/>
      <c r="NEL100" s="798"/>
      <c r="NEM100" s="798"/>
      <c r="NEN100" s="798"/>
      <c r="NEO100" s="798"/>
      <c r="NEP100" s="798"/>
      <c r="NEQ100" s="798"/>
      <c r="NER100" s="798"/>
      <c r="NES100" s="798"/>
      <c r="NET100" s="798"/>
      <c r="NEU100" s="798"/>
      <c r="NEV100" s="798"/>
      <c r="NEW100" s="798"/>
      <c r="NEX100" s="798"/>
      <c r="NEY100" s="798"/>
      <c r="NEZ100" s="798"/>
      <c r="NFA100" s="798"/>
      <c r="NFB100" s="798"/>
      <c r="NFC100" s="798"/>
      <c r="NFD100" s="798"/>
      <c r="NFE100" s="798"/>
      <c r="NFF100" s="798"/>
      <c r="NFG100" s="798"/>
      <c r="NFH100" s="798"/>
      <c r="NFI100" s="798"/>
      <c r="NFJ100" s="798"/>
      <c r="NFK100" s="798"/>
      <c r="NFL100" s="798"/>
      <c r="NFM100" s="798"/>
      <c r="NFN100" s="798"/>
      <c r="NFO100" s="798"/>
      <c r="NFP100" s="798"/>
      <c r="NFQ100" s="798"/>
      <c r="NFR100" s="798"/>
      <c r="NFS100" s="798"/>
      <c r="NFT100" s="798"/>
      <c r="NFU100" s="798"/>
      <c r="NFV100" s="798"/>
      <c r="NFW100" s="798"/>
      <c r="NFX100" s="798"/>
      <c r="NFY100" s="798"/>
      <c r="NFZ100" s="798"/>
      <c r="NGA100" s="798"/>
      <c r="NGB100" s="798"/>
      <c r="NGC100" s="798"/>
      <c r="NGD100" s="798"/>
      <c r="NGE100" s="798"/>
      <c r="NGF100" s="798"/>
      <c r="NGG100" s="798"/>
      <c r="NGH100" s="798"/>
      <c r="NGI100" s="798"/>
      <c r="NGJ100" s="798"/>
      <c r="NGK100" s="798"/>
      <c r="NGL100" s="798"/>
      <c r="NGM100" s="798"/>
      <c r="NGN100" s="798"/>
      <c r="NGO100" s="798"/>
      <c r="NGP100" s="798"/>
      <c r="NGQ100" s="798"/>
      <c r="NGR100" s="798"/>
      <c r="NGS100" s="798"/>
      <c r="NGT100" s="798"/>
      <c r="NGU100" s="798"/>
      <c r="NGV100" s="798"/>
      <c r="NGW100" s="798"/>
      <c r="NGX100" s="798"/>
      <c r="NGY100" s="798"/>
      <c r="NGZ100" s="798"/>
      <c r="NHA100" s="798"/>
      <c r="NHB100" s="798"/>
      <c r="NHC100" s="798"/>
      <c r="NHD100" s="798"/>
      <c r="NHE100" s="798"/>
      <c r="NHF100" s="798"/>
      <c r="NHG100" s="798"/>
      <c r="NHH100" s="798"/>
      <c r="NHI100" s="798"/>
      <c r="NHJ100" s="798"/>
      <c r="NHK100" s="798"/>
      <c r="NHL100" s="798"/>
      <c r="NHM100" s="798"/>
      <c r="NHN100" s="798"/>
      <c r="NHO100" s="798"/>
      <c r="NHP100" s="798"/>
      <c r="NHQ100" s="798"/>
      <c r="NHR100" s="798"/>
      <c r="NHS100" s="798"/>
      <c r="NHT100" s="798"/>
      <c r="NHU100" s="798"/>
      <c r="NHV100" s="798"/>
      <c r="NHW100" s="798"/>
      <c r="NHX100" s="798"/>
      <c r="NHY100" s="798"/>
      <c r="NHZ100" s="798"/>
      <c r="NIA100" s="798"/>
      <c r="NIB100" s="798"/>
      <c r="NIC100" s="798"/>
      <c r="NID100" s="798"/>
      <c r="NIE100" s="798"/>
      <c r="NIF100" s="798"/>
      <c r="NIG100" s="798"/>
      <c r="NIH100" s="798"/>
      <c r="NII100" s="798"/>
      <c r="NIJ100" s="798"/>
      <c r="NIK100" s="798"/>
      <c r="NIL100" s="798"/>
      <c r="NIM100" s="798"/>
      <c r="NIN100" s="798"/>
      <c r="NIO100" s="798"/>
      <c r="NIP100" s="798"/>
      <c r="NIQ100" s="798"/>
      <c r="NIR100" s="798"/>
      <c r="NIS100" s="798"/>
      <c r="NIT100" s="798"/>
      <c r="NIU100" s="798"/>
      <c r="NIV100" s="798"/>
      <c r="NIW100" s="798"/>
      <c r="NIX100" s="798"/>
      <c r="NIY100" s="798"/>
      <c r="NIZ100" s="798"/>
      <c r="NJA100" s="798"/>
      <c r="NJB100" s="798"/>
      <c r="NJC100" s="798"/>
      <c r="NJD100" s="798"/>
      <c r="NJE100" s="798"/>
      <c r="NJF100" s="798"/>
      <c r="NJG100" s="798"/>
      <c r="NJH100" s="798"/>
      <c r="NJI100" s="798"/>
      <c r="NJJ100" s="798"/>
      <c r="NJK100" s="798"/>
      <c r="NJL100" s="798"/>
      <c r="NJM100" s="798"/>
      <c r="NJN100" s="798"/>
      <c r="NJO100" s="798"/>
      <c r="NJP100" s="798"/>
      <c r="NJQ100" s="798"/>
      <c r="NJR100" s="798"/>
      <c r="NJS100" s="798"/>
      <c r="NJT100" s="798"/>
      <c r="NJU100" s="798"/>
      <c r="NJV100" s="798"/>
      <c r="NJW100" s="798"/>
      <c r="NJX100" s="798"/>
      <c r="NJY100" s="798"/>
      <c r="NJZ100" s="798"/>
      <c r="NKA100" s="798"/>
      <c r="NKB100" s="798"/>
      <c r="NKC100" s="798"/>
      <c r="NKD100" s="798"/>
      <c r="NKE100" s="798"/>
      <c r="NKF100" s="798"/>
      <c r="NKG100" s="798"/>
      <c r="NKH100" s="798"/>
      <c r="NKI100" s="798"/>
      <c r="NKJ100" s="798"/>
      <c r="NKK100" s="798"/>
      <c r="NKL100" s="798"/>
      <c r="NKM100" s="798"/>
      <c r="NKN100" s="798"/>
      <c r="NKO100" s="798"/>
      <c r="NKP100" s="798"/>
      <c r="NKQ100" s="798"/>
      <c r="NKR100" s="798"/>
      <c r="NKS100" s="798"/>
      <c r="NKT100" s="798"/>
      <c r="NKU100" s="798"/>
      <c r="NKV100" s="798"/>
      <c r="NKW100" s="798"/>
      <c r="NKX100" s="798"/>
      <c r="NKY100" s="798"/>
      <c r="NKZ100" s="798"/>
      <c r="NLA100" s="798"/>
      <c r="NLB100" s="798"/>
      <c r="NLC100" s="798"/>
      <c r="NLD100" s="798"/>
      <c r="NLE100" s="798"/>
      <c r="NLF100" s="798"/>
      <c r="NLG100" s="798"/>
      <c r="NLH100" s="798"/>
      <c r="NLI100" s="798"/>
      <c r="NLJ100" s="798"/>
      <c r="NLK100" s="798"/>
      <c r="NLL100" s="798"/>
      <c r="NLM100" s="798"/>
      <c r="NLN100" s="798"/>
      <c r="NLO100" s="798"/>
      <c r="NLP100" s="798"/>
      <c r="NLQ100" s="798"/>
      <c r="NLR100" s="798"/>
      <c r="NLS100" s="798"/>
      <c r="NLT100" s="798"/>
      <c r="NLU100" s="798"/>
      <c r="NLV100" s="798"/>
      <c r="NLW100" s="798"/>
      <c r="NLX100" s="798"/>
      <c r="NLY100" s="798"/>
      <c r="NLZ100" s="798"/>
      <c r="NMA100" s="798"/>
      <c r="NMB100" s="798"/>
      <c r="NMC100" s="798"/>
      <c r="NMD100" s="798"/>
      <c r="NME100" s="798"/>
      <c r="NMF100" s="798"/>
      <c r="NMG100" s="798"/>
      <c r="NMH100" s="798"/>
      <c r="NMI100" s="798"/>
      <c r="NMJ100" s="798"/>
      <c r="NMK100" s="798"/>
      <c r="NML100" s="798"/>
      <c r="NMM100" s="798"/>
      <c r="NMN100" s="798"/>
      <c r="NMO100" s="798"/>
      <c r="NMP100" s="798"/>
      <c r="NMQ100" s="798"/>
      <c r="NMR100" s="798"/>
      <c r="NMS100" s="798"/>
      <c r="NMT100" s="798"/>
      <c r="NMU100" s="798"/>
      <c r="NMV100" s="798"/>
      <c r="NMW100" s="798"/>
      <c r="NMX100" s="798"/>
      <c r="NMY100" s="798"/>
      <c r="NMZ100" s="798"/>
      <c r="NNA100" s="798"/>
      <c r="NNB100" s="798"/>
      <c r="NNC100" s="798"/>
      <c r="NND100" s="798"/>
      <c r="NNE100" s="798"/>
      <c r="NNF100" s="798"/>
      <c r="NNG100" s="798"/>
      <c r="NNH100" s="798"/>
      <c r="NNI100" s="798"/>
      <c r="NNJ100" s="798"/>
      <c r="NNK100" s="798"/>
      <c r="NNL100" s="798"/>
      <c r="NNM100" s="798"/>
      <c r="NNN100" s="798"/>
      <c r="NNO100" s="798"/>
      <c r="NNP100" s="798"/>
      <c r="NNQ100" s="798"/>
      <c r="NNR100" s="798"/>
      <c r="NNS100" s="798"/>
      <c r="NNT100" s="798"/>
      <c r="NNU100" s="798"/>
      <c r="NNV100" s="798"/>
      <c r="NNW100" s="798"/>
      <c r="NNX100" s="798"/>
      <c r="NNY100" s="798"/>
      <c r="NNZ100" s="798"/>
      <c r="NOA100" s="798"/>
      <c r="NOB100" s="798"/>
      <c r="NOC100" s="798"/>
      <c r="NOD100" s="798"/>
      <c r="NOE100" s="798"/>
      <c r="NOF100" s="798"/>
      <c r="NOG100" s="798"/>
      <c r="NOH100" s="798"/>
      <c r="NOI100" s="798"/>
      <c r="NOJ100" s="798"/>
      <c r="NOK100" s="798"/>
      <c r="NOL100" s="798"/>
      <c r="NOM100" s="798"/>
      <c r="NON100" s="798"/>
      <c r="NOO100" s="798"/>
      <c r="NOP100" s="798"/>
      <c r="NOQ100" s="798"/>
      <c r="NOR100" s="798"/>
      <c r="NOS100" s="798"/>
      <c r="NOT100" s="798"/>
      <c r="NOU100" s="798"/>
      <c r="NOV100" s="798"/>
      <c r="NOW100" s="798"/>
      <c r="NOX100" s="798"/>
      <c r="NOY100" s="798"/>
      <c r="NOZ100" s="798"/>
      <c r="NPA100" s="798"/>
      <c r="NPB100" s="798"/>
      <c r="NPC100" s="798"/>
      <c r="NPD100" s="798"/>
      <c r="NPE100" s="798"/>
      <c r="NPF100" s="798"/>
      <c r="NPG100" s="798"/>
      <c r="NPH100" s="798"/>
      <c r="NPI100" s="798"/>
      <c r="NPJ100" s="798"/>
      <c r="NPK100" s="798"/>
      <c r="NPL100" s="798"/>
      <c r="NPM100" s="798"/>
      <c r="NPN100" s="798"/>
      <c r="NPO100" s="798"/>
      <c r="NPP100" s="798"/>
      <c r="NPQ100" s="798"/>
      <c r="NPR100" s="798"/>
      <c r="NPS100" s="798"/>
      <c r="NPT100" s="798"/>
      <c r="NPU100" s="798"/>
      <c r="NPV100" s="798"/>
      <c r="NPW100" s="798"/>
      <c r="NPX100" s="798"/>
      <c r="NPY100" s="798"/>
      <c r="NPZ100" s="798"/>
      <c r="NQA100" s="798"/>
      <c r="NQB100" s="798"/>
      <c r="NQC100" s="798"/>
      <c r="NQD100" s="798"/>
      <c r="NQE100" s="798"/>
      <c r="NQF100" s="798"/>
      <c r="NQG100" s="798"/>
      <c r="NQH100" s="798"/>
      <c r="NQI100" s="798"/>
      <c r="NQJ100" s="798"/>
      <c r="NQK100" s="798"/>
      <c r="NQL100" s="798"/>
      <c r="NQM100" s="798"/>
      <c r="NQN100" s="798"/>
      <c r="NQO100" s="798"/>
      <c r="NQP100" s="798"/>
      <c r="NQQ100" s="798"/>
      <c r="NQR100" s="798"/>
      <c r="NQS100" s="798"/>
      <c r="NQT100" s="798"/>
      <c r="NQU100" s="798"/>
      <c r="NQV100" s="798"/>
      <c r="NQW100" s="798"/>
      <c r="NQX100" s="798"/>
      <c r="NQY100" s="798"/>
      <c r="NQZ100" s="798"/>
      <c r="NRA100" s="798"/>
      <c r="NRB100" s="798"/>
      <c r="NRC100" s="798"/>
      <c r="NRD100" s="798"/>
      <c r="NRE100" s="798"/>
      <c r="NRF100" s="798"/>
      <c r="NRG100" s="798"/>
      <c r="NRH100" s="798"/>
      <c r="NRI100" s="798"/>
      <c r="NRJ100" s="798"/>
      <c r="NRK100" s="798"/>
      <c r="NRL100" s="798"/>
      <c r="NRM100" s="798"/>
      <c r="NRN100" s="798"/>
      <c r="NRO100" s="798"/>
      <c r="NRP100" s="798"/>
      <c r="NRQ100" s="798"/>
      <c r="NRR100" s="798"/>
      <c r="NRS100" s="798"/>
      <c r="NRT100" s="798"/>
      <c r="NRU100" s="798"/>
      <c r="NRV100" s="798"/>
      <c r="NRW100" s="798"/>
      <c r="NRX100" s="798"/>
      <c r="NRY100" s="798"/>
      <c r="NRZ100" s="798"/>
      <c r="NSA100" s="798"/>
      <c r="NSB100" s="798"/>
      <c r="NSC100" s="798"/>
      <c r="NSD100" s="798"/>
      <c r="NSE100" s="798"/>
      <c r="NSF100" s="798"/>
      <c r="NSG100" s="798"/>
      <c r="NSH100" s="798"/>
      <c r="NSI100" s="798"/>
      <c r="NSJ100" s="798"/>
      <c r="NSK100" s="798"/>
      <c r="NSL100" s="798"/>
      <c r="NSM100" s="798"/>
      <c r="NSN100" s="798"/>
      <c r="NSO100" s="798"/>
      <c r="NSP100" s="798"/>
      <c r="NSQ100" s="798"/>
      <c r="NSR100" s="798"/>
      <c r="NSS100" s="798"/>
      <c r="NST100" s="798"/>
      <c r="NSU100" s="798"/>
      <c r="NSV100" s="798"/>
      <c r="NSW100" s="798"/>
      <c r="NSX100" s="798"/>
      <c r="NSY100" s="798"/>
      <c r="NSZ100" s="798"/>
      <c r="NTA100" s="798"/>
      <c r="NTB100" s="798"/>
      <c r="NTC100" s="798"/>
      <c r="NTD100" s="798"/>
      <c r="NTE100" s="798"/>
      <c r="NTF100" s="798"/>
      <c r="NTG100" s="798"/>
      <c r="NTH100" s="798"/>
      <c r="NTI100" s="798"/>
      <c r="NTJ100" s="798"/>
      <c r="NTK100" s="798"/>
      <c r="NTL100" s="798"/>
      <c r="NTM100" s="798"/>
      <c r="NTN100" s="798"/>
      <c r="NTO100" s="798"/>
      <c r="NTP100" s="798"/>
      <c r="NTQ100" s="798"/>
      <c r="NTR100" s="798"/>
      <c r="NTS100" s="798"/>
      <c r="NTT100" s="798"/>
      <c r="NTU100" s="798"/>
      <c r="NTV100" s="798"/>
      <c r="NTW100" s="798"/>
      <c r="NTX100" s="798"/>
      <c r="NTY100" s="798"/>
      <c r="NTZ100" s="798"/>
      <c r="NUA100" s="798"/>
      <c r="NUB100" s="798"/>
      <c r="NUC100" s="798"/>
      <c r="NUD100" s="798"/>
      <c r="NUE100" s="798"/>
      <c r="NUF100" s="798"/>
      <c r="NUG100" s="798"/>
      <c r="NUH100" s="798"/>
      <c r="NUI100" s="798"/>
      <c r="NUJ100" s="798"/>
      <c r="NUK100" s="798"/>
      <c r="NUL100" s="798"/>
      <c r="NUM100" s="798"/>
      <c r="NUN100" s="798"/>
      <c r="NUO100" s="798"/>
      <c r="NUP100" s="798"/>
      <c r="NUQ100" s="798"/>
      <c r="NUR100" s="798"/>
      <c r="NUS100" s="798"/>
      <c r="NUT100" s="798"/>
      <c r="NUU100" s="798"/>
      <c r="NUV100" s="798"/>
      <c r="NUW100" s="798"/>
      <c r="NUX100" s="798"/>
      <c r="NUY100" s="798"/>
      <c r="NUZ100" s="798"/>
      <c r="NVA100" s="798"/>
      <c r="NVB100" s="798"/>
      <c r="NVC100" s="798"/>
      <c r="NVD100" s="798"/>
      <c r="NVE100" s="798"/>
      <c r="NVF100" s="798"/>
      <c r="NVG100" s="798"/>
      <c r="NVH100" s="798"/>
      <c r="NVI100" s="798"/>
      <c r="NVJ100" s="798"/>
      <c r="NVK100" s="798"/>
      <c r="NVL100" s="798"/>
      <c r="NVM100" s="798"/>
      <c r="NVN100" s="798"/>
      <c r="NVO100" s="798"/>
      <c r="NVP100" s="798"/>
      <c r="NVQ100" s="798"/>
      <c r="NVR100" s="798"/>
      <c r="NVS100" s="798"/>
      <c r="NVT100" s="798"/>
      <c r="NVU100" s="798"/>
      <c r="NVV100" s="798"/>
      <c r="NVW100" s="798"/>
      <c r="NVX100" s="798"/>
      <c r="NVY100" s="798"/>
      <c r="NVZ100" s="798"/>
      <c r="NWA100" s="798"/>
      <c r="NWB100" s="798"/>
      <c r="NWC100" s="798"/>
      <c r="NWD100" s="798"/>
      <c r="NWE100" s="798"/>
      <c r="NWF100" s="798"/>
      <c r="NWG100" s="798"/>
      <c r="NWH100" s="798"/>
      <c r="NWI100" s="798"/>
      <c r="NWJ100" s="798"/>
      <c r="NWK100" s="798"/>
      <c r="NWL100" s="798"/>
      <c r="NWM100" s="798"/>
      <c r="NWN100" s="798"/>
      <c r="NWO100" s="798"/>
      <c r="NWP100" s="798"/>
      <c r="NWQ100" s="798"/>
      <c r="NWR100" s="798"/>
      <c r="NWS100" s="798"/>
      <c r="NWT100" s="798"/>
      <c r="NWU100" s="798"/>
      <c r="NWV100" s="798"/>
      <c r="NWW100" s="798"/>
      <c r="NWX100" s="798"/>
      <c r="NWY100" s="798"/>
      <c r="NWZ100" s="798"/>
      <c r="NXA100" s="798"/>
      <c r="NXB100" s="798"/>
      <c r="NXC100" s="798"/>
      <c r="NXD100" s="798"/>
      <c r="NXE100" s="798"/>
      <c r="NXF100" s="798"/>
      <c r="NXG100" s="798"/>
      <c r="NXH100" s="798"/>
      <c r="NXI100" s="798"/>
      <c r="NXJ100" s="798"/>
      <c r="NXK100" s="798"/>
      <c r="NXL100" s="798"/>
      <c r="NXM100" s="798"/>
      <c r="NXN100" s="798"/>
      <c r="NXO100" s="798"/>
      <c r="NXP100" s="798"/>
      <c r="NXQ100" s="798"/>
      <c r="NXR100" s="798"/>
      <c r="NXS100" s="798"/>
      <c r="NXT100" s="798"/>
      <c r="NXU100" s="798"/>
      <c r="NXV100" s="798"/>
      <c r="NXW100" s="798"/>
      <c r="NXX100" s="798"/>
      <c r="NXY100" s="798"/>
      <c r="NXZ100" s="798"/>
      <c r="NYA100" s="798"/>
      <c r="NYB100" s="798"/>
      <c r="NYC100" s="798"/>
      <c r="NYD100" s="798"/>
      <c r="NYE100" s="798"/>
      <c r="NYF100" s="798"/>
      <c r="NYG100" s="798"/>
      <c r="NYH100" s="798"/>
      <c r="NYI100" s="798"/>
      <c r="NYJ100" s="798"/>
      <c r="NYK100" s="798"/>
      <c r="NYL100" s="798"/>
      <c r="NYM100" s="798"/>
      <c r="NYN100" s="798"/>
      <c r="NYO100" s="798"/>
      <c r="NYP100" s="798"/>
      <c r="NYQ100" s="798"/>
      <c r="NYR100" s="798"/>
      <c r="NYS100" s="798"/>
      <c r="NYT100" s="798"/>
      <c r="NYU100" s="798"/>
      <c r="NYV100" s="798"/>
      <c r="NYW100" s="798"/>
      <c r="NYX100" s="798"/>
      <c r="NYY100" s="798"/>
      <c r="NYZ100" s="798"/>
      <c r="NZA100" s="798"/>
      <c r="NZB100" s="798"/>
      <c r="NZC100" s="798"/>
      <c r="NZD100" s="798"/>
      <c r="NZE100" s="798"/>
      <c r="NZF100" s="798"/>
      <c r="NZG100" s="798"/>
      <c r="NZH100" s="798"/>
      <c r="NZI100" s="798"/>
      <c r="NZJ100" s="798"/>
      <c r="NZK100" s="798"/>
      <c r="NZL100" s="798"/>
      <c r="NZM100" s="798"/>
      <c r="NZN100" s="798"/>
      <c r="NZO100" s="798"/>
      <c r="NZP100" s="798"/>
      <c r="NZQ100" s="798"/>
      <c r="NZR100" s="798"/>
      <c r="NZS100" s="798"/>
      <c r="NZT100" s="798"/>
      <c r="NZU100" s="798"/>
      <c r="NZV100" s="798"/>
      <c r="NZW100" s="798"/>
      <c r="NZX100" s="798"/>
      <c r="NZY100" s="798"/>
      <c r="NZZ100" s="798"/>
      <c r="OAA100" s="798"/>
      <c r="OAB100" s="798"/>
      <c r="OAC100" s="798"/>
      <c r="OAD100" s="798"/>
      <c r="OAE100" s="798"/>
      <c r="OAF100" s="798"/>
      <c r="OAG100" s="798"/>
      <c r="OAH100" s="798"/>
      <c r="OAI100" s="798"/>
      <c r="OAJ100" s="798"/>
      <c r="OAK100" s="798"/>
      <c r="OAL100" s="798"/>
      <c r="OAM100" s="798"/>
      <c r="OAN100" s="798"/>
      <c r="OAO100" s="798"/>
      <c r="OAP100" s="798"/>
      <c r="OAQ100" s="798"/>
      <c r="OAR100" s="798"/>
      <c r="OAS100" s="798"/>
      <c r="OAT100" s="798"/>
      <c r="OAU100" s="798"/>
      <c r="OAV100" s="798"/>
      <c r="OAW100" s="798"/>
      <c r="OAX100" s="798"/>
      <c r="OAY100" s="798"/>
      <c r="OAZ100" s="798"/>
      <c r="OBA100" s="798"/>
      <c r="OBB100" s="798"/>
      <c r="OBC100" s="798"/>
      <c r="OBD100" s="798"/>
      <c r="OBE100" s="798"/>
      <c r="OBF100" s="798"/>
      <c r="OBG100" s="798"/>
      <c r="OBH100" s="798"/>
      <c r="OBI100" s="798"/>
      <c r="OBJ100" s="798"/>
      <c r="OBK100" s="798"/>
      <c r="OBL100" s="798"/>
      <c r="OBM100" s="798"/>
      <c r="OBN100" s="798"/>
      <c r="OBO100" s="798"/>
      <c r="OBP100" s="798"/>
      <c r="OBQ100" s="798"/>
      <c r="OBR100" s="798"/>
      <c r="OBS100" s="798"/>
      <c r="OBT100" s="798"/>
      <c r="OBU100" s="798"/>
      <c r="OBV100" s="798"/>
      <c r="OBW100" s="798"/>
      <c r="OBX100" s="798"/>
      <c r="OBY100" s="798"/>
      <c r="OBZ100" s="798"/>
      <c r="OCA100" s="798"/>
      <c r="OCB100" s="798"/>
      <c r="OCC100" s="798"/>
      <c r="OCD100" s="798"/>
      <c r="OCE100" s="798"/>
      <c r="OCF100" s="798"/>
      <c r="OCG100" s="798"/>
      <c r="OCH100" s="798"/>
      <c r="OCI100" s="798"/>
      <c r="OCJ100" s="798"/>
      <c r="OCK100" s="798"/>
      <c r="OCL100" s="798"/>
      <c r="OCM100" s="798"/>
      <c r="OCN100" s="798"/>
      <c r="OCO100" s="798"/>
      <c r="OCP100" s="798"/>
      <c r="OCQ100" s="798"/>
      <c r="OCR100" s="798"/>
      <c r="OCS100" s="798"/>
      <c r="OCT100" s="798"/>
      <c r="OCU100" s="798"/>
      <c r="OCV100" s="798"/>
      <c r="OCW100" s="798"/>
      <c r="OCX100" s="798"/>
      <c r="OCY100" s="798"/>
      <c r="OCZ100" s="798"/>
      <c r="ODA100" s="798"/>
      <c r="ODB100" s="798"/>
      <c r="ODC100" s="798"/>
      <c r="ODD100" s="798"/>
      <c r="ODE100" s="798"/>
      <c r="ODF100" s="798"/>
      <c r="ODG100" s="798"/>
      <c r="ODH100" s="798"/>
      <c r="ODI100" s="798"/>
      <c r="ODJ100" s="798"/>
      <c r="ODK100" s="798"/>
      <c r="ODL100" s="798"/>
      <c r="ODM100" s="798"/>
      <c r="ODN100" s="798"/>
      <c r="ODO100" s="798"/>
      <c r="ODP100" s="798"/>
      <c r="ODQ100" s="798"/>
      <c r="ODR100" s="798"/>
      <c r="ODS100" s="798"/>
      <c r="ODT100" s="798"/>
      <c r="ODU100" s="798"/>
      <c r="ODV100" s="798"/>
      <c r="ODW100" s="798"/>
      <c r="ODX100" s="798"/>
      <c r="ODY100" s="798"/>
      <c r="ODZ100" s="798"/>
      <c r="OEA100" s="798"/>
      <c r="OEB100" s="798"/>
      <c r="OEC100" s="798"/>
      <c r="OED100" s="798"/>
      <c r="OEE100" s="798"/>
      <c r="OEF100" s="798"/>
      <c r="OEG100" s="798"/>
      <c r="OEH100" s="798"/>
      <c r="OEI100" s="798"/>
      <c r="OEJ100" s="798"/>
      <c r="OEK100" s="798"/>
      <c r="OEL100" s="798"/>
      <c r="OEM100" s="798"/>
      <c r="OEN100" s="798"/>
      <c r="OEO100" s="798"/>
      <c r="OEP100" s="798"/>
      <c r="OEQ100" s="798"/>
      <c r="OER100" s="798"/>
      <c r="OES100" s="798"/>
      <c r="OET100" s="798"/>
      <c r="OEU100" s="798"/>
      <c r="OEV100" s="798"/>
      <c r="OEW100" s="798"/>
      <c r="OEX100" s="798"/>
      <c r="OEY100" s="798"/>
      <c r="OEZ100" s="798"/>
      <c r="OFA100" s="798"/>
      <c r="OFB100" s="798"/>
      <c r="OFC100" s="798"/>
      <c r="OFD100" s="798"/>
      <c r="OFE100" s="798"/>
      <c r="OFF100" s="798"/>
      <c r="OFG100" s="798"/>
      <c r="OFH100" s="798"/>
      <c r="OFI100" s="798"/>
      <c r="OFJ100" s="798"/>
      <c r="OFK100" s="798"/>
      <c r="OFL100" s="798"/>
      <c r="OFM100" s="798"/>
      <c r="OFN100" s="798"/>
      <c r="OFO100" s="798"/>
      <c r="OFP100" s="798"/>
      <c r="OFQ100" s="798"/>
      <c r="OFR100" s="798"/>
      <c r="OFS100" s="798"/>
      <c r="OFT100" s="798"/>
      <c r="OFU100" s="798"/>
      <c r="OFV100" s="798"/>
      <c r="OFW100" s="798"/>
      <c r="OFX100" s="798"/>
      <c r="OFY100" s="798"/>
      <c r="OFZ100" s="798"/>
      <c r="OGA100" s="798"/>
      <c r="OGB100" s="798"/>
      <c r="OGC100" s="798"/>
      <c r="OGD100" s="798"/>
      <c r="OGE100" s="798"/>
      <c r="OGF100" s="798"/>
      <c r="OGG100" s="798"/>
      <c r="OGH100" s="798"/>
      <c r="OGI100" s="798"/>
      <c r="OGJ100" s="798"/>
      <c r="OGK100" s="798"/>
      <c r="OGL100" s="798"/>
      <c r="OGM100" s="798"/>
      <c r="OGN100" s="798"/>
      <c r="OGO100" s="798"/>
      <c r="OGP100" s="798"/>
      <c r="OGQ100" s="798"/>
      <c r="OGR100" s="798"/>
      <c r="OGS100" s="798"/>
      <c r="OGT100" s="798"/>
      <c r="OGU100" s="798"/>
      <c r="OGV100" s="798"/>
      <c r="OGW100" s="798"/>
      <c r="OGX100" s="798"/>
      <c r="OGY100" s="798"/>
      <c r="OGZ100" s="798"/>
      <c r="OHA100" s="798"/>
      <c r="OHB100" s="798"/>
      <c r="OHC100" s="798"/>
      <c r="OHD100" s="798"/>
      <c r="OHE100" s="798"/>
      <c r="OHF100" s="798"/>
      <c r="OHG100" s="798"/>
      <c r="OHH100" s="798"/>
      <c r="OHI100" s="798"/>
      <c r="OHJ100" s="798"/>
      <c r="OHK100" s="798"/>
      <c r="OHL100" s="798"/>
      <c r="OHM100" s="798"/>
      <c r="OHN100" s="798"/>
      <c r="OHO100" s="798"/>
      <c r="OHP100" s="798"/>
      <c r="OHQ100" s="798"/>
      <c r="OHR100" s="798"/>
      <c r="OHS100" s="798"/>
      <c r="OHT100" s="798"/>
      <c r="OHU100" s="798"/>
      <c r="OHV100" s="798"/>
      <c r="OHW100" s="798"/>
      <c r="OHX100" s="798"/>
      <c r="OHY100" s="798"/>
      <c r="OHZ100" s="798"/>
      <c r="OIA100" s="798"/>
      <c r="OIB100" s="798"/>
      <c r="OIC100" s="798"/>
      <c r="OID100" s="798"/>
      <c r="OIE100" s="798"/>
      <c r="OIF100" s="798"/>
      <c r="OIG100" s="798"/>
      <c r="OIH100" s="798"/>
      <c r="OII100" s="798"/>
      <c r="OIJ100" s="798"/>
      <c r="OIK100" s="798"/>
      <c r="OIL100" s="798"/>
      <c r="OIM100" s="798"/>
      <c r="OIN100" s="798"/>
      <c r="OIO100" s="798"/>
      <c r="OIP100" s="798"/>
      <c r="OIQ100" s="798"/>
      <c r="OIR100" s="798"/>
      <c r="OIS100" s="798"/>
      <c r="OIT100" s="798"/>
      <c r="OIU100" s="798"/>
      <c r="OIV100" s="798"/>
      <c r="OIW100" s="798"/>
      <c r="OIX100" s="798"/>
      <c r="OIY100" s="798"/>
      <c r="OIZ100" s="798"/>
      <c r="OJA100" s="798"/>
      <c r="OJB100" s="798"/>
      <c r="OJC100" s="798"/>
      <c r="OJD100" s="798"/>
      <c r="OJE100" s="798"/>
      <c r="OJF100" s="798"/>
      <c r="OJG100" s="798"/>
      <c r="OJH100" s="798"/>
      <c r="OJI100" s="798"/>
      <c r="OJJ100" s="798"/>
      <c r="OJK100" s="798"/>
      <c r="OJL100" s="798"/>
      <c r="OJM100" s="798"/>
      <c r="OJN100" s="798"/>
      <c r="OJO100" s="798"/>
      <c r="OJP100" s="798"/>
      <c r="OJQ100" s="798"/>
      <c r="OJR100" s="798"/>
      <c r="OJS100" s="798"/>
      <c r="OJT100" s="798"/>
      <c r="OJU100" s="798"/>
      <c r="OJV100" s="798"/>
      <c r="OJW100" s="798"/>
      <c r="OJX100" s="798"/>
      <c r="OJY100" s="798"/>
      <c r="OJZ100" s="798"/>
      <c r="OKA100" s="798"/>
      <c r="OKB100" s="798"/>
      <c r="OKC100" s="798"/>
      <c r="OKD100" s="798"/>
      <c r="OKE100" s="798"/>
      <c r="OKF100" s="798"/>
      <c r="OKG100" s="798"/>
      <c r="OKH100" s="798"/>
      <c r="OKI100" s="798"/>
      <c r="OKJ100" s="798"/>
      <c r="OKK100" s="798"/>
      <c r="OKL100" s="798"/>
      <c r="OKM100" s="798"/>
      <c r="OKN100" s="798"/>
      <c r="OKO100" s="798"/>
      <c r="OKP100" s="798"/>
      <c r="OKQ100" s="798"/>
      <c r="OKR100" s="798"/>
      <c r="OKS100" s="798"/>
      <c r="OKT100" s="798"/>
      <c r="OKU100" s="798"/>
      <c r="OKV100" s="798"/>
      <c r="OKW100" s="798"/>
      <c r="OKX100" s="798"/>
      <c r="OKY100" s="798"/>
      <c r="OKZ100" s="798"/>
      <c r="OLA100" s="798"/>
      <c r="OLB100" s="798"/>
      <c r="OLC100" s="798"/>
      <c r="OLD100" s="798"/>
      <c r="OLE100" s="798"/>
      <c r="OLF100" s="798"/>
      <c r="OLG100" s="798"/>
      <c r="OLH100" s="798"/>
      <c r="OLI100" s="798"/>
      <c r="OLJ100" s="798"/>
      <c r="OLK100" s="798"/>
      <c r="OLL100" s="798"/>
      <c r="OLM100" s="798"/>
      <c r="OLN100" s="798"/>
      <c r="OLO100" s="798"/>
      <c r="OLP100" s="798"/>
      <c r="OLQ100" s="798"/>
      <c r="OLR100" s="798"/>
      <c r="OLS100" s="798"/>
      <c r="OLT100" s="798"/>
      <c r="OLU100" s="798"/>
      <c r="OLV100" s="798"/>
      <c r="OLW100" s="798"/>
      <c r="OLX100" s="798"/>
      <c r="OLY100" s="798"/>
      <c r="OLZ100" s="798"/>
      <c r="OMA100" s="798"/>
      <c r="OMB100" s="798"/>
      <c r="OMC100" s="798"/>
      <c r="OMD100" s="798"/>
      <c r="OME100" s="798"/>
      <c r="OMF100" s="798"/>
      <c r="OMG100" s="798"/>
      <c r="OMH100" s="798"/>
      <c r="OMI100" s="798"/>
      <c r="OMJ100" s="798"/>
      <c r="OMK100" s="798"/>
      <c r="OML100" s="798"/>
      <c r="OMM100" s="798"/>
      <c r="OMN100" s="798"/>
      <c r="OMO100" s="798"/>
      <c r="OMP100" s="798"/>
      <c r="OMQ100" s="798"/>
      <c r="OMR100" s="798"/>
      <c r="OMS100" s="798"/>
      <c r="OMT100" s="798"/>
      <c r="OMU100" s="798"/>
      <c r="OMV100" s="798"/>
      <c r="OMW100" s="798"/>
      <c r="OMX100" s="798"/>
      <c r="OMY100" s="798"/>
      <c r="OMZ100" s="798"/>
      <c r="ONA100" s="798"/>
      <c r="ONB100" s="798"/>
      <c r="ONC100" s="798"/>
      <c r="OND100" s="798"/>
      <c r="ONE100" s="798"/>
      <c r="ONF100" s="798"/>
      <c r="ONG100" s="798"/>
      <c r="ONH100" s="798"/>
      <c r="ONI100" s="798"/>
      <c r="ONJ100" s="798"/>
      <c r="ONK100" s="798"/>
      <c r="ONL100" s="798"/>
      <c r="ONM100" s="798"/>
      <c r="ONN100" s="798"/>
      <c r="ONO100" s="798"/>
      <c r="ONP100" s="798"/>
      <c r="ONQ100" s="798"/>
      <c r="ONR100" s="798"/>
      <c r="ONS100" s="798"/>
      <c r="ONT100" s="798"/>
      <c r="ONU100" s="798"/>
      <c r="ONV100" s="798"/>
      <c r="ONW100" s="798"/>
      <c r="ONX100" s="798"/>
      <c r="ONY100" s="798"/>
      <c r="ONZ100" s="798"/>
      <c r="OOA100" s="798"/>
      <c r="OOB100" s="798"/>
      <c r="OOC100" s="798"/>
      <c r="OOD100" s="798"/>
      <c r="OOE100" s="798"/>
      <c r="OOF100" s="798"/>
      <c r="OOG100" s="798"/>
      <c r="OOH100" s="798"/>
      <c r="OOI100" s="798"/>
      <c r="OOJ100" s="798"/>
      <c r="OOK100" s="798"/>
      <c r="OOL100" s="798"/>
      <c r="OOM100" s="798"/>
      <c r="OON100" s="798"/>
      <c r="OOO100" s="798"/>
      <c r="OOP100" s="798"/>
      <c r="OOQ100" s="798"/>
      <c r="OOR100" s="798"/>
      <c r="OOS100" s="798"/>
      <c r="OOT100" s="798"/>
      <c r="OOU100" s="798"/>
      <c r="OOV100" s="798"/>
      <c r="OOW100" s="798"/>
      <c r="OOX100" s="798"/>
      <c r="OOY100" s="798"/>
      <c r="OOZ100" s="798"/>
      <c r="OPA100" s="798"/>
      <c r="OPB100" s="798"/>
      <c r="OPC100" s="798"/>
      <c r="OPD100" s="798"/>
      <c r="OPE100" s="798"/>
      <c r="OPF100" s="798"/>
      <c r="OPG100" s="798"/>
      <c r="OPH100" s="798"/>
      <c r="OPI100" s="798"/>
      <c r="OPJ100" s="798"/>
      <c r="OPK100" s="798"/>
      <c r="OPL100" s="798"/>
      <c r="OPM100" s="798"/>
      <c r="OPN100" s="798"/>
      <c r="OPO100" s="798"/>
      <c r="OPP100" s="798"/>
      <c r="OPQ100" s="798"/>
      <c r="OPR100" s="798"/>
      <c r="OPS100" s="798"/>
      <c r="OPT100" s="798"/>
      <c r="OPU100" s="798"/>
      <c r="OPV100" s="798"/>
      <c r="OPW100" s="798"/>
      <c r="OPX100" s="798"/>
      <c r="OPY100" s="798"/>
      <c r="OPZ100" s="798"/>
      <c r="OQA100" s="798"/>
      <c r="OQB100" s="798"/>
      <c r="OQC100" s="798"/>
      <c r="OQD100" s="798"/>
      <c r="OQE100" s="798"/>
      <c r="OQF100" s="798"/>
      <c r="OQG100" s="798"/>
      <c r="OQH100" s="798"/>
      <c r="OQI100" s="798"/>
      <c r="OQJ100" s="798"/>
      <c r="OQK100" s="798"/>
      <c r="OQL100" s="798"/>
      <c r="OQM100" s="798"/>
      <c r="OQN100" s="798"/>
      <c r="OQO100" s="798"/>
      <c r="OQP100" s="798"/>
      <c r="OQQ100" s="798"/>
      <c r="OQR100" s="798"/>
      <c r="OQS100" s="798"/>
      <c r="OQT100" s="798"/>
      <c r="OQU100" s="798"/>
      <c r="OQV100" s="798"/>
      <c r="OQW100" s="798"/>
      <c r="OQX100" s="798"/>
      <c r="OQY100" s="798"/>
      <c r="OQZ100" s="798"/>
      <c r="ORA100" s="798"/>
      <c r="ORB100" s="798"/>
      <c r="ORC100" s="798"/>
      <c r="ORD100" s="798"/>
      <c r="ORE100" s="798"/>
      <c r="ORF100" s="798"/>
      <c r="ORG100" s="798"/>
      <c r="ORH100" s="798"/>
      <c r="ORI100" s="798"/>
      <c r="ORJ100" s="798"/>
      <c r="ORK100" s="798"/>
      <c r="ORL100" s="798"/>
      <c r="ORM100" s="798"/>
      <c r="ORN100" s="798"/>
      <c r="ORO100" s="798"/>
      <c r="ORP100" s="798"/>
      <c r="ORQ100" s="798"/>
      <c r="ORR100" s="798"/>
      <c r="ORS100" s="798"/>
      <c r="ORT100" s="798"/>
      <c r="ORU100" s="798"/>
      <c r="ORV100" s="798"/>
      <c r="ORW100" s="798"/>
      <c r="ORX100" s="798"/>
      <c r="ORY100" s="798"/>
      <c r="ORZ100" s="798"/>
      <c r="OSA100" s="798"/>
      <c r="OSB100" s="798"/>
      <c r="OSC100" s="798"/>
      <c r="OSD100" s="798"/>
      <c r="OSE100" s="798"/>
      <c r="OSF100" s="798"/>
      <c r="OSG100" s="798"/>
      <c r="OSH100" s="798"/>
      <c r="OSI100" s="798"/>
      <c r="OSJ100" s="798"/>
      <c r="OSK100" s="798"/>
      <c r="OSL100" s="798"/>
      <c r="OSM100" s="798"/>
      <c r="OSN100" s="798"/>
      <c r="OSO100" s="798"/>
      <c r="OSP100" s="798"/>
      <c r="OSQ100" s="798"/>
      <c r="OSR100" s="798"/>
      <c r="OSS100" s="798"/>
      <c r="OST100" s="798"/>
      <c r="OSU100" s="798"/>
      <c r="OSV100" s="798"/>
      <c r="OSW100" s="798"/>
      <c r="OSX100" s="798"/>
      <c r="OSY100" s="798"/>
      <c r="OSZ100" s="798"/>
      <c r="OTA100" s="798"/>
      <c r="OTB100" s="798"/>
      <c r="OTC100" s="798"/>
      <c r="OTD100" s="798"/>
      <c r="OTE100" s="798"/>
      <c r="OTF100" s="798"/>
      <c r="OTG100" s="798"/>
      <c r="OTH100" s="798"/>
      <c r="OTI100" s="798"/>
      <c r="OTJ100" s="798"/>
      <c r="OTK100" s="798"/>
      <c r="OTL100" s="798"/>
      <c r="OTM100" s="798"/>
      <c r="OTN100" s="798"/>
      <c r="OTO100" s="798"/>
      <c r="OTP100" s="798"/>
      <c r="OTQ100" s="798"/>
      <c r="OTR100" s="798"/>
      <c r="OTS100" s="798"/>
      <c r="OTT100" s="798"/>
      <c r="OTU100" s="798"/>
      <c r="OTV100" s="798"/>
      <c r="OTW100" s="798"/>
      <c r="OTX100" s="798"/>
      <c r="OTY100" s="798"/>
      <c r="OTZ100" s="798"/>
      <c r="OUA100" s="798"/>
      <c r="OUB100" s="798"/>
      <c r="OUC100" s="798"/>
      <c r="OUD100" s="798"/>
      <c r="OUE100" s="798"/>
      <c r="OUF100" s="798"/>
      <c r="OUG100" s="798"/>
      <c r="OUH100" s="798"/>
      <c r="OUI100" s="798"/>
      <c r="OUJ100" s="798"/>
      <c r="OUK100" s="798"/>
      <c r="OUL100" s="798"/>
      <c r="OUM100" s="798"/>
      <c r="OUN100" s="798"/>
      <c r="OUO100" s="798"/>
      <c r="OUP100" s="798"/>
      <c r="OUQ100" s="798"/>
      <c r="OUR100" s="798"/>
      <c r="OUS100" s="798"/>
      <c r="OUT100" s="798"/>
      <c r="OUU100" s="798"/>
      <c r="OUV100" s="798"/>
      <c r="OUW100" s="798"/>
      <c r="OUX100" s="798"/>
      <c r="OUY100" s="798"/>
      <c r="OUZ100" s="798"/>
      <c r="OVA100" s="798"/>
      <c r="OVB100" s="798"/>
      <c r="OVC100" s="798"/>
      <c r="OVD100" s="798"/>
      <c r="OVE100" s="798"/>
      <c r="OVF100" s="798"/>
      <c r="OVG100" s="798"/>
      <c r="OVH100" s="798"/>
      <c r="OVI100" s="798"/>
      <c r="OVJ100" s="798"/>
      <c r="OVK100" s="798"/>
      <c r="OVL100" s="798"/>
      <c r="OVM100" s="798"/>
      <c r="OVN100" s="798"/>
      <c r="OVO100" s="798"/>
      <c r="OVP100" s="798"/>
      <c r="OVQ100" s="798"/>
      <c r="OVR100" s="798"/>
      <c r="OVS100" s="798"/>
      <c r="OVT100" s="798"/>
      <c r="OVU100" s="798"/>
      <c r="OVV100" s="798"/>
      <c r="OVW100" s="798"/>
      <c r="OVX100" s="798"/>
      <c r="OVY100" s="798"/>
      <c r="OVZ100" s="798"/>
      <c r="OWA100" s="798"/>
      <c r="OWB100" s="798"/>
      <c r="OWC100" s="798"/>
      <c r="OWD100" s="798"/>
      <c r="OWE100" s="798"/>
      <c r="OWF100" s="798"/>
      <c r="OWG100" s="798"/>
      <c r="OWH100" s="798"/>
      <c r="OWI100" s="798"/>
      <c r="OWJ100" s="798"/>
      <c r="OWK100" s="798"/>
      <c r="OWL100" s="798"/>
      <c r="OWM100" s="798"/>
      <c r="OWN100" s="798"/>
      <c r="OWO100" s="798"/>
      <c r="OWP100" s="798"/>
      <c r="OWQ100" s="798"/>
      <c r="OWR100" s="798"/>
      <c r="OWS100" s="798"/>
      <c r="OWT100" s="798"/>
      <c r="OWU100" s="798"/>
      <c r="OWV100" s="798"/>
      <c r="OWW100" s="798"/>
      <c r="OWX100" s="798"/>
      <c r="OWY100" s="798"/>
      <c r="OWZ100" s="798"/>
      <c r="OXA100" s="798"/>
      <c r="OXB100" s="798"/>
      <c r="OXC100" s="798"/>
      <c r="OXD100" s="798"/>
      <c r="OXE100" s="798"/>
      <c r="OXF100" s="798"/>
      <c r="OXG100" s="798"/>
      <c r="OXH100" s="798"/>
      <c r="OXI100" s="798"/>
      <c r="OXJ100" s="798"/>
      <c r="OXK100" s="798"/>
      <c r="OXL100" s="798"/>
      <c r="OXM100" s="798"/>
      <c r="OXN100" s="798"/>
      <c r="OXO100" s="798"/>
      <c r="OXP100" s="798"/>
      <c r="OXQ100" s="798"/>
      <c r="OXR100" s="798"/>
      <c r="OXS100" s="798"/>
      <c r="OXT100" s="798"/>
      <c r="OXU100" s="798"/>
      <c r="OXV100" s="798"/>
      <c r="OXW100" s="798"/>
      <c r="OXX100" s="798"/>
      <c r="OXY100" s="798"/>
      <c r="OXZ100" s="798"/>
      <c r="OYA100" s="798"/>
      <c r="OYB100" s="798"/>
      <c r="OYC100" s="798"/>
      <c r="OYD100" s="798"/>
      <c r="OYE100" s="798"/>
      <c r="OYF100" s="798"/>
      <c r="OYG100" s="798"/>
      <c r="OYH100" s="798"/>
      <c r="OYI100" s="798"/>
      <c r="OYJ100" s="798"/>
      <c r="OYK100" s="798"/>
      <c r="OYL100" s="798"/>
      <c r="OYM100" s="798"/>
      <c r="OYN100" s="798"/>
      <c r="OYO100" s="798"/>
      <c r="OYP100" s="798"/>
      <c r="OYQ100" s="798"/>
      <c r="OYR100" s="798"/>
      <c r="OYS100" s="798"/>
      <c r="OYT100" s="798"/>
      <c r="OYU100" s="798"/>
      <c r="OYV100" s="798"/>
      <c r="OYW100" s="798"/>
      <c r="OYX100" s="798"/>
      <c r="OYY100" s="798"/>
      <c r="OYZ100" s="798"/>
      <c r="OZA100" s="798"/>
      <c r="OZB100" s="798"/>
      <c r="OZC100" s="798"/>
      <c r="OZD100" s="798"/>
      <c r="OZE100" s="798"/>
      <c r="OZF100" s="798"/>
      <c r="OZG100" s="798"/>
      <c r="OZH100" s="798"/>
      <c r="OZI100" s="798"/>
      <c r="OZJ100" s="798"/>
      <c r="OZK100" s="798"/>
      <c r="OZL100" s="798"/>
      <c r="OZM100" s="798"/>
      <c r="OZN100" s="798"/>
      <c r="OZO100" s="798"/>
      <c r="OZP100" s="798"/>
      <c r="OZQ100" s="798"/>
      <c r="OZR100" s="798"/>
      <c r="OZS100" s="798"/>
      <c r="OZT100" s="798"/>
      <c r="OZU100" s="798"/>
      <c r="OZV100" s="798"/>
      <c r="OZW100" s="798"/>
      <c r="OZX100" s="798"/>
      <c r="OZY100" s="798"/>
      <c r="OZZ100" s="798"/>
      <c r="PAA100" s="798"/>
      <c r="PAB100" s="798"/>
      <c r="PAC100" s="798"/>
      <c r="PAD100" s="798"/>
      <c r="PAE100" s="798"/>
      <c r="PAF100" s="798"/>
      <c r="PAG100" s="798"/>
      <c r="PAH100" s="798"/>
      <c r="PAI100" s="798"/>
      <c r="PAJ100" s="798"/>
      <c r="PAK100" s="798"/>
      <c r="PAL100" s="798"/>
      <c r="PAM100" s="798"/>
      <c r="PAN100" s="798"/>
      <c r="PAO100" s="798"/>
      <c r="PAP100" s="798"/>
      <c r="PAQ100" s="798"/>
      <c r="PAR100" s="798"/>
      <c r="PAS100" s="798"/>
      <c r="PAT100" s="798"/>
      <c r="PAU100" s="798"/>
      <c r="PAV100" s="798"/>
      <c r="PAW100" s="798"/>
      <c r="PAX100" s="798"/>
      <c r="PAY100" s="798"/>
      <c r="PAZ100" s="798"/>
      <c r="PBA100" s="798"/>
      <c r="PBB100" s="798"/>
      <c r="PBC100" s="798"/>
      <c r="PBD100" s="798"/>
      <c r="PBE100" s="798"/>
      <c r="PBF100" s="798"/>
      <c r="PBG100" s="798"/>
      <c r="PBH100" s="798"/>
      <c r="PBI100" s="798"/>
      <c r="PBJ100" s="798"/>
      <c r="PBK100" s="798"/>
      <c r="PBL100" s="798"/>
      <c r="PBM100" s="798"/>
      <c r="PBN100" s="798"/>
      <c r="PBO100" s="798"/>
      <c r="PBP100" s="798"/>
      <c r="PBQ100" s="798"/>
      <c r="PBR100" s="798"/>
      <c r="PBS100" s="798"/>
      <c r="PBT100" s="798"/>
      <c r="PBU100" s="798"/>
      <c r="PBV100" s="798"/>
      <c r="PBW100" s="798"/>
      <c r="PBX100" s="798"/>
      <c r="PBY100" s="798"/>
      <c r="PBZ100" s="798"/>
      <c r="PCA100" s="798"/>
      <c r="PCB100" s="798"/>
      <c r="PCC100" s="798"/>
      <c r="PCD100" s="798"/>
      <c r="PCE100" s="798"/>
      <c r="PCF100" s="798"/>
      <c r="PCG100" s="798"/>
      <c r="PCH100" s="798"/>
      <c r="PCI100" s="798"/>
      <c r="PCJ100" s="798"/>
      <c r="PCK100" s="798"/>
      <c r="PCL100" s="798"/>
      <c r="PCM100" s="798"/>
      <c r="PCN100" s="798"/>
      <c r="PCO100" s="798"/>
      <c r="PCP100" s="798"/>
      <c r="PCQ100" s="798"/>
      <c r="PCR100" s="798"/>
      <c r="PCS100" s="798"/>
      <c r="PCT100" s="798"/>
      <c r="PCU100" s="798"/>
      <c r="PCV100" s="798"/>
      <c r="PCW100" s="798"/>
      <c r="PCX100" s="798"/>
      <c r="PCY100" s="798"/>
      <c r="PCZ100" s="798"/>
      <c r="PDA100" s="798"/>
      <c r="PDB100" s="798"/>
      <c r="PDC100" s="798"/>
      <c r="PDD100" s="798"/>
      <c r="PDE100" s="798"/>
      <c r="PDF100" s="798"/>
      <c r="PDG100" s="798"/>
      <c r="PDH100" s="798"/>
      <c r="PDI100" s="798"/>
      <c r="PDJ100" s="798"/>
      <c r="PDK100" s="798"/>
      <c r="PDL100" s="798"/>
      <c r="PDM100" s="798"/>
      <c r="PDN100" s="798"/>
      <c r="PDO100" s="798"/>
      <c r="PDP100" s="798"/>
      <c r="PDQ100" s="798"/>
      <c r="PDR100" s="798"/>
      <c r="PDS100" s="798"/>
      <c r="PDT100" s="798"/>
      <c r="PDU100" s="798"/>
      <c r="PDV100" s="798"/>
      <c r="PDW100" s="798"/>
      <c r="PDX100" s="798"/>
      <c r="PDY100" s="798"/>
      <c r="PDZ100" s="798"/>
      <c r="PEA100" s="798"/>
      <c r="PEB100" s="798"/>
      <c r="PEC100" s="798"/>
      <c r="PED100" s="798"/>
      <c r="PEE100" s="798"/>
      <c r="PEF100" s="798"/>
      <c r="PEG100" s="798"/>
      <c r="PEH100" s="798"/>
      <c r="PEI100" s="798"/>
      <c r="PEJ100" s="798"/>
      <c r="PEK100" s="798"/>
      <c r="PEL100" s="798"/>
      <c r="PEM100" s="798"/>
      <c r="PEN100" s="798"/>
      <c r="PEO100" s="798"/>
      <c r="PEP100" s="798"/>
      <c r="PEQ100" s="798"/>
      <c r="PER100" s="798"/>
      <c r="PES100" s="798"/>
      <c r="PET100" s="798"/>
      <c r="PEU100" s="798"/>
      <c r="PEV100" s="798"/>
      <c r="PEW100" s="798"/>
      <c r="PEX100" s="798"/>
      <c r="PEY100" s="798"/>
      <c r="PEZ100" s="798"/>
      <c r="PFA100" s="798"/>
      <c r="PFB100" s="798"/>
      <c r="PFC100" s="798"/>
      <c r="PFD100" s="798"/>
      <c r="PFE100" s="798"/>
      <c r="PFF100" s="798"/>
      <c r="PFG100" s="798"/>
      <c r="PFH100" s="798"/>
      <c r="PFI100" s="798"/>
      <c r="PFJ100" s="798"/>
      <c r="PFK100" s="798"/>
      <c r="PFL100" s="798"/>
      <c r="PFM100" s="798"/>
      <c r="PFN100" s="798"/>
      <c r="PFO100" s="798"/>
      <c r="PFP100" s="798"/>
      <c r="PFQ100" s="798"/>
      <c r="PFR100" s="798"/>
      <c r="PFS100" s="798"/>
      <c r="PFT100" s="798"/>
      <c r="PFU100" s="798"/>
      <c r="PFV100" s="798"/>
      <c r="PFW100" s="798"/>
      <c r="PFX100" s="798"/>
      <c r="PFY100" s="798"/>
      <c r="PFZ100" s="798"/>
      <c r="PGA100" s="798"/>
      <c r="PGB100" s="798"/>
      <c r="PGC100" s="798"/>
      <c r="PGD100" s="798"/>
      <c r="PGE100" s="798"/>
      <c r="PGF100" s="798"/>
      <c r="PGG100" s="798"/>
      <c r="PGH100" s="798"/>
      <c r="PGI100" s="798"/>
      <c r="PGJ100" s="798"/>
      <c r="PGK100" s="798"/>
      <c r="PGL100" s="798"/>
      <c r="PGM100" s="798"/>
      <c r="PGN100" s="798"/>
      <c r="PGO100" s="798"/>
      <c r="PGP100" s="798"/>
      <c r="PGQ100" s="798"/>
      <c r="PGR100" s="798"/>
      <c r="PGS100" s="798"/>
      <c r="PGT100" s="798"/>
      <c r="PGU100" s="798"/>
      <c r="PGV100" s="798"/>
      <c r="PGW100" s="798"/>
      <c r="PGX100" s="798"/>
      <c r="PGY100" s="798"/>
      <c r="PGZ100" s="798"/>
      <c r="PHA100" s="798"/>
      <c r="PHB100" s="798"/>
      <c r="PHC100" s="798"/>
      <c r="PHD100" s="798"/>
      <c r="PHE100" s="798"/>
      <c r="PHF100" s="798"/>
      <c r="PHG100" s="798"/>
      <c r="PHH100" s="798"/>
      <c r="PHI100" s="798"/>
      <c r="PHJ100" s="798"/>
      <c r="PHK100" s="798"/>
      <c r="PHL100" s="798"/>
      <c r="PHM100" s="798"/>
      <c r="PHN100" s="798"/>
      <c r="PHO100" s="798"/>
      <c r="PHP100" s="798"/>
      <c r="PHQ100" s="798"/>
      <c r="PHR100" s="798"/>
      <c r="PHS100" s="798"/>
      <c r="PHT100" s="798"/>
      <c r="PHU100" s="798"/>
      <c r="PHV100" s="798"/>
      <c r="PHW100" s="798"/>
      <c r="PHX100" s="798"/>
      <c r="PHY100" s="798"/>
      <c r="PHZ100" s="798"/>
      <c r="PIA100" s="798"/>
      <c r="PIB100" s="798"/>
      <c r="PIC100" s="798"/>
      <c r="PID100" s="798"/>
      <c r="PIE100" s="798"/>
      <c r="PIF100" s="798"/>
      <c r="PIG100" s="798"/>
      <c r="PIH100" s="798"/>
      <c r="PII100" s="798"/>
      <c r="PIJ100" s="798"/>
      <c r="PIK100" s="798"/>
      <c r="PIL100" s="798"/>
      <c r="PIM100" s="798"/>
      <c r="PIN100" s="798"/>
      <c r="PIO100" s="798"/>
      <c r="PIP100" s="798"/>
      <c r="PIQ100" s="798"/>
      <c r="PIR100" s="798"/>
      <c r="PIS100" s="798"/>
      <c r="PIT100" s="798"/>
      <c r="PIU100" s="798"/>
      <c r="PIV100" s="798"/>
      <c r="PIW100" s="798"/>
      <c r="PIX100" s="798"/>
      <c r="PIY100" s="798"/>
      <c r="PIZ100" s="798"/>
      <c r="PJA100" s="798"/>
      <c r="PJB100" s="798"/>
      <c r="PJC100" s="798"/>
      <c r="PJD100" s="798"/>
      <c r="PJE100" s="798"/>
      <c r="PJF100" s="798"/>
      <c r="PJG100" s="798"/>
      <c r="PJH100" s="798"/>
      <c r="PJI100" s="798"/>
      <c r="PJJ100" s="798"/>
      <c r="PJK100" s="798"/>
      <c r="PJL100" s="798"/>
      <c r="PJM100" s="798"/>
      <c r="PJN100" s="798"/>
      <c r="PJO100" s="798"/>
      <c r="PJP100" s="798"/>
      <c r="PJQ100" s="798"/>
      <c r="PJR100" s="798"/>
      <c r="PJS100" s="798"/>
      <c r="PJT100" s="798"/>
      <c r="PJU100" s="798"/>
      <c r="PJV100" s="798"/>
      <c r="PJW100" s="798"/>
      <c r="PJX100" s="798"/>
      <c r="PJY100" s="798"/>
      <c r="PJZ100" s="798"/>
      <c r="PKA100" s="798"/>
      <c r="PKB100" s="798"/>
      <c r="PKC100" s="798"/>
      <c r="PKD100" s="798"/>
      <c r="PKE100" s="798"/>
      <c r="PKF100" s="798"/>
      <c r="PKG100" s="798"/>
      <c r="PKH100" s="798"/>
      <c r="PKI100" s="798"/>
      <c r="PKJ100" s="798"/>
      <c r="PKK100" s="798"/>
      <c r="PKL100" s="798"/>
      <c r="PKM100" s="798"/>
      <c r="PKN100" s="798"/>
      <c r="PKO100" s="798"/>
      <c r="PKP100" s="798"/>
      <c r="PKQ100" s="798"/>
      <c r="PKR100" s="798"/>
      <c r="PKS100" s="798"/>
      <c r="PKT100" s="798"/>
      <c r="PKU100" s="798"/>
      <c r="PKV100" s="798"/>
      <c r="PKW100" s="798"/>
      <c r="PKX100" s="798"/>
      <c r="PKY100" s="798"/>
      <c r="PKZ100" s="798"/>
      <c r="PLA100" s="798"/>
      <c r="PLB100" s="798"/>
      <c r="PLC100" s="798"/>
      <c r="PLD100" s="798"/>
      <c r="PLE100" s="798"/>
      <c r="PLF100" s="798"/>
      <c r="PLG100" s="798"/>
      <c r="PLH100" s="798"/>
      <c r="PLI100" s="798"/>
      <c r="PLJ100" s="798"/>
      <c r="PLK100" s="798"/>
      <c r="PLL100" s="798"/>
      <c r="PLM100" s="798"/>
      <c r="PLN100" s="798"/>
      <c r="PLO100" s="798"/>
      <c r="PLP100" s="798"/>
      <c r="PLQ100" s="798"/>
      <c r="PLR100" s="798"/>
      <c r="PLS100" s="798"/>
      <c r="PLT100" s="798"/>
      <c r="PLU100" s="798"/>
      <c r="PLV100" s="798"/>
      <c r="PLW100" s="798"/>
      <c r="PLX100" s="798"/>
      <c r="PLY100" s="798"/>
      <c r="PLZ100" s="798"/>
      <c r="PMA100" s="798"/>
      <c r="PMB100" s="798"/>
      <c r="PMC100" s="798"/>
      <c r="PMD100" s="798"/>
      <c r="PME100" s="798"/>
      <c r="PMF100" s="798"/>
      <c r="PMG100" s="798"/>
      <c r="PMH100" s="798"/>
      <c r="PMI100" s="798"/>
      <c r="PMJ100" s="798"/>
      <c r="PMK100" s="798"/>
      <c r="PML100" s="798"/>
      <c r="PMM100" s="798"/>
      <c r="PMN100" s="798"/>
      <c r="PMO100" s="798"/>
      <c r="PMP100" s="798"/>
      <c r="PMQ100" s="798"/>
      <c r="PMR100" s="798"/>
      <c r="PMS100" s="798"/>
      <c r="PMT100" s="798"/>
      <c r="PMU100" s="798"/>
      <c r="PMV100" s="798"/>
      <c r="PMW100" s="798"/>
      <c r="PMX100" s="798"/>
      <c r="PMY100" s="798"/>
      <c r="PMZ100" s="798"/>
      <c r="PNA100" s="798"/>
      <c r="PNB100" s="798"/>
      <c r="PNC100" s="798"/>
      <c r="PND100" s="798"/>
      <c r="PNE100" s="798"/>
      <c r="PNF100" s="798"/>
      <c r="PNG100" s="798"/>
      <c r="PNH100" s="798"/>
      <c r="PNI100" s="798"/>
      <c r="PNJ100" s="798"/>
      <c r="PNK100" s="798"/>
      <c r="PNL100" s="798"/>
      <c r="PNM100" s="798"/>
      <c r="PNN100" s="798"/>
      <c r="PNO100" s="798"/>
      <c r="PNP100" s="798"/>
      <c r="PNQ100" s="798"/>
      <c r="PNR100" s="798"/>
      <c r="PNS100" s="798"/>
      <c r="PNT100" s="798"/>
      <c r="PNU100" s="798"/>
      <c r="PNV100" s="798"/>
      <c r="PNW100" s="798"/>
      <c r="PNX100" s="798"/>
      <c r="PNY100" s="798"/>
      <c r="PNZ100" s="798"/>
      <c r="POA100" s="798"/>
      <c r="POB100" s="798"/>
      <c r="POC100" s="798"/>
      <c r="POD100" s="798"/>
      <c r="POE100" s="798"/>
      <c r="POF100" s="798"/>
      <c r="POG100" s="798"/>
      <c r="POH100" s="798"/>
      <c r="POI100" s="798"/>
      <c r="POJ100" s="798"/>
      <c r="POK100" s="798"/>
      <c r="POL100" s="798"/>
      <c r="POM100" s="798"/>
      <c r="PON100" s="798"/>
      <c r="POO100" s="798"/>
      <c r="POP100" s="798"/>
      <c r="POQ100" s="798"/>
      <c r="POR100" s="798"/>
      <c r="POS100" s="798"/>
      <c r="POT100" s="798"/>
      <c r="POU100" s="798"/>
      <c r="POV100" s="798"/>
      <c r="POW100" s="798"/>
      <c r="POX100" s="798"/>
      <c r="POY100" s="798"/>
      <c r="POZ100" s="798"/>
      <c r="PPA100" s="798"/>
      <c r="PPB100" s="798"/>
      <c r="PPC100" s="798"/>
      <c r="PPD100" s="798"/>
      <c r="PPE100" s="798"/>
      <c r="PPF100" s="798"/>
      <c r="PPG100" s="798"/>
      <c r="PPH100" s="798"/>
      <c r="PPI100" s="798"/>
      <c r="PPJ100" s="798"/>
      <c r="PPK100" s="798"/>
      <c r="PPL100" s="798"/>
      <c r="PPM100" s="798"/>
      <c r="PPN100" s="798"/>
      <c r="PPO100" s="798"/>
      <c r="PPP100" s="798"/>
      <c r="PPQ100" s="798"/>
      <c r="PPR100" s="798"/>
      <c r="PPS100" s="798"/>
      <c r="PPT100" s="798"/>
      <c r="PPU100" s="798"/>
      <c r="PPV100" s="798"/>
      <c r="PPW100" s="798"/>
      <c r="PPX100" s="798"/>
      <c r="PPY100" s="798"/>
      <c r="PPZ100" s="798"/>
      <c r="PQA100" s="798"/>
      <c r="PQB100" s="798"/>
      <c r="PQC100" s="798"/>
      <c r="PQD100" s="798"/>
      <c r="PQE100" s="798"/>
      <c r="PQF100" s="798"/>
      <c r="PQG100" s="798"/>
      <c r="PQH100" s="798"/>
      <c r="PQI100" s="798"/>
      <c r="PQJ100" s="798"/>
      <c r="PQK100" s="798"/>
      <c r="PQL100" s="798"/>
      <c r="PQM100" s="798"/>
      <c r="PQN100" s="798"/>
      <c r="PQO100" s="798"/>
      <c r="PQP100" s="798"/>
      <c r="PQQ100" s="798"/>
      <c r="PQR100" s="798"/>
      <c r="PQS100" s="798"/>
      <c r="PQT100" s="798"/>
      <c r="PQU100" s="798"/>
      <c r="PQV100" s="798"/>
      <c r="PQW100" s="798"/>
      <c r="PQX100" s="798"/>
      <c r="PQY100" s="798"/>
      <c r="PQZ100" s="798"/>
      <c r="PRA100" s="798"/>
      <c r="PRB100" s="798"/>
      <c r="PRC100" s="798"/>
      <c r="PRD100" s="798"/>
      <c r="PRE100" s="798"/>
      <c r="PRF100" s="798"/>
      <c r="PRG100" s="798"/>
      <c r="PRH100" s="798"/>
      <c r="PRI100" s="798"/>
      <c r="PRJ100" s="798"/>
      <c r="PRK100" s="798"/>
      <c r="PRL100" s="798"/>
      <c r="PRM100" s="798"/>
      <c r="PRN100" s="798"/>
      <c r="PRO100" s="798"/>
      <c r="PRP100" s="798"/>
      <c r="PRQ100" s="798"/>
      <c r="PRR100" s="798"/>
      <c r="PRS100" s="798"/>
      <c r="PRT100" s="798"/>
      <c r="PRU100" s="798"/>
      <c r="PRV100" s="798"/>
      <c r="PRW100" s="798"/>
      <c r="PRX100" s="798"/>
      <c r="PRY100" s="798"/>
      <c r="PRZ100" s="798"/>
      <c r="PSA100" s="798"/>
      <c r="PSB100" s="798"/>
      <c r="PSC100" s="798"/>
      <c r="PSD100" s="798"/>
      <c r="PSE100" s="798"/>
      <c r="PSF100" s="798"/>
      <c r="PSG100" s="798"/>
      <c r="PSH100" s="798"/>
      <c r="PSI100" s="798"/>
      <c r="PSJ100" s="798"/>
      <c r="PSK100" s="798"/>
      <c r="PSL100" s="798"/>
      <c r="PSM100" s="798"/>
      <c r="PSN100" s="798"/>
      <c r="PSO100" s="798"/>
      <c r="PSP100" s="798"/>
      <c r="PSQ100" s="798"/>
      <c r="PSR100" s="798"/>
      <c r="PSS100" s="798"/>
      <c r="PST100" s="798"/>
      <c r="PSU100" s="798"/>
      <c r="PSV100" s="798"/>
      <c r="PSW100" s="798"/>
      <c r="PSX100" s="798"/>
      <c r="PSY100" s="798"/>
      <c r="PSZ100" s="798"/>
      <c r="PTA100" s="798"/>
      <c r="PTB100" s="798"/>
      <c r="PTC100" s="798"/>
      <c r="PTD100" s="798"/>
      <c r="PTE100" s="798"/>
      <c r="PTF100" s="798"/>
      <c r="PTG100" s="798"/>
      <c r="PTH100" s="798"/>
      <c r="PTI100" s="798"/>
      <c r="PTJ100" s="798"/>
      <c r="PTK100" s="798"/>
      <c r="PTL100" s="798"/>
      <c r="PTM100" s="798"/>
      <c r="PTN100" s="798"/>
      <c r="PTO100" s="798"/>
      <c r="PTP100" s="798"/>
      <c r="PTQ100" s="798"/>
      <c r="PTR100" s="798"/>
      <c r="PTS100" s="798"/>
      <c r="PTT100" s="798"/>
      <c r="PTU100" s="798"/>
      <c r="PTV100" s="798"/>
      <c r="PTW100" s="798"/>
      <c r="PTX100" s="798"/>
      <c r="PTY100" s="798"/>
      <c r="PTZ100" s="798"/>
      <c r="PUA100" s="798"/>
      <c r="PUB100" s="798"/>
      <c r="PUC100" s="798"/>
      <c r="PUD100" s="798"/>
      <c r="PUE100" s="798"/>
      <c r="PUF100" s="798"/>
      <c r="PUG100" s="798"/>
      <c r="PUH100" s="798"/>
      <c r="PUI100" s="798"/>
      <c r="PUJ100" s="798"/>
      <c r="PUK100" s="798"/>
      <c r="PUL100" s="798"/>
      <c r="PUM100" s="798"/>
      <c r="PUN100" s="798"/>
      <c r="PUO100" s="798"/>
      <c r="PUP100" s="798"/>
      <c r="PUQ100" s="798"/>
      <c r="PUR100" s="798"/>
      <c r="PUS100" s="798"/>
      <c r="PUT100" s="798"/>
      <c r="PUU100" s="798"/>
      <c r="PUV100" s="798"/>
      <c r="PUW100" s="798"/>
      <c r="PUX100" s="798"/>
      <c r="PUY100" s="798"/>
      <c r="PUZ100" s="798"/>
      <c r="PVA100" s="798"/>
      <c r="PVB100" s="798"/>
      <c r="PVC100" s="798"/>
      <c r="PVD100" s="798"/>
      <c r="PVE100" s="798"/>
      <c r="PVF100" s="798"/>
      <c r="PVG100" s="798"/>
      <c r="PVH100" s="798"/>
      <c r="PVI100" s="798"/>
      <c r="PVJ100" s="798"/>
      <c r="PVK100" s="798"/>
      <c r="PVL100" s="798"/>
      <c r="PVM100" s="798"/>
      <c r="PVN100" s="798"/>
      <c r="PVO100" s="798"/>
      <c r="PVP100" s="798"/>
      <c r="PVQ100" s="798"/>
      <c r="PVR100" s="798"/>
      <c r="PVS100" s="798"/>
      <c r="PVT100" s="798"/>
      <c r="PVU100" s="798"/>
      <c r="PVV100" s="798"/>
      <c r="PVW100" s="798"/>
      <c r="PVX100" s="798"/>
      <c r="PVY100" s="798"/>
      <c r="PVZ100" s="798"/>
      <c r="PWA100" s="798"/>
      <c r="PWB100" s="798"/>
      <c r="PWC100" s="798"/>
      <c r="PWD100" s="798"/>
      <c r="PWE100" s="798"/>
      <c r="PWF100" s="798"/>
      <c r="PWG100" s="798"/>
      <c r="PWH100" s="798"/>
      <c r="PWI100" s="798"/>
      <c r="PWJ100" s="798"/>
      <c r="PWK100" s="798"/>
      <c r="PWL100" s="798"/>
      <c r="PWM100" s="798"/>
      <c r="PWN100" s="798"/>
      <c r="PWO100" s="798"/>
      <c r="PWP100" s="798"/>
      <c r="PWQ100" s="798"/>
      <c r="PWR100" s="798"/>
      <c r="PWS100" s="798"/>
      <c r="PWT100" s="798"/>
      <c r="PWU100" s="798"/>
      <c r="PWV100" s="798"/>
      <c r="PWW100" s="798"/>
      <c r="PWX100" s="798"/>
      <c r="PWY100" s="798"/>
      <c r="PWZ100" s="798"/>
      <c r="PXA100" s="798"/>
      <c r="PXB100" s="798"/>
      <c r="PXC100" s="798"/>
      <c r="PXD100" s="798"/>
      <c r="PXE100" s="798"/>
      <c r="PXF100" s="798"/>
      <c r="PXG100" s="798"/>
      <c r="PXH100" s="798"/>
      <c r="PXI100" s="798"/>
      <c r="PXJ100" s="798"/>
      <c r="PXK100" s="798"/>
      <c r="PXL100" s="798"/>
      <c r="PXM100" s="798"/>
      <c r="PXN100" s="798"/>
      <c r="PXO100" s="798"/>
      <c r="PXP100" s="798"/>
      <c r="PXQ100" s="798"/>
      <c r="PXR100" s="798"/>
      <c r="PXS100" s="798"/>
      <c r="PXT100" s="798"/>
      <c r="PXU100" s="798"/>
      <c r="PXV100" s="798"/>
      <c r="PXW100" s="798"/>
      <c r="PXX100" s="798"/>
      <c r="PXY100" s="798"/>
      <c r="PXZ100" s="798"/>
      <c r="PYA100" s="798"/>
      <c r="PYB100" s="798"/>
      <c r="PYC100" s="798"/>
      <c r="PYD100" s="798"/>
      <c r="PYE100" s="798"/>
      <c r="PYF100" s="798"/>
      <c r="PYG100" s="798"/>
      <c r="PYH100" s="798"/>
      <c r="PYI100" s="798"/>
      <c r="PYJ100" s="798"/>
      <c r="PYK100" s="798"/>
      <c r="PYL100" s="798"/>
      <c r="PYM100" s="798"/>
      <c r="PYN100" s="798"/>
      <c r="PYO100" s="798"/>
      <c r="PYP100" s="798"/>
      <c r="PYQ100" s="798"/>
      <c r="PYR100" s="798"/>
      <c r="PYS100" s="798"/>
      <c r="PYT100" s="798"/>
      <c r="PYU100" s="798"/>
      <c r="PYV100" s="798"/>
      <c r="PYW100" s="798"/>
      <c r="PYX100" s="798"/>
      <c r="PYY100" s="798"/>
      <c r="PYZ100" s="798"/>
      <c r="PZA100" s="798"/>
      <c r="PZB100" s="798"/>
      <c r="PZC100" s="798"/>
      <c r="PZD100" s="798"/>
      <c r="PZE100" s="798"/>
      <c r="PZF100" s="798"/>
      <c r="PZG100" s="798"/>
      <c r="PZH100" s="798"/>
      <c r="PZI100" s="798"/>
      <c r="PZJ100" s="798"/>
      <c r="PZK100" s="798"/>
      <c r="PZL100" s="798"/>
      <c r="PZM100" s="798"/>
      <c r="PZN100" s="798"/>
      <c r="PZO100" s="798"/>
      <c r="PZP100" s="798"/>
      <c r="PZQ100" s="798"/>
      <c r="PZR100" s="798"/>
      <c r="PZS100" s="798"/>
      <c r="PZT100" s="798"/>
      <c r="PZU100" s="798"/>
      <c r="PZV100" s="798"/>
      <c r="PZW100" s="798"/>
      <c r="PZX100" s="798"/>
      <c r="PZY100" s="798"/>
      <c r="PZZ100" s="798"/>
      <c r="QAA100" s="798"/>
      <c r="QAB100" s="798"/>
      <c r="QAC100" s="798"/>
      <c r="QAD100" s="798"/>
      <c r="QAE100" s="798"/>
      <c r="QAF100" s="798"/>
      <c r="QAG100" s="798"/>
      <c r="QAH100" s="798"/>
      <c r="QAI100" s="798"/>
      <c r="QAJ100" s="798"/>
      <c r="QAK100" s="798"/>
      <c r="QAL100" s="798"/>
      <c r="QAM100" s="798"/>
      <c r="QAN100" s="798"/>
      <c r="QAO100" s="798"/>
      <c r="QAP100" s="798"/>
      <c r="QAQ100" s="798"/>
      <c r="QAR100" s="798"/>
      <c r="QAS100" s="798"/>
      <c r="QAT100" s="798"/>
      <c r="QAU100" s="798"/>
      <c r="QAV100" s="798"/>
      <c r="QAW100" s="798"/>
      <c r="QAX100" s="798"/>
      <c r="QAY100" s="798"/>
      <c r="QAZ100" s="798"/>
      <c r="QBA100" s="798"/>
      <c r="QBB100" s="798"/>
      <c r="QBC100" s="798"/>
      <c r="QBD100" s="798"/>
      <c r="QBE100" s="798"/>
      <c r="QBF100" s="798"/>
      <c r="QBG100" s="798"/>
      <c r="QBH100" s="798"/>
      <c r="QBI100" s="798"/>
      <c r="QBJ100" s="798"/>
      <c r="QBK100" s="798"/>
      <c r="QBL100" s="798"/>
      <c r="QBM100" s="798"/>
      <c r="QBN100" s="798"/>
      <c r="QBO100" s="798"/>
      <c r="QBP100" s="798"/>
      <c r="QBQ100" s="798"/>
      <c r="QBR100" s="798"/>
      <c r="QBS100" s="798"/>
      <c r="QBT100" s="798"/>
      <c r="QBU100" s="798"/>
      <c r="QBV100" s="798"/>
      <c r="QBW100" s="798"/>
      <c r="QBX100" s="798"/>
      <c r="QBY100" s="798"/>
      <c r="QBZ100" s="798"/>
      <c r="QCA100" s="798"/>
      <c r="QCB100" s="798"/>
      <c r="QCC100" s="798"/>
      <c r="QCD100" s="798"/>
      <c r="QCE100" s="798"/>
      <c r="QCF100" s="798"/>
      <c r="QCG100" s="798"/>
      <c r="QCH100" s="798"/>
      <c r="QCI100" s="798"/>
      <c r="QCJ100" s="798"/>
      <c r="QCK100" s="798"/>
      <c r="QCL100" s="798"/>
      <c r="QCM100" s="798"/>
      <c r="QCN100" s="798"/>
      <c r="QCO100" s="798"/>
      <c r="QCP100" s="798"/>
      <c r="QCQ100" s="798"/>
      <c r="QCR100" s="798"/>
      <c r="QCS100" s="798"/>
      <c r="QCT100" s="798"/>
      <c r="QCU100" s="798"/>
      <c r="QCV100" s="798"/>
      <c r="QCW100" s="798"/>
      <c r="QCX100" s="798"/>
      <c r="QCY100" s="798"/>
      <c r="QCZ100" s="798"/>
      <c r="QDA100" s="798"/>
      <c r="QDB100" s="798"/>
      <c r="QDC100" s="798"/>
      <c r="QDD100" s="798"/>
      <c r="QDE100" s="798"/>
      <c r="QDF100" s="798"/>
      <c r="QDG100" s="798"/>
      <c r="QDH100" s="798"/>
      <c r="QDI100" s="798"/>
      <c r="QDJ100" s="798"/>
      <c r="QDK100" s="798"/>
      <c r="QDL100" s="798"/>
      <c r="QDM100" s="798"/>
      <c r="QDN100" s="798"/>
      <c r="QDO100" s="798"/>
      <c r="QDP100" s="798"/>
      <c r="QDQ100" s="798"/>
      <c r="QDR100" s="798"/>
      <c r="QDS100" s="798"/>
      <c r="QDT100" s="798"/>
      <c r="QDU100" s="798"/>
      <c r="QDV100" s="798"/>
      <c r="QDW100" s="798"/>
      <c r="QDX100" s="798"/>
      <c r="QDY100" s="798"/>
      <c r="QDZ100" s="798"/>
      <c r="QEA100" s="798"/>
      <c r="QEB100" s="798"/>
      <c r="QEC100" s="798"/>
      <c r="QED100" s="798"/>
      <c r="QEE100" s="798"/>
      <c r="QEF100" s="798"/>
      <c r="QEG100" s="798"/>
      <c r="QEH100" s="798"/>
      <c r="QEI100" s="798"/>
      <c r="QEJ100" s="798"/>
      <c r="QEK100" s="798"/>
      <c r="QEL100" s="798"/>
      <c r="QEM100" s="798"/>
      <c r="QEN100" s="798"/>
      <c r="QEO100" s="798"/>
      <c r="QEP100" s="798"/>
      <c r="QEQ100" s="798"/>
      <c r="QER100" s="798"/>
      <c r="QES100" s="798"/>
      <c r="QET100" s="798"/>
      <c r="QEU100" s="798"/>
      <c r="QEV100" s="798"/>
      <c r="QEW100" s="798"/>
      <c r="QEX100" s="798"/>
      <c r="QEY100" s="798"/>
      <c r="QEZ100" s="798"/>
      <c r="QFA100" s="798"/>
      <c r="QFB100" s="798"/>
      <c r="QFC100" s="798"/>
      <c r="QFD100" s="798"/>
      <c r="QFE100" s="798"/>
      <c r="QFF100" s="798"/>
      <c r="QFG100" s="798"/>
      <c r="QFH100" s="798"/>
      <c r="QFI100" s="798"/>
      <c r="QFJ100" s="798"/>
      <c r="QFK100" s="798"/>
      <c r="QFL100" s="798"/>
      <c r="QFM100" s="798"/>
      <c r="QFN100" s="798"/>
      <c r="QFO100" s="798"/>
      <c r="QFP100" s="798"/>
      <c r="QFQ100" s="798"/>
      <c r="QFR100" s="798"/>
      <c r="QFS100" s="798"/>
      <c r="QFT100" s="798"/>
      <c r="QFU100" s="798"/>
      <c r="QFV100" s="798"/>
      <c r="QFW100" s="798"/>
      <c r="QFX100" s="798"/>
      <c r="QFY100" s="798"/>
      <c r="QFZ100" s="798"/>
      <c r="QGA100" s="798"/>
      <c r="QGB100" s="798"/>
      <c r="QGC100" s="798"/>
      <c r="QGD100" s="798"/>
      <c r="QGE100" s="798"/>
      <c r="QGF100" s="798"/>
      <c r="QGG100" s="798"/>
      <c r="QGH100" s="798"/>
      <c r="QGI100" s="798"/>
      <c r="QGJ100" s="798"/>
      <c r="QGK100" s="798"/>
      <c r="QGL100" s="798"/>
      <c r="QGM100" s="798"/>
      <c r="QGN100" s="798"/>
      <c r="QGO100" s="798"/>
      <c r="QGP100" s="798"/>
      <c r="QGQ100" s="798"/>
      <c r="QGR100" s="798"/>
      <c r="QGS100" s="798"/>
      <c r="QGT100" s="798"/>
      <c r="QGU100" s="798"/>
      <c r="QGV100" s="798"/>
      <c r="QGW100" s="798"/>
      <c r="QGX100" s="798"/>
      <c r="QGY100" s="798"/>
      <c r="QGZ100" s="798"/>
      <c r="QHA100" s="798"/>
      <c r="QHB100" s="798"/>
      <c r="QHC100" s="798"/>
      <c r="QHD100" s="798"/>
      <c r="QHE100" s="798"/>
      <c r="QHF100" s="798"/>
      <c r="QHG100" s="798"/>
      <c r="QHH100" s="798"/>
      <c r="QHI100" s="798"/>
      <c r="QHJ100" s="798"/>
      <c r="QHK100" s="798"/>
      <c r="QHL100" s="798"/>
      <c r="QHM100" s="798"/>
      <c r="QHN100" s="798"/>
      <c r="QHO100" s="798"/>
      <c r="QHP100" s="798"/>
      <c r="QHQ100" s="798"/>
      <c r="QHR100" s="798"/>
      <c r="QHS100" s="798"/>
      <c r="QHT100" s="798"/>
      <c r="QHU100" s="798"/>
      <c r="QHV100" s="798"/>
      <c r="QHW100" s="798"/>
      <c r="QHX100" s="798"/>
      <c r="QHY100" s="798"/>
      <c r="QHZ100" s="798"/>
      <c r="QIA100" s="798"/>
      <c r="QIB100" s="798"/>
      <c r="QIC100" s="798"/>
      <c r="QID100" s="798"/>
      <c r="QIE100" s="798"/>
      <c r="QIF100" s="798"/>
      <c r="QIG100" s="798"/>
      <c r="QIH100" s="798"/>
      <c r="QII100" s="798"/>
      <c r="QIJ100" s="798"/>
      <c r="QIK100" s="798"/>
      <c r="QIL100" s="798"/>
      <c r="QIM100" s="798"/>
      <c r="QIN100" s="798"/>
      <c r="QIO100" s="798"/>
      <c r="QIP100" s="798"/>
      <c r="QIQ100" s="798"/>
      <c r="QIR100" s="798"/>
      <c r="QIS100" s="798"/>
      <c r="QIT100" s="798"/>
      <c r="QIU100" s="798"/>
      <c r="QIV100" s="798"/>
      <c r="QIW100" s="798"/>
      <c r="QIX100" s="798"/>
      <c r="QIY100" s="798"/>
      <c r="QIZ100" s="798"/>
      <c r="QJA100" s="798"/>
      <c r="QJB100" s="798"/>
      <c r="QJC100" s="798"/>
      <c r="QJD100" s="798"/>
      <c r="QJE100" s="798"/>
      <c r="QJF100" s="798"/>
      <c r="QJG100" s="798"/>
      <c r="QJH100" s="798"/>
      <c r="QJI100" s="798"/>
      <c r="QJJ100" s="798"/>
      <c r="QJK100" s="798"/>
      <c r="QJL100" s="798"/>
      <c r="QJM100" s="798"/>
      <c r="QJN100" s="798"/>
      <c r="QJO100" s="798"/>
      <c r="QJP100" s="798"/>
      <c r="QJQ100" s="798"/>
      <c r="QJR100" s="798"/>
      <c r="QJS100" s="798"/>
      <c r="QJT100" s="798"/>
      <c r="QJU100" s="798"/>
      <c r="QJV100" s="798"/>
      <c r="QJW100" s="798"/>
      <c r="QJX100" s="798"/>
      <c r="QJY100" s="798"/>
      <c r="QJZ100" s="798"/>
      <c r="QKA100" s="798"/>
      <c r="QKB100" s="798"/>
      <c r="QKC100" s="798"/>
      <c r="QKD100" s="798"/>
      <c r="QKE100" s="798"/>
      <c r="QKF100" s="798"/>
      <c r="QKG100" s="798"/>
      <c r="QKH100" s="798"/>
      <c r="QKI100" s="798"/>
      <c r="QKJ100" s="798"/>
      <c r="QKK100" s="798"/>
      <c r="QKL100" s="798"/>
      <c r="QKM100" s="798"/>
      <c r="QKN100" s="798"/>
      <c r="QKO100" s="798"/>
      <c r="QKP100" s="798"/>
      <c r="QKQ100" s="798"/>
      <c r="QKR100" s="798"/>
      <c r="QKS100" s="798"/>
      <c r="QKT100" s="798"/>
      <c r="QKU100" s="798"/>
      <c r="QKV100" s="798"/>
      <c r="QKW100" s="798"/>
      <c r="QKX100" s="798"/>
      <c r="QKY100" s="798"/>
      <c r="QKZ100" s="798"/>
      <c r="QLA100" s="798"/>
      <c r="QLB100" s="798"/>
      <c r="QLC100" s="798"/>
      <c r="QLD100" s="798"/>
      <c r="QLE100" s="798"/>
      <c r="QLF100" s="798"/>
      <c r="QLG100" s="798"/>
      <c r="QLH100" s="798"/>
      <c r="QLI100" s="798"/>
      <c r="QLJ100" s="798"/>
      <c r="QLK100" s="798"/>
      <c r="QLL100" s="798"/>
      <c r="QLM100" s="798"/>
      <c r="QLN100" s="798"/>
      <c r="QLO100" s="798"/>
      <c r="QLP100" s="798"/>
      <c r="QLQ100" s="798"/>
      <c r="QLR100" s="798"/>
      <c r="QLS100" s="798"/>
      <c r="QLT100" s="798"/>
      <c r="QLU100" s="798"/>
      <c r="QLV100" s="798"/>
      <c r="QLW100" s="798"/>
      <c r="QLX100" s="798"/>
      <c r="QLY100" s="798"/>
      <c r="QLZ100" s="798"/>
      <c r="QMA100" s="798"/>
      <c r="QMB100" s="798"/>
      <c r="QMC100" s="798"/>
      <c r="QMD100" s="798"/>
      <c r="QME100" s="798"/>
      <c r="QMF100" s="798"/>
      <c r="QMG100" s="798"/>
      <c r="QMH100" s="798"/>
      <c r="QMI100" s="798"/>
      <c r="QMJ100" s="798"/>
      <c r="QMK100" s="798"/>
      <c r="QML100" s="798"/>
      <c r="QMM100" s="798"/>
      <c r="QMN100" s="798"/>
      <c r="QMO100" s="798"/>
      <c r="QMP100" s="798"/>
      <c r="QMQ100" s="798"/>
      <c r="QMR100" s="798"/>
      <c r="QMS100" s="798"/>
      <c r="QMT100" s="798"/>
      <c r="QMU100" s="798"/>
      <c r="QMV100" s="798"/>
      <c r="QMW100" s="798"/>
      <c r="QMX100" s="798"/>
      <c r="QMY100" s="798"/>
      <c r="QMZ100" s="798"/>
      <c r="QNA100" s="798"/>
      <c r="QNB100" s="798"/>
      <c r="QNC100" s="798"/>
      <c r="QND100" s="798"/>
      <c r="QNE100" s="798"/>
      <c r="QNF100" s="798"/>
      <c r="QNG100" s="798"/>
      <c r="QNH100" s="798"/>
      <c r="QNI100" s="798"/>
      <c r="QNJ100" s="798"/>
      <c r="QNK100" s="798"/>
      <c r="QNL100" s="798"/>
      <c r="QNM100" s="798"/>
      <c r="QNN100" s="798"/>
      <c r="QNO100" s="798"/>
      <c r="QNP100" s="798"/>
      <c r="QNQ100" s="798"/>
      <c r="QNR100" s="798"/>
      <c r="QNS100" s="798"/>
      <c r="QNT100" s="798"/>
      <c r="QNU100" s="798"/>
      <c r="QNV100" s="798"/>
      <c r="QNW100" s="798"/>
      <c r="QNX100" s="798"/>
      <c r="QNY100" s="798"/>
      <c r="QNZ100" s="798"/>
      <c r="QOA100" s="798"/>
      <c r="QOB100" s="798"/>
      <c r="QOC100" s="798"/>
      <c r="QOD100" s="798"/>
      <c r="QOE100" s="798"/>
      <c r="QOF100" s="798"/>
      <c r="QOG100" s="798"/>
      <c r="QOH100" s="798"/>
      <c r="QOI100" s="798"/>
      <c r="QOJ100" s="798"/>
      <c r="QOK100" s="798"/>
      <c r="QOL100" s="798"/>
      <c r="QOM100" s="798"/>
      <c r="QON100" s="798"/>
      <c r="QOO100" s="798"/>
      <c r="QOP100" s="798"/>
      <c r="QOQ100" s="798"/>
      <c r="QOR100" s="798"/>
      <c r="QOS100" s="798"/>
      <c r="QOT100" s="798"/>
      <c r="QOU100" s="798"/>
      <c r="QOV100" s="798"/>
      <c r="QOW100" s="798"/>
      <c r="QOX100" s="798"/>
      <c r="QOY100" s="798"/>
      <c r="QOZ100" s="798"/>
      <c r="QPA100" s="798"/>
      <c r="QPB100" s="798"/>
      <c r="QPC100" s="798"/>
      <c r="QPD100" s="798"/>
      <c r="QPE100" s="798"/>
      <c r="QPF100" s="798"/>
      <c r="QPG100" s="798"/>
      <c r="QPH100" s="798"/>
      <c r="QPI100" s="798"/>
      <c r="QPJ100" s="798"/>
      <c r="QPK100" s="798"/>
      <c r="QPL100" s="798"/>
      <c r="QPM100" s="798"/>
      <c r="QPN100" s="798"/>
      <c r="QPO100" s="798"/>
      <c r="QPP100" s="798"/>
      <c r="QPQ100" s="798"/>
      <c r="QPR100" s="798"/>
      <c r="QPS100" s="798"/>
      <c r="QPT100" s="798"/>
      <c r="QPU100" s="798"/>
      <c r="QPV100" s="798"/>
      <c r="QPW100" s="798"/>
      <c r="QPX100" s="798"/>
      <c r="QPY100" s="798"/>
      <c r="QPZ100" s="798"/>
      <c r="QQA100" s="798"/>
      <c r="QQB100" s="798"/>
      <c r="QQC100" s="798"/>
      <c r="QQD100" s="798"/>
      <c r="QQE100" s="798"/>
      <c r="QQF100" s="798"/>
      <c r="QQG100" s="798"/>
      <c r="QQH100" s="798"/>
      <c r="QQI100" s="798"/>
      <c r="QQJ100" s="798"/>
      <c r="QQK100" s="798"/>
      <c r="QQL100" s="798"/>
      <c r="QQM100" s="798"/>
      <c r="QQN100" s="798"/>
      <c r="QQO100" s="798"/>
      <c r="QQP100" s="798"/>
      <c r="QQQ100" s="798"/>
      <c r="QQR100" s="798"/>
      <c r="QQS100" s="798"/>
      <c r="QQT100" s="798"/>
      <c r="QQU100" s="798"/>
      <c r="QQV100" s="798"/>
      <c r="QQW100" s="798"/>
      <c r="QQX100" s="798"/>
      <c r="QQY100" s="798"/>
      <c r="QQZ100" s="798"/>
      <c r="QRA100" s="798"/>
      <c r="QRB100" s="798"/>
      <c r="QRC100" s="798"/>
      <c r="QRD100" s="798"/>
      <c r="QRE100" s="798"/>
      <c r="QRF100" s="798"/>
      <c r="QRG100" s="798"/>
      <c r="QRH100" s="798"/>
      <c r="QRI100" s="798"/>
      <c r="QRJ100" s="798"/>
      <c r="QRK100" s="798"/>
      <c r="QRL100" s="798"/>
      <c r="QRM100" s="798"/>
      <c r="QRN100" s="798"/>
      <c r="QRO100" s="798"/>
      <c r="QRP100" s="798"/>
      <c r="QRQ100" s="798"/>
      <c r="QRR100" s="798"/>
      <c r="QRS100" s="798"/>
      <c r="QRT100" s="798"/>
      <c r="QRU100" s="798"/>
      <c r="QRV100" s="798"/>
      <c r="QRW100" s="798"/>
      <c r="QRX100" s="798"/>
      <c r="QRY100" s="798"/>
      <c r="QRZ100" s="798"/>
      <c r="QSA100" s="798"/>
      <c r="QSB100" s="798"/>
      <c r="QSC100" s="798"/>
      <c r="QSD100" s="798"/>
      <c r="QSE100" s="798"/>
      <c r="QSF100" s="798"/>
      <c r="QSG100" s="798"/>
      <c r="QSH100" s="798"/>
      <c r="QSI100" s="798"/>
      <c r="QSJ100" s="798"/>
      <c r="QSK100" s="798"/>
      <c r="QSL100" s="798"/>
      <c r="QSM100" s="798"/>
      <c r="QSN100" s="798"/>
      <c r="QSO100" s="798"/>
      <c r="QSP100" s="798"/>
      <c r="QSQ100" s="798"/>
      <c r="QSR100" s="798"/>
      <c r="QSS100" s="798"/>
      <c r="QST100" s="798"/>
      <c r="QSU100" s="798"/>
      <c r="QSV100" s="798"/>
      <c r="QSW100" s="798"/>
      <c r="QSX100" s="798"/>
      <c r="QSY100" s="798"/>
      <c r="QSZ100" s="798"/>
      <c r="QTA100" s="798"/>
      <c r="QTB100" s="798"/>
      <c r="QTC100" s="798"/>
      <c r="QTD100" s="798"/>
      <c r="QTE100" s="798"/>
      <c r="QTF100" s="798"/>
      <c r="QTG100" s="798"/>
      <c r="QTH100" s="798"/>
      <c r="QTI100" s="798"/>
      <c r="QTJ100" s="798"/>
      <c r="QTK100" s="798"/>
      <c r="QTL100" s="798"/>
      <c r="QTM100" s="798"/>
      <c r="QTN100" s="798"/>
      <c r="QTO100" s="798"/>
      <c r="QTP100" s="798"/>
      <c r="QTQ100" s="798"/>
      <c r="QTR100" s="798"/>
      <c r="QTS100" s="798"/>
      <c r="QTT100" s="798"/>
      <c r="QTU100" s="798"/>
      <c r="QTV100" s="798"/>
      <c r="QTW100" s="798"/>
      <c r="QTX100" s="798"/>
      <c r="QTY100" s="798"/>
      <c r="QTZ100" s="798"/>
      <c r="QUA100" s="798"/>
      <c r="QUB100" s="798"/>
      <c r="QUC100" s="798"/>
      <c r="QUD100" s="798"/>
      <c r="QUE100" s="798"/>
      <c r="QUF100" s="798"/>
      <c r="QUG100" s="798"/>
      <c r="QUH100" s="798"/>
      <c r="QUI100" s="798"/>
      <c r="QUJ100" s="798"/>
      <c r="QUK100" s="798"/>
      <c r="QUL100" s="798"/>
      <c r="QUM100" s="798"/>
      <c r="QUN100" s="798"/>
      <c r="QUO100" s="798"/>
      <c r="QUP100" s="798"/>
      <c r="QUQ100" s="798"/>
      <c r="QUR100" s="798"/>
      <c r="QUS100" s="798"/>
      <c r="QUT100" s="798"/>
      <c r="QUU100" s="798"/>
      <c r="QUV100" s="798"/>
      <c r="QUW100" s="798"/>
      <c r="QUX100" s="798"/>
      <c r="QUY100" s="798"/>
      <c r="QUZ100" s="798"/>
      <c r="QVA100" s="798"/>
      <c r="QVB100" s="798"/>
      <c r="QVC100" s="798"/>
      <c r="QVD100" s="798"/>
      <c r="QVE100" s="798"/>
      <c r="QVF100" s="798"/>
      <c r="QVG100" s="798"/>
      <c r="QVH100" s="798"/>
      <c r="QVI100" s="798"/>
      <c r="QVJ100" s="798"/>
      <c r="QVK100" s="798"/>
      <c r="QVL100" s="798"/>
      <c r="QVM100" s="798"/>
      <c r="QVN100" s="798"/>
      <c r="QVO100" s="798"/>
      <c r="QVP100" s="798"/>
      <c r="QVQ100" s="798"/>
      <c r="QVR100" s="798"/>
      <c r="QVS100" s="798"/>
      <c r="QVT100" s="798"/>
      <c r="QVU100" s="798"/>
      <c r="QVV100" s="798"/>
      <c r="QVW100" s="798"/>
      <c r="QVX100" s="798"/>
      <c r="QVY100" s="798"/>
      <c r="QVZ100" s="798"/>
      <c r="QWA100" s="798"/>
      <c r="QWB100" s="798"/>
      <c r="QWC100" s="798"/>
      <c r="QWD100" s="798"/>
      <c r="QWE100" s="798"/>
      <c r="QWF100" s="798"/>
      <c r="QWG100" s="798"/>
      <c r="QWH100" s="798"/>
      <c r="QWI100" s="798"/>
      <c r="QWJ100" s="798"/>
      <c r="QWK100" s="798"/>
      <c r="QWL100" s="798"/>
      <c r="QWM100" s="798"/>
      <c r="QWN100" s="798"/>
      <c r="QWO100" s="798"/>
      <c r="QWP100" s="798"/>
      <c r="QWQ100" s="798"/>
      <c r="QWR100" s="798"/>
      <c r="QWS100" s="798"/>
      <c r="QWT100" s="798"/>
      <c r="QWU100" s="798"/>
      <c r="QWV100" s="798"/>
      <c r="QWW100" s="798"/>
      <c r="QWX100" s="798"/>
      <c r="QWY100" s="798"/>
      <c r="QWZ100" s="798"/>
      <c r="QXA100" s="798"/>
      <c r="QXB100" s="798"/>
      <c r="QXC100" s="798"/>
      <c r="QXD100" s="798"/>
      <c r="QXE100" s="798"/>
      <c r="QXF100" s="798"/>
      <c r="QXG100" s="798"/>
      <c r="QXH100" s="798"/>
      <c r="QXI100" s="798"/>
      <c r="QXJ100" s="798"/>
      <c r="QXK100" s="798"/>
      <c r="QXL100" s="798"/>
      <c r="QXM100" s="798"/>
      <c r="QXN100" s="798"/>
      <c r="QXO100" s="798"/>
      <c r="QXP100" s="798"/>
      <c r="QXQ100" s="798"/>
      <c r="QXR100" s="798"/>
      <c r="QXS100" s="798"/>
      <c r="QXT100" s="798"/>
      <c r="QXU100" s="798"/>
      <c r="QXV100" s="798"/>
      <c r="QXW100" s="798"/>
      <c r="QXX100" s="798"/>
      <c r="QXY100" s="798"/>
      <c r="QXZ100" s="798"/>
      <c r="QYA100" s="798"/>
      <c r="QYB100" s="798"/>
      <c r="QYC100" s="798"/>
      <c r="QYD100" s="798"/>
      <c r="QYE100" s="798"/>
      <c r="QYF100" s="798"/>
      <c r="QYG100" s="798"/>
      <c r="QYH100" s="798"/>
      <c r="QYI100" s="798"/>
      <c r="QYJ100" s="798"/>
      <c r="QYK100" s="798"/>
      <c r="QYL100" s="798"/>
      <c r="QYM100" s="798"/>
      <c r="QYN100" s="798"/>
      <c r="QYO100" s="798"/>
      <c r="QYP100" s="798"/>
      <c r="QYQ100" s="798"/>
      <c r="QYR100" s="798"/>
      <c r="QYS100" s="798"/>
      <c r="QYT100" s="798"/>
      <c r="QYU100" s="798"/>
      <c r="QYV100" s="798"/>
      <c r="QYW100" s="798"/>
      <c r="QYX100" s="798"/>
      <c r="QYY100" s="798"/>
      <c r="QYZ100" s="798"/>
      <c r="QZA100" s="798"/>
      <c r="QZB100" s="798"/>
      <c r="QZC100" s="798"/>
      <c r="QZD100" s="798"/>
      <c r="QZE100" s="798"/>
      <c r="QZF100" s="798"/>
      <c r="QZG100" s="798"/>
      <c r="QZH100" s="798"/>
      <c r="QZI100" s="798"/>
      <c r="QZJ100" s="798"/>
      <c r="QZK100" s="798"/>
      <c r="QZL100" s="798"/>
      <c r="QZM100" s="798"/>
      <c r="QZN100" s="798"/>
      <c r="QZO100" s="798"/>
      <c r="QZP100" s="798"/>
      <c r="QZQ100" s="798"/>
      <c r="QZR100" s="798"/>
      <c r="QZS100" s="798"/>
      <c r="QZT100" s="798"/>
      <c r="QZU100" s="798"/>
      <c r="QZV100" s="798"/>
      <c r="QZW100" s="798"/>
      <c r="QZX100" s="798"/>
      <c r="QZY100" s="798"/>
      <c r="QZZ100" s="798"/>
      <c r="RAA100" s="798"/>
      <c r="RAB100" s="798"/>
      <c r="RAC100" s="798"/>
      <c r="RAD100" s="798"/>
      <c r="RAE100" s="798"/>
      <c r="RAF100" s="798"/>
      <c r="RAG100" s="798"/>
      <c r="RAH100" s="798"/>
      <c r="RAI100" s="798"/>
      <c r="RAJ100" s="798"/>
      <c r="RAK100" s="798"/>
      <c r="RAL100" s="798"/>
      <c r="RAM100" s="798"/>
      <c r="RAN100" s="798"/>
      <c r="RAO100" s="798"/>
      <c r="RAP100" s="798"/>
      <c r="RAQ100" s="798"/>
      <c r="RAR100" s="798"/>
      <c r="RAS100" s="798"/>
      <c r="RAT100" s="798"/>
      <c r="RAU100" s="798"/>
      <c r="RAV100" s="798"/>
      <c r="RAW100" s="798"/>
      <c r="RAX100" s="798"/>
      <c r="RAY100" s="798"/>
      <c r="RAZ100" s="798"/>
      <c r="RBA100" s="798"/>
      <c r="RBB100" s="798"/>
      <c r="RBC100" s="798"/>
      <c r="RBD100" s="798"/>
      <c r="RBE100" s="798"/>
      <c r="RBF100" s="798"/>
      <c r="RBG100" s="798"/>
      <c r="RBH100" s="798"/>
      <c r="RBI100" s="798"/>
      <c r="RBJ100" s="798"/>
      <c r="RBK100" s="798"/>
      <c r="RBL100" s="798"/>
      <c r="RBM100" s="798"/>
      <c r="RBN100" s="798"/>
      <c r="RBO100" s="798"/>
      <c r="RBP100" s="798"/>
      <c r="RBQ100" s="798"/>
      <c r="RBR100" s="798"/>
      <c r="RBS100" s="798"/>
      <c r="RBT100" s="798"/>
      <c r="RBU100" s="798"/>
      <c r="RBV100" s="798"/>
      <c r="RBW100" s="798"/>
      <c r="RBX100" s="798"/>
      <c r="RBY100" s="798"/>
      <c r="RBZ100" s="798"/>
      <c r="RCA100" s="798"/>
      <c r="RCB100" s="798"/>
      <c r="RCC100" s="798"/>
      <c r="RCD100" s="798"/>
      <c r="RCE100" s="798"/>
      <c r="RCF100" s="798"/>
      <c r="RCG100" s="798"/>
      <c r="RCH100" s="798"/>
      <c r="RCI100" s="798"/>
      <c r="RCJ100" s="798"/>
      <c r="RCK100" s="798"/>
      <c r="RCL100" s="798"/>
      <c r="RCM100" s="798"/>
      <c r="RCN100" s="798"/>
      <c r="RCO100" s="798"/>
      <c r="RCP100" s="798"/>
      <c r="RCQ100" s="798"/>
      <c r="RCR100" s="798"/>
      <c r="RCS100" s="798"/>
      <c r="RCT100" s="798"/>
      <c r="RCU100" s="798"/>
      <c r="RCV100" s="798"/>
      <c r="RCW100" s="798"/>
      <c r="RCX100" s="798"/>
      <c r="RCY100" s="798"/>
      <c r="RCZ100" s="798"/>
      <c r="RDA100" s="798"/>
      <c r="RDB100" s="798"/>
      <c r="RDC100" s="798"/>
      <c r="RDD100" s="798"/>
      <c r="RDE100" s="798"/>
      <c r="RDF100" s="798"/>
      <c r="RDG100" s="798"/>
      <c r="RDH100" s="798"/>
      <c r="RDI100" s="798"/>
      <c r="RDJ100" s="798"/>
      <c r="RDK100" s="798"/>
      <c r="RDL100" s="798"/>
      <c r="RDM100" s="798"/>
      <c r="RDN100" s="798"/>
      <c r="RDO100" s="798"/>
      <c r="RDP100" s="798"/>
      <c r="RDQ100" s="798"/>
      <c r="RDR100" s="798"/>
      <c r="RDS100" s="798"/>
      <c r="RDT100" s="798"/>
      <c r="RDU100" s="798"/>
      <c r="RDV100" s="798"/>
      <c r="RDW100" s="798"/>
      <c r="RDX100" s="798"/>
      <c r="RDY100" s="798"/>
      <c r="RDZ100" s="798"/>
      <c r="REA100" s="798"/>
      <c r="REB100" s="798"/>
      <c r="REC100" s="798"/>
      <c r="RED100" s="798"/>
      <c r="REE100" s="798"/>
      <c r="REF100" s="798"/>
      <c r="REG100" s="798"/>
      <c r="REH100" s="798"/>
      <c r="REI100" s="798"/>
      <c r="REJ100" s="798"/>
      <c r="REK100" s="798"/>
      <c r="REL100" s="798"/>
      <c r="REM100" s="798"/>
      <c r="REN100" s="798"/>
      <c r="REO100" s="798"/>
      <c r="REP100" s="798"/>
      <c r="REQ100" s="798"/>
      <c r="RER100" s="798"/>
      <c r="RES100" s="798"/>
      <c r="RET100" s="798"/>
      <c r="REU100" s="798"/>
      <c r="REV100" s="798"/>
      <c r="REW100" s="798"/>
      <c r="REX100" s="798"/>
      <c r="REY100" s="798"/>
      <c r="REZ100" s="798"/>
      <c r="RFA100" s="798"/>
      <c r="RFB100" s="798"/>
      <c r="RFC100" s="798"/>
      <c r="RFD100" s="798"/>
      <c r="RFE100" s="798"/>
      <c r="RFF100" s="798"/>
      <c r="RFG100" s="798"/>
      <c r="RFH100" s="798"/>
      <c r="RFI100" s="798"/>
      <c r="RFJ100" s="798"/>
      <c r="RFK100" s="798"/>
      <c r="RFL100" s="798"/>
      <c r="RFM100" s="798"/>
      <c r="RFN100" s="798"/>
      <c r="RFO100" s="798"/>
      <c r="RFP100" s="798"/>
      <c r="RFQ100" s="798"/>
      <c r="RFR100" s="798"/>
      <c r="RFS100" s="798"/>
      <c r="RFT100" s="798"/>
      <c r="RFU100" s="798"/>
      <c r="RFV100" s="798"/>
      <c r="RFW100" s="798"/>
      <c r="RFX100" s="798"/>
      <c r="RFY100" s="798"/>
      <c r="RFZ100" s="798"/>
      <c r="RGA100" s="798"/>
      <c r="RGB100" s="798"/>
      <c r="RGC100" s="798"/>
      <c r="RGD100" s="798"/>
      <c r="RGE100" s="798"/>
      <c r="RGF100" s="798"/>
      <c r="RGG100" s="798"/>
      <c r="RGH100" s="798"/>
      <c r="RGI100" s="798"/>
      <c r="RGJ100" s="798"/>
      <c r="RGK100" s="798"/>
      <c r="RGL100" s="798"/>
      <c r="RGM100" s="798"/>
      <c r="RGN100" s="798"/>
      <c r="RGO100" s="798"/>
      <c r="RGP100" s="798"/>
      <c r="RGQ100" s="798"/>
      <c r="RGR100" s="798"/>
      <c r="RGS100" s="798"/>
      <c r="RGT100" s="798"/>
      <c r="RGU100" s="798"/>
      <c r="RGV100" s="798"/>
      <c r="RGW100" s="798"/>
      <c r="RGX100" s="798"/>
      <c r="RGY100" s="798"/>
      <c r="RGZ100" s="798"/>
      <c r="RHA100" s="798"/>
      <c r="RHB100" s="798"/>
      <c r="RHC100" s="798"/>
      <c r="RHD100" s="798"/>
      <c r="RHE100" s="798"/>
      <c r="RHF100" s="798"/>
      <c r="RHG100" s="798"/>
      <c r="RHH100" s="798"/>
      <c r="RHI100" s="798"/>
      <c r="RHJ100" s="798"/>
      <c r="RHK100" s="798"/>
      <c r="RHL100" s="798"/>
      <c r="RHM100" s="798"/>
      <c r="RHN100" s="798"/>
      <c r="RHO100" s="798"/>
      <c r="RHP100" s="798"/>
      <c r="RHQ100" s="798"/>
      <c r="RHR100" s="798"/>
      <c r="RHS100" s="798"/>
      <c r="RHT100" s="798"/>
      <c r="RHU100" s="798"/>
      <c r="RHV100" s="798"/>
      <c r="RHW100" s="798"/>
      <c r="RHX100" s="798"/>
      <c r="RHY100" s="798"/>
      <c r="RHZ100" s="798"/>
      <c r="RIA100" s="798"/>
      <c r="RIB100" s="798"/>
      <c r="RIC100" s="798"/>
      <c r="RID100" s="798"/>
      <c r="RIE100" s="798"/>
      <c r="RIF100" s="798"/>
      <c r="RIG100" s="798"/>
      <c r="RIH100" s="798"/>
      <c r="RII100" s="798"/>
      <c r="RIJ100" s="798"/>
      <c r="RIK100" s="798"/>
      <c r="RIL100" s="798"/>
      <c r="RIM100" s="798"/>
      <c r="RIN100" s="798"/>
      <c r="RIO100" s="798"/>
      <c r="RIP100" s="798"/>
      <c r="RIQ100" s="798"/>
      <c r="RIR100" s="798"/>
      <c r="RIS100" s="798"/>
      <c r="RIT100" s="798"/>
      <c r="RIU100" s="798"/>
      <c r="RIV100" s="798"/>
      <c r="RIW100" s="798"/>
      <c r="RIX100" s="798"/>
      <c r="RIY100" s="798"/>
      <c r="RIZ100" s="798"/>
      <c r="RJA100" s="798"/>
      <c r="RJB100" s="798"/>
      <c r="RJC100" s="798"/>
      <c r="RJD100" s="798"/>
      <c r="RJE100" s="798"/>
      <c r="RJF100" s="798"/>
      <c r="RJG100" s="798"/>
      <c r="RJH100" s="798"/>
      <c r="RJI100" s="798"/>
      <c r="RJJ100" s="798"/>
      <c r="RJK100" s="798"/>
      <c r="RJL100" s="798"/>
      <c r="RJM100" s="798"/>
      <c r="RJN100" s="798"/>
      <c r="RJO100" s="798"/>
      <c r="RJP100" s="798"/>
      <c r="RJQ100" s="798"/>
      <c r="RJR100" s="798"/>
      <c r="RJS100" s="798"/>
      <c r="RJT100" s="798"/>
      <c r="RJU100" s="798"/>
      <c r="RJV100" s="798"/>
      <c r="RJW100" s="798"/>
      <c r="RJX100" s="798"/>
      <c r="RJY100" s="798"/>
      <c r="RJZ100" s="798"/>
      <c r="RKA100" s="798"/>
      <c r="RKB100" s="798"/>
      <c r="RKC100" s="798"/>
      <c r="RKD100" s="798"/>
      <c r="RKE100" s="798"/>
      <c r="RKF100" s="798"/>
      <c r="RKG100" s="798"/>
      <c r="RKH100" s="798"/>
      <c r="RKI100" s="798"/>
      <c r="RKJ100" s="798"/>
      <c r="RKK100" s="798"/>
      <c r="RKL100" s="798"/>
      <c r="RKM100" s="798"/>
      <c r="RKN100" s="798"/>
      <c r="RKO100" s="798"/>
      <c r="RKP100" s="798"/>
      <c r="RKQ100" s="798"/>
      <c r="RKR100" s="798"/>
      <c r="RKS100" s="798"/>
      <c r="RKT100" s="798"/>
      <c r="RKU100" s="798"/>
      <c r="RKV100" s="798"/>
      <c r="RKW100" s="798"/>
      <c r="RKX100" s="798"/>
      <c r="RKY100" s="798"/>
      <c r="RKZ100" s="798"/>
      <c r="RLA100" s="798"/>
      <c r="RLB100" s="798"/>
      <c r="RLC100" s="798"/>
      <c r="RLD100" s="798"/>
      <c r="RLE100" s="798"/>
      <c r="RLF100" s="798"/>
      <c r="RLG100" s="798"/>
      <c r="RLH100" s="798"/>
      <c r="RLI100" s="798"/>
      <c r="RLJ100" s="798"/>
      <c r="RLK100" s="798"/>
      <c r="RLL100" s="798"/>
      <c r="RLM100" s="798"/>
      <c r="RLN100" s="798"/>
      <c r="RLO100" s="798"/>
      <c r="RLP100" s="798"/>
      <c r="RLQ100" s="798"/>
      <c r="RLR100" s="798"/>
      <c r="RLS100" s="798"/>
      <c r="RLT100" s="798"/>
      <c r="RLU100" s="798"/>
      <c r="RLV100" s="798"/>
      <c r="RLW100" s="798"/>
      <c r="RLX100" s="798"/>
      <c r="RLY100" s="798"/>
      <c r="RLZ100" s="798"/>
      <c r="RMA100" s="798"/>
      <c r="RMB100" s="798"/>
      <c r="RMC100" s="798"/>
      <c r="RMD100" s="798"/>
      <c r="RME100" s="798"/>
      <c r="RMF100" s="798"/>
      <c r="RMG100" s="798"/>
      <c r="RMH100" s="798"/>
      <c r="RMI100" s="798"/>
      <c r="RMJ100" s="798"/>
      <c r="RMK100" s="798"/>
      <c r="RML100" s="798"/>
      <c r="RMM100" s="798"/>
      <c r="RMN100" s="798"/>
      <c r="RMO100" s="798"/>
      <c r="RMP100" s="798"/>
      <c r="RMQ100" s="798"/>
      <c r="RMR100" s="798"/>
      <c r="RMS100" s="798"/>
      <c r="RMT100" s="798"/>
      <c r="RMU100" s="798"/>
      <c r="RMV100" s="798"/>
      <c r="RMW100" s="798"/>
      <c r="RMX100" s="798"/>
      <c r="RMY100" s="798"/>
      <c r="RMZ100" s="798"/>
      <c r="RNA100" s="798"/>
      <c r="RNB100" s="798"/>
      <c r="RNC100" s="798"/>
      <c r="RND100" s="798"/>
      <c r="RNE100" s="798"/>
      <c r="RNF100" s="798"/>
      <c r="RNG100" s="798"/>
      <c r="RNH100" s="798"/>
      <c r="RNI100" s="798"/>
      <c r="RNJ100" s="798"/>
      <c r="RNK100" s="798"/>
      <c r="RNL100" s="798"/>
      <c r="RNM100" s="798"/>
      <c r="RNN100" s="798"/>
      <c r="RNO100" s="798"/>
      <c r="RNP100" s="798"/>
      <c r="RNQ100" s="798"/>
      <c r="RNR100" s="798"/>
      <c r="RNS100" s="798"/>
      <c r="RNT100" s="798"/>
      <c r="RNU100" s="798"/>
      <c r="RNV100" s="798"/>
      <c r="RNW100" s="798"/>
      <c r="RNX100" s="798"/>
      <c r="RNY100" s="798"/>
      <c r="RNZ100" s="798"/>
      <c r="ROA100" s="798"/>
      <c r="ROB100" s="798"/>
      <c r="ROC100" s="798"/>
      <c r="ROD100" s="798"/>
      <c r="ROE100" s="798"/>
      <c r="ROF100" s="798"/>
      <c r="ROG100" s="798"/>
      <c r="ROH100" s="798"/>
      <c r="ROI100" s="798"/>
      <c r="ROJ100" s="798"/>
      <c r="ROK100" s="798"/>
      <c r="ROL100" s="798"/>
      <c r="ROM100" s="798"/>
      <c r="RON100" s="798"/>
      <c r="ROO100" s="798"/>
      <c r="ROP100" s="798"/>
      <c r="ROQ100" s="798"/>
      <c r="ROR100" s="798"/>
      <c r="ROS100" s="798"/>
      <c r="ROT100" s="798"/>
      <c r="ROU100" s="798"/>
      <c r="ROV100" s="798"/>
      <c r="ROW100" s="798"/>
      <c r="ROX100" s="798"/>
      <c r="ROY100" s="798"/>
      <c r="ROZ100" s="798"/>
      <c r="RPA100" s="798"/>
      <c r="RPB100" s="798"/>
      <c r="RPC100" s="798"/>
      <c r="RPD100" s="798"/>
      <c r="RPE100" s="798"/>
      <c r="RPF100" s="798"/>
      <c r="RPG100" s="798"/>
      <c r="RPH100" s="798"/>
      <c r="RPI100" s="798"/>
      <c r="RPJ100" s="798"/>
      <c r="RPK100" s="798"/>
      <c r="RPL100" s="798"/>
      <c r="RPM100" s="798"/>
      <c r="RPN100" s="798"/>
      <c r="RPO100" s="798"/>
      <c r="RPP100" s="798"/>
      <c r="RPQ100" s="798"/>
      <c r="RPR100" s="798"/>
      <c r="RPS100" s="798"/>
      <c r="RPT100" s="798"/>
      <c r="RPU100" s="798"/>
      <c r="RPV100" s="798"/>
      <c r="RPW100" s="798"/>
      <c r="RPX100" s="798"/>
      <c r="RPY100" s="798"/>
      <c r="RPZ100" s="798"/>
      <c r="RQA100" s="798"/>
      <c r="RQB100" s="798"/>
      <c r="RQC100" s="798"/>
      <c r="RQD100" s="798"/>
      <c r="RQE100" s="798"/>
      <c r="RQF100" s="798"/>
      <c r="RQG100" s="798"/>
      <c r="RQH100" s="798"/>
      <c r="RQI100" s="798"/>
      <c r="RQJ100" s="798"/>
      <c r="RQK100" s="798"/>
      <c r="RQL100" s="798"/>
      <c r="RQM100" s="798"/>
      <c r="RQN100" s="798"/>
      <c r="RQO100" s="798"/>
      <c r="RQP100" s="798"/>
      <c r="RQQ100" s="798"/>
      <c r="RQR100" s="798"/>
      <c r="RQS100" s="798"/>
      <c r="RQT100" s="798"/>
      <c r="RQU100" s="798"/>
      <c r="RQV100" s="798"/>
      <c r="RQW100" s="798"/>
      <c r="RQX100" s="798"/>
      <c r="RQY100" s="798"/>
      <c r="RQZ100" s="798"/>
      <c r="RRA100" s="798"/>
      <c r="RRB100" s="798"/>
      <c r="RRC100" s="798"/>
      <c r="RRD100" s="798"/>
      <c r="RRE100" s="798"/>
      <c r="RRF100" s="798"/>
      <c r="RRG100" s="798"/>
      <c r="RRH100" s="798"/>
      <c r="RRI100" s="798"/>
      <c r="RRJ100" s="798"/>
      <c r="RRK100" s="798"/>
      <c r="RRL100" s="798"/>
      <c r="RRM100" s="798"/>
      <c r="RRN100" s="798"/>
      <c r="RRO100" s="798"/>
      <c r="RRP100" s="798"/>
      <c r="RRQ100" s="798"/>
      <c r="RRR100" s="798"/>
      <c r="RRS100" s="798"/>
      <c r="RRT100" s="798"/>
      <c r="RRU100" s="798"/>
      <c r="RRV100" s="798"/>
      <c r="RRW100" s="798"/>
      <c r="RRX100" s="798"/>
      <c r="RRY100" s="798"/>
      <c r="RRZ100" s="798"/>
      <c r="RSA100" s="798"/>
      <c r="RSB100" s="798"/>
      <c r="RSC100" s="798"/>
      <c r="RSD100" s="798"/>
      <c r="RSE100" s="798"/>
      <c r="RSF100" s="798"/>
      <c r="RSG100" s="798"/>
      <c r="RSH100" s="798"/>
      <c r="RSI100" s="798"/>
      <c r="RSJ100" s="798"/>
      <c r="RSK100" s="798"/>
      <c r="RSL100" s="798"/>
      <c r="RSM100" s="798"/>
      <c r="RSN100" s="798"/>
      <c r="RSO100" s="798"/>
      <c r="RSP100" s="798"/>
      <c r="RSQ100" s="798"/>
      <c r="RSR100" s="798"/>
      <c r="RSS100" s="798"/>
      <c r="RST100" s="798"/>
      <c r="RSU100" s="798"/>
      <c r="RSV100" s="798"/>
      <c r="RSW100" s="798"/>
      <c r="RSX100" s="798"/>
      <c r="RSY100" s="798"/>
      <c r="RSZ100" s="798"/>
      <c r="RTA100" s="798"/>
      <c r="RTB100" s="798"/>
      <c r="RTC100" s="798"/>
      <c r="RTD100" s="798"/>
      <c r="RTE100" s="798"/>
      <c r="RTF100" s="798"/>
      <c r="RTG100" s="798"/>
      <c r="RTH100" s="798"/>
      <c r="RTI100" s="798"/>
      <c r="RTJ100" s="798"/>
      <c r="RTK100" s="798"/>
      <c r="RTL100" s="798"/>
      <c r="RTM100" s="798"/>
      <c r="RTN100" s="798"/>
      <c r="RTO100" s="798"/>
      <c r="RTP100" s="798"/>
      <c r="RTQ100" s="798"/>
      <c r="RTR100" s="798"/>
      <c r="RTS100" s="798"/>
      <c r="RTT100" s="798"/>
      <c r="RTU100" s="798"/>
      <c r="RTV100" s="798"/>
      <c r="RTW100" s="798"/>
      <c r="RTX100" s="798"/>
      <c r="RTY100" s="798"/>
      <c r="RTZ100" s="798"/>
      <c r="RUA100" s="798"/>
      <c r="RUB100" s="798"/>
      <c r="RUC100" s="798"/>
      <c r="RUD100" s="798"/>
      <c r="RUE100" s="798"/>
      <c r="RUF100" s="798"/>
      <c r="RUG100" s="798"/>
      <c r="RUH100" s="798"/>
      <c r="RUI100" s="798"/>
      <c r="RUJ100" s="798"/>
      <c r="RUK100" s="798"/>
      <c r="RUL100" s="798"/>
      <c r="RUM100" s="798"/>
      <c r="RUN100" s="798"/>
      <c r="RUO100" s="798"/>
      <c r="RUP100" s="798"/>
      <c r="RUQ100" s="798"/>
      <c r="RUR100" s="798"/>
      <c r="RUS100" s="798"/>
      <c r="RUT100" s="798"/>
      <c r="RUU100" s="798"/>
      <c r="RUV100" s="798"/>
      <c r="RUW100" s="798"/>
      <c r="RUX100" s="798"/>
      <c r="RUY100" s="798"/>
      <c r="RUZ100" s="798"/>
      <c r="RVA100" s="798"/>
      <c r="RVB100" s="798"/>
      <c r="RVC100" s="798"/>
      <c r="RVD100" s="798"/>
      <c r="RVE100" s="798"/>
      <c r="RVF100" s="798"/>
      <c r="RVG100" s="798"/>
      <c r="RVH100" s="798"/>
      <c r="RVI100" s="798"/>
      <c r="RVJ100" s="798"/>
      <c r="RVK100" s="798"/>
      <c r="RVL100" s="798"/>
      <c r="RVM100" s="798"/>
      <c r="RVN100" s="798"/>
      <c r="RVO100" s="798"/>
      <c r="RVP100" s="798"/>
      <c r="RVQ100" s="798"/>
      <c r="RVR100" s="798"/>
      <c r="RVS100" s="798"/>
      <c r="RVT100" s="798"/>
      <c r="RVU100" s="798"/>
      <c r="RVV100" s="798"/>
      <c r="RVW100" s="798"/>
      <c r="RVX100" s="798"/>
      <c r="RVY100" s="798"/>
      <c r="RVZ100" s="798"/>
      <c r="RWA100" s="798"/>
      <c r="RWB100" s="798"/>
      <c r="RWC100" s="798"/>
      <c r="RWD100" s="798"/>
      <c r="RWE100" s="798"/>
      <c r="RWF100" s="798"/>
      <c r="RWG100" s="798"/>
      <c r="RWH100" s="798"/>
      <c r="RWI100" s="798"/>
      <c r="RWJ100" s="798"/>
      <c r="RWK100" s="798"/>
      <c r="RWL100" s="798"/>
      <c r="RWM100" s="798"/>
      <c r="RWN100" s="798"/>
      <c r="RWO100" s="798"/>
      <c r="RWP100" s="798"/>
      <c r="RWQ100" s="798"/>
      <c r="RWR100" s="798"/>
      <c r="RWS100" s="798"/>
      <c r="RWT100" s="798"/>
      <c r="RWU100" s="798"/>
      <c r="RWV100" s="798"/>
      <c r="RWW100" s="798"/>
      <c r="RWX100" s="798"/>
      <c r="RWY100" s="798"/>
      <c r="RWZ100" s="798"/>
      <c r="RXA100" s="798"/>
      <c r="RXB100" s="798"/>
      <c r="RXC100" s="798"/>
      <c r="RXD100" s="798"/>
      <c r="RXE100" s="798"/>
      <c r="RXF100" s="798"/>
      <c r="RXG100" s="798"/>
      <c r="RXH100" s="798"/>
      <c r="RXI100" s="798"/>
      <c r="RXJ100" s="798"/>
      <c r="RXK100" s="798"/>
      <c r="RXL100" s="798"/>
      <c r="RXM100" s="798"/>
      <c r="RXN100" s="798"/>
      <c r="RXO100" s="798"/>
      <c r="RXP100" s="798"/>
      <c r="RXQ100" s="798"/>
      <c r="RXR100" s="798"/>
      <c r="RXS100" s="798"/>
      <c r="RXT100" s="798"/>
      <c r="RXU100" s="798"/>
      <c r="RXV100" s="798"/>
      <c r="RXW100" s="798"/>
      <c r="RXX100" s="798"/>
      <c r="RXY100" s="798"/>
      <c r="RXZ100" s="798"/>
      <c r="RYA100" s="798"/>
      <c r="RYB100" s="798"/>
      <c r="RYC100" s="798"/>
      <c r="RYD100" s="798"/>
      <c r="RYE100" s="798"/>
      <c r="RYF100" s="798"/>
      <c r="RYG100" s="798"/>
      <c r="RYH100" s="798"/>
      <c r="RYI100" s="798"/>
      <c r="RYJ100" s="798"/>
      <c r="RYK100" s="798"/>
      <c r="RYL100" s="798"/>
      <c r="RYM100" s="798"/>
      <c r="RYN100" s="798"/>
      <c r="RYO100" s="798"/>
      <c r="RYP100" s="798"/>
      <c r="RYQ100" s="798"/>
      <c r="RYR100" s="798"/>
      <c r="RYS100" s="798"/>
      <c r="RYT100" s="798"/>
      <c r="RYU100" s="798"/>
      <c r="RYV100" s="798"/>
      <c r="RYW100" s="798"/>
      <c r="RYX100" s="798"/>
      <c r="RYY100" s="798"/>
      <c r="RYZ100" s="798"/>
      <c r="RZA100" s="798"/>
      <c r="RZB100" s="798"/>
      <c r="RZC100" s="798"/>
      <c r="RZD100" s="798"/>
      <c r="RZE100" s="798"/>
      <c r="RZF100" s="798"/>
      <c r="RZG100" s="798"/>
      <c r="RZH100" s="798"/>
      <c r="RZI100" s="798"/>
      <c r="RZJ100" s="798"/>
      <c r="RZK100" s="798"/>
      <c r="RZL100" s="798"/>
      <c r="RZM100" s="798"/>
      <c r="RZN100" s="798"/>
      <c r="RZO100" s="798"/>
      <c r="RZP100" s="798"/>
      <c r="RZQ100" s="798"/>
      <c r="RZR100" s="798"/>
      <c r="RZS100" s="798"/>
      <c r="RZT100" s="798"/>
      <c r="RZU100" s="798"/>
      <c r="RZV100" s="798"/>
      <c r="RZW100" s="798"/>
      <c r="RZX100" s="798"/>
      <c r="RZY100" s="798"/>
      <c r="RZZ100" s="798"/>
      <c r="SAA100" s="798"/>
      <c r="SAB100" s="798"/>
      <c r="SAC100" s="798"/>
      <c r="SAD100" s="798"/>
      <c r="SAE100" s="798"/>
      <c r="SAF100" s="798"/>
      <c r="SAG100" s="798"/>
      <c r="SAH100" s="798"/>
      <c r="SAI100" s="798"/>
      <c r="SAJ100" s="798"/>
      <c r="SAK100" s="798"/>
      <c r="SAL100" s="798"/>
      <c r="SAM100" s="798"/>
      <c r="SAN100" s="798"/>
      <c r="SAO100" s="798"/>
      <c r="SAP100" s="798"/>
      <c r="SAQ100" s="798"/>
      <c r="SAR100" s="798"/>
      <c r="SAS100" s="798"/>
      <c r="SAT100" s="798"/>
      <c r="SAU100" s="798"/>
      <c r="SAV100" s="798"/>
      <c r="SAW100" s="798"/>
      <c r="SAX100" s="798"/>
      <c r="SAY100" s="798"/>
      <c r="SAZ100" s="798"/>
      <c r="SBA100" s="798"/>
      <c r="SBB100" s="798"/>
      <c r="SBC100" s="798"/>
      <c r="SBD100" s="798"/>
      <c r="SBE100" s="798"/>
      <c r="SBF100" s="798"/>
      <c r="SBG100" s="798"/>
      <c r="SBH100" s="798"/>
      <c r="SBI100" s="798"/>
      <c r="SBJ100" s="798"/>
      <c r="SBK100" s="798"/>
      <c r="SBL100" s="798"/>
      <c r="SBM100" s="798"/>
      <c r="SBN100" s="798"/>
      <c r="SBO100" s="798"/>
      <c r="SBP100" s="798"/>
      <c r="SBQ100" s="798"/>
      <c r="SBR100" s="798"/>
      <c r="SBS100" s="798"/>
      <c r="SBT100" s="798"/>
      <c r="SBU100" s="798"/>
      <c r="SBV100" s="798"/>
      <c r="SBW100" s="798"/>
      <c r="SBX100" s="798"/>
      <c r="SBY100" s="798"/>
      <c r="SBZ100" s="798"/>
      <c r="SCA100" s="798"/>
      <c r="SCB100" s="798"/>
      <c r="SCC100" s="798"/>
      <c r="SCD100" s="798"/>
      <c r="SCE100" s="798"/>
      <c r="SCF100" s="798"/>
      <c r="SCG100" s="798"/>
      <c r="SCH100" s="798"/>
      <c r="SCI100" s="798"/>
      <c r="SCJ100" s="798"/>
      <c r="SCK100" s="798"/>
      <c r="SCL100" s="798"/>
      <c r="SCM100" s="798"/>
      <c r="SCN100" s="798"/>
      <c r="SCO100" s="798"/>
      <c r="SCP100" s="798"/>
      <c r="SCQ100" s="798"/>
      <c r="SCR100" s="798"/>
      <c r="SCS100" s="798"/>
      <c r="SCT100" s="798"/>
      <c r="SCU100" s="798"/>
      <c r="SCV100" s="798"/>
      <c r="SCW100" s="798"/>
      <c r="SCX100" s="798"/>
      <c r="SCY100" s="798"/>
      <c r="SCZ100" s="798"/>
      <c r="SDA100" s="798"/>
      <c r="SDB100" s="798"/>
      <c r="SDC100" s="798"/>
      <c r="SDD100" s="798"/>
      <c r="SDE100" s="798"/>
      <c r="SDF100" s="798"/>
      <c r="SDG100" s="798"/>
      <c r="SDH100" s="798"/>
      <c r="SDI100" s="798"/>
      <c r="SDJ100" s="798"/>
      <c r="SDK100" s="798"/>
      <c r="SDL100" s="798"/>
      <c r="SDM100" s="798"/>
      <c r="SDN100" s="798"/>
      <c r="SDO100" s="798"/>
      <c r="SDP100" s="798"/>
      <c r="SDQ100" s="798"/>
      <c r="SDR100" s="798"/>
      <c r="SDS100" s="798"/>
      <c r="SDT100" s="798"/>
      <c r="SDU100" s="798"/>
      <c r="SDV100" s="798"/>
      <c r="SDW100" s="798"/>
      <c r="SDX100" s="798"/>
      <c r="SDY100" s="798"/>
      <c r="SDZ100" s="798"/>
      <c r="SEA100" s="798"/>
      <c r="SEB100" s="798"/>
      <c r="SEC100" s="798"/>
      <c r="SED100" s="798"/>
      <c r="SEE100" s="798"/>
      <c r="SEF100" s="798"/>
      <c r="SEG100" s="798"/>
      <c r="SEH100" s="798"/>
      <c r="SEI100" s="798"/>
      <c r="SEJ100" s="798"/>
      <c r="SEK100" s="798"/>
      <c r="SEL100" s="798"/>
      <c r="SEM100" s="798"/>
      <c r="SEN100" s="798"/>
      <c r="SEO100" s="798"/>
      <c r="SEP100" s="798"/>
      <c r="SEQ100" s="798"/>
      <c r="SER100" s="798"/>
      <c r="SES100" s="798"/>
      <c r="SET100" s="798"/>
      <c r="SEU100" s="798"/>
      <c r="SEV100" s="798"/>
      <c r="SEW100" s="798"/>
      <c r="SEX100" s="798"/>
      <c r="SEY100" s="798"/>
      <c r="SEZ100" s="798"/>
      <c r="SFA100" s="798"/>
      <c r="SFB100" s="798"/>
      <c r="SFC100" s="798"/>
      <c r="SFD100" s="798"/>
      <c r="SFE100" s="798"/>
      <c r="SFF100" s="798"/>
      <c r="SFG100" s="798"/>
      <c r="SFH100" s="798"/>
      <c r="SFI100" s="798"/>
      <c r="SFJ100" s="798"/>
      <c r="SFK100" s="798"/>
      <c r="SFL100" s="798"/>
      <c r="SFM100" s="798"/>
      <c r="SFN100" s="798"/>
      <c r="SFO100" s="798"/>
      <c r="SFP100" s="798"/>
      <c r="SFQ100" s="798"/>
      <c r="SFR100" s="798"/>
      <c r="SFS100" s="798"/>
      <c r="SFT100" s="798"/>
      <c r="SFU100" s="798"/>
      <c r="SFV100" s="798"/>
      <c r="SFW100" s="798"/>
      <c r="SFX100" s="798"/>
      <c r="SFY100" s="798"/>
      <c r="SFZ100" s="798"/>
      <c r="SGA100" s="798"/>
      <c r="SGB100" s="798"/>
      <c r="SGC100" s="798"/>
      <c r="SGD100" s="798"/>
      <c r="SGE100" s="798"/>
      <c r="SGF100" s="798"/>
      <c r="SGG100" s="798"/>
      <c r="SGH100" s="798"/>
      <c r="SGI100" s="798"/>
      <c r="SGJ100" s="798"/>
      <c r="SGK100" s="798"/>
      <c r="SGL100" s="798"/>
      <c r="SGM100" s="798"/>
      <c r="SGN100" s="798"/>
      <c r="SGO100" s="798"/>
      <c r="SGP100" s="798"/>
      <c r="SGQ100" s="798"/>
      <c r="SGR100" s="798"/>
      <c r="SGS100" s="798"/>
      <c r="SGT100" s="798"/>
      <c r="SGU100" s="798"/>
      <c r="SGV100" s="798"/>
      <c r="SGW100" s="798"/>
      <c r="SGX100" s="798"/>
      <c r="SGY100" s="798"/>
      <c r="SGZ100" s="798"/>
      <c r="SHA100" s="798"/>
      <c r="SHB100" s="798"/>
      <c r="SHC100" s="798"/>
      <c r="SHD100" s="798"/>
      <c r="SHE100" s="798"/>
      <c r="SHF100" s="798"/>
      <c r="SHG100" s="798"/>
      <c r="SHH100" s="798"/>
      <c r="SHI100" s="798"/>
      <c r="SHJ100" s="798"/>
      <c r="SHK100" s="798"/>
      <c r="SHL100" s="798"/>
      <c r="SHM100" s="798"/>
      <c r="SHN100" s="798"/>
      <c r="SHO100" s="798"/>
      <c r="SHP100" s="798"/>
      <c r="SHQ100" s="798"/>
      <c r="SHR100" s="798"/>
      <c r="SHS100" s="798"/>
      <c r="SHT100" s="798"/>
      <c r="SHU100" s="798"/>
      <c r="SHV100" s="798"/>
      <c r="SHW100" s="798"/>
      <c r="SHX100" s="798"/>
      <c r="SHY100" s="798"/>
      <c r="SHZ100" s="798"/>
      <c r="SIA100" s="798"/>
      <c r="SIB100" s="798"/>
      <c r="SIC100" s="798"/>
      <c r="SID100" s="798"/>
      <c r="SIE100" s="798"/>
      <c r="SIF100" s="798"/>
      <c r="SIG100" s="798"/>
      <c r="SIH100" s="798"/>
      <c r="SII100" s="798"/>
      <c r="SIJ100" s="798"/>
      <c r="SIK100" s="798"/>
      <c r="SIL100" s="798"/>
      <c r="SIM100" s="798"/>
      <c r="SIN100" s="798"/>
      <c r="SIO100" s="798"/>
      <c r="SIP100" s="798"/>
      <c r="SIQ100" s="798"/>
      <c r="SIR100" s="798"/>
      <c r="SIS100" s="798"/>
      <c r="SIT100" s="798"/>
      <c r="SIU100" s="798"/>
      <c r="SIV100" s="798"/>
      <c r="SIW100" s="798"/>
      <c r="SIX100" s="798"/>
      <c r="SIY100" s="798"/>
      <c r="SIZ100" s="798"/>
      <c r="SJA100" s="798"/>
      <c r="SJB100" s="798"/>
      <c r="SJC100" s="798"/>
      <c r="SJD100" s="798"/>
      <c r="SJE100" s="798"/>
      <c r="SJF100" s="798"/>
      <c r="SJG100" s="798"/>
      <c r="SJH100" s="798"/>
      <c r="SJI100" s="798"/>
      <c r="SJJ100" s="798"/>
      <c r="SJK100" s="798"/>
      <c r="SJL100" s="798"/>
      <c r="SJM100" s="798"/>
      <c r="SJN100" s="798"/>
      <c r="SJO100" s="798"/>
      <c r="SJP100" s="798"/>
      <c r="SJQ100" s="798"/>
      <c r="SJR100" s="798"/>
      <c r="SJS100" s="798"/>
      <c r="SJT100" s="798"/>
      <c r="SJU100" s="798"/>
      <c r="SJV100" s="798"/>
      <c r="SJW100" s="798"/>
      <c r="SJX100" s="798"/>
      <c r="SJY100" s="798"/>
      <c r="SJZ100" s="798"/>
      <c r="SKA100" s="798"/>
      <c r="SKB100" s="798"/>
      <c r="SKC100" s="798"/>
      <c r="SKD100" s="798"/>
      <c r="SKE100" s="798"/>
      <c r="SKF100" s="798"/>
      <c r="SKG100" s="798"/>
      <c r="SKH100" s="798"/>
      <c r="SKI100" s="798"/>
      <c r="SKJ100" s="798"/>
      <c r="SKK100" s="798"/>
      <c r="SKL100" s="798"/>
      <c r="SKM100" s="798"/>
      <c r="SKN100" s="798"/>
      <c r="SKO100" s="798"/>
      <c r="SKP100" s="798"/>
      <c r="SKQ100" s="798"/>
      <c r="SKR100" s="798"/>
      <c r="SKS100" s="798"/>
      <c r="SKT100" s="798"/>
      <c r="SKU100" s="798"/>
      <c r="SKV100" s="798"/>
      <c r="SKW100" s="798"/>
      <c r="SKX100" s="798"/>
      <c r="SKY100" s="798"/>
      <c r="SKZ100" s="798"/>
      <c r="SLA100" s="798"/>
      <c r="SLB100" s="798"/>
      <c r="SLC100" s="798"/>
      <c r="SLD100" s="798"/>
      <c r="SLE100" s="798"/>
      <c r="SLF100" s="798"/>
      <c r="SLG100" s="798"/>
      <c r="SLH100" s="798"/>
      <c r="SLI100" s="798"/>
      <c r="SLJ100" s="798"/>
      <c r="SLK100" s="798"/>
      <c r="SLL100" s="798"/>
      <c r="SLM100" s="798"/>
      <c r="SLN100" s="798"/>
      <c r="SLO100" s="798"/>
      <c r="SLP100" s="798"/>
      <c r="SLQ100" s="798"/>
      <c r="SLR100" s="798"/>
      <c r="SLS100" s="798"/>
      <c r="SLT100" s="798"/>
      <c r="SLU100" s="798"/>
      <c r="SLV100" s="798"/>
      <c r="SLW100" s="798"/>
      <c r="SLX100" s="798"/>
      <c r="SLY100" s="798"/>
      <c r="SLZ100" s="798"/>
      <c r="SMA100" s="798"/>
      <c r="SMB100" s="798"/>
      <c r="SMC100" s="798"/>
      <c r="SMD100" s="798"/>
      <c r="SME100" s="798"/>
      <c r="SMF100" s="798"/>
      <c r="SMG100" s="798"/>
      <c r="SMH100" s="798"/>
      <c r="SMI100" s="798"/>
      <c r="SMJ100" s="798"/>
      <c r="SMK100" s="798"/>
      <c r="SML100" s="798"/>
      <c r="SMM100" s="798"/>
      <c r="SMN100" s="798"/>
      <c r="SMO100" s="798"/>
      <c r="SMP100" s="798"/>
      <c r="SMQ100" s="798"/>
      <c r="SMR100" s="798"/>
      <c r="SMS100" s="798"/>
      <c r="SMT100" s="798"/>
      <c r="SMU100" s="798"/>
      <c r="SMV100" s="798"/>
      <c r="SMW100" s="798"/>
      <c r="SMX100" s="798"/>
      <c r="SMY100" s="798"/>
      <c r="SMZ100" s="798"/>
      <c r="SNA100" s="798"/>
      <c r="SNB100" s="798"/>
      <c r="SNC100" s="798"/>
      <c r="SND100" s="798"/>
      <c r="SNE100" s="798"/>
      <c r="SNF100" s="798"/>
      <c r="SNG100" s="798"/>
      <c r="SNH100" s="798"/>
      <c r="SNI100" s="798"/>
      <c r="SNJ100" s="798"/>
      <c r="SNK100" s="798"/>
      <c r="SNL100" s="798"/>
      <c r="SNM100" s="798"/>
      <c r="SNN100" s="798"/>
      <c r="SNO100" s="798"/>
      <c r="SNP100" s="798"/>
      <c r="SNQ100" s="798"/>
      <c r="SNR100" s="798"/>
      <c r="SNS100" s="798"/>
      <c r="SNT100" s="798"/>
      <c r="SNU100" s="798"/>
      <c r="SNV100" s="798"/>
      <c r="SNW100" s="798"/>
      <c r="SNX100" s="798"/>
      <c r="SNY100" s="798"/>
      <c r="SNZ100" s="798"/>
      <c r="SOA100" s="798"/>
      <c r="SOB100" s="798"/>
      <c r="SOC100" s="798"/>
      <c r="SOD100" s="798"/>
      <c r="SOE100" s="798"/>
      <c r="SOF100" s="798"/>
      <c r="SOG100" s="798"/>
      <c r="SOH100" s="798"/>
      <c r="SOI100" s="798"/>
      <c r="SOJ100" s="798"/>
      <c r="SOK100" s="798"/>
      <c r="SOL100" s="798"/>
      <c r="SOM100" s="798"/>
      <c r="SON100" s="798"/>
      <c r="SOO100" s="798"/>
      <c r="SOP100" s="798"/>
      <c r="SOQ100" s="798"/>
      <c r="SOR100" s="798"/>
      <c r="SOS100" s="798"/>
      <c r="SOT100" s="798"/>
      <c r="SOU100" s="798"/>
      <c r="SOV100" s="798"/>
      <c r="SOW100" s="798"/>
      <c r="SOX100" s="798"/>
      <c r="SOY100" s="798"/>
      <c r="SOZ100" s="798"/>
      <c r="SPA100" s="798"/>
      <c r="SPB100" s="798"/>
      <c r="SPC100" s="798"/>
      <c r="SPD100" s="798"/>
      <c r="SPE100" s="798"/>
      <c r="SPF100" s="798"/>
      <c r="SPG100" s="798"/>
      <c r="SPH100" s="798"/>
      <c r="SPI100" s="798"/>
      <c r="SPJ100" s="798"/>
      <c r="SPK100" s="798"/>
      <c r="SPL100" s="798"/>
      <c r="SPM100" s="798"/>
      <c r="SPN100" s="798"/>
      <c r="SPO100" s="798"/>
      <c r="SPP100" s="798"/>
      <c r="SPQ100" s="798"/>
      <c r="SPR100" s="798"/>
      <c r="SPS100" s="798"/>
      <c r="SPT100" s="798"/>
      <c r="SPU100" s="798"/>
      <c r="SPV100" s="798"/>
      <c r="SPW100" s="798"/>
      <c r="SPX100" s="798"/>
      <c r="SPY100" s="798"/>
      <c r="SPZ100" s="798"/>
      <c r="SQA100" s="798"/>
      <c r="SQB100" s="798"/>
      <c r="SQC100" s="798"/>
      <c r="SQD100" s="798"/>
      <c r="SQE100" s="798"/>
      <c r="SQF100" s="798"/>
      <c r="SQG100" s="798"/>
      <c r="SQH100" s="798"/>
      <c r="SQI100" s="798"/>
      <c r="SQJ100" s="798"/>
      <c r="SQK100" s="798"/>
      <c r="SQL100" s="798"/>
      <c r="SQM100" s="798"/>
      <c r="SQN100" s="798"/>
      <c r="SQO100" s="798"/>
      <c r="SQP100" s="798"/>
      <c r="SQQ100" s="798"/>
      <c r="SQR100" s="798"/>
      <c r="SQS100" s="798"/>
      <c r="SQT100" s="798"/>
      <c r="SQU100" s="798"/>
      <c r="SQV100" s="798"/>
      <c r="SQW100" s="798"/>
      <c r="SQX100" s="798"/>
      <c r="SQY100" s="798"/>
      <c r="SQZ100" s="798"/>
      <c r="SRA100" s="798"/>
      <c r="SRB100" s="798"/>
      <c r="SRC100" s="798"/>
      <c r="SRD100" s="798"/>
      <c r="SRE100" s="798"/>
      <c r="SRF100" s="798"/>
      <c r="SRG100" s="798"/>
      <c r="SRH100" s="798"/>
      <c r="SRI100" s="798"/>
      <c r="SRJ100" s="798"/>
      <c r="SRK100" s="798"/>
      <c r="SRL100" s="798"/>
      <c r="SRM100" s="798"/>
      <c r="SRN100" s="798"/>
      <c r="SRO100" s="798"/>
      <c r="SRP100" s="798"/>
      <c r="SRQ100" s="798"/>
      <c r="SRR100" s="798"/>
      <c r="SRS100" s="798"/>
      <c r="SRT100" s="798"/>
      <c r="SRU100" s="798"/>
      <c r="SRV100" s="798"/>
      <c r="SRW100" s="798"/>
      <c r="SRX100" s="798"/>
      <c r="SRY100" s="798"/>
      <c r="SRZ100" s="798"/>
      <c r="SSA100" s="798"/>
      <c r="SSB100" s="798"/>
      <c r="SSC100" s="798"/>
      <c r="SSD100" s="798"/>
      <c r="SSE100" s="798"/>
      <c r="SSF100" s="798"/>
      <c r="SSG100" s="798"/>
      <c r="SSH100" s="798"/>
      <c r="SSI100" s="798"/>
      <c r="SSJ100" s="798"/>
      <c r="SSK100" s="798"/>
      <c r="SSL100" s="798"/>
      <c r="SSM100" s="798"/>
      <c r="SSN100" s="798"/>
      <c r="SSO100" s="798"/>
      <c r="SSP100" s="798"/>
      <c r="SSQ100" s="798"/>
      <c r="SSR100" s="798"/>
      <c r="SSS100" s="798"/>
      <c r="SST100" s="798"/>
      <c r="SSU100" s="798"/>
      <c r="SSV100" s="798"/>
      <c r="SSW100" s="798"/>
      <c r="SSX100" s="798"/>
      <c r="SSY100" s="798"/>
      <c r="SSZ100" s="798"/>
      <c r="STA100" s="798"/>
      <c r="STB100" s="798"/>
      <c r="STC100" s="798"/>
      <c r="STD100" s="798"/>
      <c r="STE100" s="798"/>
      <c r="STF100" s="798"/>
      <c r="STG100" s="798"/>
      <c r="STH100" s="798"/>
      <c r="STI100" s="798"/>
      <c r="STJ100" s="798"/>
      <c r="STK100" s="798"/>
      <c r="STL100" s="798"/>
      <c r="STM100" s="798"/>
      <c r="STN100" s="798"/>
      <c r="STO100" s="798"/>
      <c r="STP100" s="798"/>
      <c r="STQ100" s="798"/>
      <c r="STR100" s="798"/>
      <c r="STS100" s="798"/>
      <c r="STT100" s="798"/>
      <c r="STU100" s="798"/>
      <c r="STV100" s="798"/>
      <c r="STW100" s="798"/>
      <c r="STX100" s="798"/>
      <c r="STY100" s="798"/>
      <c r="STZ100" s="798"/>
      <c r="SUA100" s="798"/>
      <c r="SUB100" s="798"/>
      <c r="SUC100" s="798"/>
      <c r="SUD100" s="798"/>
      <c r="SUE100" s="798"/>
      <c r="SUF100" s="798"/>
      <c r="SUG100" s="798"/>
      <c r="SUH100" s="798"/>
      <c r="SUI100" s="798"/>
      <c r="SUJ100" s="798"/>
      <c r="SUK100" s="798"/>
      <c r="SUL100" s="798"/>
      <c r="SUM100" s="798"/>
      <c r="SUN100" s="798"/>
      <c r="SUO100" s="798"/>
      <c r="SUP100" s="798"/>
      <c r="SUQ100" s="798"/>
      <c r="SUR100" s="798"/>
      <c r="SUS100" s="798"/>
      <c r="SUT100" s="798"/>
      <c r="SUU100" s="798"/>
      <c r="SUV100" s="798"/>
      <c r="SUW100" s="798"/>
      <c r="SUX100" s="798"/>
      <c r="SUY100" s="798"/>
      <c r="SUZ100" s="798"/>
      <c r="SVA100" s="798"/>
      <c r="SVB100" s="798"/>
      <c r="SVC100" s="798"/>
      <c r="SVD100" s="798"/>
      <c r="SVE100" s="798"/>
      <c r="SVF100" s="798"/>
      <c r="SVG100" s="798"/>
      <c r="SVH100" s="798"/>
      <c r="SVI100" s="798"/>
      <c r="SVJ100" s="798"/>
      <c r="SVK100" s="798"/>
      <c r="SVL100" s="798"/>
      <c r="SVM100" s="798"/>
      <c r="SVN100" s="798"/>
      <c r="SVO100" s="798"/>
      <c r="SVP100" s="798"/>
      <c r="SVQ100" s="798"/>
      <c r="SVR100" s="798"/>
      <c r="SVS100" s="798"/>
      <c r="SVT100" s="798"/>
      <c r="SVU100" s="798"/>
      <c r="SVV100" s="798"/>
      <c r="SVW100" s="798"/>
      <c r="SVX100" s="798"/>
      <c r="SVY100" s="798"/>
      <c r="SVZ100" s="798"/>
      <c r="SWA100" s="798"/>
      <c r="SWB100" s="798"/>
      <c r="SWC100" s="798"/>
      <c r="SWD100" s="798"/>
      <c r="SWE100" s="798"/>
      <c r="SWF100" s="798"/>
      <c r="SWG100" s="798"/>
      <c r="SWH100" s="798"/>
      <c r="SWI100" s="798"/>
      <c r="SWJ100" s="798"/>
      <c r="SWK100" s="798"/>
      <c r="SWL100" s="798"/>
      <c r="SWM100" s="798"/>
      <c r="SWN100" s="798"/>
      <c r="SWO100" s="798"/>
      <c r="SWP100" s="798"/>
      <c r="SWQ100" s="798"/>
      <c r="SWR100" s="798"/>
      <c r="SWS100" s="798"/>
      <c r="SWT100" s="798"/>
      <c r="SWU100" s="798"/>
      <c r="SWV100" s="798"/>
      <c r="SWW100" s="798"/>
      <c r="SWX100" s="798"/>
      <c r="SWY100" s="798"/>
      <c r="SWZ100" s="798"/>
      <c r="SXA100" s="798"/>
      <c r="SXB100" s="798"/>
      <c r="SXC100" s="798"/>
      <c r="SXD100" s="798"/>
      <c r="SXE100" s="798"/>
      <c r="SXF100" s="798"/>
      <c r="SXG100" s="798"/>
      <c r="SXH100" s="798"/>
      <c r="SXI100" s="798"/>
      <c r="SXJ100" s="798"/>
      <c r="SXK100" s="798"/>
      <c r="SXL100" s="798"/>
      <c r="SXM100" s="798"/>
      <c r="SXN100" s="798"/>
      <c r="SXO100" s="798"/>
      <c r="SXP100" s="798"/>
      <c r="SXQ100" s="798"/>
      <c r="SXR100" s="798"/>
      <c r="SXS100" s="798"/>
      <c r="SXT100" s="798"/>
      <c r="SXU100" s="798"/>
      <c r="SXV100" s="798"/>
      <c r="SXW100" s="798"/>
      <c r="SXX100" s="798"/>
      <c r="SXY100" s="798"/>
      <c r="SXZ100" s="798"/>
      <c r="SYA100" s="798"/>
      <c r="SYB100" s="798"/>
      <c r="SYC100" s="798"/>
      <c r="SYD100" s="798"/>
      <c r="SYE100" s="798"/>
      <c r="SYF100" s="798"/>
      <c r="SYG100" s="798"/>
      <c r="SYH100" s="798"/>
      <c r="SYI100" s="798"/>
      <c r="SYJ100" s="798"/>
      <c r="SYK100" s="798"/>
      <c r="SYL100" s="798"/>
      <c r="SYM100" s="798"/>
      <c r="SYN100" s="798"/>
      <c r="SYO100" s="798"/>
      <c r="SYP100" s="798"/>
      <c r="SYQ100" s="798"/>
      <c r="SYR100" s="798"/>
      <c r="SYS100" s="798"/>
      <c r="SYT100" s="798"/>
      <c r="SYU100" s="798"/>
      <c r="SYV100" s="798"/>
      <c r="SYW100" s="798"/>
      <c r="SYX100" s="798"/>
      <c r="SYY100" s="798"/>
      <c r="SYZ100" s="798"/>
      <c r="SZA100" s="798"/>
      <c r="SZB100" s="798"/>
      <c r="SZC100" s="798"/>
      <c r="SZD100" s="798"/>
      <c r="SZE100" s="798"/>
      <c r="SZF100" s="798"/>
      <c r="SZG100" s="798"/>
      <c r="SZH100" s="798"/>
      <c r="SZI100" s="798"/>
      <c r="SZJ100" s="798"/>
      <c r="SZK100" s="798"/>
      <c r="SZL100" s="798"/>
      <c r="SZM100" s="798"/>
      <c r="SZN100" s="798"/>
      <c r="SZO100" s="798"/>
      <c r="SZP100" s="798"/>
      <c r="SZQ100" s="798"/>
      <c r="SZR100" s="798"/>
      <c r="SZS100" s="798"/>
      <c r="SZT100" s="798"/>
      <c r="SZU100" s="798"/>
      <c r="SZV100" s="798"/>
      <c r="SZW100" s="798"/>
      <c r="SZX100" s="798"/>
      <c r="SZY100" s="798"/>
      <c r="SZZ100" s="798"/>
      <c r="TAA100" s="798"/>
      <c r="TAB100" s="798"/>
      <c r="TAC100" s="798"/>
      <c r="TAD100" s="798"/>
      <c r="TAE100" s="798"/>
      <c r="TAF100" s="798"/>
      <c r="TAG100" s="798"/>
      <c r="TAH100" s="798"/>
      <c r="TAI100" s="798"/>
      <c r="TAJ100" s="798"/>
      <c r="TAK100" s="798"/>
      <c r="TAL100" s="798"/>
      <c r="TAM100" s="798"/>
      <c r="TAN100" s="798"/>
      <c r="TAO100" s="798"/>
      <c r="TAP100" s="798"/>
      <c r="TAQ100" s="798"/>
      <c r="TAR100" s="798"/>
      <c r="TAS100" s="798"/>
      <c r="TAT100" s="798"/>
      <c r="TAU100" s="798"/>
      <c r="TAV100" s="798"/>
      <c r="TAW100" s="798"/>
      <c r="TAX100" s="798"/>
      <c r="TAY100" s="798"/>
      <c r="TAZ100" s="798"/>
      <c r="TBA100" s="798"/>
      <c r="TBB100" s="798"/>
      <c r="TBC100" s="798"/>
      <c r="TBD100" s="798"/>
      <c r="TBE100" s="798"/>
      <c r="TBF100" s="798"/>
      <c r="TBG100" s="798"/>
      <c r="TBH100" s="798"/>
      <c r="TBI100" s="798"/>
      <c r="TBJ100" s="798"/>
      <c r="TBK100" s="798"/>
      <c r="TBL100" s="798"/>
      <c r="TBM100" s="798"/>
      <c r="TBN100" s="798"/>
      <c r="TBO100" s="798"/>
      <c r="TBP100" s="798"/>
      <c r="TBQ100" s="798"/>
      <c r="TBR100" s="798"/>
      <c r="TBS100" s="798"/>
      <c r="TBT100" s="798"/>
      <c r="TBU100" s="798"/>
      <c r="TBV100" s="798"/>
      <c r="TBW100" s="798"/>
      <c r="TBX100" s="798"/>
      <c r="TBY100" s="798"/>
      <c r="TBZ100" s="798"/>
      <c r="TCA100" s="798"/>
      <c r="TCB100" s="798"/>
      <c r="TCC100" s="798"/>
      <c r="TCD100" s="798"/>
      <c r="TCE100" s="798"/>
      <c r="TCF100" s="798"/>
      <c r="TCG100" s="798"/>
      <c r="TCH100" s="798"/>
      <c r="TCI100" s="798"/>
      <c r="TCJ100" s="798"/>
      <c r="TCK100" s="798"/>
      <c r="TCL100" s="798"/>
      <c r="TCM100" s="798"/>
      <c r="TCN100" s="798"/>
      <c r="TCO100" s="798"/>
      <c r="TCP100" s="798"/>
      <c r="TCQ100" s="798"/>
      <c r="TCR100" s="798"/>
      <c r="TCS100" s="798"/>
      <c r="TCT100" s="798"/>
      <c r="TCU100" s="798"/>
      <c r="TCV100" s="798"/>
      <c r="TCW100" s="798"/>
      <c r="TCX100" s="798"/>
      <c r="TCY100" s="798"/>
      <c r="TCZ100" s="798"/>
      <c r="TDA100" s="798"/>
      <c r="TDB100" s="798"/>
      <c r="TDC100" s="798"/>
      <c r="TDD100" s="798"/>
      <c r="TDE100" s="798"/>
      <c r="TDF100" s="798"/>
      <c r="TDG100" s="798"/>
      <c r="TDH100" s="798"/>
      <c r="TDI100" s="798"/>
      <c r="TDJ100" s="798"/>
      <c r="TDK100" s="798"/>
      <c r="TDL100" s="798"/>
      <c r="TDM100" s="798"/>
      <c r="TDN100" s="798"/>
      <c r="TDO100" s="798"/>
      <c r="TDP100" s="798"/>
      <c r="TDQ100" s="798"/>
      <c r="TDR100" s="798"/>
      <c r="TDS100" s="798"/>
      <c r="TDT100" s="798"/>
      <c r="TDU100" s="798"/>
      <c r="TDV100" s="798"/>
      <c r="TDW100" s="798"/>
      <c r="TDX100" s="798"/>
      <c r="TDY100" s="798"/>
      <c r="TDZ100" s="798"/>
      <c r="TEA100" s="798"/>
      <c r="TEB100" s="798"/>
      <c r="TEC100" s="798"/>
      <c r="TED100" s="798"/>
      <c r="TEE100" s="798"/>
      <c r="TEF100" s="798"/>
      <c r="TEG100" s="798"/>
      <c r="TEH100" s="798"/>
      <c r="TEI100" s="798"/>
      <c r="TEJ100" s="798"/>
      <c r="TEK100" s="798"/>
      <c r="TEL100" s="798"/>
      <c r="TEM100" s="798"/>
      <c r="TEN100" s="798"/>
      <c r="TEO100" s="798"/>
      <c r="TEP100" s="798"/>
      <c r="TEQ100" s="798"/>
      <c r="TER100" s="798"/>
      <c r="TES100" s="798"/>
      <c r="TET100" s="798"/>
      <c r="TEU100" s="798"/>
      <c r="TEV100" s="798"/>
      <c r="TEW100" s="798"/>
      <c r="TEX100" s="798"/>
      <c r="TEY100" s="798"/>
      <c r="TEZ100" s="798"/>
      <c r="TFA100" s="798"/>
      <c r="TFB100" s="798"/>
      <c r="TFC100" s="798"/>
      <c r="TFD100" s="798"/>
      <c r="TFE100" s="798"/>
      <c r="TFF100" s="798"/>
      <c r="TFG100" s="798"/>
      <c r="TFH100" s="798"/>
      <c r="TFI100" s="798"/>
      <c r="TFJ100" s="798"/>
      <c r="TFK100" s="798"/>
      <c r="TFL100" s="798"/>
      <c r="TFM100" s="798"/>
      <c r="TFN100" s="798"/>
      <c r="TFO100" s="798"/>
      <c r="TFP100" s="798"/>
      <c r="TFQ100" s="798"/>
      <c r="TFR100" s="798"/>
      <c r="TFS100" s="798"/>
      <c r="TFT100" s="798"/>
      <c r="TFU100" s="798"/>
      <c r="TFV100" s="798"/>
      <c r="TFW100" s="798"/>
      <c r="TFX100" s="798"/>
      <c r="TFY100" s="798"/>
      <c r="TFZ100" s="798"/>
      <c r="TGA100" s="798"/>
      <c r="TGB100" s="798"/>
      <c r="TGC100" s="798"/>
      <c r="TGD100" s="798"/>
      <c r="TGE100" s="798"/>
      <c r="TGF100" s="798"/>
      <c r="TGG100" s="798"/>
      <c r="TGH100" s="798"/>
      <c r="TGI100" s="798"/>
      <c r="TGJ100" s="798"/>
      <c r="TGK100" s="798"/>
      <c r="TGL100" s="798"/>
      <c r="TGM100" s="798"/>
      <c r="TGN100" s="798"/>
      <c r="TGO100" s="798"/>
      <c r="TGP100" s="798"/>
      <c r="TGQ100" s="798"/>
      <c r="TGR100" s="798"/>
      <c r="TGS100" s="798"/>
      <c r="TGT100" s="798"/>
      <c r="TGU100" s="798"/>
      <c r="TGV100" s="798"/>
      <c r="TGW100" s="798"/>
      <c r="TGX100" s="798"/>
      <c r="TGY100" s="798"/>
      <c r="TGZ100" s="798"/>
      <c r="THA100" s="798"/>
      <c r="THB100" s="798"/>
      <c r="THC100" s="798"/>
      <c r="THD100" s="798"/>
      <c r="THE100" s="798"/>
      <c r="THF100" s="798"/>
      <c r="THG100" s="798"/>
      <c r="THH100" s="798"/>
      <c r="THI100" s="798"/>
      <c r="THJ100" s="798"/>
      <c r="THK100" s="798"/>
      <c r="THL100" s="798"/>
      <c r="THM100" s="798"/>
      <c r="THN100" s="798"/>
      <c r="THO100" s="798"/>
      <c r="THP100" s="798"/>
      <c r="THQ100" s="798"/>
      <c r="THR100" s="798"/>
      <c r="THS100" s="798"/>
      <c r="THT100" s="798"/>
      <c r="THU100" s="798"/>
      <c r="THV100" s="798"/>
      <c r="THW100" s="798"/>
      <c r="THX100" s="798"/>
      <c r="THY100" s="798"/>
      <c r="THZ100" s="798"/>
      <c r="TIA100" s="798"/>
      <c r="TIB100" s="798"/>
      <c r="TIC100" s="798"/>
      <c r="TID100" s="798"/>
      <c r="TIE100" s="798"/>
      <c r="TIF100" s="798"/>
      <c r="TIG100" s="798"/>
      <c r="TIH100" s="798"/>
      <c r="TII100" s="798"/>
      <c r="TIJ100" s="798"/>
      <c r="TIK100" s="798"/>
      <c r="TIL100" s="798"/>
      <c r="TIM100" s="798"/>
      <c r="TIN100" s="798"/>
      <c r="TIO100" s="798"/>
      <c r="TIP100" s="798"/>
      <c r="TIQ100" s="798"/>
      <c r="TIR100" s="798"/>
      <c r="TIS100" s="798"/>
      <c r="TIT100" s="798"/>
      <c r="TIU100" s="798"/>
      <c r="TIV100" s="798"/>
      <c r="TIW100" s="798"/>
      <c r="TIX100" s="798"/>
      <c r="TIY100" s="798"/>
      <c r="TIZ100" s="798"/>
      <c r="TJA100" s="798"/>
      <c r="TJB100" s="798"/>
      <c r="TJC100" s="798"/>
      <c r="TJD100" s="798"/>
      <c r="TJE100" s="798"/>
      <c r="TJF100" s="798"/>
      <c r="TJG100" s="798"/>
      <c r="TJH100" s="798"/>
      <c r="TJI100" s="798"/>
      <c r="TJJ100" s="798"/>
      <c r="TJK100" s="798"/>
      <c r="TJL100" s="798"/>
      <c r="TJM100" s="798"/>
      <c r="TJN100" s="798"/>
      <c r="TJO100" s="798"/>
      <c r="TJP100" s="798"/>
      <c r="TJQ100" s="798"/>
      <c r="TJR100" s="798"/>
      <c r="TJS100" s="798"/>
      <c r="TJT100" s="798"/>
      <c r="TJU100" s="798"/>
      <c r="TJV100" s="798"/>
      <c r="TJW100" s="798"/>
      <c r="TJX100" s="798"/>
      <c r="TJY100" s="798"/>
      <c r="TJZ100" s="798"/>
      <c r="TKA100" s="798"/>
      <c r="TKB100" s="798"/>
      <c r="TKC100" s="798"/>
      <c r="TKD100" s="798"/>
      <c r="TKE100" s="798"/>
      <c r="TKF100" s="798"/>
      <c r="TKG100" s="798"/>
      <c r="TKH100" s="798"/>
      <c r="TKI100" s="798"/>
      <c r="TKJ100" s="798"/>
      <c r="TKK100" s="798"/>
      <c r="TKL100" s="798"/>
      <c r="TKM100" s="798"/>
      <c r="TKN100" s="798"/>
      <c r="TKO100" s="798"/>
      <c r="TKP100" s="798"/>
      <c r="TKQ100" s="798"/>
      <c r="TKR100" s="798"/>
      <c r="TKS100" s="798"/>
      <c r="TKT100" s="798"/>
      <c r="TKU100" s="798"/>
      <c r="TKV100" s="798"/>
      <c r="TKW100" s="798"/>
      <c r="TKX100" s="798"/>
      <c r="TKY100" s="798"/>
      <c r="TKZ100" s="798"/>
      <c r="TLA100" s="798"/>
      <c r="TLB100" s="798"/>
      <c r="TLC100" s="798"/>
      <c r="TLD100" s="798"/>
      <c r="TLE100" s="798"/>
      <c r="TLF100" s="798"/>
      <c r="TLG100" s="798"/>
      <c r="TLH100" s="798"/>
      <c r="TLI100" s="798"/>
      <c r="TLJ100" s="798"/>
      <c r="TLK100" s="798"/>
      <c r="TLL100" s="798"/>
      <c r="TLM100" s="798"/>
      <c r="TLN100" s="798"/>
      <c r="TLO100" s="798"/>
      <c r="TLP100" s="798"/>
      <c r="TLQ100" s="798"/>
      <c r="TLR100" s="798"/>
      <c r="TLS100" s="798"/>
      <c r="TLT100" s="798"/>
      <c r="TLU100" s="798"/>
      <c r="TLV100" s="798"/>
      <c r="TLW100" s="798"/>
      <c r="TLX100" s="798"/>
      <c r="TLY100" s="798"/>
      <c r="TLZ100" s="798"/>
      <c r="TMA100" s="798"/>
      <c r="TMB100" s="798"/>
      <c r="TMC100" s="798"/>
      <c r="TMD100" s="798"/>
      <c r="TME100" s="798"/>
      <c r="TMF100" s="798"/>
      <c r="TMG100" s="798"/>
      <c r="TMH100" s="798"/>
      <c r="TMI100" s="798"/>
      <c r="TMJ100" s="798"/>
      <c r="TMK100" s="798"/>
      <c r="TML100" s="798"/>
      <c r="TMM100" s="798"/>
      <c r="TMN100" s="798"/>
      <c r="TMO100" s="798"/>
      <c r="TMP100" s="798"/>
      <c r="TMQ100" s="798"/>
      <c r="TMR100" s="798"/>
      <c r="TMS100" s="798"/>
      <c r="TMT100" s="798"/>
      <c r="TMU100" s="798"/>
      <c r="TMV100" s="798"/>
      <c r="TMW100" s="798"/>
      <c r="TMX100" s="798"/>
      <c r="TMY100" s="798"/>
      <c r="TMZ100" s="798"/>
      <c r="TNA100" s="798"/>
      <c r="TNB100" s="798"/>
      <c r="TNC100" s="798"/>
      <c r="TND100" s="798"/>
      <c r="TNE100" s="798"/>
      <c r="TNF100" s="798"/>
      <c r="TNG100" s="798"/>
      <c r="TNH100" s="798"/>
      <c r="TNI100" s="798"/>
      <c r="TNJ100" s="798"/>
      <c r="TNK100" s="798"/>
      <c r="TNL100" s="798"/>
      <c r="TNM100" s="798"/>
      <c r="TNN100" s="798"/>
      <c r="TNO100" s="798"/>
      <c r="TNP100" s="798"/>
      <c r="TNQ100" s="798"/>
      <c r="TNR100" s="798"/>
      <c r="TNS100" s="798"/>
      <c r="TNT100" s="798"/>
      <c r="TNU100" s="798"/>
      <c r="TNV100" s="798"/>
      <c r="TNW100" s="798"/>
      <c r="TNX100" s="798"/>
      <c r="TNY100" s="798"/>
      <c r="TNZ100" s="798"/>
      <c r="TOA100" s="798"/>
      <c r="TOB100" s="798"/>
      <c r="TOC100" s="798"/>
      <c r="TOD100" s="798"/>
      <c r="TOE100" s="798"/>
      <c r="TOF100" s="798"/>
      <c r="TOG100" s="798"/>
      <c r="TOH100" s="798"/>
      <c r="TOI100" s="798"/>
      <c r="TOJ100" s="798"/>
      <c r="TOK100" s="798"/>
      <c r="TOL100" s="798"/>
      <c r="TOM100" s="798"/>
      <c r="TON100" s="798"/>
      <c r="TOO100" s="798"/>
      <c r="TOP100" s="798"/>
      <c r="TOQ100" s="798"/>
      <c r="TOR100" s="798"/>
      <c r="TOS100" s="798"/>
      <c r="TOT100" s="798"/>
      <c r="TOU100" s="798"/>
      <c r="TOV100" s="798"/>
      <c r="TOW100" s="798"/>
      <c r="TOX100" s="798"/>
      <c r="TOY100" s="798"/>
      <c r="TOZ100" s="798"/>
      <c r="TPA100" s="798"/>
      <c r="TPB100" s="798"/>
      <c r="TPC100" s="798"/>
      <c r="TPD100" s="798"/>
      <c r="TPE100" s="798"/>
      <c r="TPF100" s="798"/>
      <c r="TPG100" s="798"/>
      <c r="TPH100" s="798"/>
      <c r="TPI100" s="798"/>
      <c r="TPJ100" s="798"/>
      <c r="TPK100" s="798"/>
      <c r="TPL100" s="798"/>
      <c r="TPM100" s="798"/>
      <c r="TPN100" s="798"/>
      <c r="TPO100" s="798"/>
      <c r="TPP100" s="798"/>
      <c r="TPQ100" s="798"/>
      <c r="TPR100" s="798"/>
      <c r="TPS100" s="798"/>
      <c r="TPT100" s="798"/>
      <c r="TPU100" s="798"/>
      <c r="TPV100" s="798"/>
      <c r="TPW100" s="798"/>
      <c r="TPX100" s="798"/>
      <c r="TPY100" s="798"/>
      <c r="TPZ100" s="798"/>
      <c r="TQA100" s="798"/>
      <c r="TQB100" s="798"/>
      <c r="TQC100" s="798"/>
      <c r="TQD100" s="798"/>
      <c r="TQE100" s="798"/>
      <c r="TQF100" s="798"/>
      <c r="TQG100" s="798"/>
      <c r="TQH100" s="798"/>
      <c r="TQI100" s="798"/>
      <c r="TQJ100" s="798"/>
      <c r="TQK100" s="798"/>
      <c r="TQL100" s="798"/>
      <c r="TQM100" s="798"/>
      <c r="TQN100" s="798"/>
      <c r="TQO100" s="798"/>
      <c r="TQP100" s="798"/>
      <c r="TQQ100" s="798"/>
      <c r="TQR100" s="798"/>
      <c r="TQS100" s="798"/>
      <c r="TQT100" s="798"/>
      <c r="TQU100" s="798"/>
      <c r="TQV100" s="798"/>
      <c r="TQW100" s="798"/>
      <c r="TQX100" s="798"/>
      <c r="TQY100" s="798"/>
      <c r="TQZ100" s="798"/>
      <c r="TRA100" s="798"/>
      <c r="TRB100" s="798"/>
      <c r="TRC100" s="798"/>
      <c r="TRD100" s="798"/>
      <c r="TRE100" s="798"/>
      <c r="TRF100" s="798"/>
      <c r="TRG100" s="798"/>
      <c r="TRH100" s="798"/>
      <c r="TRI100" s="798"/>
      <c r="TRJ100" s="798"/>
      <c r="TRK100" s="798"/>
      <c r="TRL100" s="798"/>
      <c r="TRM100" s="798"/>
      <c r="TRN100" s="798"/>
      <c r="TRO100" s="798"/>
      <c r="TRP100" s="798"/>
      <c r="TRQ100" s="798"/>
      <c r="TRR100" s="798"/>
      <c r="TRS100" s="798"/>
      <c r="TRT100" s="798"/>
      <c r="TRU100" s="798"/>
      <c r="TRV100" s="798"/>
      <c r="TRW100" s="798"/>
      <c r="TRX100" s="798"/>
      <c r="TRY100" s="798"/>
      <c r="TRZ100" s="798"/>
      <c r="TSA100" s="798"/>
      <c r="TSB100" s="798"/>
      <c r="TSC100" s="798"/>
      <c r="TSD100" s="798"/>
      <c r="TSE100" s="798"/>
      <c r="TSF100" s="798"/>
      <c r="TSG100" s="798"/>
      <c r="TSH100" s="798"/>
      <c r="TSI100" s="798"/>
      <c r="TSJ100" s="798"/>
      <c r="TSK100" s="798"/>
      <c r="TSL100" s="798"/>
      <c r="TSM100" s="798"/>
      <c r="TSN100" s="798"/>
      <c r="TSO100" s="798"/>
      <c r="TSP100" s="798"/>
      <c r="TSQ100" s="798"/>
      <c r="TSR100" s="798"/>
      <c r="TSS100" s="798"/>
      <c r="TST100" s="798"/>
      <c r="TSU100" s="798"/>
      <c r="TSV100" s="798"/>
      <c r="TSW100" s="798"/>
      <c r="TSX100" s="798"/>
      <c r="TSY100" s="798"/>
      <c r="TSZ100" s="798"/>
      <c r="TTA100" s="798"/>
      <c r="TTB100" s="798"/>
      <c r="TTC100" s="798"/>
      <c r="TTD100" s="798"/>
      <c r="TTE100" s="798"/>
      <c r="TTF100" s="798"/>
      <c r="TTG100" s="798"/>
      <c r="TTH100" s="798"/>
      <c r="TTI100" s="798"/>
      <c r="TTJ100" s="798"/>
      <c r="TTK100" s="798"/>
      <c r="TTL100" s="798"/>
      <c r="TTM100" s="798"/>
      <c r="TTN100" s="798"/>
      <c r="TTO100" s="798"/>
      <c r="TTP100" s="798"/>
      <c r="TTQ100" s="798"/>
      <c r="TTR100" s="798"/>
      <c r="TTS100" s="798"/>
      <c r="TTT100" s="798"/>
      <c r="TTU100" s="798"/>
      <c r="TTV100" s="798"/>
      <c r="TTW100" s="798"/>
      <c r="TTX100" s="798"/>
      <c r="TTY100" s="798"/>
      <c r="TTZ100" s="798"/>
      <c r="TUA100" s="798"/>
      <c r="TUB100" s="798"/>
      <c r="TUC100" s="798"/>
      <c r="TUD100" s="798"/>
      <c r="TUE100" s="798"/>
      <c r="TUF100" s="798"/>
      <c r="TUG100" s="798"/>
      <c r="TUH100" s="798"/>
      <c r="TUI100" s="798"/>
      <c r="TUJ100" s="798"/>
      <c r="TUK100" s="798"/>
      <c r="TUL100" s="798"/>
      <c r="TUM100" s="798"/>
      <c r="TUN100" s="798"/>
      <c r="TUO100" s="798"/>
      <c r="TUP100" s="798"/>
      <c r="TUQ100" s="798"/>
      <c r="TUR100" s="798"/>
      <c r="TUS100" s="798"/>
      <c r="TUT100" s="798"/>
      <c r="TUU100" s="798"/>
      <c r="TUV100" s="798"/>
      <c r="TUW100" s="798"/>
      <c r="TUX100" s="798"/>
      <c r="TUY100" s="798"/>
      <c r="TUZ100" s="798"/>
      <c r="TVA100" s="798"/>
      <c r="TVB100" s="798"/>
      <c r="TVC100" s="798"/>
      <c r="TVD100" s="798"/>
      <c r="TVE100" s="798"/>
      <c r="TVF100" s="798"/>
      <c r="TVG100" s="798"/>
      <c r="TVH100" s="798"/>
      <c r="TVI100" s="798"/>
      <c r="TVJ100" s="798"/>
      <c r="TVK100" s="798"/>
      <c r="TVL100" s="798"/>
      <c r="TVM100" s="798"/>
      <c r="TVN100" s="798"/>
      <c r="TVO100" s="798"/>
      <c r="TVP100" s="798"/>
      <c r="TVQ100" s="798"/>
      <c r="TVR100" s="798"/>
      <c r="TVS100" s="798"/>
      <c r="TVT100" s="798"/>
      <c r="TVU100" s="798"/>
      <c r="TVV100" s="798"/>
      <c r="TVW100" s="798"/>
      <c r="TVX100" s="798"/>
      <c r="TVY100" s="798"/>
      <c r="TVZ100" s="798"/>
      <c r="TWA100" s="798"/>
      <c r="TWB100" s="798"/>
      <c r="TWC100" s="798"/>
      <c r="TWD100" s="798"/>
      <c r="TWE100" s="798"/>
      <c r="TWF100" s="798"/>
      <c r="TWG100" s="798"/>
      <c r="TWH100" s="798"/>
      <c r="TWI100" s="798"/>
      <c r="TWJ100" s="798"/>
      <c r="TWK100" s="798"/>
      <c r="TWL100" s="798"/>
      <c r="TWM100" s="798"/>
      <c r="TWN100" s="798"/>
      <c r="TWO100" s="798"/>
      <c r="TWP100" s="798"/>
      <c r="TWQ100" s="798"/>
      <c r="TWR100" s="798"/>
      <c r="TWS100" s="798"/>
      <c r="TWT100" s="798"/>
      <c r="TWU100" s="798"/>
      <c r="TWV100" s="798"/>
      <c r="TWW100" s="798"/>
      <c r="TWX100" s="798"/>
      <c r="TWY100" s="798"/>
      <c r="TWZ100" s="798"/>
      <c r="TXA100" s="798"/>
      <c r="TXB100" s="798"/>
      <c r="TXC100" s="798"/>
      <c r="TXD100" s="798"/>
      <c r="TXE100" s="798"/>
      <c r="TXF100" s="798"/>
      <c r="TXG100" s="798"/>
      <c r="TXH100" s="798"/>
      <c r="TXI100" s="798"/>
      <c r="TXJ100" s="798"/>
      <c r="TXK100" s="798"/>
      <c r="TXL100" s="798"/>
      <c r="TXM100" s="798"/>
      <c r="TXN100" s="798"/>
      <c r="TXO100" s="798"/>
      <c r="TXP100" s="798"/>
      <c r="TXQ100" s="798"/>
      <c r="TXR100" s="798"/>
      <c r="TXS100" s="798"/>
      <c r="TXT100" s="798"/>
      <c r="TXU100" s="798"/>
      <c r="TXV100" s="798"/>
      <c r="TXW100" s="798"/>
      <c r="TXX100" s="798"/>
      <c r="TXY100" s="798"/>
      <c r="TXZ100" s="798"/>
      <c r="TYA100" s="798"/>
      <c r="TYB100" s="798"/>
      <c r="TYC100" s="798"/>
      <c r="TYD100" s="798"/>
      <c r="TYE100" s="798"/>
      <c r="TYF100" s="798"/>
      <c r="TYG100" s="798"/>
      <c r="TYH100" s="798"/>
      <c r="TYI100" s="798"/>
      <c r="TYJ100" s="798"/>
      <c r="TYK100" s="798"/>
      <c r="TYL100" s="798"/>
      <c r="TYM100" s="798"/>
      <c r="TYN100" s="798"/>
      <c r="TYO100" s="798"/>
      <c r="TYP100" s="798"/>
      <c r="TYQ100" s="798"/>
      <c r="TYR100" s="798"/>
      <c r="TYS100" s="798"/>
      <c r="TYT100" s="798"/>
      <c r="TYU100" s="798"/>
      <c r="TYV100" s="798"/>
      <c r="TYW100" s="798"/>
      <c r="TYX100" s="798"/>
      <c r="TYY100" s="798"/>
      <c r="TYZ100" s="798"/>
      <c r="TZA100" s="798"/>
      <c r="TZB100" s="798"/>
      <c r="TZC100" s="798"/>
      <c r="TZD100" s="798"/>
      <c r="TZE100" s="798"/>
      <c r="TZF100" s="798"/>
      <c r="TZG100" s="798"/>
      <c r="TZH100" s="798"/>
      <c r="TZI100" s="798"/>
      <c r="TZJ100" s="798"/>
      <c r="TZK100" s="798"/>
      <c r="TZL100" s="798"/>
      <c r="TZM100" s="798"/>
      <c r="TZN100" s="798"/>
      <c r="TZO100" s="798"/>
      <c r="TZP100" s="798"/>
      <c r="TZQ100" s="798"/>
      <c r="TZR100" s="798"/>
      <c r="TZS100" s="798"/>
      <c r="TZT100" s="798"/>
      <c r="TZU100" s="798"/>
      <c r="TZV100" s="798"/>
      <c r="TZW100" s="798"/>
      <c r="TZX100" s="798"/>
      <c r="TZY100" s="798"/>
      <c r="TZZ100" s="798"/>
      <c r="UAA100" s="798"/>
      <c r="UAB100" s="798"/>
      <c r="UAC100" s="798"/>
      <c r="UAD100" s="798"/>
      <c r="UAE100" s="798"/>
      <c r="UAF100" s="798"/>
      <c r="UAG100" s="798"/>
      <c r="UAH100" s="798"/>
      <c r="UAI100" s="798"/>
      <c r="UAJ100" s="798"/>
      <c r="UAK100" s="798"/>
      <c r="UAL100" s="798"/>
      <c r="UAM100" s="798"/>
      <c r="UAN100" s="798"/>
      <c r="UAO100" s="798"/>
      <c r="UAP100" s="798"/>
      <c r="UAQ100" s="798"/>
      <c r="UAR100" s="798"/>
      <c r="UAS100" s="798"/>
      <c r="UAT100" s="798"/>
      <c r="UAU100" s="798"/>
      <c r="UAV100" s="798"/>
      <c r="UAW100" s="798"/>
      <c r="UAX100" s="798"/>
      <c r="UAY100" s="798"/>
      <c r="UAZ100" s="798"/>
      <c r="UBA100" s="798"/>
      <c r="UBB100" s="798"/>
      <c r="UBC100" s="798"/>
      <c r="UBD100" s="798"/>
      <c r="UBE100" s="798"/>
      <c r="UBF100" s="798"/>
      <c r="UBG100" s="798"/>
      <c r="UBH100" s="798"/>
      <c r="UBI100" s="798"/>
      <c r="UBJ100" s="798"/>
      <c r="UBK100" s="798"/>
      <c r="UBL100" s="798"/>
      <c r="UBM100" s="798"/>
      <c r="UBN100" s="798"/>
      <c r="UBO100" s="798"/>
      <c r="UBP100" s="798"/>
      <c r="UBQ100" s="798"/>
      <c r="UBR100" s="798"/>
      <c r="UBS100" s="798"/>
      <c r="UBT100" s="798"/>
      <c r="UBU100" s="798"/>
      <c r="UBV100" s="798"/>
      <c r="UBW100" s="798"/>
      <c r="UBX100" s="798"/>
      <c r="UBY100" s="798"/>
      <c r="UBZ100" s="798"/>
      <c r="UCA100" s="798"/>
      <c r="UCB100" s="798"/>
      <c r="UCC100" s="798"/>
      <c r="UCD100" s="798"/>
      <c r="UCE100" s="798"/>
      <c r="UCF100" s="798"/>
      <c r="UCG100" s="798"/>
      <c r="UCH100" s="798"/>
      <c r="UCI100" s="798"/>
      <c r="UCJ100" s="798"/>
      <c r="UCK100" s="798"/>
      <c r="UCL100" s="798"/>
      <c r="UCM100" s="798"/>
      <c r="UCN100" s="798"/>
      <c r="UCO100" s="798"/>
      <c r="UCP100" s="798"/>
      <c r="UCQ100" s="798"/>
      <c r="UCR100" s="798"/>
      <c r="UCS100" s="798"/>
      <c r="UCT100" s="798"/>
      <c r="UCU100" s="798"/>
      <c r="UCV100" s="798"/>
      <c r="UCW100" s="798"/>
      <c r="UCX100" s="798"/>
      <c r="UCY100" s="798"/>
      <c r="UCZ100" s="798"/>
      <c r="UDA100" s="798"/>
      <c r="UDB100" s="798"/>
      <c r="UDC100" s="798"/>
      <c r="UDD100" s="798"/>
      <c r="UDE100" s="798"/>
      <c r="UDF100" s="798"/>
      <c r="UDG100" s="798"/>
      <c r="UDH100" s="798"/>
      <c r="UDI100" s="798"/>
      <c r="UDJ100" s="798"/>
      <c r="UDK100" s="798"/>
      <c r="UDL100" s="798"/>
      <c r="UDM100" s="798"/>
      <c r="UDN100" s="798"/>
      <c r="UDO100" s="798"/>
      <c r="UDP100" s="798"/>
      <c r="UDQ100" s="798"/>
      <c r="UDR100" s="798"/>
      <c r="UDS100" s="798"/>
      <c r="UDT100" s="798"/>
      <c r="UDU100" s="798"/>
      <c r="UDV100" s="798"/>
      <c r="UDW100" s="798"/>
      <c r="UDX100" s="798"/>
      <c r="UDY100" s="798"/>
      <c r="UDZ100" s="798"/>
      <c r="UEA100" s="798"/>
      <c r="UEB100" s="798"/>
      <c r="UEC100" s="798"/>
      <c r="UED100" s="798"/>
      <c r="UEE100" s="798"/>
      <c r="UEF100" s="798"/>
      <c r="UEG100" s="798"/>
      <c r="UEH100" s="798"/>
      <c r="UEI100" s="798"/>
      <c r="UEJ100" s="798"/>
      <c r="UEK100" s="798"/>
      <c r="UEL100" s="798"/>
      <c r="UEM100" s="798"/>
      <c r="UEN100" s="798"/>
      <c r="UEO100" s="798"/>
      <c r="UEP100" s="798"/>
      <c r="UEQ100" s="798"/>
      <c r="UER100" s="798"/>
      <c r="UES100" s="798"/>
      <c r="UET100" s="798"/>
      <c r="UEU100" s="798"/>
      <c r="UEV100" s="798"/>
      <c r="UEW100" s="798"/>
      <c r="UEX100" s="798"/>
      <c r="UEY100" s="798"/>
      <c r="UEZ100" s="798"/>
      <c r="UFA100" s="798"/>
      <c r="UFB100" s="798"/>
      <c r="UFC100" s="798"/>
      <c r="UFD100" s="798"/>
      <c r="UFE100" s="798"/>
      <c r="UFF100" s="798"/>
      <c r="UFG100" s="798"/>
      <c r="UFH100" s="798"/>
      <c r="UFI100" s="798"/>
      <c r="UFJ100" s="798"/>
      <c r="UFK100" s="798"/>
      <c r="UFL100" s="798"/>
      <c r="UFM100" s="798"/>
      <c r="UFN100" s="798"/>
      <c r="UFO100" s="798"/>
      <c r="UFP100" s="798"/>
      <c r="UFQ100" s="798"/>
      <c r="UFR100" s="798"/>
      <c r="UFS100" s="798"/>
      <c r="UFT100" s="798"/>
      <c r="UFU100" s="798"/>
      <c r="UFV100" s="798"/>
      <c r="UFW100" s="798"/>
      <c r="UFX100" s="798"/>
      <c r="UFY100" s="798"/>
      <c r="UFZ100" s="798"/>
      <c r="UGA100" s="798"/>
      <c r="UGB100" s="798"/>
      <c r="UGC100" s="798"/>
      <c r="UGD100" s="798"/>
      <c r="UGE100" s="798"/>
      <c r="UGF100" s="798"/>
      <c r="UGG100" s="798"/>
      <c r="UGH100" s="798"/>
      <c r="UGI100" s="798"/>
      <c r="UGJ100" s="798"/>
      <c r="UGK100" s="798"/>
      <c r="UGL100" s="798"/>
      <c r="UGM100" s="798"/>
      <c r="UGN100" s="798"/>
      <c r="UGO100" s="798"/>
      <c r="UGP100" s="798"/>
      <c r="UGQ100" s="798"/>
      <c r="UGR100" s="798"/>
      <c r="UGS100" s="798"/>
      <c r="UGT100" s="798"/>
      <c r="UGU100" s="798"/>
      <c r="UGV100" s="798"/>
      <c r="UGW100" s="798"/>
      <c r="UGX100" s="798"/>
      <c r="UGY100" s="798"/>
      <c r="UGZ100" s="798"/>
      <c r="UHA100" s="798"/>
      <c r="UHB100" s="798"/>
      <c r="UHC100" s="798"/>
      <c r="UHD100" s="798"/>
      <c r="UHE100" s="798"/>
      <c r="UHF100" s="798"/>
      <c r="UHG100" s="798"/>
      <c r="UHH100" s="798"/>
      <c r="UHI100" s="798"/>
      <c r="UHJ100" s="798"/>
      <c r="UHK100" s="798"/>
      <c r="UHL100" s="798"/>
      <c r="UHM100" s="798"/>
      <c r="UHN100" s="798"/>
      <c r="UHO100" s="798"/>
      <c r="UHP100" s="798"/>
      <c r="UHQ100" s="798"/>
      <c r="UHR100" s="798"/>
      <c r="UHS100" s="798"/>
      <c r="UHT100" s="798"/>
      <c r="UHU100" s="798"/>
      <c r="UHV100" s="798"/>
      <c r="UHW100" s="798"/>
      <c r="UHX100" s="798"/>
      <c r="UHY100" s="798"/>
      <c r="UHZ100" s="798"/>
      <c r="UIA100" s="798"/>
      <c r="UIB100" s="798"/>
      <c r="UIC100" s="798"/>
      <c r="UID100" s="798"/>
      <c r="UIE100" s="798"/>
      <c r="UIF100" s="798"/>
      <c r="UIG100" s="798"/>
      <c r="UIH100" s="798"/>
      <c r="UII100" s="798"/>
      <c r="UIJ100" s="798"/>
      <c r="UIK100" s="798"/>
      <c r="UIL100" s="798"/>
      <c r="UIM100" s="798"/>
      <c r="UIN100" s="798"/>
      <c r="UIO100" s="798"/>
      <c r="UIP100" s="798"/>
      <c r="UIQ100" s="798"/>
      <c r="UIR100" s="798"/>
      <c r="UIS100" s="798"/>
      <c r="UIT100" s="798"/>
      <c r="UIU100" s="798"/>
      <c r="UIV100" s="798"/>
      <c r="UIW100" s="798"/>
      <c r="UIX100" s="798"/>
      <c r="UIY100" s="798"/>
      <c r="UIZ100" s="798"/>
      <c r="UJA100" s="798"/>
      <c r="UJB100" s="798"/>
      <c r="UJC100" s="798"/>
      <c r="UJD100" s="798"/>
      <c r="UJE100" s="798"/>
      <c r="UJF100" s="798"/>
      <c r="UJG100" s="798"/>
      <c r="UJH100" s="798"/>
      <c r="UJI100" s="798"/>
      <c r="UJJ100" s="798"/>
      <c r="UJK100" s="798"/>
      <c r="UJL100" s="798"/>
      <c r="UJM100" s="798"/>
      <c r="UJN100" s="798"/>
      <c r="UJO100" s="798"/>
      <c r="UJP100" s="798"/>
      <c r="UJQ100" s="798"/>
      <c r="UJR100" s="798"/>
      <c r="UJS100" s="798"/>
      <c r="UJT100" s="798"/>
      <c r="UJU100" s="798"/>
      <c r="UJV100" s="798"/>
      <c r="UJW100" s="798"/>
      <c r="UJX100" s="798"/>
      <c r="UJY100" s="798"/>
      <c r="UJZ100" s="798"/>
      <c r="UKA100" s="798"/>
      <c r="UKB100" s="798"/>
      <c r="UKC100" s="798"/>
      <c r="UKD100" s="798"/>
      <c r="UKE100" s="798"/>
      <c r="UKF100" s="798"/>
      <c r="UKG100" s="798"/>
      <c r="UKH100" s="798"/>
      <c r="UKI100" s="798"/>
      <c r="UKJ100" s="798"/>
      <c r="UKK100" s="798"/>
      <c r="UKL100" s="798"/>
      <c r="UKM100" s="798"/>
      <c r="UKN100" s="798"/>
      <c r="UKO100" s="798"/>
      <c r="UKP100" s="798"/>
      <c r="UKQ100" s="798"/>
      <c r="UKR100" s="798"/>
      <c r="UKS100" s="798"/>
      <c r="UKT100" s="798"/>
      <c r="UKU100" s="798"/>
      <c r="UKV100" s="798"/>
      <c r="UKW100" s="798"/>
      <c r="UKX100" s="798"/>
      <c r="UKY100" s="798"/>
      <c r="UKZ100" s="798"/>
      <c r="ULA100" s="798"/>
      <c r="ULB100" s="798"/>
      <c r="ULC100" s="798"/>
      <c r="ULD100" s="798"/>
      <c r="ULE100" s="798"/>
      <c r="ULF100" s="798"/>
      <c r="ULG100" s="798"/>
      <c r="ULH100" s="798"/>
      <c r="ULI100" s="798"/>
      <c r="ULJ100" s="798"/>
      <c r="ULK100" s="798"/>
      <c r="ULL100" s="798"/>
      <c r="ULM100" s="798"/>
      <c r="ULN100" s="798"/>
      <c r="ULO100" s="798"/>
      <c r="ULP100" s="798"/>
      <c r="ULQ100" s="798"/>
      <c r="ULR100" s="798"/>
      <c r="ULS100" s="798"/>
      <c r="ULT100" s="798"/>
      <c r="ULU100" s="798"/>
      <c r="ULV100" s="798"/>
      <c r="ULW100" s="798"/>
      <c r="ULX100" s="798"/>
      <c r="ULY100" s="798"/>
      <c r="ULZ100" s="798"/>
      <c r="UMA100" s="798"/>
      <c r="UMB100" s="798"/>
      <c r="UMC100" s="798"/>
      <c r="UMD100" s="798"/>
      <c r="UME100" s="798"/>
      <c r="UMF100" s="798"/>
      <c r="UMG100" s="798"/>
      <c r="UMH100" s="798"/>
      <c r="UMI100" s="798"/>
      <c r="UMJ100" s="798"/>
      <c r="UMK100" s="798"/>
      <c r="UML100" s="798"/>
      <c r="UMM100" s="798"/>
      <c r="UMN100" s="798"/>
      <c r="UMO100" s="798"/>
      <c r="UMP100" s="798"/>
      <c r="UMQ100" s="798"/>
      <c r="UMR100" s="798"/>
      <c r="UMS100" s="798"/>
      <c r="UMT100" s="798"/>
      <c r="UMU100" s="798"/>
      <c r="UMV100" s="798"/>
      <c r="UMW100" s="798"/>
      <c r="UMX100" s="798"/>
      <c r="UMY100" s="798"/>
      <c r="UMZ100" s="798"/>
      <c r="UNA100" s="798"/>
      <c r="UNB100" s="798"/>
      <c r="UNC100" s="798"/>
      <c r="UND100" s="798"/>
      <c r="UNE100" s="798"/>
      <c r="UNF100" s="798"/>
      <c r="UNG100" s="798"/>
      <c r="UNH100" s="798"/>
      <c r="UNI100" s="798"/>
      <c r="UNJ100" s="798"/>
      <c r="UNK100" s="798"/>
      <c r="UNL100" s="798"/>
      <c r="UNM100" s="798"/>
      <c r="UNN100" s="798"/>
      <c r="UNO100" s="798"/>
      <c r="UNP100" s="798"/>
      <c r="UNQ100" s="798"/>
      <c r="UNR100" s="798"/>
      <c r="UNS100" s="798"/>
      <c r="UNT100" s="798"/>
      <c r="UNU100" s="798"/>
      <c r="UNV100" s="798"/>
      <c r="UNW100" s="798"/>
      <c r="UNX100" s="798"/>
      <c r="UNY100" s="798"/>
      <c r="UNZ100" s="798"/>
      <c r="UOA100" s="798"/>
      <c r="UOB100" s="798"/>
      <c r="UOC100" s="798"/>
      <c r="UOD100" s="798"/>
      <c r="UOE100" s="798"/>
      <c r="UOF100" s="798"/>
      <c r="UOG100" s="798"/>
      <c r="UOH100" s="798"/>
      <c r="UOI100" s="798"/>
      <c r="UOJ100" s="798"/>
      <c r="UOK100" s="798"/>
      <c r="UOL100" s="798"/>
      <c r="UOM100" s="798"/>
      <c r="UON100" s="798"/>
      <c r="UOO100" s="798"/>
      <c r="UOP100" s="798"/>
      <c r="UOQ100" s="798"/>
      <c r="UOR100" s="798"/>
      <c r="UOS100" s="798"/>
      <c r="UOT100" s="798"/>
      <c r="UOU100" s="798"/>
      <c r="UOV100" s="798"/>
      <c r="UOW100" s="798"/>
      <c r="UOX100" s="798"/>
      <c r="UOY100" s="798"/>
      <c r="UOZ100" s="798"/>
      <c r="UPA100" s="798"/>
      <c r="UPB100" s="798"/>
      <c r="UPC100" s="798"/>
      <c r="UPD100" s="798"/>
      <c r="UPE100" s="798"/>
      <c r="UPF100" s="798"/>
      <c r="UPG100" s="798"/>
      <c r="UPH100" s="798"/>
      <c r="UPI100" s="798"/>
      <c r="UPJ100" s="798"/>
      <c r="UPK100" s="798"/>
      <c r="UPL100" s="798"/>
      <c r="UPM100" s="798"/>
      <c r="UPN100" s="798"/>
      <c r="UPO100" s="798"/>
      <c r="UPP100" s="798"/>
      <c r="UPQ100" s="798"/>
      <c r="UPR100" s="798"/>
      <c r="UPS100" s="798"/>
      <c r="UPT100" s="798"/>
      <c r="UPU100" s="798"/>
      <c r="UPV100" s="798"/>
      <c r="UPW100" s="798"/>
      <c r="UPX100" s="798"/>
      <c r="UPY100" s="798"/>
      <c r="UPZ100" s="798"/>
      <c r="UQA100" s="798"/>
      <c r="UQB100" s="798"/>
      <c r="UQC100" s="798"/>
      <c r="UQD100" s="798"/>
      <c r="UQE100" s="798"/>
      <c r="UQF100" s="798"/>
      <c r="UQG100" s="798"/>
      <c r="UQH100" s="798"/>
      <c r="UQI100" s="798"/>
      <c r="UQJ100" s="798"/>
      <c r="UQK100" s="798"/>
      <c r="UQL100" s="798"/>
      <c r="UQM100" s="798"/>
      <c r="UQN100" s="798"/>
      <c r="UQO100" s="798"/>
      <c r="UQP100" s="798"/>
      <c r="UQQ100" s="798"/>
      <c r="UQR100" s="798"/>
      <c r="UQS100" s="798"/>
      <c r="UQT100" s="798"/>
      <c r="UQU100" s="798"/>
      <c r="UQV100" s="798"/>
      <c r="UQW100" s="798"/>
      <c r="UQX100" s="798"/>
      <c r="UQY100" s="798"/>
      <c r="UQZ100" s="798"/>
      <c r="URA100" s="798"/>
      <c r="URB100" s="798"/>
      <c r="URC100" s="798"/>
      <c r="URD100" s="798"/>
      <c r="URE100" s="798"/>
      <c r="URF100" s="798"/>
      <c r="URG100" s="798"/>
      <c r="URH100" s="798"/>
      <c r="URI100" s="798"/>
      <c r="URJ100" s="798"/>
      <c r="URK100" s="798"/>
      <c r="URL100" s="798"/>
      <c r="URM100" s="798"/>
      <c r="URN100" s="798"/>
      <c r="URO100" s="798"/>
      <c r="URP100" s="798"/>
      <c r="URQ100" s="798"/>
      <c r="URR100" s="798"/>
      <c r="URS100" s="798"/>
      <c r="URT100" s="798"/>
      <c r="URU100" s="798"/>
      <c r="URV100" s="798"/>
      <c r="URW100" s="798"/>
      <c r="URX100" s="798"/>
      <c r="URY100" s="798"/>
      <c r="URZ100" s="798"/>
      <c r="USA100" s="798"/>
      <c r="USB100" s="798"/>
      <c r="USC100" s="798"/>
      <c r="USD100" s="798"/>
      <c r="USE100" s="798"/>
      <c r="USF100" s="798"/>
      <c r="USG100" s="798"/>
      <c r="USH100" s="798"/>
      <c r="USI100" s="798"/>
      <c r="USJ100" s="798"/>
      <c r="USK100" s="798"/>
      <c r="USL100" s="798"/>
      <c r="USM100" s="798"/>
      <c r="USN100" s="798"/>
      <c r="USO100" s="798"/>
      <c r="USP100" s="798"/>
      <c r="USQ100" s="798"/>
      <c r="USR100" s="798"/>
      <c r="USS100" s="798"/>
      <c r="UST100" s="798"/>
      <c r="USU100" s="798"/>
      <c r="USV100" s="798"/>
      <c r="USW100" s="798"/>
      <c r="USX100" s="798"/>
      <c r="USY100" s="798"/>
      <c r="USZ100" s="798"/>
      <c r="UTA100" s="798"/>
      <c r="UTB100" s="798"/>
      <c r="UTC100" s="798"/>
      <c r="UTD100" s="798"/>
      <c r="UTE100" s="798"/>
      <c r="UTF100" s="798"/>
      <c r="UTG100" s="798"/>
      <c r="UTH100" s="798"/>
      <c r="UTI100" s="798"/>
      <c r="UTJ100" s="798"/>
      <c r="UTK100" s="798"/>
      <c r="UTL100" s="798"/>
      <c r="UTM100" s="798"/>
      <c r="UTN100" s="798"/>
      <c r="UTO100" s="798"/>
      <c r="UTP100" s="798"/>
      <c r="UTQ100" s="798"/>
      <c r="UTR100" s="798"/>
      <c r="UTS100" s="798"/>
      <c r="UTT100" s="798"/>
      <c r="UTU100" s="798"/>
      <c r="UTV100" s="798"/>
      <c r="UTW100" s="798"/>
      <c r="UTX100" s="798"/>
      <c r="UTY100" s="798"/>
      <c r="UTZ100" s="798"/>
      <c r="UUA100" s="798"/>
      <c r="UUB100" s="798"/>
      <c r="UUC100" s="798"/>
      <c r="UUD100" s="798"/>
      <c r="UUE100" s="798"/>
      <c r="UUF100" s="798"/>
      <c r="UUG100" s="798"/>
      <c r="UUH100" s="798"/>
      <c r="UUI100" s="798"/>
      <c r="UUJ100" s="798"/>
      <c r="UUK100" s="798"/>
      <c r="UUL100" s="798"/>
      <c r="UUM100" s="798"/>
      <c r="UUN100" s="798"/>
      <c r="UUO100" s="798"/>
      <c r="UUP100" s="798"/>
      <c r="UUQ100" s="798"/>
      <c r="UUR100" s="798"/>
      <c r="UUS100" s="798"/>
      <c r="UUT100" s="798"/>
      <c r="UUU100" s="798"/>
      <c r="UUV100" s="798"/>
      <c r="UUW100" s="798"/>
      <c r="UUX100" s="798"/>
      <c r="UUY100" s="798"/>
      <c r="UUZ100" s="798"/>
      <c r="UVA100" s="798"/>
      <c r="UVB100" s="798"/>
      <c r="UVC100" s="798"/>
      <c r="UVD100" s="798"/>
      <c r="UVE100" s="798"/>
      <c r="UVF100" s="798"/>
      <c r="UVG100" s="798"/>
      <c r="UVH100" s="798"/>
      <c r="UVI100" s="798"/>
      <c r="UVJ100" s="798"/>
      <c r="UVK100" s="798"/>
      <c r="UVL100" s="798"/>
      <c r="UVM100" s="798"/>
      <c r="UVN100" s="798"/>
      <c r="UVO100" s="798"/>
      <c r="UVP100" s="798"/>
      <c r="UVQ100" s="798"/>
      <c r="UVR100" s="798"/>
      <c r="UVS100" s="798"/>
      <c r="UVT100" s="798"/>
      <c r="UVU100" s="798"/>
      <c r="UVV100" s="798"/>
      <c r="UVW100" s="798"/>
      <c r="UVX100" s="798"/>
      <c r="UVY100" s="798"/>
      <c r="UVZ100" s="798"/>
      <c r="UWA100" s="798"/>
      <c r="UWB100" s="798"/>
      <c r="UWC100" s="798"/>
      <c r="UWD100" s="798"/>
      <c r="UWE100" s="798"/>
      <c r="UWF100" s="798"/>
      <c r="UWG100" s="798"/>
      <c r="UWH100" s="798"/>
      <c r="UWI100" s="798"/>
      <c r="UWJ100" s="798"/>
      <c r="UWK100" s="798"/>
      <c r="UWL100" s="798"/>
      <c r="UWM100" s="798"/>
      <c r="UWN100" s="798"/>
      <c r="UWO100" s="798"/>
      <c r="UWP100" s="798"/>
      <c r="UWQ100" s="798"/>
      <c r="UWR100" s="798"/>
      <c r="UWS100" s="798"/>
      <c r="UWT100" s="798"/>
      <c r="UWU100" s="798"/>
      <c r="UWV100" s="798"/>
      <c r="UWW100" s="798"/>
      <c r="UWX100" s="798"/>
      <c r="UWY100" s="798"/>
      <c r="UWZ100" s="798"/>
      <c r="UXA100" s="798"/>
      <c r="UXB100" s="798"/>
      <c r="UXC100" s="798"/>
      <c r="UXD100" s="798"/>
      <c r="UXE100" s="798"/>
      <c r="UXF100" s="798"/>
      <c r="UXG100" s="798"/>
      <c r="UXH100" s="798"/>
      <c r="UXI100" s="798"/>
      <c r="UXJ100" s="798"/>
      <c r="UXK100" s="798"/>
      <c r="UXL100" s="798"/>
      <c r="UXM100" s="798"/>
      <c r="UXN100" s="798"/>
      <c r="UXO100" s="798"/>
      <c r="UXP100" s="798"/>
      <c r="UXQ100" s="798"/>
      <c r="UXR100" s="798"/>
      <c r="UXS100" s="798"/>
      <c r="UXT100" s="798"/>
      <c r="UXU100" s="798"/>
      <c r="UXV100" s="798"/>
      <c r="UXW100" s="798"/>
      <c r="UXX100" s="798"/>
      <c r="UXY100" s="798"/>
      <c r="UXZ100" s="798"/>
      <c r="UYA100" s="798"/>
      <c r="UYB100" s="798"/>
      <c r="UYC100" s="798"/>
      <c r="UYD100" s="798"/>
      <c r="UYE100" s="798"/>
      <c r="UYF100" s="798"/>
      <c r="UYG100" s="798"/>
      <c r="UYH100" s="798"/>
      <c r="UYI100" s="798"/>
      <c r="UYJ100" s="798"/>
      <c r="UYK100" s="798"/>
      <c r="UYL100" s="798"/>
      <c r="UYM100" s="798"/>
      <c r="UYN100" s="798"/>
      <c r="UYO100" s="798"/>
      <c r="UYP100" s="798"/>
      <c r="UYQ100" s="798"/>
      <c r="UYR100" s="798"/>
      <c r="UYS100" s="798"/>
      <c r="UYT100" s="798"/>
      <c r="UYU100" s="798"/>
      <c r="UYV100" s="798"/>
      <c r="UYW100" s="798"/>
      <c r="UYX100" s="798"/>
      <c r="UYY100" s="798"/>
      <c r="UYZ100" s="798"/>
      <c r="UZA100" s="798"/>
      <c r="UZB100" s="798"/>
      <c r="UZC100" s="798"/>
      <c r="UZD100" s="798"/>
      <c r="UZE100" s="798"/>
      <c r="UZF100" s="798"/>
      <c r="UZG100" s="798"/>
      <c r="UZH100" s="798"/>
      <c r="UZI100" s="798"/>
      <c r="UZJ100" s="798"/>
      <c r="UZK100" s="798"/>
      <c r="UZL100" s="798"/>
      <c r="UZM100" s="798"/>
      <c r="UZN100" s="798"/>
      <c r="UZO100" s="798"/>
      <c r="UZP100" s="798"/>
      <c r="UZQ100" s="798"/>
      <c r="UZR100" s="798"/>
      <c r="UZS100" s="798"/>
      <c r="UZT100" s="798"/>
      <c r="UZU100" s="798"/>
      <c r="UZV100" s="798"/>
      <c r="UZW100" s="798"/>
      <c r="UZX100" s="798"/>
      <c r="UZY100" s="798"/>
      <c r="UZZ100" s="798"/>
      <c r="VAA100" s="798"/>
      <c r="VAB100" s="798"/>
      <c r="VAC100" s="798"/>
      <c r="VAD100" s="798"/>
      <c r="VAE100" s="798"/>
      <c r="VAF100" s="798"/>
      <c r="VAG100" s="798"/>
      <c r="VAH100" s="798"/>
      <c r="VAI100" s="798"/>
      <c r="VAJ100" s="798"/>
      <c r="VAK100" s="798"/>
      <c r="VAL100" s="798"/>
      <c r="VAM100" s="798"/>
      <c r="VAN100" s="798"/>
      <c r="VAO100" s="798"/>
      <c r="VAP100" s="798"/>
      <c r="VAQ100" s="798"/>
      <c r="VAR100" s="798"/>
      <c r="VAS100" s="798"/>
      <c r="VAT100" s="798"/>
      <c r="VAU100" s="798"/>
      <c r="VAV100" s="798"/>
      <c r="VAW100" s="798"/>
      <c r="VAX100" s="798"/>
      <c r="VAY100" s="798"/>
      <c r="VAZ100" s="798"/>
      <c r="VBA100" s="798"/>
      <c r="VBB100" s="798"/>
      <c r="VBC100" s="798"/>
      <c r="VBD100" s="798"/>
      <c r="VBE100" s="798"/>
      <c r="VBF100" s="798"/>
      <c r="VBG100" s="798"/>
      <c r="VBH100" s="798"/>
      <c r="VBI100" s="798"/>
      <c r="VBJ100" s="798"/>
      <c r="VBK100" s="798"/>
      <c r="VBL100" s="798"/>
      <c r="VBM100" s="798"/>
      <c r="VBN100" s="798"/>
      <c r="VBO100" s="798"/>
      <c r="VBP100" s="798"/>
      <c r="VBQ100" s="798"/>
      <c r="VBR100" s="798"/>
      <c r="VBS100" s="798"/>
      <c r="VBT100" s="798"/>
      <c r="VBU100" s="798"/>
      <c r="VBV100" s="798"/>
      <c r="VBW100" s="798"/>
      <c r="VBX100" s="798"/>
      <c r="VBY100" s="798"/>
      <c r="VBZ100" s="798"/>
      <c r="VCA100" s="798"/>
      <c r="VCB100" s="798"/>
      <c r="VCC100" s="798"/>
      <c r="VCD100" s="798"/>
      <c r="VCE100" s="798"/>
      <c r="VCF100" s="798"/>
      <c r="VCG100" s="798"/>
      <c r="VCH100" s="798"/>
      <c r="VCI100" s="798"/>
      <c r="VCJ100" s="798"/>
      <c r="VCK100" s="798"/>
      <c r="VCL100" s="798"/>
      <c r="VCM100" s="798"/>
      <c r="VCN100" s="798"/>
      <c r="VCO100" s="798"/>
      <c r="VCP100" s="798"/>
      <c r="VCQ100" s="798"/>
      <c r="VCR100" s="798"/>
      <c r="VCS100" s="798"/>
      <c r="VCT100" s="798"/>
      <c r="VCU100" s="798"/>
      <c r="VCV100" s="798"/>
      <c r="VCW100" s="798"/>
      <c r="VCX100" s="798"/>
      <c r="VCY100" s="798"/>
      <c r="VCZ100" s="798"/>
      <c r="VDA100" s="798"/>
      <c r="VDB100" s="798"/>
      <c r="VDC100" s="798"/>
      <c r="VDD100" s="798"/>
      <c r="VDE100" s="798"/>
      <c r="VDF100" s="798"/>
      <c r="VDG100" s="798"/>
      <c r="VDH100" s="798"/>
      <c r="VDI100" s="798"/>
      <c r="VDJ100" s="798"/>
      <c r="VDK100" s="798"/>
      <c r="VDL100" s="798"/>
      <c r="VDM100" s="798"/>
      <c r="VDN100" s="798"/>
      <c r="VDO100" s="798"/>
      <c r="VDP100" s="798"/>
      <c r="VDQ100" s="798"/>
      <c r="VDR100" s="798"/>
      <c r="VDS100" s="798"/>
      <c r="VDT100" s="798"/>
      <c r="VDU100" s="798"/>
      <c r="VDV100" s="798"/>
      <c r="VDW100" s="798"/>
      <c r="VDX100" s="798"/>
      <c r="VDY100" s="798"/>
      <c r="VDZ100" s="798"/>
      <c r="VEA100" s="798"/>
      <c r="VEB100" s="798"/>
      <c r="VEC100" s="798"/>
      <c r="VED100" s="798"/>
      <c r="VEE100" s="798"/>
      <c r="VEF100" s="798"/>
      <c r="VEG100" s="798"/>
      <c r="VEH100" s="798"/>
      <c r="VEI100" s="798"/>
      <c r="VEJ100" s="798"/>
      <c r="VEK100" s="798"/>
      <c r="VEL100" s="798"/>
      <c r="VEM100" s="798"/>
      <c r="VEN100" s="798"/>
      <c r="VEO100" s="798"/>
      <c r="VEP100" s="798"/>
      <c r="VEQ100" s="798"/>
      <c r="VER100" s="798"/>
      <c r="VES100" s="798"/>
      <c r="VET100" s="798"/>
      <c r="VEU100" s="798"/>
      <c r="VEV100" s="798"/>
      <c r="VEW100" s="798"/>
      <c r="VEX100" s="798"/>
      <c r="VEY100" s="798"/>
      <c r="VEZ100" s="798"/>
      <c r="VFA100" s="798"/>
      <c r="VFB100" s="798"/>
      <c r="VFC100" s="798"/>
      <c r="VFD100" s="798"/>
      <c r="VFE100" s="798"/>
      <c r="VFF100" s="798"/>
      <c r="VFG100" s="798"/>
      <c r="VFH100" s="798"/>
      <c r="VFI100" s="798"/>
      <c r="VFJ100" s="798"/>
      <c r="VFK100" s="798"/>
      <c r="VFL100" s="798"/>
      <c r="VFM100" s="798"/>
      <c r="VFN100" s="798"/>
      <c r="VFO100" s="798"/>
      <c r="VFP100" s="798"/>
      <c r="VFQ100" s="798"/>
      <c r="VFR100" s="798"/>
      <c r="VFS100" s="798"/>
      <c r="VFT100" s="798"/>
      <c r="VFU100" s="798"/>
      <c r="VFV100" s="798"/>
      <c r="VFW100" s="798"/>
      <c r="VFX100" s="798"/>
      <c r="VFY100" s="798"/>
      <c r="VFZ100" s="798"/>
      <c r="VGA100" s="798"/>
      <c r="VGB100" s="798"/>
      <c r="VGC100" s="798"/>
      <c r="VGD100" s="798"/>
      <c r="VGE100" s="798"/>
      <c r="VGF100" s="798"/>
      <c r="VGG100" s="798"/>
      <c r="VGH100" s="798"/>
      <c r="VGI100" s="798"/>
      <c r="VGJ100" s="798"/>
      <c r="VGK100" s="798"/>
      <c r="VGL100" s="798"/>
      <c r="VGM100" s="798"/>
      <c r="VGN100" s="798"/>
      <c r="VGO100" s="798"/>
      <c r="VGP100" s="798"/>
      <c r="VGQ100" s="798"/>
      <c r="VGR100" s="798"/>
      <c r="VGS100" s="798"/>
      <c r="VGT100" s="798"/>
      <c r="VGU100" s="798"/>
      <c r="VGV100" s="798"/>
      <c r="VGW100" s="798"/>
      <c r="VGX100" s="798"/>
      <c r="VGY100" s="798"/>
      <c r="VGZ100" s="798"/>
      <c r="VHA100" s="798"/>
      <c r="VHB100" s="798"/>
      <c r="VHC100" s="798"/>
      <c r="VHD100" s="798"/>
      <c r="VHE100" s="798"/>
      <c r="VHF100" s="798"/>
      <c r="VHG100" s="798"/>
      <c r="VHH100" s="798"/>
      <c r="VHI100" s="798"/>
      <c r="VHJ100" s="798"/>
      <c r="VHK100" s="798"/>
      <c r="VHL100" s="798"/>
      <c r="VHM100" s="798"/>
      <c r="VHN100" s="798"/>
      <c r="VHO100" s="798"/>
      <c r="VHP100" s="798"/>
      <c r="VHQ100" s="798"/>
      <c r="VHR100" s="798"/>
      <c r="VHS100" s="798"/>
      <c r="VHT100" s="798"/>
      <c r="VHU100" s="798"/>
      <c r="VHV100" s="798"/>
      <c r="VHW100" s="798"/>
      <c r="VHX100" s="798"/>
      <c r="VHY100" s="798"/>
      <c r="VHZ100" s="798"/>
      <c r="VIA100" s="798"/>
      <c r="VIB100" s="798"/>
      <c r="VIC100" s="798"/>
      <c r="VID100" s="798"/>
      <c r="VIE100" s="798"/>
      <c r="VIF100" s="798"/>
      <c r="VIG100" s="798"/>
      <c r="VIH100" s="798"/>
      <c r="VII100" s="798"/>
      <c r="VIJ100" s="798"/>
      <c r="VIK100" s="798"/>
      <c r="VIL100" s="798"/>
      <c r="VIM100" s="798"/>
      <c r="VIN100" s="798"/>
      <c r="VIO100" s="798"/>
      <c r="VIP100" s="798"/>
      <c r="VIQ100" s="798"/>
      <c r="VIR100" s="798"/>
      <c r="VIS100" s="798"/>
      <c r="VIT100" s="798"/>
      <c r="VIU100" s="798"/>
      <c r="VIV100" s="798"/>
      <c r="VIW100" s="798"/>
      <c r="VIX100" s="798"/>
      <c r="VIY100" s="798"/>
      <c r="VIZ100" s="798"/>
      <c r="VJA100" s="798"/>
      <c r="VJB100" s="798"/>
      <c r="VJC100" s="798"/>
      <c r="VJD100" s="798"/>
      <c r="VJE100" s="798"/>
      <c r="VJF100" s="798"/>
      <c r="VJG100" s="798"/>
      <c r="VJH100" s="798"/>
      <c r="VJI100" s="798"/>
      <c r="VJJ100" s="798"/>
      <c r="VJK100" s="798"/>
      <c r="VJL100" s="798"/>
      <c r="VJM100" s="798"/>
      <c r="VJN100" s="798"/>
      <c r="VJO100" s="798"/>
      <c r="VJP100" s="798"/>
      <c r="VJQ100" s="798"/>
      <c r="VJR100" s="798"/>
      <c r="VJS100" s="798"/>
      <c r="VJT100" s="798"/>
      <c r="VJU100" s="798"/>
      <c r="VJV100" s="798"/>
      <c r="VJW100" s="798"/>
      <c r="VJX100" s="798"/>
      <c r="VJY100" s="798"/>
      <c r="VJZ100" s="798"/>
      <c r="VKA100" s="798"/>
      <c r="VKB100" s="798"/>
      <c r="VKC100" s="798"/>
      <c r="VKD100" s="798"/>
      <c r="VKE100" s="798"/>
      <c r="VKF100" s="798"/>
      <c r="VKG100" s="798"/>
      <c r="VKH100" s="798"/>
      <c r="VKI100" s="798"/>
      <c r="VKJ100" s="798"/>
      <c r="VKK100" s="798"/>
      <c r="VKL100" s="798"/>
      <c r="VKM100" s="798"/>
      <c r="VKN100" s="798"/>
      <c r="VKO100" s="798"/>
      <c r="VKP100" s="798"/>
      <c r="VKQ100" s="798"/>
      <c r="VKR100" s="798"/>
      <c r="VKS100" s="798"/>
      <c r="VKT100" s="798"/>
      <c r="VKU100" s="798"/>
      <c r="VKV100" s="798"/>
      <c r="VKW100" s="798"/>
      <c r="VKX100" s="798"/>
      <c r="VKY100" s="798"/>
      <c r="VKZ100" s="798"/>
      <c r="VLA100" s="798"/>
      <c r="VLB100" s="798"/>
      <c r="VLC100" s="798"/>
      <c r="VLD100" s="798"/>
      <c r="VLE100" s="798"/>
      <c r="VLF100" s="798"/>
      <c r="VLG100" s="798"/>
      <c r="VLH100" s="798"/>
      <c r="VLI100" s="798"/>
      <c r="VLJ100" s="798"/>
      <c r="VLK100" s="798"/>
      <c r="VLL100" s="798"/>
      <c r="VLM100" s="798"/>
      <c r="VLN100" s="798"/>
      <c r="VLO100" s="798"/>
      <c r="VLP100" s="798"/>
      <c r="VLQ100" s="798"/>
      <c r="VLR100" s="798"/>
      <c r="VLS100" s="798"/>
      <c r="VLT100" s="798"/>
      <c r="VLU100" s="798"/>
      <c r="VLV100" s="798"/>
      <c r="VLW100" s="798"/>
      <c r="VLX100" s="798"/>
      <c r="VLY100" s="798"/>
      <c r="VLZ100" s="798"/>
      <c r="VMA100" s="798"/>
      <c r="VMB100" s="798"/>
      <c r="VMC100" s="798"/>
      <c r="VMD100" s="798"/>
      <c r="VME100" s="798"/>
      <c r="VMF100" s="798"/>
      <c r="VMG100" s="798"/>
      <c r="VMH100" s="798"/>
      <c r="VMI100" s="798"/>
      <c r="VMJ100" s="798"/>
      <c r="VMK100" s="798"/>
      <c r="VML100" s="798"/>
      <c r="VMM100" s="798"/>
      <c r="VMN100" s="798"/>
      <c r="VMO100" s="798"/>
      <c r="VMP100" s="798"/>
      <c r="VMQ100" s="798"/>
      <c r="VMR100" s="798"/>
      <c r="VMS100" s="798"/>
      <c r="VMT100" s="798"/>
      <c r="VMU100" s="798"/>
      <c r="VMV100" s="798"/>
      <c r="VMW100" s="798"/>
      <c r="VMX100" s="798"/>
      <c r="VMY100" s="798"/>
      <c r="VMZ100" s="798"/>
      <c r="VNA100" s="798"/>
      <c r="VNB100" s="798"/>
      <c r="VNC100" s="798"/>
      <c r="VND100" s="798"/>
      <c r="VNE100" s="798"/>
      <c r="VNF100" s="798"/>
      <c r="VNG100" s="798"/>
      <c r="VNH100" s="798"/>
      <c r="VNI100" s="798"/>
      <c r="VNJ100" s="798"/>
      <c r="VNK100" s="798"/>
      <c r="VNL100" s="798"/>
      <c r="VNM100" s="798"/>
      <c r="VNN100" s="798"/>
      <c r="VNO100" s="798"/>
      <c r="VNP100" s="798"/>
      <c r="VNQ100" s="798"/>
      <c r="VNR100" s="798"/>
      <c r="VNS100" s="798"/>
      <c r="VNT100" s="798"/>
      <c r="VNU100" s="798"/>
      <c r="VNV100" s="798"/>
      <c r="VNW100" s="798"/>
      <c r="VNX100" s="798"/>
      <c r="VNY100" s="798"/>
      <c r="VNZ100" s="798"/>
      <c r="VOA100" s="798"/>
      <c r="VOB100" s="798"/>
      <c r="VOC100" s="798"/>
      <c r="VOD100" s="798"/>
      <c r="VOE100" s="798"/>
      <c r="VOF100" s="798"/>
      <c r="VOG100" s="798"/>
      <c r="VOH100" s="798"/>
      <c r="VOI100" s="798"/>
      <c r="VOJ100" s="798"/>
      <c r="VOK100" s="798"/>
      <c r="VOL100" s="798"/>
      <c r="VOM100" s="798"/>
      <c r="VON100" s="798"/>
      <c r="VOO100" s="798"/>
      <c r="VOP100" s="798"/>
      <c r="VOQ100" s="798"/>
      <c r="VOR100" s="798"/>
      <c r="VOS100" s="798"/>
      <c r="VOT100" s="798"/>
      <c r="VOU100" s="798"/>
      <c r="VOV100" s="798"/>
      <c r="VOW100" s="798"/>
      <c r="VOX100" s="798"/>
      <c r="VOY100" s="798"/>
      <c r="VOZ100" s="798"/>
      <c r="VPA100" s="798"/>
      <c r="VPB100" s="798"/>
      <c r="VPC100" s="798"/>
      <c r="VPD100" s="798"/>
      <c r="VPE100" s="798"/>
      <c r="VPF100" s="798"/>
      <c r="VPG100" s="798"/>
      <c r="VPH100" s="798"/>
      <c r="VPI100" s="798"/>
      <c r="VPJ100" s="798"/>
      <c r="VPK100" s="798"/>
      <c r="VPL100" s="798"/>
      <c r="VPM100" s="798"/>
      <c r="VPN100" s="798"/>
      <c r="VPO100" s="798"/>
      <c r="VPP100" s="798"/>
      <c r="VPQ100" s="798"/>
      <c r="VPR100" s="798"/>
      <c r="VPS100" s="798"/>
      <c r="VPT100" s="798"/>
      <c r="VPU100" s="798"/>
      <c r="VPV100" s="798"/>
      <c r="VPW100" s="798"/>
      <c r="VPX100" s="798"/>
      <c r="VPY100" s="798"/>
      <c r="VPZ100" s="798"/>
      <c r="VQA100" s="798"/>
      <c r="VQB100" s="798"/>
      <c r="VQC100" s="798"/>
      <c r="VQD100" s="798"/>
      <c r="VQE100" s="798"/>
      <c r="VQF100" s="798"/>
      <c r="VQG100" s="798"/>
      <c r="VQH100" s="798"/>
      <c r="VQI100" s="798"/>
      <c r="VQJ100" s="798"/>
      <c r="VQK100" s="798"/>
      <c r="VQL100" s="798"/>
      <c r="VQM100" s="798"/>
      <c r="VQN100" s="798"/>
      <c r="VQO100" s="798"/>
      <c r="VQP100" s="798"/>
      <c r="VQQ100" s="798"/>
      <c r="VQR100" s="798"/>
      <c r="VQS100" s="798"/>
      <c r="VQT100" s="798"/>
      <c r="VQU100" s="798"/>
      <c r="VQV100" s="798"/>
      <c r="VQW100" s="798"/>
      <c r="VQX100" s="798"/>
      <c r="VQY100" s="798"/>
      <c r="VQZ100" s="798"/>
      <c r="VRA100" s="798"/>
      <c r="VRB100" s="798"/>
      <c r="VRC100" s="798"/>
      <c r="VRD100" s="798"/>
      <c r="VRE100" s="798"/>
      <c r="VRF100" s="798"/>
      <c r="VRG100" s="798"/>
      <c r="VRH100" s="798"/>
      <c r="VRI100" s="798"/>
      <c r="VRJ100" s="798"/>
      <c r="VRK100" s="798"/>
      <c r="VRL100" s="798"/>
      <c r="VRM100" s="798"/>
      <c r="VRN100" s="798"/>
      <c r="VRO100" s="798"/>
      <c r="VRP100" s="798"/>
      <c r="VRQ100" s="798"/>
      <c r="VRR100" s="798"/>
      <c r="VRS100" s="798"/>
      <c r="VRT100" s="798"/>
      <c r="VRU100" s="798"/>
      <c r="VRV100" s="798"/>
      <c r="VRW100" s="798"/>
      <c r="VRX100" s="798"/>
      <c r="VRY100" s="798"/>
      <c r="VRZ100" s="798"/>
      <c r="VSA100" s="798"/>
      <c r="VSB100" s="798"/>
      <c r="VSC100" s="798"/>
      <c r="VSD100" s="798"/>
      <c r="VSE100" s="798"/>
      <c r="VSF100" s="798"/>
      <c r="VSG100" s="798"/>
      <c r="VSH100" s="798"/>
      <c r="VSI100" s="798"/>
      <c r="VSJ100" s="798"/>
      <c r="VSK100" s="798"/>
      <c r="VSL100" s="798"/>
      <c r="VSM100" s="798"/>
      <c r="VSN100" s="798"/>
      <c r="VSO100" s="798"/>
      <c r="VSP100" s="798"/>
      <c r="VSQ100" s="798"/>
      <c r="VSR100" s="798"/>
      <c r="VSS100" s="798"/>
      <c r="VST100" s="798"/>
      <c r="VSU100" s="798"/>
      <c r="VSV100" s="798"/>
      <c r="VSW100" s="798"/>
      <c r="VSX100" s="798"/>
      <c r="VSY100" s="798"/>
      <c r="VSZ100" s="798"/>
      <c r="VTA100" s="798"/>
      <c r="VTB100" s="798"/>
      <c r="VTC100" s="798"/>
      <c r="VTD100" s="798"/>
      <c r="VTE100" s="798"/>
      <c r="VTF100" s="798"/>
      <c r="VTG100" s="798"/>
      <c r="VTH100" s="798"/>
      <c r="VTI100" s="798"/>
      <c r="VTJ100" s="798"/>
      <c r="VTK100" s="798"/>
      <c r="VTL100" s="798"/>
      <c r="VTM100" s="798"/>
      <c r="VTN100" s="798"/>
      <c r="VTO100" s="798"/>
      <c r="VTP100" s="798"/>
      <c r="VTQ100" s="798"/>
      <c r="VTR100" s="798"/>
      <c r="VTS100" s="798"/>
      <c r="VTT100" s="798"/>
      <c r="VTU100" s="798"/>
      <c r="VTV100" s="798"/>
      <c r="VTW100" s="798"/>
      <c r="VTX100" s="798"/>
      <c r="VTY100" s="798"/>
      <c r="VTZ100" s="798"/>
      <c r="VUA100" s="798"/>
      <c r="VUB100" s="798"/>
      <c r="VUC100" s="798"/>
      <c r="VUD100" s="798"/>
      <c r="VUE100" s="798"/>
      <c r="VUF100" s="798"/>
      <c r="VUG100" s="798"/>
      <c r="VUH100" s="798"/>
      <c r="VUI100" s="798"/>
      <c r="VUJ100" s="798"/>
      <c r="VUK100" s="798"/>
      <c r="VUL100" s="798"/>
      <c r="VUM100" s="798"/>
      <c r="VUN100" s="798"/>
      <c r="VUO100" s="798"/>
      <c r="VUP100" s="798"/>
      <c r="VUQ100" s="798"/>
      <c r="VUR100" s="798"/>
      <c r="VUS100" s="798"/>
      <c r="VUT100" s="798"/>
      <c r="VUU100" s="798"/>
      <c r="VUV100" s="798"/>
      <c r="VUW100" s="798"/>
      <c r="VUX100" s="798"/>
      <c r="VUY100" s="798"/>
      <c r="VUZ100" s="798"/>
      <c r="VVA100" s="798"/>
      <c r="VVB100" s="798"/>
      <c r="VVC100" s="798"/>
      <c r="VVD100" s="798"/>
      <c r="VVE100" s="798"/>
      <c r="VVF100" s="798"/>
      <c r="VVG100" s="798"/>
      <c r="VVH100" s="798"/>
      <c r="VVI100" s="798"/>
      <c r="VVJ100" s="798"/>
      <c r="VVK100" s="798"/>
      <c r="VVL100" s="798"/>
      <c r="VVM100" s="798"/>
      <c r="VVN100" s="798"/>
      <c r="VVO100" s="798"/>
      <c r="VVP100" s="798"/>
      <c r="VVQ100" s="798"/>
      <c r="VVR100" s="798"/>
      <c r="VVS100" s="798"/>
      <c r="VVT100" s="798"/>
      <c r="VVU100" s="798"/>
      <c r="VVV100" s="798"/>
      <c r="VVW100" s="798"/>
      <c r="VVX100" s="798"/>
      <c r="VVY100" s="798"/>
      <c r="VVZ100" s="798"/>
      <c r="VWA100" s="798"/>
      <c r="VWB100" s="798"/>
      <c r="VWC100" s="798"/>
      <c r="VWD100" s="798"/>
      <c r="VWE100" s="798"/>
      <c r="VWF100" s="798"/>
      <c r="VWG100" s="798"/>
      <c r="VWH100" s="798"/>
      <c r="VWI100" s="798"/>
      <c r="VWJ100" s="798"/>
      <c r="VWK100" s="798"/>
      <c r="VWL100" s="798"/>
      <c r="VWM100" s="798"/>
      <c r="VWN100" s="798"/>
      <c r="VWO100" s="798"/>
      <c r="VWP100" s="798"/>
      <c r="VWQ100" s="798"/>
      <c r="VWR100" s="798"/>
      <c r="VWS100" s="798"/>
      <c r="VWT100" s="798"/>
      <c r="VWU100" s="798"/>
      <c r="VWV100" s="798"/>
      <c r="VWW100" s="798"/>
      <c r="VWX100" s="798"/>
      <c r="VWY100" s="798"/>
      <c r="VWZ100" s="798"/>
      <c r="VXA100" s="798"/>
      <c r="VXB100" s="798"/>
      <c r="VXC100" s="798"/>
      <c r="VXD100" s="798"/>
      <c r="VXE100" s="798"/>
      <c r="VXF100" s="798"/>
      <c r="VXG100" s="798"/>
      <c r="VXH100" s="798"/>
      <c r="VXI100" s="798"/>
      <c r="VXJ100" s="798"/>
      <c r="VXK100" s="798"/>
      <c r="VXL100" s="798"/>
      <c r="VXM100" s="798"/>
      <c r="VXN100" s="798"/>
      <c r="VXO100" s="798"/>
      <c r="VXP100" s="798"/>
      <c r="VXQ100" s="798"/>
      <c r="VXR100" s="798"/>
      <c r="VXS100" s="798"/>
      <c r="VXT100" s="798"/>
      <c r="VXU100" s="798"/>
      <c r="VXV100" s="798"/>
      <c r="VXW100" s="798"/>
      <c r="VXX100" s="798"/>
      <c r="VXY100" s="798"/>
      <c r="VXZ100" s="798"/>
      <c r="VYA100" s="798"/>
      <c r="VYB100" s="798"/>
      <c r="VYC100" s="798"/>
      <c r="VYD100" s="798"/>
      <c r="VYE100" s="798"/>
      <c r="VYF100" s="798"/>
      <c r="VYG100" s="798"/>
      <c r="VYH100" s="798"/>
      <c r="VYI100" s="798"/>
      <c r="VYJ100" s="798"/>
      <c r="VYK100" s="798"/>
      <c r="VYL100" s="798"/>
      <c r="VYM100" s="798"/>
      <c r="VYN100" s="798"/>
      <c r="VYO100" s="798"/>
      <c r="VYP100" s="798"/>
      <c r="VYQ100" s="798"/>
      <c r="VYR100" s="798"/>
      <c r="VYS100" s="798"/>
      <c r="VYT100" s="798"/>
      <c r="VYU100" s="798"/>
      <c r="VYV100" s="798"/>
      <c r="VYW100" s="798"/>
      <c r="VYX100" s="798"/>
      <c r="VYY100" s="798"/>
      <c r="VYZ100" s="798"/>
      <c r="VZA100" s="798"/>
      <c r="VZB100" s="798"/>
      <c r="VZC100" s="798"/>
      <c r="VZD100" s="798"/>
      <c r="VZE100" s="798"/>
      <c r="VZF100" s="798"/>
      <c r="VZG100" s="798"/>
      <c r="VZH100" s="798"/>
      <c r="VZI100" s="798"/>
      <c r="VZJ100" s="798"/>
      <c r="VZK100" s="798"/>
      <c r="VZL100" s="798"/>
      <c r="VZM100" s="798"/>
      <c r="VZN100" s="798"/>
      <c r="VZO100" s="798"/>
      <c r="VZP100" s="798"/>
      <c r="VZQ100" s="798"/>
      <c r="VZR100" s="798"/>
      <c r="VZS100" s="798"/>
      <c r="VZT100" s="798"/>
      <c r="VZU100" s="798"/>
      <c r="VZV100" s="798"/>
      <c r="VZW100" s="798"/>
      <c r="VZX100" s="798"/>
      <c r="VZY100" s="798"/>
      <c r="VZZ100" s="798"/>
      <c r="WAA100" s="798"/>
      <c r="WAB100" s="798"/>
      <c r="WAC100" s="798"/>
      <c r="WAD100" s="798"/>
      <c r="WAE100" s="798"/>
      <c r="WAF100" s="798"/>
      <c r="WAG100" s="798"/>
      <c r="WAH100" s="798"/>
      <c r="WAI100" s="798"/>
      <c r="WAJ100" s="798"/>
      <c r="WAK100" s="798"/>
      <c r="WAL100" s="798"/>
      <c r="WAM100" s="798"/>
      <c r="WAN100" s="798"/>
      <c r="WAO100" s="798"/>
      <c r="WAP100" s="798"/>
      <c r="WAQ100" s="798"/>
      <c r="WAR100" s="798"/>
      <c r="WAS100" s="798"/>
      <c r="WAT100" s="798"/>
      <c r="WAU100" s="798"/>
      <c r="WAV100" s="798"/>
      <c r="WAW100" s="798"/>
      <c r="WAX100" s="798"/>
      <c r="WAY100" s="798"/>
      <c r="WAZ100" s="798"/>
      <c r="WBA100" s="798"/>
      <c r="WBB100" s="798"/>
      <c r="WBC100" s="798"/>
      <c r="WBD100" s="798"/>
      <c r="WBE100" s="798"/>
      <c r="WBF100" s="798"/>
      <c r="WBG100" s="798"/>
      <c r="WBH100" s="798"/>
      <c r="WBI100" s="798"/>
      <c r="WBJ100" s="798"/>
      <c r="WBK100" s="798"/>
      <c r="WBL100" s="798"/>
      <c r="WBM100" s="798"/>
      <c r="WBN100" s="798"/>
      <c r="WBO100" s="798"/>
      <c r="WBP100" s="798"/>
      <c r="WBQ100" s="798"/>
      <c r="WBR100" s="798"/>
      <c r="WBS100" s="798"/>
      <c r="WBT100" s="798"/>
      <c r="WBU100" s="798"/>
      <c r="WBV100" s="798"/>
      <c r="WBW100" s="798"/>
      <c r="WBX100" s="798"/>
      <c r="WBY100" s="798"/>
      <c r="WBZ100" s="798"/>
      <c r="WCA100" s="798"/>
      <c r="WCB100" s="798"/>
      <c r="WCC100" s="798"/>
      <c r="WCD100" s="798"/>
      <c r="WCE100" s="798"/>
      <c r="WCF100" s="798"/>
      <c r="WCG100" s="798"/>
      <c r="WCH100" s="798"/>
      <c r="WCI100" s="798"/>
      <c r="WCJ100" s="798"/>
      <c r="WCK100" s="798"/>
      <c r="WCL100" s="798"/>
      <c r="WCM100" s="798"/>
      <c r="WCN100" s="798"/>
      <c r="WCO100" s="798"/>
      <c r="WCP100" s="798"/>
      <c r="WCQ100" s="798"/>
      <c r="WCR100" s="798"/>
      <c r="WCS100" s="798"/>
      <c r="WCT100" s="798"/>
      <c r="WCU100" s="798"/>
      <c r="WCV100" s="798"/>
      <c r="WCW100" s="798"/>
      <c r="WCX100" s="798"/>
      <c r="WCY100" s="798"/>
      <c r="WCZ100" s="798"/>
      <c r="WDA100" s="798"/>
      <c r="WDB100" s="798"/>
      <c r="WDC100" s="798"/>
      <c r="WDD100" s="798"/>
      <c r="WDE100" s="798"/>
      <c r="WDF100" s="798"/>
      <c r="WDG100" s="798"/>
      <c r="WDH100" s="798"/>
      <c r="WDI100" s="798"/>
      <c r="WDJ100" s="798"/>
      <c r="WDK100" s="798"/>
      <c r="WDL100" s="798"/>
      <c r="WDM100" s="798"/>
      <c r="WDN100" s="798"/>
      <c r="WDO100" s="798"/>
      <c r="WDP100" s="798"/>
      <c r="WDQ100" s="798"/>
      <c r="WDR100" s="798"/>
      <c r="WDS100" s="798"/>
      <c r="WDT100" s="798"/>
      <c r="WDU100" s="798"/>
      <c r="WDV100" s="798"/>
      <c r="WDW100" s="798"/>
      <c r="WDX100" s="798"/>
      <c r="WDY100" s="798"/>
      <c r="WDZ100" s="798"/>
      <c r="WEA100" s="798"/>
      <c r="WEB100" s="798"/>
      <c r="WEC100" s="798"/>
      <c r="WED100" s="798"/>
      <c r="WEE100" s="798"/>
      <c r="WEF100" s="798"/>
      <c r="WEG100" s="798"/>
      <c r="WEH100" s="798"/>
      <c r="WEI100" s="798"/>
      <c r="WEJ100" s="798"/>
      <c r="WEK100" s="798"/>
      <c r="WEL100" s="798"/>
      <c r="WEM100" s="798"/>
      <c r="WEN100" s="798"/>
      <c r="WEO100" s="798"/>
      <c r="WEP100" s="798"/>
      <c r="WEQ100" s="798"/>
      <c r="WER100" s="798"/>
      <c r="WES100" s="798"/>
      <c r="WET100" s="798"/>
      <c r="WEU100" s="798"/>
      <c r="WEV100" s="798"/>
      <c r="WEW100" s="798"/>
      <c r="WEX100" s="798"/>
      <c r="WEY100" s="798"/>
      <c r="WEZ100" s="798"/>
      <c r="WFA100" s="798"/>
      <c r="WFB100" s="798"/>
      <c r="WFC100" s="798"/>
      <c r="WFD100" s="798"/>
      <c r="WFE100" s="798"/>
      <c r="WFF100" s="798"/>
      <c r="WFG100" s="798"/>
      <c r="WFH100" s="798"/>
      <c r="WFI100" s="798"/>
      <c r="WFJ100" s="798"/>
      <c r="WFK100" s="798"/>
      <c r="WFL100" s="798"/>
      <c r="WFM100" s="798"/>
      <c r="WFN100" s="798"/>
      <c r="WFO100" s="798"/>
      <c r="WFP100" s="798"/>
      <c r="WFQ100" s="798"/>
      <c r="WFR100" s="798"/>
      <c r="WFS100" s="798"/>
      <c r="WFT100" s="798"/>
      <c r="WFU100" s="798"/>
      <c r="WFV100" s="798"/>
      <c r="WFW100" s="798"/>
      <c r="WFX100" s="798"/>
      <c r="WFY100" s="798"/>
      <c r="WFZ100" s="798"/>
      <c r="WGA100" s="798"/>
      <c r="WGB100" s="798"/>
      <c r="WGC100" s="798"/>
      <c r="WGD100" s="798"/>
      <c r="WGE100" s="798"/>
      <c r="WGF100" s="798"/>
      <c r="WGG100" s="798"/>
      <c r="WGH100" s="798"/>
      <c r="WGI100" s="798"/>
      <c r="WGJ100" s="798"/>
      <c r="WGK100" s="798"/>
      <c r="WGL100" s="798"/>
      <c r="WGM100" s="798"/>
      <c r="WGN100" s="798"/>
      <c r="WGO100" s="798"/>
      <c r="WGP100" s="798"/>
      <c r="WGQ100" s="798"/>
      <c r="WGR100" s="798"/>
      <c r="WGS100" s="798"/>
      <c r="WGT100" s="798"/>
      <c r="WGU100" s="798"/>
      <c r="WGV100" s="798"/>
      <c r="WGW100" s="798"/>
      <c r="WGX100" s="798"/>
      <c r="WGY100" s="798"/>
      <c r="WGZ100" s="798"/>
      <c r="WHA100" s="798"/>
      <c r="WHB100" s="798"/>
      <c r="WHC100" s="798"/>
      <c r="WHD100" s="798"/>
      <c r="WHE100" s="798"/>
      <c r="WHF100" s="798"/>
      <c r="WHG100" s="798"/>
      <c r="WHH100" s="798"/>
      <c r="WHI100" s="798"/>
      <c r="WHJ100" s="798"/>
      <c r="WHK100" s="798"/>
      <c r="WHL100" s="798"/>
      <c r="WHM100" s="798"/>
      <c r="WHN100" s="798"/>
      <c r="WHO100" s="798"/>
      <c r="WHP100" s="798"/>
      <c r="WHQ100" s="798"/>
      <c r="WHR100" s="798"/>
      <c r="WHS100" s="798"/>
      <c r="WHT100" s="798"/>
      <c r="WHU100" s="798"/>
      <c r="WHV100" s="798"/>
      <c r="WHW100" s="798"/>
      <c r="WHX100" s="798"/>
      <c r="WHY100" s="798"/>
      <c r="WHZ100" s="798"/>
      <c r="WIA100" s="798"/>
      <c r="WIB100" s="798"/>
      <c r="WIC100" s="798"/>
      <c r="WID100" s="798"/>
      <c r="WIE100" s="798"/>
      <c r="WIF100" s="798"/>
      <c r="WIG100" s="798"/>
      <c r="WIH100" s="798"/>
      <c r="WII100" s="798"/>
      <c r="WIJ100" s="798"/>
      <c r="WIK100" s="798"/>
      <c r="WIL100" s="798"/>
      <c r="WIM100" s="798"/>
      <c r="WIN100" s="798"/>
      <c r="WIO100" s="798"/>
      <c r="WIP100" s="798"/>
      <c r="WIQ100" s="798"/>
      <c r="WIR100" s="798"/>
      <c r="WIS100" s="798"/>
      <c r="WIT100" s="798"/>
      <c r="WIU100" s="798"/>
      <c r="WIV100" s="798"/>
      <c r="WIW100" s="798"/>
      <c r="WIX100" s="798"/>
      <c r="WIY100" s="798"/>
      <c r="WIZ100" s="798"/>
      <c r="WJA100" s="798"/>
      <c r="WJB100" s="798"/>
      <c r="WJC100" s="798"/>
      <c r="WJD100" s="798"/>
      <c r="WJE100" s="798"/>
      <c r="WJF100" s="798"/>
      <c r="WJG100" s="798"/>
      <c r="WJH100" s="798"/>
      <c r="WJI100" s="798"/>
      <c r="WJJ100" s="798"/>
      <c r="WJK100" s="798"/>
      <c r="WJL100" s="798"/>
      <c r="WJM100" s="798"/>
      <c r="WJN100" s="798"/>
      <c r="WJO100" s="798"/>
      <c r="WJP100" s="798"/>
      <c r="WJQ100" s="798"/>
      <c r="WJR100" s="798"/>
      <c r="WJS100" s="798"/>
      <c r="WJT100" s="798"/>
      <c r="WJU100" s="798"/>
      <c r="WJV100" s="798"/>
      <c r="WJW100" s="798"/>
      <c r="WJX100" s="798"/>
      <c r="WJY100" s="798"/>
      <c r="WJZ100" s="798"/>
      <c r="WKA100" s="798"/>
      <c r="WKB100" s="798"/>
      <c r="WKC100" s="798"/>
      <c r="WKD100" s="798"/>
      <c r="WKE100" s="798"/>
      <c r="WKF100" s="798"/>
      <c r="WKG100" s="798"/>
      <c r="WKH100" s="798"/>
      <c r="WKI100" s="798"/>
      <c r="WKJ100" s="798"/>
      <c r="WKK100" s="798"/>
      <c r="WKL100" s="798"/>
      <c r="WKM100" s="798"/>
      <c r="WKN100" s="798"/>
      <c r="WKO100" s="798"/>
      <c r="WKP100" s="798"/>
      <c r="WKQ100" s="798"/>
      <c r="WKR100" s="798"/>
      <c r="WKS100" s="798"/>
      <c r="WKT100" s="798"/>
      <c r="WKU100" s="798"/>
      <c r="WKV100" s="798"/>
      <c r="WKW100" s="798"/>
      <c r="WKX100" s="798"/>
      <c r="WKY100" s="798"/>
      <c r="WKZ100" s="798"/>
      <c r="WLA100" s="798"/>
      <c r="WLB100" s="798"/>
      <c r="WLC100" s="798"/>
      <c r="WLD100" s="798"/>
      <c r="WLE100" s="798"/>
      <c r="WLF100" s="798"/>
      <c r="WLG100" s="798"/>
      <c r="WLH100" s="798"/>
      <c r="WLI100" s="798"/>
      <c r="WLJ100" s="798"/>
      <c r="WLK100" s="798"/>
      <c r="WLL100" s="798"/>
      <c r="WLM100" s="798"/>
      <c r="WLN100" s="798"/>
      <c r="WLO100" s="798"/>
      <c r="WLP100" s="798"/>
      <c r="WLQ100" s="798"/>
      <c r="WLR100" s="798"/>
      <c r="WLS100" s="798"/>
      <c r="WLT100" s="798"/>
      <c r="WLU100" s="798"/>
      <c r="WLV100" s="798"/>
      <c r="WLW100" s="798"/>
      <c r="WLX100" s="798"/>
      <c r="WLY100" s="798"/>
      <c r="WLZ100" s="798"/>
      <c r="WMA100" s="798"/>
      <c r="WMB100" s="798"/>
      <c r="WMC100" s="798"/>
      <c r="WMD100" s="798"/>
      <c r="WME100" s="798"/>
      <c r="WMF100" s="798"/>
      <c r="WMG100" s="798"/>
      <c r="WMH100" s="798"/>
      <c r="WMI100" s="798"/>
      <c r="WMJ100" s="798"/>
      <c r="WMK100" s="798"/>
      <c r="WML100" s="798"/>
      <c r="WMM100" s="798"/>
      <c r="WMN100" s="798"/>
      <c r="WMO100" s="798"/>
      <c r="WMP100" s="798"/>
      <c r="WMQ100" s="798"/>
      <c r="WMR100" s="798"/>
      <c r="WMS100" s="798"/>
      <c r="WMT100" s="798"/>
      <c r="WMU100" s="798"/>
      <c r="WMV100" s="798"/>
      <c r="WMW100" s="798"/>
      <c r="WMX100" s="798"/>
      <c r="WMY100" s="798"/>
      <c r="WMZ100" s="798"/>
      <c r="WNA100" s="798"/>
      <c r="WNB100" s="798"/>
      <c r="WNC100" s="798"/>
      <c r="WND100" s="798"/>
      <c r="WNE100" s="798"/>
      <c r="WNF100" s="798"/>
      <c r="WNG100" s="798"/>
      <c r="WNH100" s="798"/>
      <c r="WNI100" s="798"/>
      <c r="WNJ100" s="798"/>
      <c r="WNK100" s="798"/>
      <c r="WNL100" s="798"/>
      <c r="WNM100" s="798"/>
      <c r="WNN100" s="798"/>
      <c r="WNO100" s="798"/>
      <c r="WNP100" s="798"/>
      <c r="WNQ100" s="798"/>
      <c r="WNR100" s="798"/>
      <c r="WNS100" s="798"/>
      <c r="WNT100" s="798"/>
      <c r="WNU100" s="798"/>
      <c r="WNV100" s="798"/>
      <c r="WNW100" s="798"/>
      <c r="WNX100" s="798"/>
      <c r="WNY100" s="798"/>
      <c r="WNZ100" s="798"/>
      <c r="WOA100" s="798"/>
      <c r="WOB100" s="798"/>
      <c r="WOC100" s="798"/>
      <c r="WOD100" s="798"/>
      <c r="WOE100" s="798"/>
      <c r="WOF100" s="798"/>
      <c r="WOG100" s="798"/>
      <c r="WOH100" s="798"/>
      <c r="WOI100" s="798"/>
      <c r="WOJ100" s="798"/>
      <c r="WOK100" s="798"/>
      <c r="WOL100" s="798"/>
      <c r="WOM100" s="798"/>
      <c r="WON100" s="798"/>
      <c r="WOO100" s="798"/>
      <c r="WOP100" s="798"/>
      <c r="WOQ100" s="798"/>
      <c r="WOR100" s="798"/>
      <c r="WOS100" s="798"/>
      <c r="WOT100" s="798"/>
      <c r="WOU100" s="798"/>
      <c r="WOV100" s="798"/>
      <c r="WOW100" s="798"/>
      <c r="WOX100" s="798"/>
      <c r="WOY100" s="798"/>
      <c r="WOZ100" s="798"/>
      <c r="WPA100" s="798"/>
      <c r="WPB100" s="798"/>
      <c r="WPC100" s="798"/>
      <c r="WPD100" s="798"/>
      <c r="WPE100" s="798"/>
      <c r="WPF100" s="798"/>
      <c r="WPG100" s="798"/>
      <c r="WPH100" s="798"/>
      <c r="WPI100" s="798"/>
      <c r="WPJ100" s="798"/>
      <c r="WPK100" s="798"/>
      <c r="WPL100" s="798"/>
      <c r="WPM100" s="798"/>
      <c r="WPN100" s="798"/>
      <c r="WPO100" s="798"/>
      <c r="WPP100" s="798"/>
      <c r="WPQ100" s="798"/>
      <c r="WPR100" s="798"/>
      <c r="WPS100" s="798"/>
      <c r="WPT100" s="798"/>
      <c r="WPU100" s="798"/>
      <c r="WPV100" s="798"/>
      <c r="WPW100" s="798"/>
      <c r="WPX100" s="798"/>
      <c r="WPY100" s="798"/>
      <c r="WPZ100" s="798"/>
      <c r="WQA100" s="798"/>
      <c r="WQB100" s="798"/>
      <c r="WQC100" s="798"/>
      <c r="WQD100" s="798"/>
      <c r="WQE100" s="798"/>
      <c r="WQF100" s="798"/>
      <c r="WQG100" s="798"/>
      <c r="WQH100" s="798"/>
      <c r="WQI100" s="798"/>
      <c r="WQJ100" s="798"/>
      <c r="WQK100" s="798"/>
      <c r="WQL100" s="798"/>
      <c r="WQM100" s="798"/>
      <c r="WQN100" s="798"/>
      <c r="WQO100" s="798"/>
      <c r="WQP100" s="798"/>
      <c r="WQQ100" s="798"/>
      <c r="WQR100" s="798"/>
      <c r="WQS100" s="798"/>
      <c r="WQT100" s="798"/>
      <c r="WQU100" s="798"/>
      <c r="WQV100" s="798"/>
      <c r="WQW100" s="798"/>
      <c r="WQX100" s="798"/>
      <c r="WQY100" s="798"/>
      <c r="WQZ100" s="798"/>
      <c r="WRA100" s="798"/>
      <c r="WRB100" s="798"/>
      <c r="WRC100" s="798"/>
      <c r="WRD100" s="798"/>
      <c r="WRE100" s="798"/>
      <c r="WRF100" s="798"/>
      <c r="WRG100" s="798"/>
      <c r="WRH100" s="798"/>
      <c r="WRI100" s="798"/>
      <c r="WRJ100" s="798"/>
      <c r="WRK100" s="798"/>
      <c r="WRL100" s="798"/>
      <c r="WRM100" s="798"/>
      <c r="WRN100" s="798"/>
      <c r="WRO100" s="798"/>
      <c r="WRP100" s="798"/>
      <c r="WRQ100" s="798"/>
      <c r="WRR100" s="798"/>
      <c r="WRS100" s="798"/>
      <c r="WRT100" s="798"/>
      <c r="WRU100" s="798"/>
      <c r="WRV100" s="798"/>
      <c r="WRW100" s="798"/>
      <c r="WRX100" s="798"/>
      <c r="WRY100" s="798"/>
      <c r="WRZ100" s="798"/>
      <c r="WSA100" s="798"/>
      <c r="WSB100" s="798"/>
      <c r="WSC100" s="798"/>
      <c r="WSD100" s="798"/>
      <c r="WSE100" s="798"/>
      <c r="WSF100" s="798"/>
      <c r="WSG100" s="798"/>
      <c r="WSH100" s="798"/>
      <c r="WSI100" s="798"/>
      <c r="WSJ100" s="798"/>
      <c r="WSK100" s="798"/>
      <c r="WSL100" s="798"/>
      <c r="WSM100" s="798"/>
      <c r="WSN100" s="798"/>
      <c r="WSO100" s="798"/>
      <c r="WSP100" s="798"/>
      <c r="WSQ100" s="798"/>
      <c r="WSR100" s="798"/>
      <c r="WSS100" s="798"/>
      <c r="WST100" s="798"/>
      <c r="WSU100" s="798"/>
      <c r="WSV100" s="798"/>
      <c r="WSW100" s="798"/>
      <c r="WSX100" s="798"/>
      <c r="WSY100" s="798"/>
      <c r="WSZ100" s="798"/>
      <c r="WTA100" s="798"/>
      <c r="WTB100" s="798"/>
      <c r="WTC100" s="798"/>
      <c r="WTD100" s="798"/>
      <c r="WTE100" s="798"/>
      <c r="WTF100" s="798"/>
      <c r="WTG100" s="798"/>
      <c r="WTH100" s="798"/>
      <c r="WTI100" s="798"/>
      <c r="WTJ100" s="798"/>
      <c r="WTK100" s="798"/>
      <c r="WTL100" s="798"/>
      <c r="WTM100" s="798"/>
      <c r="WTN100" s="798"/>
      <c r="WTO100" s="798"/>
      <c r="WTP100" s="798"/>
      <c r="WTQ100" s="798"/>
      <c r="WTR100" s="798"/>
      <c r="WTS100" s="798"/>
      <c r="WTT100" s="798"/>
      <c r="WTU100" s="798"/>
      <c r="WTV100" s="798"/>
      <c r="WTW100" s="798"/>
      <c r="WTX100" s="798"/>
      <c r="WTY100" s="798"/>
      <c r="WTZ100" s="798"/>
      <c r="WUA100" s="798"/>
      <c r="WUB100" s="798"/>
      <c r="WUC100" s="798"/>
      <c r="WUD100" s="798"/>
      <c r="WUE100" s="798"/>
      <c r="WUF100" s="798"/>
      <c r="WUG100" s="798"/>
      <c r="WUH100" s="798"/>
      <c r="WUI100" s="798"/>
      <c r="WUJ100" s="798"/>
      <c r="WUK100" s="798"/>
      <c r="WUL100" s="798"/>
      <c r="WUM100" s="798"/>
      <c r="WUN100" s="798"/>
      <c r="WUO100" s="798"/>
      <c r="WUP100" s="798"/>
      <c r="WUQ100" s="798"/>
      <c r="WUR100" s="798"/>
      <c r="WUS100" s="798"/>
      <c r="WUT100" s="798"/>
      <c r="WUU100" s="798"/>
      <c r="WUV100" s="798"/>
      <c r="WUW100" s="798"/>
      <c r="WUX100" s="798"/>
      <c r="WUY100" s="798"/>
      <c r="WUZ100" s="798"/>
      <c r="WVA100" s="798"/>
      <c r="WVB100" s="798"/>
      <c r="WVC100" s="798"/>
      <c r="WVD100" s="798"/>
      <c r="WVE100" s="798"/>
      <c r="WVF100" s="798"/>
      <c r="WVG100" s="798"/>
      <c r="WVH100" s="798"/>
      <c r="WVI100" s="798"/>
      <c r="WVJ100" s="798"/>
      <c r="WVK100" s="798"/>
      <c r="WVL100" s="798"/>
      <c r="WVM100" s="798"/>
      <c r="WVN100" s="798"/>
      <c r="WVO100" s="798"/>
      <c r="WVP100" s="798"/>
      <c r="WVQ100" s="798"/>
      <c r="WVR100" s="798"/>
      <c r="WVS100" s="798"/>
      <c r="WVT100" s="798"/>
      <c r="WVU100" s="798"/>
      <c r="WVV100" s="798"/>
      <c r="WVW100" s="798"/>
      <c r="WVX100" s="798"/>
      <c r="WVY100" s="798"/>
      <c r="WVZ100" s="798"/>
      <c r="WWA100" s="798"/>
      <c r="WWB100" s="798"/>
      <c r="WWC100" s="798"/>
      <c r="WWD100" s="798"/>
      <c r="WWE100" s="798"/>
      <c r="WWF100" s="798"/>
      <c r="WWG100" s="798"/>
      <c r="WWH100" s="798"/>
      <c r="WWI100" s="798"/>
      <c r="WWJ100" s="798"/>
      <c r="WWK100" s="798"/>
      <c r="WWL100" s="798"/>
      <c r="WWM100" s="798"/>
      <c r="WWN100" s="798"/>
      <c r="WWO100" s="798"/>
      <c r="WWP100" s="798"/>
      <c r="WWQ100" s="798"/>
      <c r="WWR100" s="798"/>
      <c r="WWS100" s="798"/>
      <c r="WWT100" s="798"/>
      <c r="WWU100" s="798"/>
      <c r="WWV100" s="798"/>
      <c r="WWW100" s="798"/>
      <c r="WWX100" s="798"/>
      <c r="WWY100" s="798"/>
      <c r="WWZ100" s="798"/>
      <c r="WXA100" s="798"/>
      <c r="WXB100" s="798"/>
      <c r="WXC100" s="798"/>
      <c r="WXD100" s="798"/>
      <c r="WXE100" s="798"/>
      <c r="WXF100" s="798"/>
      <c r="WXG100" s="798"/>
      <c r="WXH100" s="798"/>
      <c r="WXI100" s="798"/>
      <c r="WXJ100" s="798"/>
      <c r="WXK100" s="798"/>
      <c r="WXL100" s="798"/>
      <c r="WXM100" s="798"/>
      <c r="WXN100" s="798"/>
      <c r="WXO100" s="798"/>
      <c r="WXP100" s="798"/>
      <c r="WXQ100" s="798"/>
      <c r="WXR100" s="798"/>
      <c r="WXS100" s="798"/>
      <c r="WXT100" s="798"/>
      <c r="WXU100" s="798"/>
      <c r="WXV100" s="798"/>
      <c r="WXW100" s="798"/>
      <c r="WXX100" s="798"/>
      <c r="WXY100" s="798"/>
      <c r="WXZ100" s="798"/>
      <c r="WYA100" s="798"/>
      <c r="WYB100" s="798"/>
      <c r="WYC100" s="798"/>
      <c r="WYD100" s="798"/>
      <c r="WYE100" s="798"/>
      <c r="WYF100" s="798"/>
      <c r="WYG100" s="798"/>
      <c r="WYH100" s="798"/>
      <c r="WYI100" s="798"/>
      <c r="WYJ100" s="798"/>
      <c r="WYK100" s="798"/>
      <c r="WYL100" s="798"/>
      <c r="WYM100" s="798"/>
      <c r="WYN100" s="798"/>
      <c r="WYO100" s="798"/>
      <c r="WYP100" s="798"/>
      <c r="WYQ100" s="798"/>
      <c r="WYR100" s="798"/>
      <c r="WYS100" s="798"/>
      <c r="WYT100" s="798"/>
      <c r="WYU100" s="798"/>
      <c r="WYV100" s="798"/>
      <c r="WYW100" s="798"/>
      <c r="WYX100" s="798"/>
      <c r="WYY100" s="798"/>
      <c r="WYZ100" s="798"/>
      <c r="WZA100" s="798"/>
      <c r="WZB100" s="798"/>
      <c r="WZC100" s="798"/>
      <c r="WZD100" s="798"/>
      <c r="WZE100" s="798"/>
      <c r="WZF100" s="798"/>
      <c r="WZG100" s="798"/>
      <c r="WZH100" s="798"/>
      <c r="WZI100" s="798"/>
      <c r="WZJ100" s="798"/>
      <c r="WZK100" s="798"/>
      <c r="WZL100" s="798"/>
      <c r="WZM100" s="798"/>
      <c r="WZN100" s="798"/>
      <c r="WZO100" s="798"/>
      <c r="WZP100" s="798"/>
      <c r="WZQ100" s="798"/>
      <c r="WZR100" s="798"/>
      <c r="WZS100" s="798"/>
      <c r="WZT100" s="798"/>
      <c r="WZU100" s="798"/>
      <c r="WZV100" s="798"/>
      <c r="WZW100" s="798"/>
      <c r="WZX100" s="798"/>
      <c r="WZY100" s="798"/>
      <c r="WZZ100" s="798"/>
      <c r="XAA100" s="798"/>
      <c r="XAB100" s="798"/>
      <c r="XAC100" s="798"/>
      <c r="XAD100" s="798"/>
      <c r="XAE100" s="798"/>
      <c r="XAF100" s="798"/>
      <c r="XAG100" s="798"/>
      <c r="XAH100" s="798"/>
      <c r="XAI100" s="798"/>
      <c r="XAJ100" s="798"/>
      <c r="XAK100" s="798"/>
      <c r="XAL100" s="798"/>
      <c r="XAM100" s="798"/>
      <c r="XAN100" s="798"/>
      <c r="XAO100" s="798"/>
      <c r="XAP100" s="798"/>
      <c r="XAQ100" s="798"/>
      <c r="XAR100" s="798"/>
      <c r="XAS100" s="798"/>
      <c r="XAT100" s="798"/>
      <c r="XAU100" s="798"/>
      <c r="XAV100" s="798"/>
      <c r="XAW100" s="798"/>
      <c r="XAX100" s="798"/>
      <c r="XAY100" s="798"/>
      <c r="XAZ100" s="798"/>
      <c r="XBA100" s="798"/>
      <c r="XBB100" s="798"/>
      <c r="XBC100" s="798"/>
      <c r="XBD100" s="798"/>
    </row>
    <row r="101" spans="1:16280" ht="55.2" x14ac:dyDescent="0.3">
      <c r="A101" s="422">
        <v>98</v>
      </c>
      <c r="B101" s="373">
        <v>45566</v>
      </c>
      <c r="C101" s="370" t="s">
        <v>417</v>
      </c>
      <c r="D101" s="279" t="s">
        <v>639</v>
      </c>
      <c r="E101" s="371" t="s">
        <v>677</v>
      </c>
      <c r="F101" s="372" t="s">
        <v>976</v>
      </c>
      <c r="G101" s="371" t="s">
        <v>941</v>
      </c>
      <c r="H101" s="276" t="s">
        <v>35</v>
      </c>
      <c r="I101" s="276" t="s">
        <v>414</v>
      </c>
      <c r="J101" s="276" t="s">
        <v>615</v>
      </c>
      <c r="K101" s="277" t="s">
        <v>642</v>
      </c>
      <c r="L101" s="276"/>
      <c r="M101" s="282"/>
      <c r="N101" s="374" t="s">
        <v>672</v>
      </c>
      <c r="O101" s="282"/>
      <c r="P101" s="291" t="s">
        <v>801</v>
      </c>
      <c r="Q101" s="192"/>
      <c r="R101" s="192"/>
      <c r="S101" s="192"/>
      <c r="T101" s="190"/>
      <c r="U101" s="190"/>
      <c r="V101" s="190"/>
      <c r="W101" s="190"/>
      <c r="X101" s="190"/>
      <c r="Y101" s="190"/>
      <c r="Z101" s="190"/>
      <c r="AA101" s="190"/>
      <c r="AB101" s="190"/>
    </row>
    <row r="102" spans="1:16280" ht="55.2" hidden="1" x14ac:dyDescent="0.3">
      <c r="A102" s="212">
        <v>99</v>
      </c>
      <c r="B102" s="212">
        <v>45962</v>
      </c>
      <c r="C102" s="212" t="s">
        <v>425</v>
      </c>
      <c r="D102" s="212" t="s">
        <v>639</v>
      </c>
      <c r="E102" s="212" t="s">
        <v>677</v>
      </c>
      <c r="F102" s="212" t="s">
        <v>810</v>
      </c>
      <c r="G102" s="212" t="s">
        <v>941</v>
      </c>
      <c r="H102" s="276" t="s">
        <v>802</v>
      </c>
      <c r="I102" s="276" t="s">
        <v>424</v>
      </c>
      <c r="J102" s="276" t="s">
        <v>615</v>
      </c>
      <c r="K102" s="277" t="s">
        <v>642</v>
      </c>
      <c r="L102" s="276"/>
      <c r="M102" s="282"/>
      <c r="N102" s="374" t="s">
        <v>672</v>
      </c>
      <c r="O102" s="282"/>
      <c r="P102" s="291" t="s">
        <v>801</v>
      </c>
      <c r="Q102" s="192"/>
      <c r="R102" s="192"/>
      <c r="S102" s="192"/>
    </row>
    <row r="103" spans="1:16280" ht="55.2" hidden="1" x14ac:dyDescent="0.3">
      <c r="A103" s="214">
        <v>100</v>
      </c>
      <c r="B103" s="214">
        <v>45962</v>
      </c>
      <c r="C103" s="214" t="s">
        <v>423</v>
      </c>
      <c r="D103" s="214" t="s">
        <v>46</v>
      </c>
      <c r="E103" s="214" t="s">
        <v>677</v>
      </c>
      <c r="F103" s="214" t="s">
        <v>987</v>
      </c>
      <c r="G103" s="214" t="s">
        <v>941</v>
      </c>
      <c r="H103" s="276" t="s">
        <v>802</v>
      </c>
      <c r="I103" s="276" t="s">
        <v>424</v>
      </c>
      <c r="J103" s="276" t="s">
        <v>615</v>
      </c>
      <c r="K103" s="277" t="s">
        <v>642</v>
      </c>
      <c r="L103" s="276"/>
      <c r="M103" s="282"/>
      <c r="N103" s="374" t="s">
        <v>672</v>
      </c>
      <c r="O103" s="282"/>
      <c r="P103" s="291" t="s">
        <v>801</v>
      </c>
      <c r="Q103" s="192"/>
      <c r="R103" s="192"/>
      <c r="S103" s="192"/>
    </row>
    <row r="104" spans="1:16280" ht="55.2" hidden="1" x14ac:dyDescent="0.3">
      <c r="A104" s="213">
        <v>101</v>
      </c>
      <c r="B104" s="213">
        <v>45962</v>
      </c>
      <c r="C104" s="213" t="s">
        <v>417</v>
      </c>
      <c r="D104" s="213" t="s">
        <v>674</v>
      </c>
      <c r="E104" s="213" t="s">
        <v>677</v>
      </c>
      <c r="F104" s="213" t="s">
        <v>815</v>
      </c>
      <c r="G104" s="213" t="s">
        <v>941</v>
      </c>
      <c r="H104" s="276" t="s">
        <v>422</v>
      </c>
      <c r="I104" s="276" t="s">
        <v>422</v>
      </c>
      <c r="J104" s="276" t="s">
        <v>615</v>
      </c>
      <c r="K104" s="277" t="s">
        <v>642</v>
      </c>
      <c r="L104" s="276"/>
      <c r="M104" s="282"/>
      <c r="N104" s="374" t="s">
        <v>672</v>
      </c>
      <c r="O104" s="282"/>
      <c r="P104" s="291" t="s">
        <v>801</v>
      </c>
      <c r="Q104" s="192"/>
      <c r="R104" s="192"/>
      <c r="S104" s="192"/>
    </row>
    <row r="105" spans="1:16280" ht="55.2" hidden="1" x14ac:dyDescent="0.3">
      <c r="A105" s="213">
        <v>102</v>
      </c>
      <c r="B105" s="213">
        <v>45992</v>
      </c>
      <c r="C105" s="213" t="s">
        <v>417</v>
      </c>
      <c r="D105" s="213" t="s">
        <v>674</v>
      </c>
      <c r="E105" s="213" t="s">
        <v>677</v>
      </c>
      <c r="F105" s="213" t="s">
        <v>818</v>
      </c>
      <c r="G105" s="213" t="s">
        <v>941</v>
      </c>
      <c r="H105" s="276" t="s">
        <v>802</v>
      </c>
      <c r="I105" s="276" t="s">
        <v>424</v>
      </c>
      <c r="J105" s="276" t="s">
        <v>615</v>
      </c>
      <c r="K105" s="277" t="s">
        <v>642</v>
      </c>
      <c r="L105" s="276"/>
      <c r="M105" s="282"/>
      <c r="N105" s="374" t="s">
        <v>672</v>
      </c>
      <c r="O105" s="282"/>
      <c r="P105" s="291" t="s">
        <v>801</v>
      </c>
      <c r="Q105" s="192"/>
      <c r="R105" s="192"/>
      <c r="S105" s="192"/>
    </row>
    <row r="106" spans="1:16280" ht="55.2" hidden="1" x14ac:dyDescent="0.3">
      <c r="A106" s="212">
        <v>103</v>
      </c>
      <c r="B106" s="212">
        <v>45940</v>
      </c>
      <c r="C106" s="212" t="s">
        <v>415</v>
      </c>
      <c r="D106" s="212" t="s">
        <v>639</v>
      </c>
      <c r="E106" s="212" t="s">
        <v>677</v>
      </c>
      <c r="F106" s="212" t="s">
        <v>988</v>
      </c>
      <c r="G106" s="212" t="s">
        <v>941</v>
      </c>
      <c r="H106" s="276" t="s">
        <v>802</v>
      </c>
      <c r="I106" s="276" t="s">
        <v>424</v>
      </c>
      <c r="J106" s="276" t="s">
        <v>615</v>
      </c>
      <c r="K106" s="277" t="s">
        <v>642</v>
      </c>
      <c r="L106" s="276"/>
      <c r="M106" s="282"/>
      <c r="N106" s="374" t="s">
        <v>672</v>
      </c>
      <c r="O106" s="282"/>
      <c r="P106" s="291" t="s">
        <v>801</v>
      </c>
      <c r="Q106" s="192"/>
      <c r="R106" s="192"/>
      <c r="S106" s="192"/>
    </row>
    <row r="107" spans="1:16280" ht="55.2" hidden="1" x14ac:dyDescent="0.3">
      <c r="A107" s="212">
        <v>104</v>
      </c>
      <c r="B107" s="212">
        <v>45940</v>
      </c>
      <c r="C107" s="212" t="s">
        <v>415</v>
      </c>
      <c r="D107" s="212" t="s">
        <v>639</v>
      </c>
      <c r="E107" s="212" t="s">
        <v>677</v>
      </c>
      <c r="F107" s="212" t="s">
        <v>989</v>
      </c>
      <c r="G107" s="212" t="s">
        <v>941</v>
      </c>
      <c r="H107" s="276" t="s">
        <v>802</v>
      </c>
      <c r="I107" s="276" t="s">
        <v>424</v>
      </c>
      <c r="J107" s="276" t="s">
        <v>615</v>
      </c>
      <c r="K107" s="277" t="s">
        <v>642</v>
      </c>
      <c r="L107" s="276"/>
      <c r="M107" s="282"/>
      <c r="N107" s="374" t="s">
        <v>672</v>
      </c>
      <c r="O107" s="282"/>
      <c r="P107" s="291" t="s">
        <v>801</v>
      </c>
      <c r="Q107" s="192"/>
      <c r="R107" s="192"/>
      <c r="S107" s="192"/>
    </row>
    <row r="108" spans="1:16280" ht="28.8" hidden="1" x14ac:dyDescent="0.3">
      <c r="A108" s="214">
        <v>105</v>
      </c>
      <c r="B108" s="214"/>
      <c r="C108" s="214" t="s">
        <v>417</v>
      </c>
      <c r="D108" s="214" t="s">
        <v>46</v>
      </c>
      <c r="E108" s="214" t="s">
        <v>677</v>
      </c>
      <c r="F108" s="214" t="s">
        <v>819</v>
      </c>
      <c r="G108" s="214" t="s">
        <v>937</v>
      </c>
      <c r="H108" s="276" t="s">
        <v>802</v>
      </c>
      <c r="I108" s="276" t="s">
        <v>424</v>
      </c>
      <c r="J108" s="276" t="s">
        <v>615</v>
      </c>
      <c r="K108" s="277" t="s">
        <v>642</v>
      </c>
      <c r="L108" s="276"/>
      <c r="M108" s="282"/>
      <c r="N108" s="374" t="s">
        <v>635</v>
      </c>
      <c r="O108" s="282"/>
      <c r="P108" s="291" t="s">
        <v>801</v>
      </c>
      <c r="Q108" s="192"/>
      <c r="R108" s="192"/>
      <c r="S108" s="192"/>
    </row>
    <row r="109" spans="1:16280" ht="28.8" hidden="1" x14ac:dyDescent="0.3">
      <c r="A109" s="214">
        <v>106</v>
      </c>
      <c r="B109" s="214"/>
      <c r="C109" s="214" t="s">
        <v>417</v>
      </c>
      <c r="D109" s="214" t="s">
        <v>46</v>
      </c>
      <c r="E109" s="214" t="s">
        <v>677</v>
      </c>
      <c r="F109" s="214" t="s">
        <v>820</v>
      </c>
      <c r="G109" s="214" t="s">
        <v>937</v>
      </c>
      <c r="H109" s="276" t="s">
        <v>422</v>
      </c>
      <c r="I109" s="276" t="s">
        <v>422</v>
      </c>
      <c r="J109" s="276" t="s">
        <v>615</v>
      </c>
      <c r="K109" s="277" t="s">
        <v>642</v>
      </c>
      <c r="L109" s="276"/>
      <c r="M109" s="282"/>
      <c r="N109" s="374" t="s">
        <v>635</v>
      </c>
      <c r="O109" s="282"/>
      <c r="P109" s="291" t="s">
        <v>801</v>
      </c>
      <c r="Q109" s="192"/>
      <c r="R109" s="192"/>
      <c r="S109" s="192"/>
    </row>
    <row r="110" spans="1:16280" ht="55.2" hidden="1" x14ac:dyDescent="0.3">
      <c r="A110" s="214">
        <v>107</v>
      </c>
      <c r="B110" s="214">
        <v>45952</v>
      </c>
      <c r="C110" s="214" t="s">
        <v>417</v>
      </c>
      <c r="D110" s="214" t="s">
        <v>46</v>
      </c>
      <c r="E110" s="214" t="s">
        <v>677</v>
      </c>
      <c r="F110" s="214" t="s">
        <v>990</v>
      </c>
      <c r="G110" s="214" t="s">
        <v>941</v>
      </c>
      <c r="H110" s="276" t="s">
        <v>802</v>
      </c>
      <c r="I110" s="276" t="s">
        <v>424</v>
      </c>
      <c r="J110" s="276" t="s">
        <v>615</v>
      </c>
      <c r="K110" s="277" t="s">
        <v>642</v>
      </c>
      <c r="L110" s="276"/>
      <c r="M110" s="282"/>
      <c r="N110" s="374" t="s">
        <v>672</v>
      </c>
      <c r="O110" s="282"/>
      <c r="P110" s="291" t="s">
        <v>801</v>
      </c>
      <c r="Q110" s="192"/>
      <c r="R110" s="192"/>
      <c r="S110" s="192"/>
    </row>
    <row r="111" spans="1:16280" ht="28.8" hidden="1" x14ac:dyDescent="0.3">
      <c r="A111" s="213">
        <v>108</v>
      </c>
      <c r="B111" s="213"/>
      <c r="C111" s="213" t="s">
        <v>417</v>
      </c>
      <c r="D111" s="213" t="s">
        <v>674</v>
      </c>
      <c r="E111" s="213" t="s">
        <v>677</v>
      </c>
      <c r="F111" s="213" t="s">
        <v>991</v>
      </c>
      <c r="G111" s="213" t="s">
        <v>937</v>
      </c>
      <c r="H111" s="276" t="s">
        <v>422</v>
      </c>
      <c r="I111" s="276" t="s">
        <v>422</v>
      </c>
      <c r="J111" s="276" t="s">
        <v>615</v>
      </c>
      <c r="K111" s="277" t="s">
        <v>642</v>
      </c>
      <c r="L111" s="276"/>
      <c r="M111" s="282"/>
      <c r="N111" s="374" t="s">
        <v>635</v>
      </c>
      <c r="O111" s="282"/>
      <c r="P111" s="291" t="s">
        <v>801</v>
      </c>
      <c r="Q111" s="192"/>
      <c r="R111" s="192"/>
      <c r="S111" s="192"/>
    </row>
    <row r="112" spans="1:16280" ht="28.8" hidden="1" x14ac:dyDescent="0.3">
      <c r="A112" s="213">
        <v>109</v>
      </c>
      <c r="B112" s="213"/>
      <c r="C112" s="213" t="s">
        <v>417</v>
      </c>
      <c r="D112" s="213" t="s">
        <v>674</v>
      </c>
      <c r="E112" s="213" t="s">
        <v>677</v>
      </c>
      <c r="F112" s="213" t="s">
        <v>992</v>
      </c>
      <c r="G112" s="213" t="s">
        <v>937</v>
      </c>
      <c r="H112" s="276" t="s">
        <v>422</v>
      </c>
      <c r="I112" s="276" t="s">
        <v>422</v>
      </c>
      <c r="J112" s="276" t="s">
        <v>615</v>
      </c>
      <c r="K112" s="277" t="s">
        <v>642</v>
      </c>
      <c r="L112" s="276"/>
      <c r="M112" s="282"/>
      <c r="N112" s="374" t="s">
        <v>635</v>
      </c>
      <c r="O112" s="282"/>
      <c r="P112" s="291" t="s">
        <v>801</v>
      </c>
      <c r="Q112" s="192"/>
      <c r="R112" s="192"/>
      <c r="S112" s="192"/>
    </row>
    <row r="113" spans="1:19" ht="28.8" hidden="1" x14ac:dyDescent="0.3">
      <c r="A113" s="213">
        <v>110</v>
      </c>
      <c r="B113" s="213"/>
      <c r="C113" s="213" t="s">
        <v>417</v>
      </c>
      <c r="D113" s="213" t="s">
        <v>674</v>
      </c>
      <c r="E113" s="213" t="s">
        <v>677</v>
      </c>
      <c r="F113" s="213" t="s">
        <v>993</v>
      </c>
      <c r="G113" s="213" t="s">
        <v>937</v>
      </c>
      <c r="H113" s="276" t="s">
        <v>802</v>
      </c>
      <c r="I113" s="276" t="s">
        <v>424</v>
      </c>
      <c r="J113" s="276" t="s">
        <v>615</v>
      </c>
      <c r="K113" s="277" t="s">
        <v>642</v>
      </c>
      <c r="L113" s="276"/>
      <c r="M113" s="282"/>
      <c r="N113" s="374" t="s">
        <v>635</v>
      </c>
      <c r="O113" s="282"/>
      <c r="P113" s="291" t="s">
        <v>801</v>
      </c>
      <c r="Q113" s="192"/>
      <c r="R113" s="192"/>
      <c r="S113" s="192"/>
    </row>
    <row r="114" spans="1:19" ht="28.8" hidden="1" x14ac:dyDescent="0.3">
      <c r="A114" s="213">
        <v>111</v>
      </c>
      <c r="B114" s="213"/>
      <c r="C114" s="213" t="s">
        <v>417</v>
      </c>
      <c r="D114" s="213" t="s">
        <v>674</v>
      </c>
      <c r="E114" s="213" t="s">
        <v>677</v>
      </c>
      <c r="F114" s="213" t="s">
        <v>994</v>
      </c>
      <c r="G114" s="213" t="s">
        <v>937</v>
      </c>
      <c r="H114" s="276" t="s">
        <v>802</v>
      </c>
      <c r="I114" s="276" t="s">
        <v>424</v>
      </c>
      <c r="J114" s="276" t="s">
        <v>615</v>
      </c>
      <c r="K114" s="277" t="s">
        <v>642</v>
      </c>
      <c r="L114" s="276"/>
      <c r="M114" s="282"/>
      <c r="N114" s="374" t="s">
        <v>635</v>
      </c>
      <c r="O114" s="282"/>
      <c r="P114" s="291" t="s">
        <v>801</v>
      </c>
      <c r="Q114" s="192"/>
      <c r="R114" s="192"/>
      <c r="S114" s="192"/>
    </row>
    <row r="115" spans="1:19" ht="28.8" hidden="1" x14ac:dyDescent="0.3">
      <c r="A115" s="213">
        <v>112</v>
      </c>
      <c r="B115" s="213">
        <v>45976</v>
      </c>
      <c r="C115" s="213" t="s">
        <v>415</v>
      </c>
      <c r="D115" s="213" t="s">
        <v>639</v>
      </c>
      <c r="E115" s="213" t="s">
        <v>677</v>
      </c>
      <c r="F115" s="213" t="s">
        <v>995</v>
      </c>
      <c r="G115" s="213" t="s">
        <v>937</v>
      </c>
      <c r="H115" s="276" t="s">
        <v>802</v>
      </c>
      <c r="I115" s="276" t="s">
        <v>424</v>
      </c>
      <c r="J115" s="276" t="s">
        <v>615</v>
      </c>
      <c r="K115" s="277" t="s">
        <v>642</v>
      </c>
      <c r="L115" s="276"/>
      <c r="M115" s="282"/>
      <c r="N115" s="374" t="s">
        <v>635</v>
      </c>
      <c r="O115" s="282"/>
      <c r="P115" s="291" t="s">
        <v>801</v>
      </c>
      <c r="Q115" s="192"/>
      <c r="R115" s="192"/>
      <c r="S115" s="192"/>
    </row>
    <row r="116" spans="1:19" ht="28.8" hidden="1" x14ac:dyDescent="0.3">
      <c r="A116" s="213">
        <v>113</v>
      </c>
      <c r="B116" s="213"/>
      <c r="C116" s="213" t="s">
        <v>417</v>
      </c>
      <c r="D116" s="213" t="s">
        <v>674</v>
      </c>
      <c r="E116" s="213" t="s">
        <v>677</v>
      </c>
      <c r="F116" s="213" t="s">
        <v>996</v>
      </c>
      <c r="G116" s="213" t="s">
        <v>937</v>
      </c>
      <c r="H116" s="276" t="s">
        <v>422</v>
      </c>
      <c r="I116" s="276" t="s">
        <v>422</v>
      </c>
      <c r="J116" s="276" t="s">
        <v>615</v>
      </c>
      <c r="K116" s="277" t="s">
        <v>642</v>
      </c>
      <c r="L116" s="276"/>
      <c r="M116" s="282"/>
      <c r="N116" s="374" t="s">
        <v>635</v>
      </c>
      <c r="O116" s="282"/>
      <c r="P116" s="291" t="s">
        <v>801</v>
      </c>
      <c r="Q116" s="192"/>
      <c r="R116" s="192"/>
      <c r="S116" s="192"/>
    </row>
    <row r="117" spans="1:19" ht="28.8" hidden="1" x14ac:dyDescent="0.3">
      <c r="A117" s="213">
        <v>114</v>
      </c>
      <c r="B117" s="213"/>
      <c r="C117" s="213" t="s">
        <v>417</v>
      </c>
      <c r="D117" s="213" t="s">
        <v>674</v>
      </c>
      <c r="E117" s="213" t="s">
        <v>677</v>
      </c>
      <c r="F117" s="213" t="s">
        <v>997</v>
      </c>
      <c r="G117" s="213" t="s">
        <v>937</v>
      </c>
      <c r="H117" s="276" t="s">
        <v>422</v>
      </c>
      <c r="I117" s="276" t="s">
        <v>422</v>
      </c>
      <c r="J117" s="276" t="s">
        <v>615</v>
      </c>
      <c r="K117" s="277" t="s">
        <v>642</v>
      </c>
      <c r="L117" s="276"/>
      <c r="M117" s="282"/>
      <c r="N117" s="374" t="s">
        <v>635</v>
      </c>
      <c r="O117" s="282"/>
      <c r="P117" s="291" t="s">
        <v>801</v>
      </c>
      <c r="Q117" s="192"/>
      <c r="R117" s="192"/>
      <c r="S117" s="192"/>
    </row>
    <row r="118" spans="1:19" ht="55.2" x14ac:dyDescent="0.3">
      <c r="A118" s="213">
        <v>115</v>
      </c>
      <c r="B118" s="213">
        <v>45909</v>
      </c>
      <c r="C118" s="213" t="s">
        <v>417</v>
      </c>
      <c r="D118" s="213" t="s">
        <v>767</v>
      </c>
      <c r="E118" s="213" t="s">
        <v>677</v>
      </c>
      <c r="F118" s="213" t="s">
        <v>998</v>
      </c>
      <c r="G118" s="213" t="s">
        <v>941</v>
      </c>
      <c r="H118" s="276" t="s">
        <v>35</v>
      </c>
      <c r="I118" s="276" t="s">
        <v>421</v>
      </c>
      <c r="J118" s="276" t="s">
        <v>615</v>
      </c>
      <c r="K118" s="277" t="s">
        <v>642</v>
      </c>
      <c r="L118" s="276"/>
      <c r="M118" s="282"/>
      <c r="N118" s="374" t="s">
        <v>672</v>
      </c>
      <c r="O118" s="282"/>
      <c r="P118" s="291" t="s">
        <v>801</v>
      </c>
      <c r="Q118" s="192"/>
      <c r="R118" s="192"/>
      <c r="S118" s="192"/>
    </row>
    <row r="119" spans="1:19" ht="28.8" hidden="1" x14ac:dyDescent="0.3">
      <c r="A119" s="213">
        <v>116</v>
      </c>
      <c r="B119" s="213"/>
      <c r="C119" s="213" t="s">
        <v>417</v>
      </c>
      <c r="D119" s="213" t="s">
        <v>674</v>
      </c>
      <c r="E119" s="213" t="s">
        <v>677</v>
      </c>
      <c r="F119" s="213" t="s">
        <v>999</v>
      </c>
      <c r="G119" s="213" t="s">
        <v>937</v>
      </c>
      <c r="H119" s="276" t="s">
        <v>422</v>
      </c>
      <c r="I119" s="276" t="s">
        <v>422</v>
      </c>
      <c r="J119" s="276" t="s">
        <v>615</v>
      </c>
      <c r="K119" s="277" t="s">
        <v>642</v>
      </c>
      <c r="L119" s="276"/>
      <c r="M119" s="282"/>
      <c r="N119" s="374" t="s">
        <v>635</v>
      </c>
      <c r="O119" s="282"/>
      <c r="P119" s="291" t="s">
        <v>801</v>
      </c>
      <c r="Q119" s="192"/>
      <c r="R119" s="192"/>
      <c r="S119" s="192"/>
    </row>
    <row r="120" spans="1:19" ht="28.8" hidden="1" x14ac:dyDescent="0.3">
      <c r="A120" s="213">
        <v>117</v>
      </c>
      <c r="B120" s="213"/>
      <c r="C120" s="213" t="s">
        <v>417</v>
      </c>
      <c r="D120" s="213" t="s">
        <v>674</v>
      </c>
      <c r="E120" s="213" t="s">
        <v>677</v>
      </c>
      <c r="F120" s="213" t="s">
        <v>1000</v>
      </c>
      <c r="G120" s="213" t="s">
        <v>937</v>
      </c>
      <c r="H120" s="276" t="s">
        <v>422</v>
      </c>
      <c r="I120" s="276" t="s">
        <v>422</v>
      </c>
      <c r="J120" s="276" t="s">
        <v>615</v>
      </c>
      <c r="K120" s="277" t="s">
        <v>642</v>
      </c>
      <c r="L120" s="276"/>
      <c r="M120" s="282"/>
      <c r="N120" s="374" t="s">
        <v>635</v>
      </c>
      <c r="O120" s="282"/>
      <c r="P120" s="291" t="s">
        <v>801</v>
      </c>
      <c r="Q120" s="192"/>
      <c r="R120" s="192"/>
      <c r="S120" s="192"/>
    </row>
    <row r="121" spans="1:19" ht="28.8" hidden="1" x14ac:dyDescent="0.3">
      <c r="A121" s="214">
        <v>118</v>
      </c>
      <c r="B121" s="214"/>
      <c r="C121" s="214" t="s">
        <v>415</v>
      </c>
      <c r="D121" s="214" t="s">
        <v>46</v>
      </c>
      <c r="E121" s="214" t="s">
        <v>677</v>
      </c>
      <c r="F121" s="214" t="s">
        <v>1001</v>
      </c>
      <c r="G121" s="214" t="s">
        <v>937</v>
      </c>
      <c r="H121" s="276" t="s">
        <v>802</v>
      </c>
      <c r="I121" s="276" t="s">
        <v>424</v>
      </c>
      <c r="J121" s="276" t="s">
        <v>615</v>
      </c>
      <c r="K121" s="277" t="s">
        <v>642</v>
      </c>
      <c r="L121" s="276"/>
      <c r="M121" s="282"/>
      <c r="N121" s="374" t="s">
        <v>635</v>
      </c>
      <c r="O121" s="282"/>
      <c r="P121" s="291" t="s">
        <v>801</v>
      </c>
      <c r="Q121" s="192"/>
      <c r="R121" s="192"/>
      <c r="S121" s="192"/>
    </row>
    <row r="122" spans="1:19" ht="28.8" hidden="1" x14ac:dyDescent="0.3">
      <c r="A122" s="214">
        <v>119</v>
      </c>
      <c r="B122" s="214"/>
      <c r="C122" s="214" t="s">
        <v>417</v>
      </c>
      <c r="D122" s="214" t="s">
        <v>46</v>
      </c>
      <c r="E122" s="214" t="s">
        <v>677</v>
      </c>
      <c r="F122" s="214" t="s">
        <v>1002</v>
      </c>
      <c r="G122" s="214" t="s">
        <v>937</v>
      </c>
      <c r="H122" s="276" t="s">
        <v>802</v>
      </c>
      <c r="I122" s="276" t="s">
        <v>424</v>
      </c>
      <c r="J122" s="276" t="s">
        <v>615</v>
      </c>
      <c r="K122" s="277" t="s">
        <v>642</v>
      </c>
      <c r="L122" s="276"/>
      <c r="M122" s="282"/>
      <c r="N122" s="374" t="s">
        <v>635</v>
      </c>
      <c r="O122" s="282"/>
      <c r="P122" s="291" t="s">
        <v>801</v>
      </c>
      <c r="Q122" s="192"/>
      <c r="R122" s="192"/>
      <c r="S122" s="192"/>
    </row>
    <row r="123" spans="1:19" ht="28.8" hidden="1" x14ac:dyDescent="0.3">
      <c r="A123" s="213">
        <v>120</v>
      </c>
      <c r="B123" s="213"/>
      <c r="C123" s="213" t="s">
        <v>417</v>
      </c>
      <c r="D123" s="213" t="s">
        <v>674</v>
      </c>
      <c r="E123" s="213" t="s">
        <v>677</v>
      </c>
      <c r="F123" s="213" t="s">
        <v>1003</v>
      </c>
      <c r="G123" s="213" t="s">
        <v>937</v>
      </c>
      <c r="H123" s="276" t="s">
        <v>422</v>
      </c>
      <c r="I123" s="276" t="s">
        <v>422</v>
      </c>
      <c r="J123" s="276" t="s">
        <v>615</v>
      </c>
      <c r="K123" s="277" t="s">
        <v>642</v>
      </c>
      <c r="L123" s="276"/>
      <c r="M123" s="282"/>
      <c r="N123" s="374" t="s">
        <v>635</v>
      </c>
      <c r="O123" s="282"/>
      <c r="P123" s="291" t="s">
        <v>801</v>
      </c>
      <c r="Q123" s="192"/>
      <c r="R123" s="192"/>
      <c r="S123" s="192"/>
    </row>
    <row r="124" spans="1:19" ht="28.8" hidden="1" x14ac:dyDescent="0.3">
      <c r="A124" s="214">
        <v>121</v>
      </c>
      <c r="B124" s="214"/>
      <c r="C124" s="214" t="s">
        <v>417</v>
      </c>
      <c r="D124" s="214" t="s">
        <v>46</v>
      </c>
      <c r="E124" s="214" t="s">
        <v>677</v>
      </c>
      <c r="F124" s="214" t="s">
        <v>1004</v>
      </c>
      <c r="G124" s="214" t="s">
        <v>937</v>
      </c>
      <c r="H124" s="276" t="s">
        <v>802</v>
      </c>
      <c r="I124" s="276" t="s">
        <v>424</v>
      </c>
      <c r="J124" s="276" t="s">
        <v>615</v>
      </c>
      <c r="K124" s="277" t="s">
        <v>642</v>
      </c>
      <c r="L124" s="276"/>
      <c r="M124" s="282"/>
      <c r="N124" s="374" t="s">
        <v>635</v>
      </c>
      <c r="O124" s="282"/>
      <c r="P124" s="291" t="s">
        <v>801</v>
      </c>
      <c r="Q124" s="192"/>
      <c r="R124" s="192"/>
      <c r="S124" s="192"/>
    </row>
    <row r="125" spans="1:19" ht="28.8" hidden="1" x14ac:dyDescent="0.3">
      <c r="A125" s="214">
        <v>122</v>
      </c>
      <c r="B125" s="214"/>
      <c r="C125" s="214" t="s">
        <v>417</v>
      </c>
      <c r="D125" s="214" t="s">
        <v>46</v>
      </c>
      <c r="E125" s="214" t="s">
        <v>677</v>
      </c>
      <c r="F125" s="214" t="s">
        <v>1005</v>
      </c>
      <c r="G125" s="214" t="s">
        <v>937</v>
      </c>
      <c r="H125" s="276" t="s">
        <v>422</v>
      </c>
      <c r="I125" s="276" t="s">
        <v>422</v>
      </c>
      <c r="J125" s="276" t="s">
        <v>615</v>
      </c>
      <c r="K125" s="277" t="s">
        <v>642</v>
      </c>
      <c r="L125" s="276"/>
      <c r="M125" s="282"/>
      <c r="N125" s="374" t="s">
        <v>635</v>
      </c>
      <c r="O125" s="282"/>
      <c r="P125" s="291" t="s">
        <v>801</v>
      </c>
      <c r="Q125" s="192"/>
      <c r="R125" s="192"/>
      <c r="S125" s="192"/>
    </row>
    <row r="126" spans="1:19" ht="28.8" hidden="1" x14ac:dyDescent="0.3">
      <c r="A126" s="213">
        <v>123</v>
      </c>
      <c r="B126" s="213"/>
      <c r="C126" s="213" t="s">
        <v>417</v>
      </c>
      <c r="D126" s="213" t="s">
        <v>674</v>
      </c>
      <c r="E126" s="213" t="s">
        <v>677</v>
      </c>
      <c r="F126" s="213" t="s">
        <v>1006</v>
      </c>
      <c r="G126" s="213" t="s">
        <v>937</v>
      </c>
      <c r="H126" s="276" t="s">
        <v>802</v>
      </c>
      <c r="I126" s="276" t="s">
        <v>424</v>
      </c>
      <c r="J126" s="276" t="s">
        <v>615</v>
      </c>
      <c r="K126" s="277" t="s">
        <v>642</v>
      </c>
      <c r="L126" s="276"/>
      <c r="M126" s="282"/>
      <c r="N126" s="374" t="s">
        <v>635</v>
      </c>
      <c r="O126" s="282"/>
      <c r="P126" s="291" t="s">
        <v>801</v>
      </c>
      <c r="Q126" s="192"/>
      <c r="R126" s="192"/>
      <c r="S126" s="192"/>
    </row>
    <row r="127" spans="1:19" ht="28.8" hidden="1" x14ac:dyDescent="0.3">
      <c r="A127" s="422">
        <v>124</v>
      </c>
      <c r="B127" s="373"/>
      <c r="C127" s="370" t="s">
        <v>415</v>
      </c>
      <c r="D127" s="279" t="s">
        <v>639</v>
      </c>
      <c r="E127" s="371" t="s">
        <v>677</v>
      </c>
      <c r="F127" s="372" t="s">
        <v>1007</v>
      </c>
      <c r="G127" s="371" t="s">
        <v>937</v>
      </c>
      <c r="H127" s="276" t="s">
        <v>802</v>
      </c>
      <c r="I127" s="276"/>
      <c r="J127" s="276" t="s">
        <v>615</v>
      </c>
      <c r="K127" s="277" t="s">
        <v>642</v>
      </c>
      <c r="L127" s="276"/>
      <c r="M127" s="282"/>
      <c r="N127" s="374" t="s">
        <v>635</v>
      </c>
      <c r="O127" s="282"/>
      <c r="P127" s="291" t="s">
        <v>801</v>
      </c>
      <c r="Q127" s="192"/>
      <c r="R127" s="192"/>
      <c r="S127" s="192"/>
    </row>
    <row r="128" spans="1:19" ht="30" hidden="1" x14ac:dyDescent="0.3">
      <c r="A128" s="422">
        <v>125</v>
      </c>
      <c r="B128" s="373"/>
      <c r="C128" s="370" t="s">
        <v>415</v>
      </c>
      <c r="D128" s="279" t="s">
        <v>639</v>
      </c>
      <c r="E128" s="371" t="s">
        <v>677</v>
      </c>
      <c r="F128" s="372" t="s">
        <v>1008</v>
      </c>
      <c r="G128" s="371" t="s">
        <v>937</v>
      </c>
      <c r="H128" s="276" t="s">
        <v>802</v>
      </c>
      <c r="I128" s="276"/>
      <c r="J128" s="276" t="s">
        <v>615</v>
      </c>
      <c r="K128" s="277" t="s">
        <v>642</v>
      </c>
      <c r="L128" s="276"/>
      <c r="M128" s="282"/>
      <c r="N128" s="374" t="s">
        <v>635</v>
      </c>
      <c r="O128" s="282"/>
      <c r="P128" s="291" t="s">
        <v>801</v>
      </c>
      <c r="Q128" s="192"/>
      <c r="R128" s="192"/>
      <c r="S128" s="192"/>
    </row>
    <row r="146" spans="6:10" x14ac:dyDescent="0.3">
      <c r="F146" s="208" t="s">
        <v>562</v>
      </c>
      <c r="G146" t="s">
        <v>421</v>
      </c>
    </row>
    <row r="148" spans="6:10" x14ac:dyDescent="0.3">
      <c r="F148" s="208" t="s">
        <v>866</v>
      </c>
      <c r="G148" s="208" t="s">
        <v>826</v>
      </c>
    </row>
    <row r="149" spans="6:10" x14ac:dyDescent="0.3">
      <c r="F149" s="208" t="s">
        <v>406</v>
      </c>
      <c r="G149" t="s">
        <v>937</v>
      </c>
      <c r="H149" t="s">
        <v>941</v>
      </c>
      <c r="I149" t="s">
        <v>427</v>
      </c>
    </row>
    <row r="150" spans="6:10" x14ac:dyDescent="0.3">
      <c r="F150" s="191" t="s">
        <v>616</v>
      </c>
      <c r="H150">
        <v>11</v>
      </c>
      <c r="I150">
        <v>11</v>
      </c>
      <c r="J150" s="483">
        <f>GETPIVOTDATA("Project Type",$F$148,"Requesting Department","Central Procurement Group")/19</f>
        <v>0.57894736842105265</v>
      </c>
    </row>
    <row r="151" spans="6:10" x14ac:dyDescent="0.3">
      <c r="F151" s="450" t="s">
        <v>417</v>
      </c>
      <c r="H151">
        <v>10</v>
      </c>
      <c r="I151">
        <v>10</v>
      </c>
      <c r="J151" s="483">
        <f>GETPIVOTDATA("Project Type",$F$148,"Project Category","B","Requesting Department","Central Procurement Group")/19</f>
        <v>0.52631578947368418</v>
      </c>
    </row>
    <row r="152" spans="6:10" x14ac:dyDescent="0.3">
      <c r="F152" s="450" t="s">
        <v>418</v>
      </c>
      <c r="H152">
        <v>1</v>
      </c>
      <c r="I152">
        <v>1</v>
      </c>
      <c r="J152" s="483">
        <f>GETPIVOTDATA("Project Type",$F$148,"Project Category","C","Requesting Department","Central Procurement Group")/19</f>
        <v>5.2631578947368418E-2</v>
      </c>
    </row>
    <row r="153" spans="6:10" x14ac:dyDescent="0.3">
      <c r="F153" s="191" t="s">
        <v>642</v>
      </c>
      <c r="G153">
        <v>5</v>
      </c>
      <c r="H153">
        <v>4</v>
      </c>
      <c r="I153">
        <v>9</v>
      </c>
      <c r="J153" s="483">
        <f>GETPIVOTDATA("Project Type",$F$148,"Requesting Department","Marketing/Sales")/19</f>
        <v>0.47368421052631576</v>
      </c>
    </row>
    <row r="154" spans="6:10" x14ac:dyDescent="0.3">
      <c r="F154" s="450" t="s">
        <v>415</v>
      </c>
      <c r="H154">
        <v>1</v>
      </c>
      <c r="I154">
        <v>1</v>
      </c>
      <c r="J154" s="483">
        <f>GETPIVOTDATA("Project Type",$F$148,"Project Category","A","Requesting Department","Marketing/Sales")/19</f>
        <v>5.2631578947368418E-2</v>
      </c>
    </row>
    <row r="155" spans="6:10" x14ac:dyDescent="0.3">
      <c r="F155" s="450" t="s">
        <v>417</v>
      </c>
      <c r="G155">
        <v>4</v>
      </c>
      <c r="H155">
        <v>1</v>
      </c>
      <c r="I155">
        <v>5</v>
      </c>
      <c r="J155" s="483">
        <f>GETPIVOTDATA("Project Type",$F$148,"Project Category","B","Requesting Department","Marketing/Sales")/19</f>
        <v>0.26315789473684209</v>
      </c>
    </row>
    <row r="156" spans="6:10" x14ac:dyDescent="0.3">
      <c r="F156" s="450" t="s">
        <v>418</v>
      </c>
      <c r="G156">
        <v>1</v>
      </c>
      <c r="H156">
        <v>2</v>
      </c>
      <c r="I156">
        <v>3</v>
      </c>
      <c r="J156" s="483">
        <f>GETPIVOTDATA("Project Type",$F$148,"Project Category","C","Requesting Department","Marketing/Sales")/19</f>
        <v>0.15789473684210525</v>
      </c>
    </row>
    <row r="157" spans="6:10" x14ac:dyDescent="0.3">
      <c r="F157" s="191" t="s">
        <v>427</v>
      </c>
      <c r="G157">
        <v>5</v>
      </c>
      <c r="H157">
        <v>15</v>
      </c>
      <c r="I157">
        <v>20</v>
      </c>
    </row>
    <row r="158" spans="6:10" x14ac:dyDescent="0.3">
      <c r="H158" s="480"/>
    </row>
    <row r="164" spans="6:22" x14ac:dyDescent="0.3">
      <c r="F164" s="208" t="s">
        <v>825</v>
      </c>
      <c r="G164" s="208" t="s">
        <v>826</v>
      </c>
    </row>
    <row r="165" spans="6:22" x14ac:dyDescent="0.3">
      <c r="G165" t="s">
        <v>937</v>
      </c>
      <c r="L165" t="s">
        <v>1009</v>
      </c>
      <c r="M165" t="s">
        <v>941</v>
      </c>
      <c r="U165" t="s">
        <v>1010</v>
      </c>
      <c r="V165" t="s">
        <v>427</v>
      </c>
    </row>
    <row r="166" spans="6:22" x14ac:dyDescent="0.3">
      <c r="F166" s="208" t="s">
        <v>406</v>
      </c>
      <c r="G166" t="s">
        <v>33</v>
      </c>
      <c r="H166" t="s">
        <v>35</v>
      </c>
      <c r="I166" t="s">
        <v>36</v>
      </c>
      <c r="J166" t="s">
        <v>802</v>
      </c>
      <c r="K166" t="s">
        <v>422</v>
      </c>
      <c r="M166" t="s">
        <v>641</v>
      </c>
      <c r="N166" t="s">
        <v>33</v>
      </c>
      <c r="O166" t="s">
        <v>34</v>
      </c>
      <c r="P166" t="s">
        <v>663</v>
      </c>
      <c r="Q166" t="s">
        <v>35</v>
      </c>
      <c r="R166" t="s">
        <v>36</v>
      </c>
      <c r="S166" t="s">
        <v>802</v>
      </c>
      <c r="T166" t="s">
        <v>422</v>
      </c>
    </row>
    <row r="167" spans="6:22" x14ac:dyDescent="0.3">
      <c r="F167" s="191" t="s">
        <v>616</v>
      </c>
      <c r="N167">
        <v>1</v>
      </c>
      <c r="P167">
        <v>10</v>
      </c>
      <c r="Q167">
        <v>11</v>
      </c>
      <c r="U167">
        <v>22</v>
      </c>
      <c r="V167">
        <v>22</v>
      </c>
    </row>
    <row r="168" spans="6:22" x14ac:dyDescent="0.3">
      <c r="F168" s="450" t="s">
        <v>417</v>
      </c>
      <c r="Q168">
        <v>10</v>
      </c>
      <c r="U168">
        <v>10</v>
      </c>
      <c r="V168">
        <v>10</v>
      </c>
    </row>
    <row r="169" spans="6:22" x14ac:dyDescent="0.3">
      <c r="F169" s="450" t="s">
        <v>418</v>
      </c>
      <c r="N169">
        <v>1</v>
      </c>
      <c r="P169">
        <v>10</v>
      </c>
      <c r="Q169">
        <v>1</v>
      </c>
      <c r="U169">
        <v>12</v>
      </c>
      <c r="V169">
        <v>12</v>
      </c>
    </row>
    <row r="170" spans="6:22" x14ac:dyDescent="0.3">
      <c r="F170" s="191" t="s">
        <v>642</v>
      </c>
      <c r="G170">
        <v>9</v>
      </c>
      <c r="H170">
        <v>12</v>
      </c>
      <c r="I170">
        <v>8</v>
      </c>
      <c r="J170">
        <v>10</v>
      </c>
      <c r="K170">
        <v>9</v>
      </c>
      <c r="L170">
        <v>48</v>
      </c>
      <c r="M170">
        <v>2</v>
      </c>
      <c r="N170">
        <v>19</v>
      </c>
      <c r="O170">
        <v>3</v>
      </c>
      <c r="P170">
        <v>1</v>
      </c>
      <c r="Q170">
        <v>17</v>
      </c>
      <c r="R170">
        <v>1</v>
      </c>
      <c r="S170">
        <v>6</v>
      </c>
      <c r="T170">
        <v>1</v>
      </c>
      <c r="U170">
        <v>50</v>
      </c>
      <c r="V170">
        <v>98</v>
      </c>
    </row>
    <row r="171" spans="6:22" x14ac:dyDescent="0.3">
      <c r="F171" s="450" t="s">
        <v>415</v>
      </c>
      <c r="G171">
        <v>3</v>
      </c>
      <c r="H171">
        <v>3</v>
      </c>
      <c r="I171">
        <v>1</v>
      </c>
      <c r="J171">
        <v>4</v>
      </c>
      <c r="L171">
        <v>11</v>
      </c>
      <c r="O171">
        <v>1</v>
      </c>
      <c r="Q171">
        <v>6</v>
      </c>
      <c r="S171">
        <v>2</v>
      </c>
      <c r="U171">
        <v>9</v>
      </c>
      <c r="V171">
        <v>20</v>
      </c>
    </row>
    <row r="172" spans="6:22" x14ac:dyDescent="0.3">
      <c r="F172" s="450" t="s">
        <v>417</v>
      </c>
      <c r="G172">
        <v>6</v>
      </c>
      <c r="H172">
        <v>8</v>
      </c>
      <c r="I172">
        <v>2</v>
      </c>
      <c r="J172">
        <v>6</v>
      </c>
      <c r="K172">
        <v>9</v>
      </c>
      <c r="L172">
        <v>31</v>
      </c>
      <c r="M172">
        <v>2</v>
      </c>
      <c r="N172">
        <v>19</v>
      </c>
      <c r="O172">
        <v>2</v>
      </c>
      <c r="P172">
        <v>1</v>
      </c>
      <c r="Q172">
        <v>7</v>
      </c>
      <c r="S172">
        <v>2</v>
      </c>
      <c r="T172">
        <v>1</v>
      </c>
      <c r="U172">
        <v>34</v>
      </c>
      <c r="V172">
        <v>65</v>
      </c>
    </row>
    <row r="173" spans="6:22" x14ac:dyDescent="0.3">
      <c r="F173" s="450" t="s">
        <v>418</v>
      </c>
      <c r="H173">
        <v>1</v>
      </c>
      <c r="I173">
        <v>5</v>
      </c>
      <c r="L173">
        <v>6</v>
      </c>
      <c r="Q173">
        <v>4</v>
      </c>
      <c r="R173">
        <v>1</v>
      </c>
      <c r="U173">
        <v>5</v>
      </c>
      <c r="V173">
        <v>11</v>
      </c>
    </row>
    <row r="174" spans="6:22" x14ac:dyDescent="0.3">
      <c r="F174" s="450" t="s">
        <v>425</v>
      </c>
      <c r="S174">
        <v>1</v>
      </c>
      <c r="U174">
        <v>1</v>
      </c>
      <c r="V174">
        <v>1</v>
      </c>
    </row>
    <row r="175" spans="6:22" x14ac:dyDescent="0.3">
      <c r="F175" s="450" t="s">
        <v>423</v>
      </c>
      <c r="S175">
        <v>1</v>
      </c>
      <c r="U175">
        <v>1</v>
      </c>
      <c r="V175">
        <v>1</v>
      </c>
    </row>
    <row r="176" spans="6:22" x14ac:dyDescent="0.3">
      <c r="F176" s="191" t="s">
        <v>391</v>
      </c>
      <c r="G176">
        <v>1</v>
      </c>
      <c r="L176">
        <v>1</v>
      </c>
      <c r="N176">
        <v>3</v>
      </c>
      <c r="U176">
        <v>3</v>
      </c>
      <c r="V176">
        <v>4</v>
      </c>
    </row>
    <row r="177" spans="6:22" x14ac:dyDescent="0.3">
      <c r="F177" s="450" t="s">
        <v>417</v>
      </c>
      <c r="G177">
        <v>1</v>
      </c>
      <c r="L177">
        <v>1</v>
      </c>
      <c r="N177">
        <v>3</v>
      </c>
      <c r="U177">
        <v>3</v>
      </c>
      <c r="V177">
        <v>4</v>
      </c>
    </row>
    <row r="178" spans="6:22" x14ac:dyDescent="0.3">
      <c r="F178" s="191" t="s">
        <v>427</v>
      </c>
      <c r="G178">
        <v>10</v>
      </c>
      <c r="H178">
        <v>12</v>
      </c>
      <c r="I178">
        <v>8</v>
      </c>
      <c r="J178">
        <v>10</v>
      </c>
      <c r="K178">
        <v>9</v>
      </c>
      <c r="L178">
        <v>49</v>
      </c>
      <c r="M178">
        <v>2</v>
      </c>
      <c r="N178">
        <v>23</v>
      </c>
      <c r="O178">
        <v>3</v>
      </c>
      <c r="P178">
        <v>11</v>
      </c>
      <c r="Q178">
        <v>28</v>
      </c>
      <c r="R178">
        <v>1</v>
      </c>
      <c r="S178">
        <v>6</v>
      </c>
      <c r="T178">
        <v>1</v>
      </c>
      <c r="U178">
        <v>75</v>
      </c>
      <c r="V178">
        <v>124</v>
      </c>
    </row>
    <row r="190" spans="6:22" x14ac:dyDescent="0.3">
      <c r="F190" s="208" t="s">
        <v>562</v>
      </c>
      <c r="G190" t="s">
        <v>864</v>
      </c>
    </row>
    <row r="192" spans="6:22" x14ac:dyDescent="0.3">
      <c r="F192" s="208" t="s">
        <v>825</v>
      </c>
      <c r="G192" s="208" t="s">
        <v>826</v>
      </c>
    </row>
    <row r="193" spans="6:13" x14ac:dyDescent="0.3">
      <c r="G193" t="s">
        <v>937</v>
      </c>
      <c r="I193" t="s">
        <v>1009</v>
      </c>
      <c r="J193" t="s">
        <v>941</v>
      </c>
      <c r="L193" t="s">
        <v>1010</v>
      </c>
      <c r="M193" t="s">
        <v>427</v>
      </c>
    </row>
    <row r="194" spans="6:13" x14ac:dyDescent="0.3">
      <c r="F194" s="208" t="s">
        <v>406</v>
      </c>
      <c r="G194" t="s">
        <v>422</v>
      </c>
      <c r="H194" t="s">
        <v>802</v>
      </c>
      <c r="J194" t="s">
        <v>422</v>
      </c>
      <c r="K194" t="s">
        <v>802</v>
      </c>
    </row>
    <row r="195" spans="6:13" x14ac:dyDescent="0.3">
      <c r="F195" s="191" t="s">
        <v>642</v>
      </c>
      <c r="G195">
        <v>9</v>
      </c>
      <c r="H195">
        <v>8</v>
      </c>
      <c r="I195">
        <v>17</v>
      </c>
      <c r="J195">
        <v>1</v>
      </c>
      <c r="K195">
        <v>6</v>
      </c>
      <c r="L195">
        <v>7</v>
      </c>
      <c r="M195">
        <v>24</v>
      </c>
    </row>
    <row r="196" spans="6:13" x14ac:dyDescent="0.3">
      <c r="F196" s="450" t="s">
        <v>415</v>
      </c>
      <c r="H196">
        <v>2</v>
      </c>
      <c r="I196">
        <v>2</v>
      </c>
      <c r="K196">
        <v>2</v>
      </c>
      <c r="L196">
        <v>2</v>
      </c>
      <c r="M196">
        <v>4</v>
      </c>
    </row>
    <row r="197" spans="6:13" x14ac:dyDescent="0.3">
      <c r="F197" s="450" t="s">
        <v>425</v>
      </c>
      <c r="K197">
        <v>1</v>
      </c>
      <c r="L197">
        <v>1</v>
      </c>
      <c r="M197">
        <v>1</v>
      </c>
    </row>
    <row r="198" spans="6:13" x14ac:dyDescent="0.3">
      <c r="F198" s="450" t="s">
        <v>417</v>
      </c>
      <c r="G198">
        <v>9</v>
      </c>
      <c r="H198">
        <v>6</v>
      </c>
      <c r="I198">
        <v>15</v>
      </c>
      <c r="J198">
        <v>1</v>
      </c>
      <c r="K198">
        <v>2</v>
      </c>
      <c r="L198">
        <v>3</v>
      </c>
      <c r="M198">
        <v>18</v>
      </c>
    </row>
    <row r="199" spans="6:13" x14ac:dyDescent="0.3">
      <c r="F199" s="450" t="s">
        <v>423</v>
      </c>
      <c r="K199">
        <v>1</v>
      </c>
      <c r="L199">
        <v>1</v>
      </c>
      <c r="M199">
        <v>1</v>
      </c>
    </row>
    <row r="200" spans="6:13" x14ac:dyDescent="0.3">
      <c r="F200" s="191" t="s">
        <v>427</v>
      </c>
      <c r="G200">
        <v>9</v>
      </c>
      <c r="H200">
        <v>8</v>
      </c>
      <c r="I200">
        <v>17</v>
      </c>
      <c r="J200">
        <v>1</v>
      </c>
      <c r="K200">
        <v>6</v>
      </c>
      <c r="L200">
        <v>7</v>
      </c>
      <c r="M200">
        <v>24</v>
      </c>
    </row>
  </sheetData>
  <autoFilter ref="A4:BE128" xr:uid="{1C047CEC-3E33-40A1-8C18-290BDA6010BE}">
    <filterColumn colId="7">
      <filters>
        <filter val="ROM"/>
      </filters>
    </filterColumn>
  </autoFilter>
  <conditionalFormatting sqref="A2:A4">
    <cfRule type="duplicateValues" dxfId="6" priority="14"/>
  </conditionalFormatting>
  <conditionalFormatting sqref="C2:D4 D5:D7">
    <cfRule type="cellIs" dxfId="5" priority="13" operator="equal">
      <formula>"A"</formula>
    </cfRule>
  </conditionalFormatting>
  <conditionalFormatting sqref="D9:D34">
    <cfRule type="cellIs" dxfId="4" priority="10" operator="equal">
      <formula>"A"</formula>
    </cfRule>
  </conditionalFormatting>
  <conditionalFormatting sqref="D40:D45">
    <cfRule type="cellIs" dxfId="3" priority="3" operator="equal">
      <formula>"A"</formula>
    </cfRule>
  </conditionalFormatting>
  <conditionalFormatting sqref="D60:D61">
    <cfRule type="cellIs" dxfId="2" priority="2" operator="equal">
      <formula>"A"</formula>
    </cfRule>
  </conditionalFormatting>
  <conditionalFormatting sqref="T101:AB101">
    <cfRule type="cellIs" dxfId="1" priority="1" operator="equal">
      <formula>#REF!</formula>
    </cfRule>
  </conditionalFormatting>
  <conditionalFormatting sqref="T4:BE4 T9:AF9">
    <cfRule type="cellIs" dxfId="0" priority="12" operator="equal">
      <formula>#REF!</formula>
    </cfRule>
  </conditionalFormatting>
  <pageMargins left="0.7" right="0.7" top="0.75" bottom="0.75" header="0.3" footer="0.3"/>
  <pageSetup paperSize="9" orientation="portrait" r:id="rId4"/>
  <drawing r:id="rId5"/>
  <legacyDrawing r:id="rId6"/>
  <extLst>
    <ext xmlns:x14="http://schemas.microsoft.com/office/spreadsheetml/2009/9/main" uri="{CCE6A557-97BC-4b89-ADB6-D9C93CAAB3DF}">
      <x14:dataValidations xmlns:xm="http://schemas.microsoft.com/office/excel/2006/main" count="16">
        <x14:dataValidation type="list" allowBlank="1" showInputMessage="1" showErrorMessage="1" xr:uid="{28A741F5-68CA-48E6-9855-BA1AB1466861}">
          <x14:formula1>
            <xm:f>'Lists &amp; Explanations'!$W$2:$W$6</xm:f>
          </x14:formula1>
          <xm:sqref>N9 N46:N62</xm:sqref>
        </x14:dataValidation>
        <x14:dataValidation type="list" allowBlank="1" showInputMessage="1" showErrorMessage="1" xr:uid="{D05DA375-F6FE-4F61-A47E-335F88AFFB40}">
          <x14:formula1>
            <xm:f>'Lists &amp; Explanations'!$M$3:$M$16</xm:f>
          </x14:formula1>
          <xm:sqref>R97:AB101 V4:AF4 W9:AF9 R102:S128</xm:sqref>
        </x14:dataValidation>
        <x14:dataValidation type="list" allowBlank="1" showInputMessage="1" showErrorMessage="1" xr:uid="{4FFFEE9F-D126-48A8-B269-2CFD218BEAA9}">
          <x14:formula1>
            <xm:f>'Lists &amp; Explanations'!$J$2:$J$11</xm:f>
          </x14:formula1>
          <xm:sqref>D4:D7 D29:D34 D9:D27 D44:D81 D97:D128</xm:sqref>
        </x14:dataValidation>
        <x14:dataValidation type="list" allowBlank="1" showInputMessage="1" showErrorMessage="1" xr:uid="{910800A2-E742-4809-BCDD-A4239BFFCE19}">
          <x14:formula1>
            <xm:f>'Lists &amp; Explanations'!$D$2:$D$13</xm:f>
          </x14:formula1>
          <xm:sqref>D29:D34 D9:D27 D4:D7 K4:K81 D44:D81 D97:D128 K97:K128</xm:sqref>
        </x14:dataValidation>
        <x14:dataValidation type="list" allowBlank="1" showInputMessage="1" showErrorMessage="1" xr:uid="{F6643DA8-5239-47CE-A137-285D3AC091AE}">
          <x14:formula1>
            <xm:f>'Lists &amp; Explanations'!$J$2:$J$10</xm:f>
          </x14:formula1>
          <xm:sqref>D4:D7 D29:D34 D9:D27 D44:D81 D97:D128</xm:sqref>
        </x14:dataValidation>
        <x14:dataValidation type="list" allowBlank="1" showInputMessage="1" showErrorMessage="1" xr:uid="{702FC87C-935F-4DBF-8E04-CE65C06F9857}">
          <x14:formula1>
            <xm:f>'Lists &amp; Explanations'!$E$2:$E$8</xm:f>
          </x14:formula1>
          <xm:sqref>C4 C46:C81 C97:C128</xm:sqref>
        </x14:dataValidation>
        <x14:dataValidation type="list" allowBlank="1" showInputMessage="1" showErrorMessage="1" xr:uid="{6EC1F256-72F4-40FA-BE9E-75EDED1A79CB}">
          <x14:formula1>
            <xm:f>'Lists &amp; Explanations'!$V$2:$V$3</xm:f>
          </x14:formula1>
          <xm:sqref>R9</xm:sqref>
        </x14:dataValidation>
        <x14:dataValidation type="list" allowBlank="1" showInputMessage="1" showErrorMessage="1" xr:uid="{377CE488-0CB8-47FD-A804-405D83122B3F}">
          <x14:formula1>
            <xm:f>'Lists &amp; Explanations'!$V$2:$V$4</xm:f>
          </x14:formula1>
          <xm:sqref>S4 S9</xm:sqref>
        </x14:dataValidation>
        <x14:dataValidation type="list" allowBlank="1" showInputMessage="1" showErrorMessage="1" xr:uid="{C050A7DA-1190-4CE7-B3A4-9924E114E113}">
          <x14:formula1>
            <xm:f>'Lists &amp; Explanations'!$Q$2:$Q$6</xm:f>
          </x14:formula1>
          <xm:sqref>J4:J81 J97:J128</xm:sqref>
        </x14:dataValidation>
        <x14:dataValidation type="list" allowBlank="1" showInputMessage="1" showErrorMessage="1" xr:uid="{CFC0F84F-5C7A-4EEB-9952-A0AC46C83996}">
          <x14:formula1>
            <xm:f>'Lists &amp; Explanations'!$P$2:$P$7</xm:f>
          </x14:formula1>
          <xm:sqref>I4:I81 I97:I128</xm:sqref>
        </x14:dataValidation>
        <x14:dataValidation type="list" allowBlank="1" showInputMessage="1" showErrorMessage="1" xr:uid="{5184B9AC-7C08-4810-BBD7-7F5E8503B6AE}">
          <x14:formula1>
            <xm:f>'Lists &amp; Explanations'!$C$2:$C$8</xm:f>
          </x14:formula1>
          <xm:sqref>H97:I98 H4:I81 H99:H128</xm:sqref>
        </x14:dataValidation>
        <x14:dataValidation type="list" allowBlank="1" showInputMessage="1" showErrorMessage="1" xr:uid="{98DF16DA-92D5-4401-89D7-8CDA324C28B2}">
          <x14:formula1>
            <xm:f>'Lists &amp; Explanations'!$A$2:$A$25</xm:f>
          </x14:formula1>
          <xm:sqref>B46:B59 B97:B98 B63:B79</xm:sqref>
        </x14:dataValidation>
        <x14:dataValidation type="list" allowBlank="1" showInputMessage="1" showErrorMessage="1" xr:uid="{E21C0D9C-8E14-42D9-9CC8-5515514EF9BD}">
          <x14:formula1>
            <xm:f>'Lists &amp; Explanations'!$C$2:$C$10</xm:f>
          </x14:formula1>
          <xm:sqref>H46:H81</xm:sqref>
        </x14:dataValidation>
        <x14:dataValidation type="list" allowBlank="1" showInputMessage="1" showErrorMessage="1" xr:uid="{916C9637-0ADE-416E-A57E-3370ECEF02DA}">
          <x14:formula1>
            <xm:f>'Lists &amp; Explanations'!$C$2:$C$9</xm:f>
          </x14:formula1>
          <xm:sqref>H46:H56 H60:H61</xm:sqref>
        </x14:dataValidation>
        <x14:dataValidation type="list" allowBlank="1" showInputMessage="1" showErrorMessage="1" xr:uid="{AC4B7EC2-82B7-4E81-A1F1-6CE891424C6C}">
          <x14:formula1>
            <xm:f>'Lists &amp; Explanations'!$W$2:$W$7</xm:f>
          </x14:formula1>
          <xm:sqref>N46:N56 N63:N81 N97:N128</xm:sqref>
        </x14:dataValidation>
        <x14:dataValidation type="list" allowBlank="1" showInputMessage="1" showErrorMessage="1" xr:uid="{EDEF47B0-D96A-4979-8573-A06212990C04}">
          <x14:formula1>
            <xm:f>'Lists &amp; Explanations'!$R$2:$R$21</xm:f>
          </x14:formula1>
          <xm:sqref>P97:P128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7343-0150-48BD-8253-F3B65A278180}">
  <sheetPr>
    <tabColor rgb="FF00B0F0"/>
  </sheetPr>
  <dimension ref="A1:H36"/>
  <sheetViews>
    <sheetView workbookViewId="0">
      <selection activeCell="G23" sqref="G23"/>
    </sheetView>
  </sheetViews>
  <sheetFormatPr defaultRowHeight="14.4" x14ac:dyDescent="0.3"/>
  <cols>
    <col min="1" max="1" width="25.6640625" bestFit="1" customWidth="1"/>
    <col min="2" max="2" width="15.5546875" bestFit="1" customWidth="1"/>
    <col min="3" max="3" width="4.109375" bestFit="1" customWidth="1"/>
    <col min="4" max="4" width="4.33203125" bestFit="1" customWidth="1"/>
    <col min="5" max="5" width="9.5546875" bestFit="1" customWidth="1"/>
    <col min="6" max="6" width="4.33203125" bestFit="1" customWidth="1"/>
    <col min="7" max="7" width="10.5546875" bestFit="1" customWidth="1"/>
    <col min="8" max="8" width="5.88671875" bestFit="1" customWidth="1"/>
    <col min="9" max="9" width="7.6640625" bestFit="1" customWidth="1"/>
    <col min="10" max="10" width="8.6640625" bestFit="1" customWidth="1"/>
    <col min="11" max="11" width="11.33203125" bestFit="1" customWidth="1"/>
    <col min="12" max="12" width="14.109375" bestFit="1" customWidth="1"/>
    <col min="13" max="13" width="5.88671875" bestFit="1" customWidth="1"/>
    <col min="14" max="14" width="3.33203125" bestFit="1" customWidth="1"/>
    <col min="15" max="15" width="8.6640625" bestFit="1" customWidth="1"/>
    <col min="16" max="16" width="10.5546875" bestFit="1" customWidth="1"/>
  </cols>
  <sheetData>
    <row r="1" spans="1:8" x14ac:dyDescent="0.3">
      <c r="A1" s="208" t="s">
        <v>1011</v>
      </c>
      <c r="B1" s="208" t="s">
        <v>826</v>
      </c>
    </row>
    <row r="2" spans="1:8" x14ac:dyDescent="0.3">
      <c r="A2" s="208" t="s">
        <v>406</v>
      </c>
      <c r="B2" s="79" t="s">
        <v>33</v>
      </c>
      <c r="C2" s="79" t="s">
        <v>34</v>
      </c>
      <c r="D2" s="79" t="s">
        <v>663</v>
      </c>
      <c r="E2" s="79" t="s">
        <v>36</v>
      </c>
      <c r="F2" s="79" t="s">
        <v>641</v>
      </c>
      <c r="G2" s="79" t="s">
        <v>427</v>
      </c>
    </row>
    <row r="3" spans="1:8" x14ac:dyDescent="0.3">
      <c r="A3" s="191" t="s">
        <v>642</v>
      </c>
      <c r="B3" s="79">
        <v>28</v>
      </c>
      <c r="C3" s="79">
        <v>3</v>
      </c>
      <c r="D3" s="79">
        <v>1</v>
      </c>
      <c r="E3" s="79">
        <v>9</v>
      </c>
      <c r="F3" s="79">
        <v>2</v>
      </c>
      <c r="G3" s="79">
        <v>43</v>
      </c>
      <c r="H3" s="451">
        <f>GETPIVOTDATA("Customer",$A$1,"Requesting Department","Marketing/Sales")/GETPIVOTDATA("Customer",$A$1)</f>
        <v>0.74137931034482762</v>
      </c>
    </row>
    <row r="4" spans="1:8" x14ac:dyDescent="0.3">
      <c r="A4" s="450" t="s">
        <v>415</v>
      </c>
      <c r="B4" s="79">
        <v>3</v>
      </c>
      <c r="C4" s="79">
        <v>1</v>
      </c>
      <c r="D4" s="79"/>
      <c r="E4" s="79">
        <v>1</v>
      </c>
      <c r="F4" s="79"/>
      <c r="G4" s="79">
        <v>5</v>
      </c>
      <c r="H4" s="451">
        <f>GETPIVOTDATA("Customer",$A$1,"Project Category","A","Requesting Department","Marketing/Sales")/GETPIVOTDATA("Customer",$A$1)</f>
        <v>8.6206896551724144E-2</v>
      </c>
    </row>
    <row r="5" spans="1:8" x14ac:dyDescent="0.3">
      <c r="A5" s="453" t="s">
        <v>941</v>
      </c>
      <c r="B5" s="79"/>
      <c r="C5" s="79">
        <v>1</v>
      </c>
      <c r="D5" s="79"/>
      <c r="E5" s="79"/>
      <c r="F5" s="79"/>
      <c r="G5" s="79">
        <v>1</v>
      </c>
      <c r="H5" s="451">
        <f>GETPIVOTDATA("Customer",$A$1,"Project Category","A","Status (Spill over/New)","Spill Over","Requesting Department","Marketing/Sales")/GETPIVOTDATA("Customer",$A$1)</f>
        <v>1.7241379310344827E-2</v>
      </c>
    </row>
    <row r="6" spans="1:8" x14ac:dyDescent="0.3">
      <c r="A6" s="453" t="s">
        <v>937</v>
      </c>
      <c r="B6" s="79">
        <v>3</v>
      </c>
      <c r="C6" s="79"/>
      <c r="D6" s="79"/>
      <c r="E6" s="79">
        <v>1</v>
      </c>
      <c r="F6" s="79"/>
      <c r="G6" s="79">
        <v>4</v>
      </c>
      <c r="H6" s="451">
        <f>GETPIVOTDATA("Customer",$A$1,"Project Category","A","Status (Spill over/New)","New","Requesting Department","Marketing/Sales")/GETPIVOTDATA("Customer",$A$1)</f>
        <v>6.8965517241379309E-2</v>
      </c>
    </row>
    <row r="7" spans="1:8" x14ac:dyDescent="0.3">
      <c r="A7" s="450" t="s">
        <v>417</v>
      </c>
      <c r="B7" s="79">
        <v>25</v>
      </c>
      <c r="C7" s="79">
        <v>2</v>
      </c>
      <c r="D7" s="79">
        <v>1</v>
      </c>
      <c r="E7" s="79">
        <v>2</v>
      </c>
      <c r="F7" s="79">
        <v>2</v>
      </c>
      <c r="G7" s="79">
        <v>32</v>
      </c>
      <c r="H7" s="451">
        <f>GETPIVOTDATA("Customer",$A$1,"Project Category","B","Requesting Department","Marketing/Sales")/GETPIVOTDATA("Customer",$A$1)</f>
        <v>0.55172413793103448</v>
      </c>
    </row>
    <row r="8" spans="1:8" x14ac:dyDescent="0.3">
      <c r="A8" s="453" t="s">
        <v>941</v>
      </c>
      <c r="B8" s="79">
        <v>19</v>
      </c>
      <c r="C8" s="79">
        <v>2</v>
      </c>
      <c r="D8" s="79">
        <v>1</v>
      </c>
      <c r="E8" s="79"/>
      <c r="F8" s="79">
        <v>2</v>
      </c>
      <c r="G8" s="79">
        <v>24</v>
      </c>
      <c r="H8" s="451">
        <f>GETPIVOTDATA("Customer",$A$1,"Project Category","B","Status (Spill over/New)","Spill Over","Requesting Department","Marketing/Sales")/GETPIVOTDATA("Customer",$A$1)</f>
        <v>0.41379310344827586</v>
      </c>
    </row>
    <row r="9" spans="1:8" x14ac:dyDescent="0.3">
      <c r="A9" s="453" t="s">
        <v>937</v>
      </c>
      <c r="B9" s="79">
        <v>6</v>
      </c>
      <c r="C9" s="79"/>
      <c r="D9" s="79"/>
      <c r="E9" s="79">
        <v>2</v>
      </c>
      <c r="F9" s="79"/>
      <c r="G9" s="79">
        <v>8</v>
      </c>
      <c r="H9" s="451">
        <f>GETPIVOTDATA("Customer",$A$1,"Project Category","B","Status (Spill over/New)","New","Requesting Department","Marketing/Sales")/GETPIVOTDATA("Customer",$A$1)</f>
        <v>0.13793103448275862</v>
      </c>
    </row>
    <row r="10" spans="1:8" x14ac:dyDescent="0.3">
      <c r="A10" s="450" t="s">
        <v>418</v>
      </c>
      <c r="B10" s="79"/>
      <c r="C10" s="79"/>
      <c r="D10" s="79"/>
      <c r="E10" s="79">
        <v>6</v>
      </c>
      <c r="F10" s="79"/>
      <c r="G10" s="79">
        <v>6</v>
      </c>
      <c r="H10" s="451">
        <f>GETPIVOTDATA("Customer",$A$1,"Project Category","C","Requesting Department","Marketing/Sales")/GETPIVOTDATA("Customer",$A$1)</f>
        <v>0.10344827586206896</v>
      </c>
    </row>
    <row r="11" spans="1:8" x14ac:dyDescent="0.3">
      <c r="A11" s="453" t="s">
        <v>941</v>
      </c>
      <c r="B11" s="79"/>
      <c r="C11" s="79"/>
      <c r="D11" s="79"/>
      <c r="E11" s="79">
        <v>1</v>
      </c>
      <c r="F11" s="79"/>
      <c r="G11" s="79">
        <v>1</v>
      </c>
      <c r="H11" s="451">
        <f>GETPIVOTDATA("Customer",$A$1,"Project Category","C","Status (Spill over/New)","Spill Over","Requesting Department","Marketing/Sales")/GETPIVOTDATA("Customer",$A$1)</f>
        <v>1.7241379310344827E-2</v>
      </c>
    </row>
    <row r="12" spans="1:8" x14ac:dyDescent="0.3">
      <c r="A12" s="453" t="s">
        <v>937</v>
      </c>
      <c r="B12" s="79"/>
      <c r="C12" s="79"/>
      <c r="D12" s="79"/>
      <c r="E12" s="79">
        <v>5</v>
      </c>
      <c r="F12" s="79"/>
      <c r="G12" s="79">
        <v>5</v>
      </c>
      <c r="H12" s="451">
        <f>GETPIVOTDATA("Customer",$A$1,"Project Category","C","Status (Spill over/New)","New","Requesting Department","Marketing/Sales")/GETPIVOTDATA("Customer",$A$1)</f>
        <v>8.6206896551724144E-2</v>
      </c>
    </row>
    <row r="13" spans="1:8" x14ac:dyDescent="0.3">
      <c r="A13" s="191" t="s">
        <v>391</v>
      </c>
      <c r="B13" s="79">
        <v>4</v>
      </c>
      <c r="C13" s="79"/>
      <c r="D13" s="79"/>
      <c r="E13" s="79"/>
      <c r="F13" s="79"/>
      <c r="G13" s="79">
        <v>4</v>
      </c>
      <c r="H13" s="451">
        <f>GETPIVOTDATA("Customer",$A$1,"Requesting Department","PD")/GETPIVOTDATA("Customer",$A$1)</f>
        <v>6.8965517241379309E-2</v>
      </c>
    </row>
    <row r="14" spans="1:8" x14ac:dyDescent="0.3">
      <c r="A14" s="450" t="s">
        <v>417</v>
      </c>
      <c r="B14" s="79">
        <v>4</v>
      </c>
      <c r="C14" s="79"/>
      <c r="D14" s="79"/>
      <c r="E14" s="79"/>
      <c r="F14" s="79"/>
      <c r="G14" s="79">
        <v>4</v>
      </c>
      <c r="H14" s="451">
        <f>GETPIVOTDATA("Customer",$A$1,"Project Category","B","Requesting Department","PD")/GETPIVOTDATA("Customer",$A$1)</f>
        <v>6.8965517241379309E-2</v>
      </c>
    </row>
    <row r="15" spans="1:8" x14ac:dyDescent="0.3">
      <c r="A15" s="453" t="s">
        <v>941</v>
      </c>
      <c r="B15" s="79">
        <v>3</v>
      </c>
      <c r="C15" s="79"/>
      <c r="D15" s="79"/>
      <c r="E15" s="79"/>
      <c r="F15" s="79"/>
      <c r="G15" s="79">
        <v>3</v>
      </c>
      <c r="H15" s="451">
        <f>GETPIVOTDATA("Customer",$A$1,"Project Category","B","Status (Spill over/New)","Spill Over","Requesting Department","PD")/GETPIVOTDATA("Customer",$A$1)</f>
        <v>5.1724137931034482E-2</v>
      </c>
    </row>
    <row r="16" spans="1:8" x14ac:dyDescent="0.3">
      <c r="A16" s="453" t="s">
        <v>937</v>
      </c>
      <c r="B16" s="79">
        <v>1</v>
      </c>
      <c r="C16" s="79"/>
      <c r="D16" s="79"/>
      <c r="E16" s="79"/>
      <c r="F16" s="79"/>
      <c r="G16" s="79">
        <v>1</v>
      </c>
      <c r="H16" s="451">
        <f>GETPIVOTDATA("Customer",$A$1,"Project Category","B","Status (Spill over/New)","New","Requesting Department","PD")/GETPIVOTDATA("Customer",$A$1)</f>
        <v>1.7241379310344827E-2</v>
      </c>
    </row>
    <row r="17" spans="1:8" x14ac:dyDescent="0.3">
      <c r="A17" s="191" t="s">
        <v>616</v>
      </c>
      <c r="B17" s="79">
        <v>1</v>
      </c>
      <c r="C17" s="79"/>
      <c r="D17" s="79">
        <v>10</v>
      </c>
      <c r="E17" s="79"/>
      <c r="F17" s="79"/>
      <c r="G17" s="79">
        <v>11</v>
      </c>
      <c r="H17" s="451">
        <f>GETPIVOTDATA("Customer",$A$1,"Requesting Department","Central Procurement Group")/GETPIVOTDATA("Customer",$A$1)</f>
        <v>0.18965517241379309</v>
      </c>
    </row>
    <row r="18" spans="1:8" x14ac:dyDescent="0.3">
      <c r="A18" s="450" t="s">
        <v>418</v>
      </c>
      <c r="B18" s="79">
        <v>1</v>
      </c>
      <c r="C18" s="79"/>
      <c r="D18" s="79">
        <v>10</v>
      </c>
      <c r="E18" s="79"/>
      <c r="F18" s="79"/>
      <c r="G18" s="79">
        <v>11</v>
      </c>
      <c r="H18" s="451">
        <f>GETPIVOTDATA("Customer",$A$1,"Project Category","C","Requesting Department","Central Procurement Group")/GETPIVOTDATA("Customer",$A$1)</f>
        <v>0.18965517241379309</v>
      </c>
    </row>
    <row r="19" spans="1:8" x14ac:dyDescent="0.3">
      <c r="A19" s="453" t="s">
        <v>941</v>
      </c>
      <c r="B19" s="79">
        <v>1</v>
      </c>
      <c r="C19" s="79"/>
      <c r="D19" s="79">
        <v>10</v>
      </c>
      <c r="E19" s="79"/>
      <c r="F19" s="79"/>
      <c r="G19" s="79">
        <v>11</v>
      </c>
      <c r="H19" s="451">
        <f>GETPIVOTDATA("Customer",$A$1,"Project Category","C","Status (Spill over/New)","Spill Over","Requesting Department","Central Procurement Group")/GETPIVOTDATA("Customer",$A$1)</f>
        <v>0.18965517241379309</v>
      </c>
    </row>
    <row r="20" spans="1:8" x14ac:dyDescent="0.3">
      <c r="A20" s="191" t="s">
        <v>427</v>
      </c>
      <c r="B20" s="79">
        <v>33</v>
      </c>
      <c r="C20" s="79">
        <v>3</v>
      </c>
      <c r="D20" s="79">
        <v>11</v>
      </c>
      <c r="E20" s="79">
        <v>9</v>
      </c>
      <c r="F20" s="79">
        <v>2</v>
      </c>
      <c r="G20" s="79">
        <v>58</v>
      </c>
    </row>
    <row r="21" spans="1:8" x14ac:dyDescent="0.3">
      <c r="B21" s="451">
        <f>GETPIVOTDATA("Customer",$A$1,"Plant/OEM","IND")/GETPIVOTDATA("Customer",$A$1)</f>
        <v>0.56896551724137934</v>
      </c>
      <c r="C21" s="451">
        <f>GETPIVOTDATA("Customer",$A$1,"Plant/OEM","INN")/GETPIVOTDATA("Customer",$A$1)</f>
        <v>5.1724137931034482E-2</v>
      </c>
      <c r="D21" s="451">
        <f>GETPIVOTDATA("Customer",$A$1,"Plant/OEM","Multiplant")/GETPIVOTDATA("Customer",$A$1)</f>
        <v>0.18965517241379309</v>
      </c>
      <c r="E21" s="451">
        <f>GETPIVOTDATA("Customer",$A$1,"Plant/OEM","SAF")/GETPIVOTDATA("Customer",$A$1)</f>
        <v>0.15517241379310345</v>
      </c>
      <c r="F21" s="451">
        <f>GETPIVOTDATA("Customer",$A$1,"Plant/OEM","Egypt")/GETPIVOTDATA("Customer",$A$1)</f>
        <v>3.4482758620689655E-2</v>
      </c>
    </row>
    <row r="26" spans="1:8" x14ac:dyDescent="0.3">
      <c r="A26" s="208" t="s">
        <v>825</v>
      </c>
      <c r="B26" s="208" t="s">
        <v>826</v>
      </c>
    </row>
    <row r="27" spans="1:8" x14ac:dyDescent="0.3">
      <c r="A27" s="208" t="s">
        <v>406</v>
      </c>
      <c r="B27" t="s">
        <v>641</v>
      </c>
      <c r="C27" t="s">
        <v>33</v>
      </c>
      <c r="D27" t="s">
        <v>34</v>
      </c>
      <c r="E27" t="s">
        <v>663</v>
      </c>
      <c r="F27" t="s">
        <v>36</v>
      </c>
      <c r="G27" t="s">
        <v>427</v>
      </c>
    </row>
    <row r="28" spans="1:8" x14ac:dyDescent="0.3">
      <c r="A28" s="191" t="s">
        <v>642</v>
      </c>
      <c r="B28" s="79">
        <v>2</v>
      </c>
      <c r="C28" s="79">
        <v>28</v>
      </c>
      <c r="D28" s="79">
        <v>3</v>
      </c>
      <c r="E28" s="79">
        <v>1</v>
      </c>
      <c r="F28" s="79">
        <v>9</v>
      </c>
      <c r="G28" s="79">
        <v>43</v>
      </c>
      <c r="H28" s="451">
        <f>GETPIVOTDATA("Plant/OEM",$A$26,"Requesting Department","Marketing/Sales")/GETPIVOTDATA("Plant/OEM",$A$26)</f>
        <v>0.74137931034482762</v>
      </c>
    </row>
    <row r="29" spans="1:8" x14ac:dyDescent="0.3">
      <c r="A29" s="450" t="s">
        <v>415</v>
      </c>
      <c r="B29" s="79"/>
      <c r="C29" s="79">
        <v>3</v>
      </c>
      <c r="D29" s="79">
        <v>1</v>
      </c>
      <c r="E29" s="79"/>
      <c r="F29" s="79">
        <v>1</v>
      </c>
      <c r="G29" s="79">
        <v>5</v>
      </c>
      <c r="H29" s="451">
        <f>GETPIVOTDATA("Plant/OEM",$A$26,"Project Category","A","Requesting Department","Marketing/Sales")/GETPIVOTDATA("Plant/OEM",$A$26)</f>
        <v>8.6206896551724144E-2</v>
      </c>
    </row>
    <row r="30" spans="1:8" x14ac:dyDescent="0.3">
      <c r="A30" s="450" t="s">
        <v>417</v>
      </c>
      <c r="B30" s="79">
        <v>2</v>
      </c>
      <c r="C30" s="79">
        <v>25</v>
      </c>
      <c r="D30" s="79">
        <v>2</v>
      </c>
      <c r="E30" s="79">
        <v>1</v>
      </c>
      <c r="F30" s="79">
        <v>2</v>
      </c>
      <c r="G30" s="79">
        <v>32</v>
      </c>
      <c r="H30" s="451">
        <f>GETPIVOTDATA("Plant/OEM",$A$26,"Project Category","B","Requesting Department","Marketing/Sales")/GETPIVOTDATA("Plant/OEM",$A$26)</f>
        <v>0.55172413793103448</v>
      </c>
    </row>
    <row r="31" spans="1:8" x14ac:dyDescent="0.3">
      <c r="A31" s="450" t="s">
        <v>418</v>
      </c>
      <c r="B31" s="79"/>
      <c r="C31" s="79"/>
      <c r="D31" s="79"/>
      <c r="E31" s="79"/>
      <c r="F31" s="79">
        <v>6</v>
      </c>
      <c r="G31" s="79">
        <v>6</v>
      </c>
      <c r="H31" s="451">
        <f>GETPIVOTDATA("Plant/OEM",$A$26,"Project Category","C","Requesting Department","Marketing/Sales")/GETPIVOTDATA("Plant/OEM",$A$26)</f>
        <v>0.10344827586206896</v>
      </c>
    </row>
    <row r="32" spans="1:8" x14ac:dyDescent="0.3">
      <c r="A32" s="191" t="s">
        <v>391</v>
      </c>
      <c r="B32" s="79"/>
      <c r="C32" s="79">
        <v>4</v>
      </c>
      <c r="D32" s="79"/>
      <c r="E32" s="79"/>
      <c r="F32" s="79"/>
      <c r="G32" s="79">
        <v>4</v>
      </c>
      <c r="H32" s="451">
        <f>GETPIVOTDATA("Plant/OEM",$A$26,"Requesting Department","PD")/GETPIVOTDATA("Plant/OEM",$A$26)</f>
        <v>6.8965517241379309E-2</v>
      </c>
    </row>
    <row r="33" spans="1:8" x14ac:dyDescent="0.3">
      <c r="A33" s="450" t="s">
        <v>417</v>
      </c>
      <c r="B33" s="79"/>
      <c r="C33" s="79">
        <v>4</v>
      </c>
      <c r="D33" s="79"/>
      <c r="E33" s="79"/>
      <c r="F33" s="79"/>
      <c r="G33" s="79">
        <v>4</v>
      </c>
      <c r="H33" s="451">
        <f>GETPIVOTDATA("Plant/OEM",$A$26,"Project Category","B","Requesting Department","PD")/GETPIVOTDATA("Plant/OEM",$A$26)</f>
        <v>6.8965517241379309E-2</v>
      </c>
    </row>
    <row r="34" spans="1:8" x14ac:dyDescent="0.3">
      <c r="A34" s="191" t="s">
        <v>616</v>
      </c>
      <c r="B34" s="79"/>
      <c r="C34" s="79">
        <v>1</v>
      </c>
      <c r="D34" s="79"/>
      <c r="E34" s="79">
        <v>10</v>
      </c>
      <c r="F34" s="79"/>
      <c r="G34" s="79">
        <v>11</v>
      </c>
      <c r="H34" s="451">
        <f>GETPIVOTDATA("Plant/OEM",$A$26,"Requesting Department","Central Procurement Group")/GETPIVOTDATA("Plant/OEM",$A$26)</f>
        <v>0.18965517241379309</v>
      </c>
    </row>
    <row r="35" spans="1:8" x14ac:dyDescent="0.3">
      <c r="A35" s="450" t="s">
        <v>418</v>
      </c>
      <c r="B35" s="79"/>
      <c r="C35" s="79">
        <v>1</v>
      </c>
      <c r="D35" s="79"/>
      <c r="E35" s="79">
        <v>10</v>
      </c>
      <c r="F35" s="79"/>
      <c r="G35" s="79">
        <v>11</v>
      </c>
      <c r="H35" s="451">
        <f>GETPIVOTDATA("Plant/OEM",$A$26,"Project Category","C","Requesting Department","Central Procurement Group")/GETPIVOTDATA("Plant/OEM",$A$26)</f>
        <v>0.18965517241379309</v>
      </c>
    </row>
    <row r="36" spans="1:8" x14ac:dyDescent="0.3">
      <c r="A36" s="191" t="s">
        <v>427</v>
      </c>
      <c r="B36" s="79">
        <v>2</v>
      </c>
      <c r="C36" s="79">
        <v>33</v>
      </c>
      <c r="D36" s="79">
        <v>3</v>
      </c>
      <c r="E36" s="79">
        <v>11</v>
      </c>
      <c r="F36" s="79">
        <v>9</v>
      </c>
      <c r="G36" s="79">
        <v>58</v>
      </c>
      <c r="H36" s="405"/>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E2C4-465A-4B2C-AEC2-E45F926D9B13}">
  <sheetPr>
    <tabColor rgb="FF00B0F0"/>
  </sheetPr>
  <dimension ref="B1:X40"/>
  <sheetViews>
    <sheetView zoomScale="55" zoomScaleNormal="55" workbookViewId="0">
      <selection activeCell="G23" sqref="G23"/>
    </sheetView>
  </sheetViews>
  <sheetFormatPr defaultColWidth="8.88671875" defaultRowHeight="14.4" x14ac:dyDescent="0.3"/>
  <cols>
    <col min="1" max="3" width="8.88671875" style="454"/>
    <col min="4" max="4" width="11.5546875" style="454" bestFit="1" customWidth="1"/>
    <col min="5" max="14" width="8.88671875" style="454"/>
    <col min="15" max="15" width="12.109375" style="454" bestFit="1" customWidth="1"/>
    <col min="16" max="17" width="8.88671875" style="454"/>
    <col min="18" max="18" width="12.109375" style="454" customWidth="1"/>
    <col min="19" max="16384" width="8.88671875" style="454"/>
  </cols>
  <sheetData>
    <row r="1" spans="2:24" ht="24.6" thickBot="1" x14ac:dyDescent="0.35">
      <c r="C1" s="455">
        <v>2025</v>
      </c>
      <c r="D1" s="455">
        <v>2026</v>
      </c>
      <c r="I1" s="455" t="s">
        <v>415</v>
      </c>
      <c r="J1" s="455" t="s">
        <v>417</v>
      </c>
      <c r="K1" s="455" t="s">
        <v>418</v>
      </c>
      <c r="L1" s="456" t="s">
        <v>836</v>
      </c>
      <c r="M1" s="456" t="s">
        <v>827</v>
      </c>
      <c r="O1" s="457" t="s">
        <v>678</v>
      </c>
      <c r="P1" s="458">
        <v>6</v>
      </c>
      <c r="R1" s="459"/>
      <c r="S1" s="459"/>
      <c r="T1" s="457" t="s">
        <v>678</v>
      </c>
      <c r="U1" s="458">
        <v>2</v>
      </c>
      <c r="V1" s="474">
        <f>U1/$U$6</f>
        <v>1.0471204188481676E-2</v>
      </c>
      <c r="X1" s="454" t="s">
        <v>920</v>
      </c>
    </row>
    <row r="2" spans="2:24" ht="25.2" thickTop="1" thickBot="1" x14ac:dyDescent="0.35">
      <c r="B2" s="461" t="s">
        <v>415</v>
      </c>
      <c r="C2" s="462">
        <v>8</v>
      </c>
      <c r="D2" s="462">
        <v>5</v>
      </c>
      <c r="H2" s="461" t="s">
        <v>644</v>
      </c>
      <c r="I2" s="463">
        <v>4</v>
      </c>
      <c r="J2" s="462">
        <v>56</v>
      </c>
      <c r="K2" s="462">
        <v>60</v>
      </c>
      <c r="L2" s="467">
        <f>SUM(I2:K2)</f>
        <v>120</v>
      </c>
      <c r="M2" s="460">
        <f>L2/$L$6</f>
        <v>0.62827225130890052</v>
      </c>
      <c r="O2" s="457" t="s">
        <v>642</v>
      </c>
      <c r="P2" s="464">
        <v>78</v>
      </c>
      <c r="R2" s="459"/>
      <c r="S2" s="459"/>
      <c r="T2" s="457" t="s">
        <v>642</v>
      </c>
      <c r="U2" s="464">
        <v>78</v>
      </c>
      <c r="V2" s="460">
        <f>U2/U6</f>
        <v>0.40837696335078533</v>
      </c>
      <c r="X2" s="473">
        <f>V1+V3+V4+V5</f>
        <v>0.59162303664921456</v>
      </c>
    </row>
    <row r="3" spans="2:24" ht="15.6" thickTop="1" thickBot="1" x14ac:dyDescent="0.35">
      <c r="B3" s="461" t="s">
        <v>417</v>
      </c>
      <c r="C3" s="462">
        <v>112</v>
      </c>
      <c r="D3" s="462">
        <v>36</v>
      </c>
      <c r="H3" s="461" t="s">
        <v>921</v>
      </c>
      <c r="I3" s="462">
        <v>2</v>
      </c>
      <c r="J3" s="462">
        <v>19</v>
      </c>
      <c r="K3" s="462">
        <v>6</v>
      </c>
      <c r="L3" s="467">
        <f t="shared" ref="L3:L5" si="0">SUM(I3:K3)</f>
        <v>27</v>
      </c>
      <c r="M3" s="460">
        <f t="shared" ref="M3:M5" si="1">L3/$L$6</f>
        <v>0.14136125654450263</v>
      </c>
      <c r="O3" s="457" t="s">
        <v>391</v>
      </c>
      <c r="P3" s="458">
        <v>50</v>
      </c>
      <c r="R3" s="459"/>
      <c r="S3" s="459"/>
      <c r="T3" s="457" t="s">
        <v>391</v>
      </c>
      <c r="U3" s="458">
        <v>50</v>
      </c>
      <c r="V3" s="474">
        <f t="shared" ref="V3:V5" si="2">U3/$U$6</f>
        <v>0.26178010471204188</v>
      </c>
    </row>
    <row r="4" spans="2:24" ht="25.2" thickTop="1" thickBot="1" x14ac:dyDescent="0.35">
      <c r="B4" s="461" t="s">
        <v>418</v>
      </c>
      <c r="C4" s="462">
        <v>71</v>
      </c>
      <c r="D4" s="462">
        <v>17</v>
      </c>
      <c r="H4" s="461" t="s">
        <v>659</v>
      </c>
      <c r="I4" s="462">
        <v>1</v>
      </c>
      <c r="J4" s="462">
        <v>22</v>
      </c>
      <c r="K4" s="462">
        <v>4</v>
      </c>
      <c r="L4" s="467">
        <f t="shared" si="0"/>
        <v>27</v>
      </c>
      <c r="M4" s="460">
        <f t="shared" si="1"/>
        <v>0.14136125654450263</v>
      </c>
      <c r="O4" s="457" t="s">
        <v>922</v>
      </c>
      <c r="P4" s="458">
        <v>60</v>
      </c>
      <c r="R4" s="459"/>
      <c r="S4" s="459"/>
      <c r="T4" s="457" t="s">
        <v>922</v>
      </c>
      <c r="U4" s="458">
        <v>60</v>
      </c>
      <c r="V4" s="474">
        <f t="shared" si="2"/>
        <v>0.31413612565445026</v>
      </c>
    </row>
    <row r="5" spans="2:24" ht="28.95" customHeight="1" thickTop="1" x14ac:dyDescent="0.3">
      <c r="C5" s="476">
        <f>SUM(C2:C4)</f>
        <v>191</v>
      </c>
      <c r="D5" s="476">
        <f>SUM(D2:D4)</f>
        <v>58</v>
      </c>
      <c r="H5" s="465" t="s">
        <v>923</v>
      </c>
      <c r="I5" s="466">
        <v>1</v>
      </c>
      <c r="J5" s="466">
        <v>15</v>
      </c>
      <c r="K5" s="466">
        <v>1</v>
      </c>
      <c r="L5" s="467">
        <f t="shared" si="0"/>
        <v>17</v>
      </c>
      <c r="M5" s="460">
        <f t="shared" si="1"/>
        <v>8.9005235602094238E-2</v>
      </c>
      <c r="O5" s="457" t="s">
        <v>527</v>
      </c>
      <c r="P5" s="458">
        <v>3</v>
      </c>
      <c r="R5" s="459"/>
      <c r="S5" s="459"/>
      <c r="T5" s="457" t="s">
        <v>527</v>
      </c>
      <c r="U5" s="458">
        <v>1</v>
      </c>
      <c r="V5" s="474">
        <f t="shared" si="2"/>
        <v>5.235602094240838E-3</v>
      </c>
    </row>
    <row r="6" spans="2:24" ht="33" customHeight="1" x14ac:dyDescent="0.3">
      <c r="I6" s="476">
        <f>SUM(I2:I5)</f>
        <v>8</v>
      </c>
      <c r="J6" s="476">
        <f t="shared" ref="J6:K6" si="3">SUM(J2:J5)</f>
        <v>112</v>
      </c>
      <c r="K6" s="476">
        <f t="shared" si="3"/>
        <v>71</v>
      </c>
      <c r="L6" s="467">
        <f>SUM(L2:L5)</f>
        <v>191</v>
      </c>
      <c r="M6" s="467"/>
      <c r="O6" s="475" t="s">
        <v>924</v>
      </c>
      <c r="T6" s="468" t="s">
        <v>483</v>
      </c>
      <c r="U6" s="454">
        <f>SUM(U1:U5)</f>
        <v>191</v>
      </c>
    </row>
    <row r="7" spans="2:24" x14ac:dyDescent="0.3">
      <c r="I7" s="805">
        <f>I6/$L$6</f>
        <v>4.1884816753926704E-2</v>
      </c>
      <c r="J7" s="805">
        <f t="shared" ref="J7:K7" si="4">J6/$L$6</f>
        <v>0.58638743455497377</v>
      </c>
      <c r="K7" s="805">
        <f t="shared" si="4"/>
        <v>0.37172774869109948</v>
      </c>
      <c r="L7" s="467" t="s">
        <v>483</v>
      </c>
    </row>
    <row r="26" spans="3:17" ht="15" thickBot="1" x14ac:dyDescent="0.35">
      <c r="C26" s="469"/>
      <c r="D26" s="470">
        <v>2024</v>
      </c>
      <c r="E26" s="470">
        <v>2025</v>
      </c>
    </row>
    <row r="27" spans="3:17" ht="15.6" thickTop="1" thickBot="1" x14ac:dyDescent="0.35">
      <c r="C27" s="471" t="s">
        <v>415</v>
      </c>
      <c r="D27" s="472">
        <v>2</v>
      </c>
      <c r="E27" s="472">
        <v>8</v>
      </c>
    </row>
    <row r="28" spans="3:17" ht="15.6" thickTop="1" thickBot="1" x14ac:dyDescent="0.35">
      <c r="C28" s="471" t="s">
        <v>417</v>
      </c>
      <c r="D28" s="472">
        <v>54</v>
      </c>
      <c r="E28" s="472">
        <v>112</v>
      </c>
    </row>
    <row r="29" spans="3:17" ht="15.6" thickTop="1" thickBot="1" x14ac:dyDescent="0.35">
      <c r="C29" s="471" t="s">
        <v>418</v>
      </c>
      <c r="D29" s="472">
        <v>15</v>
      </c>
      <c r="E29" s="472">
        <v>71</v>
      </c>
    </row>
    <row r="30" spans="3:17" ht="15" thickTop="1" x14ac:dyDescent="0.3"/>
    <row r="31" spans="3:17" x14ac:dyDescent="0.3">
      <c r="Q31" s="460">
        <f>78/191</f>
        <v>0.40837696335078533</v>
      </c>
    </row>
    <row r="35" spans="2:6" ht="36" customHeight="1" thickBot="1" x14ac:dyDescent="0.4">
      <c r="B35" s="856" t="s">
        <v>925</v>
      </c>
      <c r="C35" s="856"/>
      <c r="D35" s="856"/>
      <c r="E35" s="856"/>
      <c r="F35" s="856"/>
    </row>
    <row r="36" spans="2:6" ht="24.6" thickBot="1" x14ac:dyDescent="0.35">
      <c r="B36" s="461"/>
      <c r="C36" s="461" t="s">
        <v>926</v>
      </c>
      <c r="D36" s="461" t="s">
        <v>927</v>
      </c>
      <c r="E36" s="461" t="s">
        <v>928</v>
      </c>
      <c r="F36" s="461" t="s">
        <v>929</v>
      </c>
    </row>
    <row r="37" spans="2:6" ht="30" thickTop="1" thickBot="1" x14ac:dyDescent="0.35">
      <c r="B37" s="462" t="s">
        <v>930</v>
      </c>
      <c r="C37" s="462">
        <v>207</v>
      </c>
      <c r="D37" s="462">
        <v>9</v>
      </c>
      <c r="E37" s="462">
        <v>120</v>
      </c>
      <c r="F37" s="462">
        <v>78</v>
      </c>
    </row>
    <row r="38" spans="2:6" ht="15" thickBot="1" x14ac:dyDescent="0.35">
      <c r="B38" s="484">
        <v>191</v>
      </c>
      <c r="C38" s="484"/>
      <c r="D38" s="485">
        <f>D37/$B$38</f>
        <v>4.712041884816754E-2</v>
      </c>
      <c r="E38" s="485">
        <f>E37/$B$38</f>
        <v>0.62827225130890052</v>
      </c>
      <c r="F38" s="485">
        <f>F37/$B$38</f>
        <v>0.40837696335078533</v>
      </c>
    </row>
    <row r="39" spans="2:6" ht="43.8" thickBot="1" x14ac:dyDescent="0.35">
      <c r="B39" s="486" t="s">
        <v>931</v>
      </c>
      <c r="C39" s="486">
        <v>117</v>
      </c>
      <c r="D39" s="486">
        <v>4</v>
      </c>
      <c r="E39" s="486">
        <v>61</v>
      </c>
      <c r="F39" s="486">
        <v>52</v>
      </c>
    </row>
    <row r="40" spans="2:6" ht="43.2" x14ac:dyDescent="0.3">
      <c r="B40" s="487" t="s">
        <v>932</v>
      </c>
      <c r="C40" s="488">
        <v>0.56999999999999995</v>
      </c>
      <c r="D40" s="488">
        <v>0.44</v>
      </c>
      <c r="E40" s="488">
        <v>0.51</v>
      </c>
      <c r="F40" s="488">
        <v>0.67</v>
      </c>
    </row>
  </sheetData>
  <mergeCells count="1">
    <mergeCell ref="B35:F3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5EAD-A949-4BA9-843A-D56F166FF468}">
  <sheetPr>
    <tabColor rgb="FF00B0F0"/>
  </sheetPr>
  <dimension ref="A1:DG55"/>
  <sheetViews>
    <sheetView zoomScale="25" zoomScaleNormal="25" zoomScaleSheetLayoutView="50" workbookViewId="0">
      <selection activeCell="G23" sqref="G23"/>
    </sheetView>
  </sheetViews>
  <sheetFormatPr defaultRowHeight="14.4" x14ac:dyDescent="0.3"/>
  <cols>
    <col min="1" max="1" width="15.109375" bestFit="1" customWidth="1"/>
    <col min="2" max="2" width="17.109375" bestFit="1" customWidth="1"/>
    <col min="3" max="3" width="4.5546875" bestFit="1" customWidth="1"/>
    <col min="4" max="4" width="7.6640625" bestFit="1" customWidth="1"/>
    <col min="5" max="6" width="7.33203125" bestFit="1" customWidth="1"/>
    <col min="7" max="7" width="7.109375" bestFit="1" customWidth="1"/>
    <col min="8" max="8" width="6.33203125" bestFit="1" customWidth="1"/>
    <col min="9" max="9" width="7.109375" bestFit="1" customWidth="1"/>
    <col min="10" max="10" width="5.44140625" bestFit="1" customWidth="1"/>
    <col min="11" max="11" width="4.5546875" bestFit="1" customWidth="1"/>
    <col min="12" max="12" width="7.109375" bestFit="1" customWidth="1"/>
    <col min="13" max="13" width="7.6640625" bestFit="1" customWidth="1"/>
    <col min="14" max="14" width="4.5546875" bestFit="1" customWidth="1"/>
    <col min="15" max="15" width="29" bestFit="1" customWidth="1"/>
    <col min="16" max="16" width="18.109375" bestFit="1" customWidth="1"/>
    <col min="17" max="17" width="10.6640625" bestFit="1" customWidth="1"/>
    <col min="18" max="18" width="8" bestFit="1" customWidth="1"/>
    <col min="19" max="19" width="6.6640625" bestFit="1" customWidth="1"/>
    <col min="20" max="20" width="9.6640625" bestFit="1" customWidth="1"/>
    <col min="21" max="21" width="7.6640625" bestFit="1" customWidth="1"/>
    <col min="22" max="22" width="10.6640625" bestFit="1" customWidth="1"/>
    <col min="27" max="27" width="53.88671875" customWidth="1"/>
    <col min="29" max="29" width="20.6640625" customWidth="1"/>
    <col min="31" max="31" width="17.88671875" bestFit="1" customWidth="1"/>
    <col min="32" max="32" width="22.109375" bestFit="1" customWidth="1"/>
    <col min="33" max="33" width="3.6640625" bestFit="1" customWidth="1"/>
    <col min="34" max="34" width="4" bestFit="1" customWidth="1"/>
    <col min="35" max="35" width="4.33203125" bestFit="1" customWidth="1"/>
    <col min="36" max="36" width="4" bestFit="1" customWidth="1"/>
    <col min="37" max="37" width="7.5546875" customWidth="1"/>
    <col min="38" max="38" width="12" customWidth="1"/>
    <col min="39" max="39" width="10.5546875" bestFit="1" customWidth="1"/>
    <col min="40" max="40" width="128.44140625" customWidth="1"/>
    <col min="41" max="41" width="21.5546875" customWidth="1"/>
    <col min="42" max="42" width="20.6640625" customWidth="1"/>
    <col min="44" max="44" width="24.5546875" bestFit="1" customWidth="1"/>
    <col min="45" max="45" width="18.109375" bestFit="1" customWidth="1"/>
    <col min="46" max="47" width="4.33203125" bestFit="1" customWidth="1"/>
    <col min="48" max="48" width="4.5546875" bestFit="1" customWidth="1"/>
    <col min="49" max="49" width="9.6640625" bestFit="1" customWidth="1"/>
    <col min="50" max="50" width="10.6640625" bestFit="1" customWidth="1"/>
    <col min="51" max="51" width="11" bestFit="1" customWidth="1"/>
    <col min="52" max="52" width="10.6640625" bestFit="1" customWidth="1"/>
    <col min="53" max="53" width="164.88671875" customWidth="1"/>
    <col min="54" max="54" width="42.33203125" customWidth="1"/>
    <col min="55" max="55" width="20.6640625" customWidth="1"/>
    <col min="57" max="57" width="19.109375" bestFit="1" customWidth="1"/>
    <col min="58" max="58" width="18.109375" bestFit="1" customWidth="1"/>
    <col min="59" max="60" width="3.33203125" bestFit="1" customWidth="1"/>
    <col min="61" max="61" width="2.5546875" bestFit="1" customWidth="1"/>
    <col min="62" max="63" width="7" bestFit="1" customWidth="1"/>
    <col min="64" max="64" width="8.33203125" hidden="1" customWidth="1"/>
    <col min="65" max="65" width="10.6640625" bestFit="1" customWidth="1"/>
    <col min="70" max="70" width="67.33203125" customWidth="1"/>
    <col min="71" max="71" width="20.6640625" customWidth="1"/>
    <col min="72" max="72" width="22.6640625" bestFit="1" customWidth="1"/>
    <col min="73" max="73" width="18.109375" bestFit="1" customWidth="1"/>
    <col min="74" max="74" width="4.33203125" bestFit="1" customWidth="1"/>
    <col min="75" max="75" width="4.5546875" bestFit="1" customWidth="1"/>
    <col min="76" max="76" width="4.33203125" bestFit="1" customWidth="1"/>
    <col min="77" max="77" width="9.6640625" bestFit="1" customWidth="1"/>
    <col min="78" max="78" width="9.5546875" bestFit="1" customWidth="1"/>
    <col min="79" max="79" width="11" bestFit="1" customWidth="1"/>
    <col min="80" max="81" width="10.6640625" bestFit="1" customWidth="1"/>
    <col min="82" max="82" width="102.6640625" customWidth="1"/>
    <col min="83" max="83" width="20.6640625" customWidth="1"/>
    <col min="84" max="84" width="19.109375" bestFit="1" customWidth="1"/>
    <col min="85" max="85" width="18.109375" bestFit="1" customWidth="1"/>
    <col min="86" max="86" width="11.6640625" bestFit="1" customWidth="1"/>
    <col min="87" max="87" width="8.44140625" bestFit="1" customWidth="1"/>
    <col min="88" max="88" width="9.5546875" bestFit="1" customWidth="1"/>
    <col min="89" max="89" width="11.6640625" bestFit="1" customWidth="1"/>
    <col min="90" max="90" width="10.6640625" bestFit="1" customWidth="1"/>
    <col min="94" max="94" width="111" customWidth="1"/>
    <col min="98" max="98" width="19.109375" bestFit="1" customWidth="1"/>
    <col min="99" max="99" width="18.109375" bestFit="1" customWidth="1"/>
    <col min="100" max="101" width="4.33203125" bestFit="1" customWidth="1"/>
    <col min="102" max="102" width="4.5546875" bestFit="1" customWidth="1"/>
    <col min="103" max="103" width="9.6640625" bestFit="1" customWidth="1"/>
    <col min="104" max="104" width="9.5546875" bestFit="1" customWidth="1"/>
    <col min="105" max="105" width="11" bestFit="1" customWidth="1"/>
    <col min="106" max="107" width="10.6640625" bestFit="1" customWidth="1"/>
  </cols>
  <sheetData>
    <row r="1" spans="1:108" ht="26.4" thickBot="1" x14ac:dyDescent="0.55000000000000004">
      <c r="A1" s="290" t="s">
        <v>1012</v>
      </c>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9"/>
      <c r="BL1" s="289"/>
      <c r="BM1" s="289"/>
      <c r="BN1" s="289"/>
      <c r="BO1" s="289"/>
      <c r="BP1" s="289"/>
      <c r="BQ1" s="289"/>
      <c r="BR1" s="289"/>
      <c r="BS1" s="289"/>
      <c r="BT1" s="289"/>
      <c r="BU1" s="289"/>
      <c r="BV1" s="289"/>
      <c r="BW1" s="289"/>
      <c r="BX1" s="289"/>
      <c r="BY1" s="289"/>
      <c r="BZ1" s="289"/>
      <c r="CA1" s="289"/>
      <c r="CB1" s="289"/>
      <c r="CC1" s="289"/>
      <c r="CD1" s="289"/>
      <c r="CE1" s="289"/>
      <c r="CF1" s="289"/>
      <c r="CG1" s="289"/>
      <c r="CH1" s="289"/>
      <c r="CI1" s="289"/>
      <c r="CJ1" s="289"/>
      <c r="CK1" s="289"/>
      <c r="CL1" s="289"/>
      <c r="CM1" s="289"/>
      <c r="CN1" s="289"/>
      <c r="CO1" s="289"/>
      <c r="CP1" s="289"/>
      <c r="CQ1" s="289"/>
      <c r="CR1" s="289"/>
      <c r="CS1" s="289"/>
      <c r="CT1" s="289"/>
      <c r="CU1" s="289"/>
      <c r="CV1" s="289"/>
      <c r="CW1" s="289"/>
      <c r="CX1" s="289"/>
      <c r="CY1" s="289"/>
      <c r="CZ1" s="289"/>
      <c r="DA1" s="289"/>
      <c r="DB1" s="289"/>
      <c r="DC1" s="289"/>
      <c r="DD1" s="289"/>
    </row>
    <row r="2" spans="1:108" s="232" customFormat="1" ht="34.200000000000003" thickBot="1" x14ac:dyDescent="0.7">
      <c r="A2" s="230" t="s">
        <v>1013</v>
      </c>
      <c r="B2" s="231"/>
      <c r="C2" s="231"/>
      <c r="D2" s="231"/>
      <c r="E2" s="231"/>
      <c r="F2" s="231"/>
      <c r="G2" s="231"/>
      <c r="H2" s="231"/>
      <c r="I2" s="231"/>
      <c r="J2" s="231"/>
      <c r="K2" s="231"/>
      <c r="L2" s="235"/>
      <c r="M2" s="239"/>
      <c r="N2" s="230" t="s">
        <v>1014</v>
      </c>
      <c r="O2" s="231"/>
      <c r="P2" s="231"/>
      <c r="Q2" s="231"/>
      <c r="R2" s="231"/>
      <c r="S2" s="231"/>
      <c r="T2" s="231"/>
      <c r="U2" s="231"/>
      <c r="V2" s="231"/>
      <c r="W2" s="231"/>
      <c r="X2" s="231"/>
      <c r="Y2" s="231"/>
      <c r="Z2" s="231"/>
      <c r="AA2" s="231"/>
      <c r="AB2" s="235"/>
      <c r="AC2" s="239"/>
      <c r="AD2" s="230" t="s">
        <v>1015</v>
      </c>
      <c r="AE2" s="231"/>
      <c r="AF2" s="231"/>
      <c r="AG2" s="231"/>
      <c r="AH2" s="231"/>
      <c r="AI2" s="231"/>
      <c r="AJ2" s="231"/>
      <c r="AK2" s="231"/>
      <c r="AL2" s="231"/>
      <c r="AM2" s="231"/>
      <c r="AN2" s="231"/>
      <c r="AO2" s="235"/>
      <c r="AP2" s="239"/>
      <c r="AQ2" s="233" t="s">
        <v>1016</v>
      </c>
      <c r="AR2" s="234"/>
      <c r="AS2" s="234"/>
      <c r="AT2" s="234"/>
      <c r="AU2" s="234"/>
      <c r="AV2" s="234"/>
      <c r="AW2" s="234"/>
      <c r="AX2" s="234"/>
      <c r="AY2" s="234"/>
      <c r="AZ2" s="234"/>
      <c r="BA2" s="231"/>
      <c r="BB2" s="235"/>
      <c r="BC2" s="239"/>
      <c r="BD2" s="233" t="s">
        <v>1017</v>
      </c>
      <c r="BE2" s="234"/>
      <c r="BF2" s="234"/>
      <c r="BG2" s="234"/>
      <c r="BH2" s="234"/>
      <c r="BI2" s="234"/>
      <c r="BJ2" s="234"/>
      <c r="BK2" s="234"/>
      <c r="BL2" s="234"/>
      <c r="BM2" s="234"/>
      <c r="BN2" s="231"/>
      <c r="BO2" s="231"/>
      <c r="BP2" s="231"/>
      <c r="BQ2" s="231"/>
      <c r="BR2" s="235"/>
      <c r="BS2" s="239"/>
      <c r="BT2" s="233" t="s">
        <v>1018</v>
      </c>
      <c r="BU2" s="234"/>
      <c r="BV2" s="234"/>
      <c r="BW2" s="234"/>
      <c r="BX2" s="234"/>
      <c r="BY2" s="234"/>
      <c r="BZ2" s="234"/>
      <c r="CA2" s="234"/>
      <c r="CB2" s="234"/>
      <c r="CC2" s="234"/>
      <c r="CD2" s="235"/>
      <c r="CE2" s="239"/>
      <c r="CF2" s="236" t="s">
        <v>1019</v>
      </c>
      <c r="CG2" s="237"/>
      <c r="CH2" s="237"/>
      <c r="CI2" s="237"/>
      <c r="CJ2" s="237"/>
      <c r="CK2" s="237"/>
      <c r="CL2" s="237"/>
      <c r="CM2" s="237"/>
      <c r="CN2" s="237"/>
      <c r="CO2" s="237"/>
      <c r="CP2" s="238"/>
      <c r="CT2" s="236" t="s">
        <v>1020</v>
      </c>
      <c r="CU2" s="237"/>
      <c r="CV2" s="237"/>
      <c r="CW2" s="237"/>
      <c r="CX2" s="237"/>
      <c r="CY2" s="237"/>
      <c r="CZ2" s="237"/>
      <c r="DA2" s="237"/>
      <c r="DB2" s="237"/>
      <c r="DC2" s="237"/>
      <c r="DD2" s="238"/>
    </row>
    <row r="3" spans="1:108" ht="15" thickBot="1" x14ac:dyDescent="0.35">
      <c r="A3" s="216"/>
      <c r="L3" s="217"/>
      <c r="M3" s="240"/>
      <c r="N3" s="216"/>
      <c r="AB3" s="217"/>
      <c r="AC3" s="240"/>
      <c r="AD3" s="216"/>
      <c r="AO3" s="217"/>
      <c r="AP3" s="240"/>
      <c r="AQ3" s="216"/>
      <c r="AR3" s="259" t="s">
        <v>559</v>
      </c>
      <c r="AS3" s="249" t="s">
        <v>864</v>
      </c>
      <c r="BB3" s="217"/>
      <c r="BC3" s="240"/>
      <c r="BD3" s="216"/>
      <c r="BE3" s="259" t="s">
        <v>563</v>
      </c>
      <c r="BF3" s="249" t="s">
        <v>864</v>
      </c>
      <c r="BR3" s="217"/>
      <c r="BS3" s="240"/>
      <c r="BT3" s="216"/>
      <c r="CD3" s="217"/>
      <c r="CE3" s="240"/>
      <c r="CF3" s="216"/>
      <c r="CP3" s="217"/>
    </row>
    <row r="4" spans="1:108" ht="15" thickBot="1" x14ac:dyDescent="0.35">
      <c r="A4" s="259" t="s">
        <v>557</v>
      </c>
      <c r="B4" s="249" t="s">
        <v>399</v>
      </c>
      <c r="L4" s="217"/>
      <c r="M4" s="240"/>
      <c r="N4" s="216"/>
      <c r="O4" s="246" t="s">
        <v>1021</v>
      </c>
      <c r="P4" s="246" t="s">
        <v>826</v>
      </c>
      <c r="Q4" s="247"/>
      <c r="R4" s="248"/>
      <c r="S4" s="248"/>
      <c r="T4" s="248"/>
      <c r="U4" s="248"/>
      <c r="V4" s="249"/>
      <c r="AB4" s="217"/>
      <c r="AC4" s="240"/>
      <c r="AD4" s="216"/>
      <c r="AO4" s="217"/>
      <c r="AP4" s="240"/>
      <c r="AQ4" s="216"/>
      <c r="BB4" s="217"/>
      <c r="BC4" s="240"/>
      <c r="BD4" s="216"/>
      <c r="BR4" s="217"/>
      <c r="BS4" s="240"/>
      <c r="BT4" s="246" t="s">
        <v>407</v>
      </c>
      <c r="BU4" s="246" t="s">
        <v>826</v>
      </c>
      <c r="BV4" s="247"/>
      <c r="BW4" s="248"/>
      <c r="BX4" s="248"/>
      <c r="BY4" s="248"/>
      <c r="BZ4" s="248"/>
      <c r="CA4" s="248"/>
      <c r="CB4" s="249"/>
      <c r="CD4" s="217"/>
      <c r="CE4" s="240"/>
      <c r="CF4" s="246" t="s">
        <v>866</v>
      </c>
      <c r="CG4" s="246" t="s">
        <v>826</v>
      </c>
      <c r="CH4" s="247"/>
      <c r="CI4" s="248"/>
      <c r="CJ4" s="248"/>
      <c r="CK4" s="248"/>
      <c r="CL4" s="249"/>
      <c r="CP4" s="217"/>
      <c r="CT4" s="208" t="s">
        <v>866</v>
      </c>
      <c r="CU4" s="208" t="s">
        <v>826</v>
      </c>
    </row>
    <row r="5" spans="1:108" ht="115.8" thickBot="1" x14ac:dyDescent="0.35">
      <c r="A5" s="216"/>
      <c r="L5" s="217"/>
      <c r="M5" s="240"/>
      <c r="N5" s="216"/>
      <c r="O5" s="246" t="s">
        <v>406</v>
      </c>
      <c r="P5" s="255" t="s">
        <v>530</v>
      </c>
      <c r="Q5" s="256" t="s">
        <v>664</v>
      </c>
      <c r="R5" s="256" t="s">
        <v>656</v>
      </c>
      <c r="S5" s="256" t="s">
        <v>635</v>
      </c>
      <c r="T5" s="256" t="s">
        <v>679</v>
      </c>
      <c r="U5" s="257" t="s">
        <v>710</v>
      </c>
      <c r="V5" s="258" t="s">
        <v>427</v>
      </c>
      <c r="AB5" s="217"/>
      <c r="AC5" s="240"/>
      <c r="AD5" s="216"/>
      <c r="AE5" s="221" t="s">
        <v>15</v>
      </c>
      <c r="AF5" s="241" t="s">
        <v>522</v>
      </c>
      <c r="AG5" s="228" t="s">
        <v>523</v>
      </c>
      <c r="AH5" s="242" t="s">
        <v>524</v>
      </c>
      <c r="AI5" s="243" t="s">
        <v>525</v>
      </c>
      <c r="AJ5" s="244" t="s">
        <v>526</v>
      </c>
      <c r="AK5" s="245" t="s">
        <v>527</v>
      </c>
      <c r="AL5" s="369" t="s">
        <v>865</v>
      </c>
      <c r="AO5" s="217"/>
      <c r="AP5" s="240"/>
      <c r="AQ5" s="216"/>
      <c r="AR5" s="265" t="s">
        <v>1022</v>
      </c>
      <c r="AS5" s="246" t="s">
        <v>826</v>
      </c>
      <c r="AT5" s="247"/>
      <c r="AU5" s="248"/>
      <c r="AV5" s="248"/>
      <c r="AW5" s="248"/>
      <c r="AX5" s="249"/>
      <c r="BB5" s="217"/>
      <c r="BC5" s="240"/>
      <c r="BD5" s="216"/>
      <c r="BE5" s="260" t="s">
        <v>866</v>
      </c>
      <c r="BF5" s="246" t="s">
        <v>826</v>
      </c>
      <c r="BG5" s="254"/>
      <c r="BH5" s="247"/>
      <c r="BI5" s="248"/>
      <c r="BJ5" s="248"/>
      <c r="BK5" s="248"/>
      <c r="BL5" s="248"/>
      <c r="BM5" s="249"/>
      <c r="BR5" s="217"/>
      <c r="BS5" s="240"/>
      <c r="BT5" s="270" t="s">
        <v>406</v>
      </c>
      <c r="BU5" s="271" t="s">
        <v>35</v>
      </c>
      <c r="BV5" s="272" t="s">
        <v>33</v>
      </c>
      <c r="BW5" s="272" t="s">
        <v>36</v>
      </c>
      <c r="BX5" s="272" t="s">
        <v>34</v>
      </c>
      <c r="BY5" s="272" t="s">
        <v>663</v>
      </c>
      <c r="BZ5" s="272" t="s">
        <v>422</v>
      </c>
      <c r="CA5" s="273" t="s">
        <v>802</v>
      </c>
      <c r="CB5" s="269" t="s">
        <v>427</v>
      </c>
      <c r="CD5" s="217"/>
      <c r="CE5" s="240"/>
      <c r="CF5" s="246" t="s">
        <v>406</v>
      </c>
      <c r="CG5" s="247" t="s">
        <v>414</v>
      </c>
      <c r="CH5" s="248" t="s">
        <v>421</v>
      </c>
      <c r="CI5" s="248" t="s">
        <v>420</v>
      </c>
      <c r="CJ5" s="248" t="s">
        <v>422</v>
      </c>
      <c r="CK5" s="249" t="s">
        <v>424</v>
      </c>
      <c r="CL5" s="254" t="s">
        <v>427</v>
      </c>
      <c r="CP5" s="217"/>
      <c r="CT5" s="275" t="s">
        <v>406</v>
      </c>
      <c r="CU5" s="90" t="s">
        <v>35</v>
      </c>
      <c r="CV5" s="90" t="s">
        <v>33</v>
      </c>
      <c r="CW5" s="90" t="s">
        <v>34</v>
      </c>
      <c r="CX5" s="90" t="s">
        <v>36</v>
      </c>
      <c r="CY5" s="90" t="s">
        <v>663</v>
      </c>
      <c r="CZ5" s="90" t="s">
        <v>422</v>
      </c>
      <c r="DA5" s="90" t="s">
        <v>802</v>
      </c>
      <c r="DB5" s="90" t="s">
        <v>427</v>
      </c>
    </row>
    <row r="6" spans="1:108" ht="21.6" thickTop="1" thickBot="1" x14ac:dyDescent="0.35">
      <c r="A6" s="246" t="s">
        <v>406</v>
      </c>
      <c r="B6" s="254" t="s">
        <v>1023</v>
      </c>
      <c r="L6" s="217"/>
      <c r="M6" s="240"/>
      <c r="N6" s="216"/>
      <c r="O6" s="250" t="s">
        <v>642</v>
      </c>
      <c r="P6" s="341">
        <v>6</v>
      </c>
      <c r="Q6" s="342">
        <v>37</v>
      </c>
      <c r="R6" s="342">
        <v>9</v>
      </c>
      <c r="S6" s="342">
        <v>54</v>
      </c>
      <c r="T6" s="342">
        <v>4</v>
      </c>
      <c r="U6" s="342">
        <v>3</v>
      </c>
      <c r="V6" s="343">
        <v>113</v>
      </c>
      <c r="AB6" s="217"/>
      <c r="AC6" s="240"/>
      <c r="AD6" s="216"/>
      <c r="AE6" s="355" t="s">
        <v>825</v>
      </c>
      <c r="AF6" s="356" t="s">
        <v>826</v>
      </c>
      <c r="AG6" s="357"/>
      <c r="AH6" s="357"/>
      <c r="AI6" s="357"/>
      <c r="AJ6" s="357"/>
      <c r="AK6" s="357"/>
      <c r="AL6" s="357"/>
      <c r="AO6" s="217"/>
      <c r="AP6" s="240"/>
      <c r="AQ6" s="216"/>
      <c r="AR6" s="246" t="s">
        <v>406</v>
      </c>
      <c r="AS6" s="266" t="s">
        <v>35</v>
      </c>
      <c r="AT6" s="267" t="s">
        <v>33</v>
      </c>
      <c r="AU6" s="267" t="s">
        <v>34</v>
      </c>
      <c r="AV6" s="267" t="s">
        <v>36</v>
      </c>
      <c r="AW6" s="268" t="s">
        <v>663</v>
      </c>
      <c r="AX6" s="269" t="s">
        <v>427</v>
      </c>
      <c r="BB6" s="217"/>
      <c r="BC6" s="240"/>
      <c r="BD6" s="216"/>
      <c r="BE6" s="261"/>
      <c r="BF6" s="255" t="s">
        <v>639</v>
      </c>
      <c r="BG6" s="256"/>
      <c r="BH6" s="256"/>
      <c r="BI6" s="256"/>
      <c r="BJ6" s="256"/>
      <c r="BK6" s="257"/>
      <c r="BL6" s="262" t="s">
        <v>1024</v>
      </c>
      <c r="BM6" s="262" t="s">
        <v>427</v>
      </c>
      <c r="BR6" s="217"/>
      <c r="BS6" s="240"/>
      <c r="BT6" s="250" t="s">
        <v>415</v>
      </c>
      <c r="BU6" s="341">
        <v>5</v>
      </c>
      <c r="BV6" s="342">
        <v>4</v>
      </c>
      <c r="BW6" s="342">
        <v>2</v>
      </c>
      <c r="BX6" s="342">
        <v>1</v>
      </c>
      <c r="BY6" s="342"/>
      <c r="BZ6" s="342">
        <v>1</v>
      </c>
      <c r="CA6" s="342"/>
      <c r="CB6" s="343">
        <v>13</v>
      </c>
      <c r="CD6" s="217"/>
      <c r="CE6" s="240"/>
      <c r="CF6" s="250" t="s">
        <v>757</v>
      </c>
      <c r="CG6" s="341">
        <v>8</v>
      </c>
      <c r="CH6" s="342"/>
      <c r="CI6" s="342"/>
      <c r="CJ6" s="342"/>
      <c r="CK6" s="342"/>
      <c r="CL6" s="343">
        <v>8</v>
      </c>
      <c r="CP6" s="217"/>
      <c r="CR6" s="175" t="s">
        <v>707</v>
      </c>
      <c r="CS6" s="177" t="s">
        <v>531</v>
      </c>
      <c r="CT6" s="274" t="s">
        <v>707</v>
      </c>
      <c r="CU6" s="90"/>
      <c r="CV6" s="90">
        <v>1</v>
      </c>
      <c r="CW6" s="90">
        <v>2</v>
      </c>
      <c r="CX6" s="90">
        <v>1</v>
      </c>
      <c r="CY6" s="90"/>
      <c r="CZ6" s="90"/>
      <c r="DA6" s="90"/>
      <c r="DB6" s="90">
        <v>4</v>
      </c>
    </row>
    <row r="7" spans="1:108" ht="42" thickTop="1" thickBot="1" x14ac:dyDescent="0.35">
      <c r="A7" s="250" t="s">
        <v>414</v>
      </c>
      <c r="B7" s="262">
        <v>16</v>
      </c>
      <c r="L7" s="217"/>
      <c r="M7" s="240"/>
      <c r="N7" s="216"/>
      <c r="O7" s="251" t="s">
        <v>391</v>
      </c>
      <c r="P7" s="344">
        <v>2</v>
      </c>
      <c r="Q7" s="79">
        <v>22</v>
      </c>
      <c r="R7" s="79">
        <v>2</v>
      </c>
      <c r="S7" s="79">
        <v>24</v>
      </c>
      <c r="T7" s="79">
        <v>1</v>
      </c>
      <c r="U7" s="79">
        <v>1</v>
      </c>
      <c r="V7" s="338">
        <v>52</v>
      </c>
      <c r="AB7" s="217"/>
      <c r="AC7" s="240"/>
      <c r="AD7" s="216"/>
      <c r="AE7" s="355" t="s">
        <v>406</v>
      </c>
      <c r="AF7" s="358" t="s">
        <v>614</v>
      </c>
      <c r="AG7" s="359" t="s">
        <v>680</v>
      </c>
      <c r="AH7" s="360" t="s">
        <v>639</v>
      </c>
      <c r="AI7" s="361" t="s">
        <v>674</v>
      </c>
      <c r="AJ7" s="362" t="s">
        <v>46</v>
      </c>
      <c r="AK7" s="363" t="s">
        <v>756</v>
      </c>
      <c r="AL7" s="364" t="s">
        <v>427</v>
      </c>
      <c r="AO7" s="217"/>
      <c r="AP7" s="240"/>
      <c r="AQ7" s="222" t="s">
        <v>522</v>
      </c>
      <c r="AR7" s="253" t="s">
        <v>530</v>
      </c>
      <c r="AS7" s="350">
        <v>1</v>
      </c>
      <c r="AT7" s="351">
        <v>11</v>
      </c>
      <c r="AU7" s="351"/>
      <c r="AV7" s="351"/>
      <c r="AW7" s="351"/>
      <c r="AX7" s="352">
        <v>12</v>
      </c>
      <c r="BB7" s="217"/>
      <c r="BC7" s="240"/>
      <c r="BD7" s="216"/>
      <c r="BE7" s="246" t="s">
        <v>406</v>
      </c>
      <c r="BF7" s="255" t="s">
        <v>416</v>
      </c>
      <c r="BG7" s="256" t="s">
        <v>415</v>
      </c>
      <c r="BH7" s="256" t="s">
        <v>417</v>
      </c>
      <c r="BI7" s="256" t="s">
        <v>418</v>
      </c>
      <c r="BJ7" s="256" t="s">
        <v>425</v>
      </c>
      <c r="BK7" s="257" t="s">
        <v>423</v>
      </c>
      <c r="BL7" s="263"/>
      <c r="BM7" s="263"/>
      <c r="BR7" s="217"/>
      <c r="BS7" s="240"/>
      <c r="BT7" s="251" t="s">
        <v>416</v>
      </c>
      <c r="BU7" s="344">
        <v>4</v>
      </c>
      <c r="BV7" s="79"/>
      <c r="BW7" s="79">
        <v>1</v>
      </c>
      <c r="BX7" s="79"/>
      <c r="BY7" s="79"/>
      <c r="BZ7" s="79"/>
      <c r="CA7" s="79"/>
      <c r="CB7" s="338">
        <v>5</v>
      </c>
      <c r="CD7" s="217"/>
      <c r="CE7" s="240"/>
      <c r="CF7" s="251" t="s">
        <v>801</v>
      </c>
      <c r="CG7" s="344">
        <v>6</v>
      </c>
      <c r="CH7" s="79"/>
      <c r="CI7" s="79"/>
      <c r="CJ7" s="79">
        <v>12</v>
      </c>
      <c r="CK7" s="79">
        <v>14</v>
      </c>
      <c r="CL7" s="338">
        <v>32</v>
      </c>
      <c r="CP7" s="217"/>
      <c r="CR7" s="175" t="s">
        <v>682</v>
      </c>
      <c r="CS7" s="177" t="s">
        <v>532</v>
      </c>
      <c r="CT7" s="274" t="s">
        <v>682</v>
      </c>
      <c r="CU7" s="90"/>
      <c r="CV7" s="90">
        <v>2</v>
      </c>
      <c r="CW7" s="90"/>
      <c r="CX7" s="90">
        <v>1</v>
      </c>
      <c r="CY7" s="90"/>
      <c r="CZ7" s="90"/>
      <c r="DA7" s="90"/>
      <c r="DB7" s="90">
        <v>3</v>
      </c>
    </row>
    <row r="8" spans="1:108" ht="44.4" thickTop="1" thickBot="1" x14ac:dyDescent="0.35">
      <c r="A8" s="251" t="s">
        <v>421</v>
      </c>
      <c r="B8" s="346">
        <v>91</v>
      </c>
      <c r="L8" s="217"/>
      <c r="M8" s="240"/>
      <c r="N8" s="216"/>
      <c r="O8" s="251" t="s">
        <v>616</v>
      </c>
      <c r="P8" s="344">
        <v>9</v>
      </c>
      <c r="Q8" s="79">
        <v>31</v>
      </c>
      <c r="R8" s="79"/>
      <c r="S8" s="79">
        <v>34</v>
      </c>
      <c r="T8" s="79"/>
      <c r="U8" s="79">
        <v>7</v>
      </c>
      <c r="V8" s="338">
        <v>81</v>
      </c>
      <c r="AB8" s="217"/>
      <c r="AC8" s="240"/>
      <c r="AD8" s="216"/>
      <c r="AE8" s="365" t="s">
        <v>35</v>
      </c>
      <c r="AF8" s="360">
        <v>62</v>
      </c>
      <c r="AG8" s="360"/>
      <c r="AH8" s="360">
        <v>16</v>
      </c>
      <c r="AI8" s="360">
        <v>2</v>
      </c>
      <c r="AJ8" s="360">
        <v>20</v>
      </c>
      <c r="AK8" s="360">
        <v>3</v>
      </c>
      <c r="AL8" s="360">
        <v>103</v>
      </c>
      <c r="AO8" s="217"/>
      <c r="AP8" s="240"/>
      <c r="AQ8" s="223" t="s">
        <v>523</v>
      </c>
      <c r="AR8" s="264" t="s">
        <v>618</v>
      </c>
      <c r="AS8" s="353"/>
      <c r="AT8" s="90">
        <v>8</v>
      </c>
      <c r="AU8" s="90"/>
      <c r="AV8" s="90"/>
      <c r="AW8" s="90"/>
      <c r="AX8" s="347">
        <v>8</v>
      </c>
      <c r="BB8" s="217"/>
      <c r="BC8" s="240"/>
      <c r="BD8" s="216"/>
      <c r="BE8" s="250" t="s">
        <v>35</v>
      </c>
      <c r="BF8" s="341">
        <v>4</v>
      </c>
      <c r="BG8" s="342">
        <v>5</v>
      </c>
      <c r="BH8" s="342">
        <v>4</v>
      </c>
      <c r="BI8" s="342">
        <v>3</v>
      </c>
      <c r="BJ8" s="342"/>
      <c r="BK8" s="342"/>
      <c r="BL8" s="342">
        <v>16</v>
      </c>
      <c r="BM8" s="343">
        <v>16</v>
      </c>
      <c r="BR8" s="217"/>
      <c r="BS8" s="240"/>
      <c r="BT8" s="251" t="s">
        <v>425</v>
      </c>
      <c r="BU8" s="344"/>
      <c r="BV8" s="79"/>
      <c r="BW8" s="79"/>
      <c r="BX8" s="79"/>
      <c r="BY8" s="79"/>
      <c r="BZ8" s="79"/>
      <c r="CA8" s="79">
        <v>3</v>
      </c>
      <c r="CB8" s="338">
        <v>3</v>
      </c>
      <c r="CD8" s="217"/>
      <c r="CE8" s="240"/>
      <c r="CF8" s="251" t="s">
        <v>800</v>
      </c>
      <c r="CG8" s="344">
        <v>2</v>
      </c>
      <c r="CH8" s="79"/>
      <c r="CI8" s="79"/>
      <c r="CJ8" s="79"/>
      <c r="CK8" s="79"/>
      <c r="CL8" s="338">
        <v>2</v>
      </c>
      <c r="CP8" s="217"/>
      <c r="CR8" s="175" t="s">
        <v>708</v>
      </c>
      <c r="CS8" s="177" t="s">
        <v>535</v>
      </c>
      <c r="CT8" s="274" t="s">
        <v>708</v>
      </c>
      <c r="CU8" s="90">
        <v>8</v>
      </c>
      <c r="CV8" s="90">
        <v>1</v>
      </c>
      <c r="CW8" s="90"/>
      <c r="CX8" s="90">
        <v>1</v>
      </c>
      <c r="CY8" s="90"/>
      <c r="CZ8" s="90"/>
      <c r="DA8" s="90"/>
      <c r="DB8" s="90">
        <v>10</v>
      </c>
    </row>
    <row r="9" spans="1:108" ht="21.6" thickTop="1" thickBot="1" x14ac:dyDescent="0.35">
      <c r="A9" s="251" t="s">
        <v>420</v>
      </c>
      <c r="B9" s="346">
        <v>149</v>
      </c>
      <c r="L9" s="217"/>
      <c r="M9" s="240"/>
      <c r="N9" s="216"/>
      <c r="O9" s="251" t="s">
        <v>806</v>
      </c>
      <c r="P9" s="344"/>
      <c r="Q9" s="79"/>
      <c r="R9" s="79">
        <v>1</v>
      </c>
      <c r="S9" s="79"/>
      <c r="T9" s="79"/>
      <c r="U9" s="79"/>
      <c r="V9" s="338">
        <v>1</v>
      </c>
      <c r="AB9" s="217"/>
      <c r="AC9" s="240"/>
      <c r="AD9" s="216"/>
      <c r="AE9" s="366" t="s">
        <v>33</v>
      </c>
      <c r="AF9" s="367">
        <v>49</v>
      </c>
      <c r="AG9" s="367">
        <v>21</v>
      </c>
      <c r="AH9" s="367">
        <v>9</v>
      </c>
      <c r="AI9" s="367">
        <v>14</v>
      </c>
      <c r="AJ9" s="367">
        <v>16</v>
      </c>
      <c r="AK9" s="367"/>
      <c r="AL9" s="367">
        <v>109</v>
      </c>
      <c r="AO9" s="217"/>
      <c r="AP9" s="240"/>
      <c r="AQ9" s="224" t="s">
        <v>524</v>
      </c>
      <c r="AR9" s="264" t="s">
        <v>271</v>
      </c>
      <c r="AS9" s="353"/>
      <c r="AT9" s="90">
        <v>1</v>
      </c>
      <c r="AU9" s="90"/>
      <c r="AV9" s="90"/>
      <c r="AW9" s="90"/>
      <c r="AX9" s="347">
        <v>1</v>
      </c>
      <c r="BB9" s="217"/>
      <c r="BC9" s="240"/>
      <c r="BD9" s="216"/>
      <c r="BE9" s="251" t="s">
        <v>33</v>
      </c>
      <c r="BF9" s="344"/>
      <c r="BG9" s="79">
        <v>4</v>
      </c>
      <c r="BH9" s="79">
        <v>5</v>
      </c>
      <c r="BI9" s="79"/>
      <c r="BJ9" s="79"/>
      <c r="BK9" s="79"/>
      <c r="BL9" s="79">
        <v>9</v>
      </c>
      <c r="BM9" s="338">
        <v>9</v>
      </c>
      <c r="BR9" s="217"/>
      <c r="BS9" s="240"/>
      <c r="BT9" s="251" t="s">
        <v>417</v>
      </c>
      <c r="BU9" s="344">
        <v>56</v>
      </c>
      <c r="BV9" s="79">
        <v>64</v>
      </c>
      <c r="BW9" s="79">
        <v>10</v>
      </c>
      <c r="BX9" s="79">
        <v>7</v>
      </c>
      <c r="BY9" s="79">
        <v>10</v>
      </c>
      <c r="BZ9" s="79"/>
      <c r="CA9" s="79"/>
      <c r="CB9" s="338">
        <v>147</v>
      </c>
      <c r="CD9" s="217"/>
      <c r="CE9" s="240"/>
      <c r="CF9" s="251" t="s">
        <v>763</v>
      </c>
      <c r="CG9" s="344"/>
      <c r="CH9" s="79">
        <v>21</v>
      </c>
      <c r="CI9" s="79"/>
      <c r="CJ9" s="79"/>
      <c r="CK9" s="79"/>
      <c r="CL9" s="338">
        <v>21</v>
      </c>
      <c r="CP9" s="217"/>
      <c r="CR9" s="175" t="s">
        <v>636</v>
      </c>
      <c r="CS9" s="177" t="s">
        <v>536</v>
      </c>
      <c r="CT9" s="274" t="s">
        <v>636</v>
      </c>
      <c r="CU9" s="90">
        <v>6</v>
      </c>
      <c r="CV9" s="90">
        <v>3</v>
      </c>
      <c r="CW9" s="90">
        <v>1</v>
      </c>
      <c r="CX9" s="90">
        <v>2</v>
      </c>
      <c r="CY9" s="90"/>
      <c r="CZ9" s="90"/>
      <c r="DA9" s="90"/>
      <c r="DB9" s="90">
        <v>12</v>
      </c>
    </row>
    <row r="10" spans="1:108" ht="31.8" thickTop="1" thickBot="1" x14ac:dyDescent="0.35">
      <c r="A10" s="251" t="s">
        <v>422</v>
      </c>
      <c r="B10" s="346">
        <v>12</v>
      </c>
      <c r="L10" s="217"/>
      <c r="M10" s="240"/>
      <c r="N10" s="216"/>
      <c r="O10" s="251" t="s">
        <v>527</v>
      </c>
      <c r="P10" s="344">
        <v>1</v>
      </c>
      <c r="Q10" s="79"/>
      <c r="R10" s="79"/>
      <c r="S10" s="79">
        <v>3</v>
      </c>
      <c r="T10" s="79">
        <v>1</v>
      </c>
      <c r="U10" s="79"/>
      <c r="V10" s="338">
        <v>5</v>
      </c>
      <c r="AB10" s="217"/>
      <c r="AC10" s="240"/>
      <c r="AD10" s="216"/>
      <c r="AE10" s="365" t="s">
        <v>34</v>
      </c>
      <c r="AF10" s="360">
        <v>4</v>
      </c>
      <c r="AG10" s="360"/>
      <c r="AH10" s="360">
        <v>2</v>
      </c>
      <c r="AI10" s="360">
        <v>2</v>
      </c>
      <c r="AJ10" s="360"/>
      <c r="AK10" s="360"/>
      <c r="AL10" s="360">
        <v>8</v>
      </c>
      <c r="AO10" s="217"/>
      <c r="AP10" s="240"/>
      <c r="AQ10" s="225" t="s">
        <v>525</v>
      </c>
      <c r="AR10" s="264" t="s">
        <v>647</v>
      </c>
      <c r="AS10" s="353"/>
      <c r="AT10" s="90">
        <v>2</v>
      </c>
      <c r="AU10" s="90"/>
      <c r="AV10" s="90"/>
      <c r="AW10" s="90"/>
      <c r="AX10" s="347">
        <v>2</v>
      </c>
      <c r="BB10" s="217"/>
      <c r="BC10" s="240"/>
      <c r="BD10" s="216"/>
      <c r="BE10" s="251" t="s">
        <v>34</v>
      </c>
      <c r="BF10" s="344"/>
      <c r="BG10" s="79">
        <v>1</v>
      </c>
      <c r="BH10" s="79">
        <v>1</v>
      </c>
      <c r="BI10" s="79"/>
      <c r="BJ10" s="79"/>
      <c r="BK10" s="79"/>
      <c r="BL10" s="79">
        <v>2</v>
      </c>
      <c r="BM10" s="338">
        <v>2</v>
      </c>
      <c r="BR10" s="217"/>
      <c r="BS10" s="240"/>
      <c r="BT10" s="251" t="s">
        <v>423</v>
      </c>
      <c r="BU10" s="344"/>
      <c r="BV10" s="79"/>
      <c r="BW10" s="79"/>
      <c r="BX10" s="79"/>
      <c r="BY10" s="79"/>
      <c r="BZ10" s="79">
        <v>12</v>
      </c>
      <c r="CA10" s="79">
        <v>11</v>
      </c>
      <c r="CB10" s="338">
        <v>23</v>
      </c>
      <c r="CD10" s="217"/>
      <c r="CE10" s="240"/>
      <c r="CF10" s="251" t="s">
        <v>790</v>
      </c>
      <c r="CG10" s="344"/>
      <c r="CH10" s="79">
        <v>2</v>
      </c>
      <c r="CI10" s="79"/>
      <c r="CJ10" s="79"/>
      <c r="CK10" s="79"/>
      <c r="CL10" s="338">
        <v>2</v>
      </c>
      <c r="CP10" s="217"/>
      <c r="CR10" s="175" t="s">
        <v>665</v>
      </c>
      <c r="CS10" s="177" t="s">
        <v>538</v>
      </c>
      <c r="CT10" s="274" t="s">
        <v>665</v>
      </c>
      <c r="CU10" s="90">
        <v>13</v>
      </c>
      <c r="CV10" s="90">
        <v>11</v>
      </c>
      <c r="CW10" s="90">
        <v>2</v>
      </c>
      <c r="CX10" s="90"/>
      <c r="CY10" s="90">
        <v>7</v>
      </c>
      <c r="CZ10" s="90"/>
      <c r="DA10" s="90">
        <v>1</v>
      </c>
      <c r="DB10" s="90">
        <v>34</v>
      </c>
    </row>
    <row r="11" spans="1:108" ht="16.8" thickTop="1" thickBot="1" x14ac:dyDescent="0.35">
      <c r="A11" s="252" t="s">
        <v>424</v>
      </c>
      <c r="B11" s="346">
        <v>14</v>
      </c>
      <c r="L11" s="217"/>
      <c r="M11" s="240"/>
      <c r="N11" s="216"/>
      <c r="O11" s="251" t="s">
        <v>1025</v>
      </c>
      <c r="P11" s="344"/>
      <c r="Q11" s="79"/>
      <c r="R11" s="79"/>
      <c r="S11" s="79"/>
      <c r="T11" s="79"/>
      <c r="U11" s="79"/>
      <c r="V11" s="338"/>
      <c r="AB11" s="217"/>
      <c r="AC11" s="240"/>
      <c r="AD11" s="216"/>
      <c r="AE11" s="366" t="s">
        <v>36</v>
      </c>
      <c r="AF11" s="367">
        <v>13</v>
      </c>
      <c r="AG11" s="367"/>
      <c r="AH11" s="367">
        <v>3</v>
      </c>
      <c r="AI11" s="367">
        <v>5</v>
      </c>
      <c r="AJ11" s="367">
        <v>1</v>
      </c>
      <c r="AK11" s="367"/>
      <c r="AL11" s="367">
        <v>22</v>
      </c>
      <c r="AO11" s="217"/>
      <c r="AP11" s="240"/>
      <c r="AQ11" s="226" t="s">
        <v>526</v>
      </c>
      <c r="AR11" s="264" t="s">
        <v>651</v>
      </c>
      <c r="AS11" s="353">
        <v>1</v>
      </c>
      <c r="AT11" s="90"/>
      <c r="AU11" s="90"/>
      <c r="AV11" s="90"/>
      <c r="AW11" s="90"/>
      <c r="AX11" s="347">
        <v>1</v>
      </c>
      <c r="BB11" s="217"/>
      <c r="BC11" s="240"/>
      <c r="BD11" s="216"/>
      <c r="BE11" s="251" t="s">
        <v>36</v>
      </c>
      <c r="BF11" s="344">
        <v>1</v>
      </c>
      <c r="BG11" s="79">
        <v>2</v>
      </c>
      <c r="BH11" s="79"/>
      <c r="BI11" s="79"/>
      <c r="BJ11" s="79"/>
      <c r="BK11" s="79"/>
      <c r="BL11" s="79">
        <v>3</v>
      </c>
      <c r="BM11" s="338">
        <v>3</v>
      </c>
      <c r="BR11" s="217"/>
      <c r="BS11" s="240"/>
      <c r="BT11" s="251" t="s">
        <v>418</v>
      </c>
      <c r="BU11" s="344">
        <v>34</v>
      </c>
      <c r="BV11" s="79">
        <v>41</v>
      </c>
      <c r="BW11" s="79">
        <v>9</v>
      </c>
      <c r="BX11" s="79"/>
      <c r="BY11" s="79">
        <v>3</v>
      </c>
      <c r="BZ11" s="79"/>
      <c r="CA11" s="79"/>
      <c r="CB11" s="338">
        <v>87</v>
      </c>
      <c r="CD11" s="217"/>
      <c r="CE11" s="240"/>
      <c r="CF11" s="251" t="s">
        <v>770</v>
      </c>
      <c r="CG11" s="344"/>
      <c r="CH11" s="79">
        <v>26</v>
      </c>
      <c r="CI11" s="79"/>
      <c r="CJ11" s="79"/>
      <c r="CK11" s="79"/>
      <c r="CL11" s="338">
        <v>26</v>
      </c>
      <c r="CP11" s="217"/>
      <c r="CR11" s="175" t="s">
        <v>638</v>
      </c>
      <c r="CS11" s="179" t="s">
        <v>539</v>
      </c>
      <c r="CT11" s="274" t="s">
        <v>638</v>
      </c>
      <c r="CU11" s="90">
        <v>20</v>
      </c>
      <c r="CV11" s="90">
        <v>22</v>
      </c>
      <c r="CW11" s="90">
        <v>1</v>
      </c>
      <c r="CX11" s="90">
        <v>5</v>
      </c>
      <c r="CY11" s="90">
        <v>2</v>
      </c>
      <c r="CZ11" s="90"/>
      <c r="DA11" s="90"/>
      <c r="DB11" s="90">
        <v>50</v>
      </c>
    </row>
    <row r="12" spans="1:108" ht="16.8" thickTop="1" thickBot="1" x14ac:dyDescent="0.35">
      <c r="A12" s="253" t="s">
        <v>427</v>
      </c>
      <c r="B12" s="263">
        <v>282</v>
      </c>
      <c r="L12" s="217"/>
      <c r="M12" s="240"/>
      <c r="N12" s="216"/>
      <c r="O12" s="251" t="s">
        <v>678</v>
      </c>
      <c r="P12" s="344"/>
      <c r="Q12" s="79"/>
      <c r="R12" s="79"/>
      <c r="S12" s="79">
        <v>2</v>
      </c>
      <c r="T12" s="79"/>
      <c r="U12" s="79"/>
      <c r="V12" s="338">
        <v>2</v>
      </c>
      <c r="AB12" s="217"/>
      <c r="AC12" s="240"/>
      <c r="AD12" s="216"/>
      <c r="AE12" s="365" t="s">
        <v>663</v>
      </c>
      <c r="AF12" s="360">
        <v>9</v>
      </c>
      <c r="AG12" s="360"/>
      <c r="AH12" s="360"/>
      <c r="AI12" s="360">
        <v>4</v>
      </c>
      <c r="AJ12" s="360"/>
      <c r="AK12" s="360"/>
      <c r="AL12" s="360">
        <v>13</v>
      </c>
      <c r="AO12" s="217"/>
      <c r="AP12" s="240"/>
      <c r="AQ12" s="227" t="s">
        <v>527</v>
      </c>
      <c r="AR12" s="253" t="s">
        <v>664</v>
      </c>
      <c r="AS12" s="353">
        <v>13</v>
      </c>
      <c r="AT12" s="90">
        <v>28</v>
      </c>
      <c r="AU12" s="90">
        <v>2</v>
      </c>
      <c r="AV12" s="90">
        <v>6</v>
      </c>
      <c r="AW12" s="90">
        <v>7</v>
      </c>
      <c r="AX12" s="347">
        <v>56</v>
      </c>
      <c r="BB12" s="217"/>
      <c r="BC12" s="240"/>
      <c r="BD12" s="216"/>
      <c r="BE12" s="251" t="s">
        <v>422</v>
      </c>
      <c r="BF12" s="344"/>
      <c r="BG12" s="79"/>
      <c r="BH12" s="79"/>
      <c r="BI12" s="79"/>
      <c r="BJ12" s="79"/>
      <c r="BK12" s="79">
        <v>7</v>
      </c>
      <c r="BL12" s="79">
        <v>7</v>
      </c>
      <c r="BM12" s="338">
        <v>7</v>
      </c>
      <c r="BR12" s="217"/>
      <c r="BS12" s="240"/>
      <c r="BT12" s="252" t="s">
        <v>1025</v>
      </c>
      <c r="BU12" s="344"/>
      <c r="BV12" s="79"/>
      <c r="BW12" s="79"/>
      <c r="BX12" s="79"/>
      <c r="BY12" s="79"/>
      <c r="BZ12" s="79"/>
      <c r="CA12" s="79"/>
      <c r="CB12" s="338"/>
      <c r="CD12" s="217"/>
      <c r="CE12" s="240"/>
      <c r="CF12" s="251" t="s">
        <v>769</v>
      </c>
      <c r="CG12" s="344"/>
      <c r="CH12" s="79">
        <v>12</v>
      </c>
      <c r="CI12" s="79"/>
      <c r="CJ12" s="79"/>
      <c r="CK12" s="79"/>
      <c r="CL12" s="338">
        <v>12</v>
      </c>
      <c r="CP12" s="217"/>
      <c r="CR12" s="175" t="s">
        <v>634</v>
      </c>
      <c r="CS12" s="180" t="s">
        <v>540</v>
      </c>
      <c r="CT12" s="274" t="s">
        <v>634</v>
      </c>
      <c r="CU12" s="90">
        <v>9</v>
      </c>
      <c r="CV12" s="90">
        <v>29</v>
      </c>
      <c r="CW12" s="90"/>
      <c r="CX12" s="90">
        <v>2</v>
      </c>
      <c r="CY12" s="90"/>
      <c r="CZ12" s="90"/>
      <c r="DA12" s="90"/>
      <c r="DB12" s="90">
        <v>40</v>
      </c>
    </row>
    <row r="13" spans="1:108" ht="16.2" customHeight="1" thickTop="1" thickBot="1" x14ac:dyDescent="0.35">
      <c r="L13" s="217"/>
      <c r="M13" s="240"/>
      <c r="N13" s="216"/>
      <c r="O13" s="252" t="s">
        <v>754</v>
      </c>
      <c r="P13" s="344"/>
      <c r="Q13" s="79">
        <v>6</v>
      </c>
      <c r="R13" s="79"/>
      <c r="S13" s="79">
        <v>13</v>
      </c>
      <c r="T13" s="79"/>
      <c r="U13" s="79"/>
      <c r="V13" s="338">
        <v>19</v>
      </c>
      <c r="AB13" s="217"/>
      <c r="AC13" s="240"/>
      <c r="AD13" s="216"/>
      <c r="AE13" s="368" t="s">
        <v>427</v>
      </c>
      <c r="AF13" s="360">
        <v>137</v>
      </c>
      <c r="AG13" s="360">
        <v>21</v>
      </c>
      <c r="AH13" s="360">
        <v>30</v>
      </c>
      <c r="AI13" s="360">
        <v>27</v>
      </c>
      <c r="AJ13" s="360">
        <v>37</v>
      </c>
      <c r="AK13" s="360">
        <v>3</v>
      </c>
      <c r="AL13" s="360">
        <v>255</v>
      </c>
      <c r="AO13" s="217"/>
      <c r="AP13" s="240"/>
      <c r="AQ13" s="216"/>
      <c r="AR13" s="264" t="s">
        <v>618</v>
      </c>
      <c r="AS13" s="353">
        <v>10</v>
      </c>
      <c r="AT13" s="90">
        <v>4</v>
      </c>
      <c r="AU13" s="90">
        <v>2</v>
      </c>
      <c r="AV13" s="90">
        <v>5</v>
      </c>
      <c r="AW13" s="90"/>
      <c r="AX13" s="347">
        <v>21</v>
      </c>
      <c r="BB13" s="217"/>
      <c r="BC13" s="240"/>
      <c r="BD13" s="216"/>
      <c r="BE13" s="252" t="s">
        <v>802</v>
      </c>
      <c r="BF13" s="344"/>
      <c r="BG13" s="79"/>
      <c r="BH13" s="79"/>
      <c r="BI13" s="79"/>
      <c r="BJ13" s="79">
        <v>3</v>
      </c>
      <c r="BK13" s="79">
        <v>4</v>
      </c>
      <c r="BL13" s="79">
        <v>7</v>
      </c>
      <c r="BM13" s="338">
        <v>7</v>
      </c>
      <c r="BR13" s="217"/>
      <c r="BS13" s="240"/>
      <c r="BT13" s="253" t="s">
        <v>427</v>
      </c>
      <c r="BU13" s="345">
        <v>99</v>
      </c>
      <c r="BV13" s="339">
        <v>109</v>
      </c>
      <c r="BW13" s="339">
        <v>22</v>
      </c>
      <c r="BX13" s="339">
        <v>8</v>
      </c>
      <c r="BY13" s="339">
        <v>13</v>
      </c>
      <c r="BZ13" s="339">
        <v>13</v>
      </c>
      <c r="CA13" s="339">
        <v>14</v>
      </c>
      <c r="CB13" s="340">
        <v>278</v>
      </c>
      <c r="CD13" s="217"/>
      <c r="CE13" s="240"/>
      <c r="CF13" s="251" t="s">
        <v>452</v>
      </c>
      <c r="CG13" s="344"/>
      <c r="CH13" s="79"/>
      <c r="CI13" s="79">
        <v>31</v>
      </c>
      <c r="CJ13" s="79"/>
      <c r="CK13" s="79"/>
      <c r="CL13" s="338">
        <v>31</v>
      </c>
      <c r="CP13" s="217"/>
      <c r="CR13" s="175" t="s">
        <v>624</v>
      </c>
      <c r="CS13" s="179" t="s">
        <v>541</v>
      </c>
      <c r="CT13" s="274" t="s">
        <v>624</v>
      </c>
      <c r="CU13" s="90">
        <v>3</v>
      </c>
      <c r="CV13" s="90"/>
      <c r="CW13" s="90"/>
      <c r="CX13" s="90"/>
      <c r="CY13" s="90"/>
      <c r="CZ13" s="90"/>
      <c r="DA13" s="90"/>
      <c r="DB13" s="90">
        <v>3</v>
      </c>
    </row>
    <row r="14" spans="1:108" ht="16.2" customHeight="1" thickTop="1" thickBot="1" x14ac:dyDescent="0.35">
      <c r="A14" s="216"/>
      <c r="L14" s="217"/>
      <c r="M14" s="240"/>
      <c r="N14" s="216"/>
      <c r="O14" s="253" t="s">
        <v>427</v>
      </c>
      <c r="P14" s="345">
        <v>18</v>
      </c>
      <c r="Q14" s="339">
        <v>96</v>
      </c>
      <c r="R14" s="339">
        <v>12</v>
      </c>
      <c r="S14" s="339">
        <v>130</v>
      </c>
      <c r="T14" s="339">
        <v>6</v>
      </c>
      <c r="U14" s="339">
        <v>11</v>
      </c>
      <c r="V14" s="340">
        <v>273</v>
      </c>
      <c r="AB14" s="217"/>
      <c r="AC14" s="240"/>
      <c r="AD14" s="216"/>
      <c r="AO14" s="217"/>
      <c r="AP14" s="240"/>
      <c r="AQ14" s="216"/>
      <c r="AR14" s="264" t="s">
        <v>271</v>
      </c>
      <c r="AS14" s="353">
        <v>1</v>
      </c>
      <c r="AT14" s="90">
        <v>12</v>
      </c>
      <c r="AU14" s="90"/>
      <c r="AV14" s="90">
        <v>1</v>
      </c>
      <c r="AW14" s="90">
        <v>7</v>
      </c>
      <c r="AX14" s="347">
        <v>21</v>
      </c>
      <c r="BB14" s="217"/>
      <c r="BC14" s="240"/>
      <c r="BD14" s="216"/>
      <c r="BE14" s="253" t="s">
        <v>427</v>
      </c>
      <c r="BF14" s="345">
        <v>5</v>
      </c>
      <c r="BG14" s="339">
        <v>12</v>
      </c>
      <c r="BH14" s="339">
        <v>10</v>
      </c>
      <c r="BI14" s="339">
        <v>3</v>
      </c>
      <c r="BJ14" s="339">
        <v>3</v>
      </c>
      <c r="BK14" s="339">
        <v>11</v>
      </c>
      <c r="BL14" s="339">
        <v>44</v>
      </c>
      <c r="BM14" s="340">
        <v>44</v>
      </c>
      <c r="BR14" s="217"/>
      <c r="BS14" s="240"/>
      <c r="BT14" s="216"/>
      <c r="CD14" s="217"/>
      <c r="CE14" s="240"/>
      <c r="CF14" s="251" t="s">
        <v>460</v>
      </c>
      <c r="CG14" s="344"/>
      <c r="CH14" s="79"/>
      <c r="CI14" s="79">
        <v>20</v>
      </c>
      <c r="CJ14" s="79"/>
      <c r="CK14" s="79"/>
      <c r="CL14" s="338">
        <v>20</v>
      </c>
      <c r="CP14" s="217"/>
      <c r="CR14" s="175" t="s">
        <v>661</v>
      </c>
      <c r="CS14" s="178" t="s">
        <v>544</v>
      </c>
      <c r="CT14" s="274" t="s">
        <v>661</v>
      </c>
      <c r="CU14" s="90">
        <v>7</v>
      </c>
      <c r="CV14" s="90"/>
      <c r="CW14" s="90"/>
      <c r="CX14" s="90">
        <v>4</v>
      </c>
      <c r="CY14" s="90">
        <v>4</v>
      </c>
      <c r="CZ14" s="90"/>
      <c r="DA14" s="90"/>
      <c r="DB14" s="90">
        <v>15</v>
      </c>
    </row>
    <row r="15" spans="1:108" ht="16.2" customHeight="1" thickTop="1" thickBot="1" x14ac:dyDescent="0.35">
      <c r="A15" s="216"/>
      <c r="L15" s="217"/>
      <c r="M15" s="240"/>
      <c r="N15" s="216"/>
      <c r="AB15" s="217"/>
      <c r="AC15" s="240"/>
      <c r="AD15" s="216"/>
      <c r="AO15" s="217"/>
      <c r="AP15" s="240"/>
      <c r="AQ15" s="216"/>
      <c r="AR15" s="264" t="s">
        <v>653</v>
      </c>
      <c r="AS15" s="353">
        <v>1</v>
      </c>
      <c r="AT15" s="90">
        <v>1</v>
      </c>
      <c r="AU15" s="90"/>
      <c r="AV15" s="90"/>
      <c r="AW15" s="90"/>
      <c r="AX15" s="347">
        <v>2</v>
      </c>
      <c r="BB15" s="217"/>
      <c r="BC15" s="240"/>
      <c r="BD15" s="216"/>
      <c r="BR15" s="217"/>
      <c r="BS15" s="240"/>
      <c r="BT15" s="216"/>
      <c r="CD15" s="217"/>
      <c r="CE15" s="240"/>
      <c r="CF15" s="251" t="s">
        <v>442</v>
      </c>
      <c r="CG15" s="344"/>
      <c r="CH15" s="79"/>
      <c r="CI15" s="79">
        <v>22</v>
      </c>
      <c r="CJ15" s="79"/>
      <c r="CK15" s="79"/>
      <c r="CL15" s="338">
        <v>22</v>
      </c>
      <c r="CP15" s="217"/>
      <c r="CR15" s="175" t="s">
        <v>811</v>
      </c>
      <c r="CS15" s="177" t="s">
        <v>848</v>
      </c>
      <c r="CT15" s="274" t="s">
        <v>811</v>
      </c>
      <c r="CU15" s="90"/>
      <c r="CV15" s="90"/>
      <c r="CW15" s="90"/>
      <c r="CX15" s="90"/>
      <c r="CY15" s="90"/>
      <c r="CZ15" s="90"/>
      <c r="DA15" s="90">
        <v>1</v>
      </c>
      <c r="DB15" s="90">
        <v>1</v>
      </c>
    </row>
    <row r="16" spans="1:108" ht="16.2" customHeight="1" thickTop="1" thickBot="1" x14ac:dyDescent="0.35">
      <c r="A16" s="216"/>
      <c r="L16" s="217"/>
      <c r="M16" s="240"/>
      <c r="N16" s="216"/>
      <c r="AB16" s="217"/>
      <c r="AC16" s="240"/>
      <c r="AD16" s="216"/>
      <c r="AO16" s="217"/>
      <c r="AP16" s="240"/>
      <c r="AQ16" s="216"/>
      <c r="AR16" s="264" t="s">
        <v>647</v>
      </c>
      <c r="AS16" s="353">
        <v>1</v>
      </c>
      <c r="AT16" s="90"/>
      <c r="AU16" s="90"/>
      <c r="AV16" s="90"/>
      <c r="AW16" s="90"/>
      <c r="AX16" s="347">
        <v>1</v>
      </c>
      <c r="BB16" s="217"/>
      <c r="BC16" s="240"/>
      <c r="BD16" s="216"/>
      <c r="BR16" s="217"/>
      <c r="BS16" s="240"/>
      <c r="BT16" s="216"/>
      <c r="CD16" s="217"/>
      <c r="CE16" s="240"/>
      <c r="CF16" s="251" t="s">
        <v>458</v>
      </c>
      <c r="CG16" s="344"/>
      <c r="CH16" s="79"/>
      <c r="CI16" s="79">
        <v>15</v>
      </c>
      <c r="CJ16" s="79"/>
      <c r="CK16" s="79"/>
      <c r="CL16" s="338">
        <v>15</v>
      </c>
      <c r="CP16" s="217"/>
      <c r="CR16" s="175" t="s">
        <v>809</v>
      </c>
      <c r="CS16" s="177" t="s">
        <v>534</v>
      </c>
      <c r="CT16" s="274" t="s">
        <v>809</v>
      </c>
      <c r="CU16" s="90"/>
      <c r="CV16" s="90"/>
      <c r="CW16" s="90"/>
      <c r="CX16" s="90"/>
      <c r="CY16" s="90"/>
      <c r="CZ16" s="90">
        <v>4</v>
      </c>
      <c r="DA16" s="90"/>
      <c r="DB16" s="90">
        <v>4</v>
      </c>
    </row>
    <row r="17" spans="1:108" ht="16.2" customHeight="1" thickTop="1" thickBot="1" x14ac:dyDescent="0.35">
      <c r="A17" s="216"/>
      <c r="L17" s="217"/>
      <c r="M17" s="240"/>
      <c r="N17" s="216"/>
      <c r="AB17" s="217"/>
      <c r="AC17" s="240"/>
      <c r="AD17" s="216"/>
      <c r="AO17" s="217"/>
      <c r="AP17" s="240"/>
      <c r="AQ17" s="216"/>
      <c r="AR17" s="264" t="s">
        <v>651</v>
      </c>
      <c r="AS17" s="353"/>
      <c r="AT17" s="90">
        <v>11</v>
      </c>
      <c r="AU17" s="90"/>
      <c r="AV17" s="90"/>
      <c r="AW17" s="90"/>
      <c r="AX17" s="347">
        <v>11</v>
      </c>
      <c r="BB17" s="217"/>
      <c r="BC17" s="240"/>
      <c r="BD17" s="216"/>
      <c r="BR17" s="217"/>
      <c r="BS17" s="240"/>
      <c r="BT17" s="216"/>
      <c r="CD17" s="217"/>
      <c r="CE17" s="240"/>
      <c r="CF17" s="251" t="s">
        <v>662</v>
      </c>
      <c r="CG17" s="344"/>
      <c r="CH17" s="79"/>
      <c r="CI17" s="79">
        <v>15</v>
      </c>
      <c r="CJ17" s="79"/>
      <c r="CK17" s="79"/>
      <c r="CL17" s="338">
        <v>15</v>
      </c>
      <c r="CP17" s="217"/>
      <c r="CR17" s="175" t="s">
        <v>808</v>
      </c>
      <c r="CS17" s="177" t="s">
        <v>849</v>
      </c>
      <c r="CT17" s="274" t="s">
        <v>808</v>
      </c>
      <c r="CU17" s="90"/>
      <c r="CV17" s="90"/>
      <c r="CW17" s="90"/>
      <c r="CX17" s="90"/>
      <c r="CY17" s="90"/>
      <c r="CZ17" s="90">
        <v>1</v>
      </c>
      <c r="DA17" s="90">
        <v>1</v>
      </c>
      <c r="DB17" s="90">
        <v>2</v>
      </c>
    </row>
    <row r="18" spans="1:108" ht="16.2" customHeight="1" thickTop="1" thickBot="1" x14ac:dyDescent="0.35">
      <c r="A18" s="216"/>
      <c r="L18" s="217"/>
      <c r="M18" s="240"/>
      <c r="N18" s="216"/>
      <c r="AB18" s="217"/>
      <c r="AC18" s="240"/>
      <c r="AD18" s="216"/>
      <c r="AK18" s="229"/>
      <c r="AO18" s="217"/>
      <c r="AP18" s="240"/>
      <c r="AQ18" s="216"/>
      <c r="AR18" s="253" t="s">
        <v>635</v>
      </c>
      <c r="AS18" s="353">
        <v>38</v>
      </c>
      <c r="AT18" s="90">
        <v>9</v>
      </c>
      <c r="AU18" s="90">
        <v>2</v>
      </c>
      <c r="AV18" s="90">
        <v>7</v>
      </c>
      <c r="AW18" s="90">
        <v>2</v>
      </c>
      <c r="AX18" s="347">
        <v>58</v>
      </c>
      <c r="BB18" s="217"/>
      <c r="BC18" s="240"/>
      <c r="BD18" s="216"/>
      <c r="BR18" s="217"/>
      <c r="BS18" s="240"/>
      <c r="BT18" s="216"/>
      <c r="CD18" s="217"/>
      <c r="CE18" s="240"/>
      <c r="CF18" s="251" t="s">
        <v>461</v>
      </c>
      <c r="CG18" s="344"/>
      <c r="CH18" s="79"/>
      <c r="CI18" s="79">
        <v>14</v>
      </c>
      <c r="CJ18" s="79"/>
      <c r="CK18" s="79"/>
      <c r="CL18" s="338">
        <v>14</v>
      </c>
      <c r="CP18" s="217"/>
      <c r="CR18" s="175" t="s">
        <v>807</v>
      </c>
      <c r="CS18" s="177" t="s">
        <v>538</v>
      </c>
      <c r="CT18" s="274" t="s">
        <v>807</v>
      </c>
      <c r="CU18" s="90"/>
      <c r="CV18" s="90"/>
      <c r="CW18" s="90"/>
      <c r="CX18" s="90"/>
      <c r="CY18" s="90"/>
      <c r="CZ18" s="90">
        <v>1</v>
      </c>
      <c r="DA18" s="90">
        <v>5</v>
      </c>
      <c r="DB18" s="90">
        <v>6</v>
      </c>
    </row>
    <row r="19" spans="1:108" ht="16.2" customHeight="1" thickTop="1" thickBot="1" x14ac:dyDescent="0.35">
      <c r="A19" s="216"/>
      <c r="L19" s="217"/>
      <c r="M19" s="240"/>
      <c r="N19" s="216"/>
      <c r="AB19" s="217"/>
      <c r="AC19" s="240"/>
      <c r="AD19" s="216"/>
      <c r="AO19" s="217"/>
      <c r="AP19" s="240"/>
      <c r="AQ19" s="216"/>
      <c r="AR19" s="264" t="s">
        <v>618</v>
      </c>
      <c r="AS19" s="353">
        <v>18</v>
      </c>
      <c r="AT19" s="90">
        <v>2</v>
      </c>
      <c r="AU19" s="90">
        <v>2</v>
      </c>
      <c r="AV19" s="90"/>
      <c r="AW19" s="90"/>
      <c r="AX19" s="347">
        <v>22</v>
      </c>
      <c r="BB19" s="217"/>
      <c r="BC19" s="240"/>
      <c r="BD19" s="216"/>
      <c r="BR19" s="217"/>
      <c r="BS19" s="240"/>
      <c r="BT19" s="216"/>
      <c r="CD19" s="217"/>
      <c r="CE19" s="240"/>
      <c r="CF19" s="252" t="s">
        <v>683</v>
      </c>
      <c r="CG19" s="344"/>
      <c r="CH19" s="79"/>
      <c r="CI19" s="79">
        <v>2</v>
      </c>
      <c r="CJ19" s="79"/>
      <c r="CK19" s="79"/>
      <c r="CL19" s="338">
        <v>2</v>
      </c>
      <c r="CP19" s="217"/>
      <c r="CR19" s="175" t="s">
        <v>805</v>
      </c>
      <c r="CS19" s="186" t="s">
        <v>540</v>
      </c>
      <c r="CT19" s="274" t="s">
        <v>805</v>
      </c>
      <c r="CU19" s="90"/>
      <c r="CV19" s="90"/>
      <c r="CW19" s="90"/>
      <c r="CX19" s="90"/>
      <c r="CY19" s="90"/>
      <c r="CZ19" s="90">
        <v>2</v>
      </c>
      <c r="DA19" s="90">
        <v>2</v>
      </c>
      <c r="DB19" s="90">
        <v>4</v>
      </c>
    </row>
    <row r="20" spans="1:108" ht="16.2" customHeight="1" thickTop="1" thickBot="1" x14ac:dyDescent="0.35">
      <c r="A20" s="216"/>
      <c r="L20" s="217"/>
      <c r="M20" s="240"/>
      <c r="N20" s="216"/>
      <c r="AB20" s="217"/>
      <c r="AC20" s="240"/>
      <c r="AD20" s="216"/>
      <c r="AO20" s="217"/>
      <c r="AP20" s="240"/>
      <c r="AQ20" s="216"/>
      <c r="AR20" s="264" t="s">
        <v>712</v>
      </c>
      <c r="AS20" s="353">
        <v>4</v>
      </c>
      <c r="AT20" s="90">
        <v>1</v>
      </c>
      <c r="AU20" s="90"/>
      <c r="AV20" s="90"/>
      <c r="AW20" s="90"/>
      <c r="AX20" s="347">
        <v>5</v>
      </c>
      <c r="BB20" s="217"/>
      <c r="BC20" s="240"/>
      <c r="BD20" s="216"/>
      <c r="BR20" s="217"/>
      <c r="BS20" s="240"/>
      <c r="BT20" s="216"/>
      <c r="CD20" s="217"/>
      <c r="CE20" s="240"/>
      <c r="CF20" s="253" t="s">
        <v>427</v>
      </c>
      <c r="CG20" s="345">
        <v>16</v>
      </c>
      <c r="CH20" s="339">
        <v>61</v>
      </c>
      <c r="CI20" s="339">
        <v>119</v>
      </c>
      <c r="CJ20" s="339">
        <v>12</v>
      </c>
      <c r="CK20" s="339">
        <v>14</v>
      </c>
      <c r="CL20" s="340">
        <v>222</v>
      </c>
      <c r="CP20" s="217"/>
      <c r="CR20" s="175" t="s">
        <v>804</v>
      </c>
      <c r="CS20" s="178" t="s">
        <v>544</v>
      </c>
      <c r="CT20" s="274" t="s">
        <v>804</v>
      </c>
      <c r="CU20" s="90"/>
      <c r="CV20" s="90"/>
      <c r="CW20" s="90"/>
      <c r="CX20" s="90"/>
      <c r="CY20" s="90"/>
      <c r="CZ20" s="90"/>
      <c r="DA20" s="90">
        <v>1</v>
      </c>
      <c r="DB20" s="90">
        <v>1</v>
      </c>
    </row>
    <row r="21" spans="1:108" ht="16.2" customHeight="1" x14ac:dyDescent="0.3">
      <c r="A21" s="216"/>
      <c r="L21" s="217"/>
      <c r="M21" s="240"/>
      <c r="N21" s="216"/>
      <c r="AB21" s="217"/>
      <c r="AC21" s="240"/>
      <c r="AD21" s="216"/>
      <c r="AO21" s="217"/>
      <c r="AP21" s="240"/>
      <c r="AQ21" s="216"/>
      <c r="AR21" s="264" t="s">
        <v>271</v>
      </c>
      <c r="AS21" s="353">
        <v>14</v>
      </c>
      <c r="AT21" s="90"/>
      <c r="AU21" s="90"/>
      <c r="AV21" s="90">
        <v>2</v>
      </c>
      <c r="AW21" s="90">
        <v>2</v>
      </c>
      <c r="AX21" s="347">
        <v>18</v>
      </c>
      <c r="BB21" s="217"/>
      <c r="BC21" s="240"/>
      <c r="BD21" s="216"/>
      <c r="BR21" s="217"/>
      <c r="BS21" s="240"/>
      <c r="BT21" s="216"/>
      <c r="CD21" s="217"/>
      <c r="CE21" s="240"/>
      <c r="CF21" s="216"/>
      <c r="CP21" s="217"/>
      <c r="CT21" s="274" t="s">
        <v>1025</v>
      </c>
      <c r="CU21" s="90">
        <v>28</v>
      </c>
      <c r="CV21" s="90">
        <v>3</v>
      </c>
      <c r="CW21" s="90"/>
      <c r="CX21" s="90"/>
      <c r="CY21" s="90"/>
      <c r="CZ21" s="90"/>
      <c r="DA21" s="90"/>
      <c r="DB21" s="90">
        <v>31</v>
      </c>
    </row>
    <row r="22" spans="1:108" ht="16.2" customHeight="1" x14ac:dyDescent="0.3">
      <c r="A22" s="216"/>
      <c r="L22" s="217"/>
      <c r="M22" s="240"/>
      <c r="N22" s="216"/>
      <c r="AB22" s="217"/>
      <c r="AC22" s="240"/>
      <c r="AD22" s="216"/>
      <c r="AO22" s="217"/>
      <c r="AP22" s="240"/>
      <c r="AQ22" s="216"/>
      <c r="AR22" s="264" t="s">
        <v>653</v>
      </c>
      <c r="AS22" s="353">
        <v>2</v>
      </c>
      <c r="AT22" s="90">
        <v>1</v>
      </c>
      <c r="AU22" s="90"/>
      <c r="AV22" s="90">
        <v>1</v>
      </c>
      <c r="AW22" s="90"/>
      <c r="AX22" s="347">
        <v>4</v>
      </c>
      <c r="BB22" s="217"/>
      <c r="BC22" s="240"/>
      <c r="BD22" s="216"/>
      <c r="BR22" s="217"/>
      <c r="BS22" s="240"/>
      <c r="BT22" s="216"/>
      <c r="CD22" s="217"/>
      <c r="CE22" s="240"/>
      <c r="CF22" s="216"/>
      <c r="CP22" s="217"/>
      <c r="CT22" s="274" t="s">
        <v>529</v>
      </c>
      <c r="CU22" s="90">
        <v>9</v>
      </c>
      <c r="CV22" s="90">
        <v>37</v>
      </c>
      <c r="CW22" s="90">
        <v>2</v>
      </c>
      <c r="CX22" s="90">
        <v>6</v>
      </c>
      <c r="CY22" s="90"/>
      <c r="CZ22" s="90">
        <v>5</v>
      </c>
      <c r="DA22" s="90">
        <v>3</v>
      </c>
      <c r="DB22" s="90">
        <v>62</v>
      </c>
    </row>
    <row r="23" spans="1:108" ht="16.2" customHeight="1" x14ac:dyDescent="0.3">
      <c r="A23" s="216"/>
      <c r="L23" s="217"/>
      <c r="M23" s="240"/>
      <c r="N23" s="216"/>
      <c r="AB23" s="217"/>
      <c r="AC23" s="240"/>
      <c r="AD23" s="216"/>
      <c r="AO23" s="217"/>
      <c r="AP23" s="240"/>
      <c r="AQ23" s="216"/>
      <c r="AR23" s="264" t="s">
        <v>647</v>
      </c>
      <c r="AS23" s="353"/>
      <c r="AT23" s="90"/>
      <c r="AU23" s="90"/>
      <c r="AV23" s="90">
        <v>1</v>
      </c>
      <c r="AW23" s="90"/>
      <c r="AX23" s="347">
        <v>1</v>
      </c>
      <c r="BB23" s="217"/>
      <c r="BC23" s="240"/>
      <c r="BD23" s="216"/>
      <c r="BR23" s="217"/>
      <c r="BS23" s="240"/>
      <c r="BT23" s="216"/>
      <c r="CD23" s="217"/>
      <c r="CE23" s="240"/>
      <c r="CF23" s="216"/>
      <c r="CP23" s="217"/>
      <c r="CT23" s="191" t="s">
        <v>427</v>
      </c>
      <c r="CU23" s="90">
        <v>103</v>
      </c>
      <c r="CV23" s="90">
        <v>109</v>
      </c>
      <c r="CW23" s="90">
        <v>8</v>
      </c>
      <c r="CX23" s="90">
        <v>22</v>
      </c>
      <c r="CY23" s="90">
        <v>13</v>
      </c>
      <c r="CZ23" s="90">
        <v>13</v>
      </c>
      <c r="DA23" s="90">
        <v>14</v>
      </c>
      <c r="DB23" s="90">
        <v>282</v>
      </c>
    </row>
    <row r="24" spans="1:108" ht="16.2" customHeight="1" x14ac:dyDescent="0.3">
      <c r="A24" s="216"/>
      <c r="L24" s="217"/>
      <c r="M24" s="240"/>
      <c r="N24" s="216"/>
      <c r="AB24" s="217"/>
      <c r="AC24" s="240"/>
      <c r="AD24" s="216"/>
      <c r="AO24" s="217"/>
      <c r="AP24" s="240"/>
      <c r="AQ24" s="216"/>
      <c r="AR24" s="264" t="s">
        <v>651</v>
      </c>
      <c r="AS24" s="353"/>
      <c r="AT24" s="90">
        <v>5</v>
      </c>
      <c r="AU24" s="90"/>
      <c r="AV24" s="90">
        <v>3</v>
      </c>
      <c r="AW24" s="90"/>
      <c r="AX24" s="347">
        <v>8</v>
      </c>
      <c r="BB24" s="217"/>
      <c r="BC24" s="240"/>
      <c r="BD24" s="216"/>
      <c r="BR24" s="217"/>
      <c r="BS24" s="240"/>
      <c r="BT24" s="216"/>
      <c r="CD24" s="217"/>
      <c r="CE24" s="240"/>
      <c r="CF24" s="216"/>
      <c r="CP24" s="217"/>
    </row>
    <row r="25" spans="1:108" ht="16.2" customHeight="1" thickBot="1" x14ac:dyDescent="0.35">
      <c r="A25" s="216"/>
      <c r="L25" s="217"/>
      <c r="M25" s="240"/>
      <c r="N25" s="216"/>
      <c r="AB25" s="217"/>
      <c r="AC25" s="240"/>
      <c r="AD25" s="216"/>
      <c r="AO25" s="217"/>
      <c r="AP25" s="240"/>
      <c r="AQ25" s="216"/>
      <c r="AR25" s="264" t="s">
        <v>1025</v>
      </c>
      <c r="AS25" s="353"/>
      <c r="AT25" s="90"/>
      <c r="AU25" s="90"/>
      <c r="AV25" s="90"/>
      <c r="AW25" s="90"/>
      <c r="AX25" s="347"/>
      <c r="BB25" s="217"/>
      <c r="BC25" s="240"/>
      <c r="BD25" s="216"/>
      <c r="BR25" s="217"/>
      <c r="BS25" s="240"/>
      <c r="BT25" s="216"/>
      <c r="CD25" s="217"/>
      <c r="CE25" s="240"/>
      <c r="CF25" s="216"/>
      <c r="CP25" s="217"/>
    </row>
    <row r="26" spans="1:108" ht="16.2" customHeight="1" thickBot="1" x14ac:dyDescent="0.35">
      <c r="A26" s="216"/>
      <c r="L26" s="217"/>
      <c r="M26" s="240"/>
      <c r="N26" s="216"/>
      <c r="AB26" s="217"/>
      <c r="AC26" s="240"/>
      <c r="AD26" s="216"/>
      <c r="AO26" s="217"/>
      <c r="AP26" s="240"/>
      <c r="AQ26" s="216"/>
      <c r="AR26" s="253" t="s">
        <v>679</v>
      </c>
      <c r="AS26" s="353"/>
      <c r="AT26" s="90">
        <v>1</v>
      </c>
      <c r="AU26" s="90"/>
      <c r="AV26" s="90"/>
      <c r="AW26" s="90"/>
      <c r="AX26" s="347">
        <v>1</v>
      </c>
      <c r="BB26" s="217"/>
      <c r="BC26" s="240"/>
      <c r="BD26" s="216"/>
      <c r="BR26" s="217"/>
      <c r="BS26" s="240"/>
      <c r="BT26" s="216"/>
      <c r="CD26" s="217"/>
      <c r="CE26" s="240"/>
      <c r="CF26" s="216"/>
      <c r="CP26" s="217"/>
    </row>
    <row r="27" spans="1:108" ht="16.2" customHeight="1" thickBot="1" x14ac:dyDescent="0.35">
      <c r="A27" s="216"/>
      <c r="L27" s="217"/>
      <c r="M27" s="240"/>
      <c r="N27" s="216"/>
      <c r="AB27" s="217"/>
      <c r="AC27" s="240"/>
      <c r="AD27" s="216"/>
      <c r="AO27" s="217"/>
      <c r="AP27" s="240"/>
      <c r="AQ27" s="216"/>
      <c r="AR27" s="264" t="s">
        <v>651</v>
      </c>
      <c r="AS27" s="353"/>
      <c r="AT27" s="90">
        <v>1</v>
      </c>
      <c r="AU27" s="90"/>
      <c r="AV27" s="90"/>
      <c r="AW27" s="90"/>
      <c r="AX27" s="347">
        <v>1</v>
      </c>
      <c r="BB27" s="217"/>
      <c r="BC27" s="240"/>
      <c r="BD27" s="216"/>
      <c r="BR27" s="217"/>
      <c r="BS27" s="240"/>
      <c r="BT27" s="216"/>
      <c r="CD27" s="217"/>
      <c r="CE27" s="240"/>
      <c r="CF27" s="216"/>
      <c r="CP27" s="217"/>
    </row>
    <row r="28" spans="1:108" ht="16.2" customHeight="1" thickBot="1" x14ac:dyDescent="0.35">
      <c r="A28" s="216"/>
      <c r="L28" s="217"/>
      <c r="M28" s="240"/>
      <c r="N28" s="216"/>
      <c r="AB28" s="217"/>
      <c r="AC28" s="240"/>
      <c r="AD28" s="216"/>
      <c r="AO28" s="217"/>
      <c r="AP28" s="240"/>
      <c r="AQ28" s="216"/>
      <c r="AR28" s="253" t="s">
        <v>656</v>
      </c>
      <c r="AS28" s="353">
        <v>2</v>
      </c>
      <c r="AT28" s="90"/>
      <c r="AU28" s="90"/>
      <c r="AV28" s="90"/>
      <c r="AW28" s="90"/>
      <c r="AX28" s="347">
        <v>2</v>
      </c>
      <c r="BB28" s="217"/>
      <c r="BC28" s="240"/>
      <c r="BD28" s="216"/>
      <c r="BR28" s="217"/>
      <c r="BS28" s="240"/>
      <c r="BT28" s="216"/>
      <c r="CD28" s="217"/>
      <c r="CE28" s="240"/>
      <c r="CF28" s="216"/>
      <c r="CP28" s="217"/>
    </row>
    <row r="29" spans="1:108" ht="16.2" customHeight="1" thickTop="1" thickBot="1" x14ac:dyDescent="0.35">
      <c r="A29" s="216"/>
      <c r="L29" s="217"/>
      <c r="M29" s="240"/>
      <c r="N29" s="216"/>
      <c r="AB29" s="217"/>
      <c r="AC29" s="240"/>
      <c r="AD29" s="216"/>
      <c r="AO29" s="217"/>
      <c r="AP29" s="240"/>
      <c r="AQ29" s="216"/>
      <c r="AR29" s="264" t="s">
        <v>271</v>
      </c>
      <c r="AS29" s="353">
        <v>2</v>
      </c>
      <c r="AT29" s="90"/>
      <c r="AU29" s="90"/>
      <c r="AV29" s="90"/>
      <c r="AW29" s="90"/>
      <c r="AX29" s="347">
        <v>2</v>
      </c>
      <c r="BB29" s="217"/>
      <c r="BC29" s="240"/>
      <c r="BD29" s="216"/>
      <c r="BR29" s="217"/>
      <c r="BS29" s="240"/>
      <c r="BT29" s="216"/>
      <c r="CD29" s="217"/>
      <c r="CE29" s="240"/>
      <c r="CF29" s="216"/>
      <c r="CP29" s="217"/>
      <c r="DC29" s="175" t="s">
        <v>634</v>
      </c>
      <c r="DD29" s="175" t="s">
        <v>624</v>
      </c>
    </row>
    <row r="30" spans="1:108" ht="16.2" customHeight="1" thickTop="1" thickBot="1" x14ac:dyDescent="0.35">
      <c r="A30" s="216"/>
      <c r="L30" s="217"/>
      <c r="M30" s="240"/>
      <c r="N30" s="216"/>
      <c r="AB30" s="217"/>
      <c r="AC30" s="240"/>
      <c r="AD30" s="216"/>
      <c r="AO30" s="217"/>
      <c r="AP30" s="240"/>
      <c r="AQ30" s="216"/>
      <c r="AR30" s="253" t="s">
        <v>710</v>
      </c>
      <c r="AS30" s="353">
        <v>8</v>
      </c>
      <c r="AT30" s="90"/>
      <c r="AU30" s="90"/>
      <c r="AV30" s="90"/>
      <c r="AW30" s="90"/>
      <c r="AX30" s="347">
        <v>8</v>
      </c>
      <c r="BB30" s="217"/>
      <c r="BC30" s="240"/>
      <c r="BD30" s="216"/>
      <c r="BR30" s="217"/>
      <c r="BS30" s="240"/>
      <c r="BT30" s="216"/>
      <c r="CD30" s="217"/>
      <c r="CE30" s="240"/>
      <c r="CF30" s="216"/>
      <c r="CP30" s="217"/>
      <c r="DC30" s="180" t="s">
        <v>540</v>
      </c>
      <c r="DD30" s="179" t="s">
        <v>541</v>
      </c>
    </row>
    <row r="31" spans="1:108" ht="16.2" customHeight="1" x14ac:dyDescent="0.3">
      <c r="A31" s="216"/>
      <c r="L31" s="217"/>
      <c r="M31" s="240"/>
      <c r="N31" s="216"/>
      <c r="AB31" s="217"/>
      <c r="AC31" s="240"/>
      <c r="AD31" s="216"/>
      <c r="AO31" s="217"/>
      <c r="AP31" s="240"/>
      <c r="AQ31" s="216"/>
      <c r="AR31" s="264" t="s">
        <v>271</v>
      </c>
      <c r="AS31" s="353">
        <v>7</v>
      </c>
      <c r="AT31" s="90"/>
      <c r="AU31" s="90"/>
      <c r="AV31" s="90"/>
      <c r="AW31" s="90"/>
      <c r="AX31" s="347">
        <v>7</v>
      </c>
      <c r="BB31" s="217"/>
      <c r="BC31" s="240"/>
      <c r="BD31" s="216"/>
      <c r="BR31" s="217"/>
      <c r="BS31" s="240"/>
      <c r="BT31" s="216"/>
      <c r="CD31" s="217"/>
      <c r="CE31" s="240"/>
      <c r="CF31" s="216"/>
      <c r="CP31" s="217"/>
    </row>
    <row r="32" spans="1:108" ht="16.2" customHeight="1" thickBot="1" x14ac:dyDescent="0.35">
      <c r="A32" s="216"/>
      <c r="L32" s="217"/>
      <c r="M32" s="240"/>
      <c r="N32" s="216"/>
      <c r="AB32" s="217"/>
      <c r="AC32" s="240"/>
      <c r="AD32" s="216"/>
      <c r="AO32" s="217"/>
      <c r="AP32" s="240"/>
      <c r="AQ32" s="216"/>
      <c r="AR32" s="264" t="s">
        <v>651</v>
      </c>
      <c r="AS32" s="353">
        <v>1</v>
      </c>
      <c r="AT32" s="90"/>
      <c r="AU32" s="90"/>
      <c r="AV32" s="90"/>
      <c r="AW32" s="90"/>
      <c r="AX32" s="347">
        <v>1</v>
      </c>
      <c r="BB32" s="217"/>
      <c r="BC32" s="240"/>
      <c r="BD32" s="216"/>
      <c r="BR32" s="217"/>
      <c r="BS32" s="240"/>
      <c r="BT32" s="216"/>
      <c r="CD32" s="217"/>
      <c r="CE32" s="240"/>
      <c r="CF32" s="216"/>
      <c r="CP32" s="217"/>
    </row>
    <row r="33" spans="1:111" ht="16.2" customHeight="1" thickBot="1" x14ac:dyDescent="0.35">
      <c r="A33" s="216"/>
      <c r="L33" s="217"/>
      <c r="M33" s="240"/>
      <c r="N33" s="216"/>
      <c r="AB33" s="217"/>
      <c r="AC33" s="240"/>
      <c r="AD33" s="216"/>
      <c r="AO33" s="217"/>
      <c r="AP33" s="240"/>
      <c r="AQ33" s="216"/>
      <c r="AR33" s="253" t="s">
        <v>427</v>
      </c>
      <c r="AS33" s="354">
        <v>62</v>
      </c>
      <c r="AT33" s="348">
        <v>49</v>
      </c>
      <c r="AU33" s="348">
        <v>4</v>
      </c>
      <c r="AV33" s="348">
        <v>13</v>
      </c>
      <c r="AW33" s="348">
        <v>9</v>
      </c>
      <c r="AX33" s="349">
        <v>137</v>
      </c>
      <c r="BB33" s="217"/>
      <c r="BC33" s="240"/>
      <c r="BD33" s="216"/>
      <c r="BR33" s="217"/>
      <c r="BS33" s="240"/>
      <c r="BT33" s="216"/>
      <c r="CD33" s="217"/>
      <c r="CE33" s="240"/>
      <c r="CF33" s="216"/>
      <c r="CP33" s="217"/>
    </row>
    <row r="34" spans="1:111" ht="16.2" customHeight="1" thickBot="1" x14ac:dyDescent="0.35">
      <c r="A34" s="216"/>
      <c r="L34" s="217"/>
      <c r="M34" s="240"/>
      <c r="N34" s="216"/>
      <c r="AB34" s="217"/>
      <c r="AC34" s="240"/>
      <c r="AD34" s="216"/>
      <c r="AO34" s="217"/>
      <c r="AP34" s="240"/>
      <c r="AQ34" s="216"/>
      <c r="BB34" s="217"/>
      <c r="BC34" s="240"/>
      <c r="BD34" s="216"/>
      <c r="BR34" s="217"/>
      <c r="BS34" s="240"/>
      <c r="BT34" s="216"/>
      <c r="CD34" s="217"/>
      <c r="CE34" s="240"/>
      <c r="CF34" s="216"/>
      <c r="CP34" s="217"/>
    </row>
    <row r="35" spans="1:111" ht="32.4" thickTop="1" thickBot="1" x14ac:dyDescent="0.35">
      <c r="A35" s="216"/>
      <c r="L35" s="217"/>
      <c r="M35" s="240"/>
      <c r="N35" s="216"/>
      <c r="AB35" s="217"/>
      <c r="AC35" s="240"/>
      <c r="AD35" s="216"/>
      <c r="AO35" s="217"/>
      <c r="AP35" s="240"/>
      <c r="AQ35" s="216"/>
      <c r="BB35" s="217"/>
      <c r="BC35" s="240"/>
      <c r="BD35" s="216"/>
      <c r="BR35" s="217"/>
      <c r="BS35" s="240"/>
      <c r="BT35" s="216"/>
      <c r="CD35" s="217"/>
      <c r="CE35" s="240"/>
      <c r="CF35" s="216"/>
      <c r="CP35" s="217"/>
      <c r="CT35" s="175" t="s">
        <v>707</v>
      </c>
      <c r="CU35" s="175" t="s">
        <v>682</v>
      </c>
      <c r="CV35" s="175" t="s">
        <v>830</v>
      </c>
      <c r="CW35" s="175" t="s">
        <v>831</v>
      </c>
      <c r="CX35" s="175" t="s">
        <v>708</v>
      </c>
      <c r="CY35" s="175" t="s">
        <v>636</v>
      </c>
      <c r="CZ35" s="175" t="s">
        <v>832</v>
      </c>
      <c r="DA35" s="175" t="s">
        <v>665</v>
      </c>
      <c r="DB35" s="175" t="s">
        <v>638</v>
      </c>
      <c r="DE35" s="175" t="s">
        <v>833</v>
      </c>
      <c r="DF35" s="175" t="s">
        <v>834</v>
      </c>
      <c r="DG35" s="175" t="s">
        <v>661</v>
      </c>
    </row>
    <row r="36" spans="1:111" ht="157.94999999999999" customHeight="1" thickTop="1" thickBot="1" x14ac:dyDescent="0.35">
      <c r="A36" s="218"/>
      <c r="B36" s="219"/>
      <c r="C36" s="219"/>
      <c r="D36" s="219"/>
      <c r="E36" s="219"/>
      <c r="F36" s="219"/>
      <c r="G36" s="219"/>
      <c r="H36" s="219"/>
      <c r="I36" s="219"/>
      <c r="J36" s="219"/>
      <c r="K36" s="219"/>
      <c r="L36" s="220"/>
      <c r="M36" s="240"/>
      <c r="N36" s="218"/>
      <c r="O36" s="219"/>
      <c r="P36" s="219"/>
      <c r="Q36" s="219"/>
      <c r="R36" s="219"/>
      <c r="S36" s="219"/>
      <c r="T36" s="219"/>
      <c r="U36" s="219"/>
      <c r="V36" s="219"/>
      <c r="W36" s="219"/>
      <c r="X36" s="219"/>
      <c r="Y36" s="219"/>
      <c r="Z36" s="219"/>
      <c r="AA36" s="219"/>
      <c r="AB36" s="220"/>
      <c r="AC36" s="240"/>
      <c r="AD36" s="218"/>
      <c r="AE36" s="219"/>
      <c r="AF36" s="219"/>
      <c r="AG36" s="219"/>
      <c r="AH36" s="219"/>
      <c r="AI36" s="219"/>
      <c r="AJ36" s="219"/>
      <c r="AK36" s="219"/>
      <c r="AL36" s="219"/>
      <c r="AM36" s="219"/>
      <c r="AN36" s="219"/>
      <c r="AO36" s="220"/>
      <c r="AP36" s="240"/>
      <c r="AQ36" s="218"/>
      <c r="AY36" s="219"/>
      <c r="AZ36" s="219"/>
      <c r="BA36" s="219"/>
      <c r="BB36" s="220"/>
      <c r="BC36" s="240"/>
      <c r="BD36" s="218"/>
      <c r="BE36" s="219"/>
      <c r="BF36" s="219"/>
      <c r="BG36" s="219"/>
      <c r="BH36" s="219"/>
      <c r="BI36" s="219"/>
      <c r="BJ36" s="219"/>
      <c r="BK36" s="219"/>
      <c r="BL36" s="219"/>
      <c r="BM36" s="219"/>
      <c r="BN36" s="219"/>
      <c r="BO36" s="219"/>
      <c r="BP36" s="219"/>
      <c r="BQ36" s="219"/>
      <c r="BR36" s="220"/>
      <c r="BS36" s="240"/>
      <c r="BT36" s="218"/>
      <c r="BU36" s="219"/>
      <c r="BV36" s="219"/>
      <c r="BW36" s="219"/>
      <c r="BX36" s="219"/>
      <c r="BY36" s="219"/>
      <c r="BZ36" s="219"/>
      <c r="CA36" s="219"/>
      <c r="CB36" s="219"/>
      <c r="CC36" s="219"/>
      <c r="CD36" s="220"/>
      <c r="CE36" s="240"/>
      <c r="CF36" s="218"/>
      <c r="CG36" s="219"/>
      <c r="CH36" s="219"/>
      <c r="CI36" s="219"/>
      <c r="CJ36" s="219"/>
      <c r="CK36" s="219"/>
      <c r="CL36" s="219"/>
      <c r="CM36" s="219"/>
      <c r="CN36" s="219"/>
      <c r="CO36" s="219"/>
      <c r="CP36" s="220"/>
      <c r="CT36" s="177" t="s">
        <v>531</v>
      </c>
      <c r="CU36" s="177" t="s">
        <v>532</v>
      </c>
      <c r="CV36" s="178" t="s">
        <v>533</v>
      </c>
      <c r="CW36" s="177" t="s">
        <v>534</v>
      </c>
      <c r="CX36" s="177" t="s">
        <v>535</v>
      </c>
      <c r="CY36" s="177" t="s">
        <v>536</v>
      </c>
      <c r="CZ36" s="178" t="s">
        <v>537</v>
      </c>
      <c r="DA36" s="177" t="s">
        <v>538</v>
      </c>
      <c r="DB36" s="179" t="s">
        <v>539</v>
      </c>
      <c r="DE36" s="180" t="s">
        <v>542</v>
      </c>
      <c r="DF36" s="179" t="s">
        <v>543</v>
      </c>
      <c r="DG36" s="178" t="s">
        <v>544</v>
      </c>
    </row>
    <row r="39" spans="1:111" x14ac:dyDescent="0.3">
      <c r="A39" s="857" t="s">
        <v>1026</v>
      </c>
      <c r="B39" s="857"/>
      <c r="C39" s="857"/>
      <c r="D39" s="857"/>
    </row>
    <row r="40" spans="1:111" x14ac:dyDescent="0.3">
      <c r="A40" s="196"/>
      <c r="B40" s="196" t="s">
        <v>1027</v>
      </c>
      <c r="C40" s="196" t="s">
        <v>827</v>
      </c>
      <c r="D40" s="196" t="s">
        <v>1028</v>
      </c>
    </row>
    <row r="41" spans="1:111" x14ac:dyDescent="0.3">
      <c r="A41" s="195" t="s">
        <v>415</v>
      </c>
      <c r="B41" s="192">
        <v>9</v>
      </c>
      <c r="C41" s="193">
        <f>B41/$B$44</f>
        <v>0.70588235294117652</v>
      </c>
      <c r="D41" s="192">
        <v>3</v>
      </c>
    </row>
    <row r="42" spans="1:111" x14ac:dyDescent="0.3">
      <c r="A42" s="195" t="s">
        <v>417</v>
      </c>
      <c r="B42" s="192">
        <v>3</v>
      </c>
      <c r="C42" s="193">
        <f>B42/$B$44</f>
        <v>0.23529411764705882</v>
      </c>
      <c r="D42" s="192">
        <v>1</v>
      </c>
    </row>
    <row r="43" spans="1:111" x14ac:dyDescent="0.3">
      <c r="A43" s="195" t="s">
        <v>418</v>
      </c>
      <c r="B43" s="192">
        <v>0.75</v>
      </c>
      <c r="C43" s="193">
        <f>B43/$B$44</f>
        <v>5.8823529411764705E-2</v>
      </c>
      <c r="D43" s="192">
        <v>0.25</v>
      </c>
    </row>
    <row r="44" spans="1:111" x14ac:dyDescent="0.3">
      <c r="B44" s="192">
        <f>SUM(B41:B43)</f>
        <v>12.75</v>
      </c>
      <c r="C44" s="194">
        <f>SUM(C41:C43)</f>
        <v>1</v>
      </c>
    </row>
    <row r="49" spans="1:15" ht="33.6" x14ac:dyDescent="0.65">
      <c r="A49" s="388" t="s">
        <v>824</v>
      </c>
      <c r="B49" s="389"/>
      <c r="C49" s="192"/>
      <c r="D49" s="192"/>
      <c r="E49" s="192"/>
      <c r="F49" s="192"/>
      <c r="G49" s="192"/>
      <c r="H49" s="192"/>
      <c r="I49" s="192"/>
      <c r="J49" s="192"/>
      <c r="K49" s="192"/>
      <c r="L49" s="192"/>
      <c r="M49" s="192"/>
      <c r="N49" s="192"/>
      <c r="O49" s="192"/>
    </row>
    <row r="50" spans="1:15" ht="33.6" x14ac:dyDescent="0.65">
      <c r="A50" s="388" t="s">
        <v>1015</v>
      </c>
      <c r="B50" s="389"/>
      <c r="C50" s="389"/>
      <c r="D50" s="389"/>
      <c r="E50" s="389"/>
      <c r="F50" s="389"/>
      <c r="G50" s="389"/>
      <c r="H50" s="389"/>
      <c r="I50" s="389"/>
      <c r="J50" s="389"/>
      <c r="K50" s="389"/>
      <c r="L50" s="389"/>
      <c r="M50" s="389"/>
      <c r="N50" s="389"/>
      <c r="O50" s="389"/>
    </row>
    <row r="55" spans="1:15" hidden="1" x14ac:dyDescent="0.3"/>
  </sheetData>
  <mergeCells count="1">
    <mergeCell ref="A39:D39"/>
  </mergeCells>
  <pageMargins left="0.7" right="0.7" top="0.75" bottom="0.75" header="0.3" footer="0.3"/>
  <pageSetup orientation="portrait" r:id="rId9"/>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C778-0F71-4233-B6B0-FF63F96CE001}">
  <sheetPr>
    <tabColor rgb="FFC00000"/>
  </sheetPr>
  <dimension ref="A1:AC36"/>
  <sheetViews>
    <sheetView showGridLines="0" zoomScaleNormal="100" workbookViewId="0">
      <pane ySplit="9" topLeftCell="A10" activePane="bottomLeft" state="frozen"/>
      <selection activeCell="S18" sqref="S18"/>
      <selection pane="bottomLeft" activeCell="S18" sqref="S18"/>
    </sheetView>
  </sheetViews>
  <sheetFormatPr defaultRowHeight="14.4" x14ac:dyDescent="0.3"/>
  <cols>
    <col min="1" max="1" width="22.88671875" customWidth="1"/>
    <col min="2" max="2" width="5.5546875" customWidth="1"/>
    <col min="3" max="9" width="2.44140625" customWidth="1"/>
    <col min="10" max="10" width="2.109375" customWidth="1"/>
    <col min="11" max="12" width="5.88671875" customWidth="1"/>
    <col min="13" max="24" width="8.88671875" customWidth="1"/>
    <col min="25" max="25" width="11.88671875" customWidth="1"/>
  </cols>
  <sheetData>
    <row r="1" spans="1:29" ht="16.8" thickTop="1" thickBot="1" x14ac:dyDescent="0.35">
      <c r="A1" s="861" t="s">
        <v>1029</v>
      </c>
      <c r="B1" s="862"/>
      <c r="C1" s="862"/>
      <c r="D1" s="862"/>
      <c r="E1" s="862"/>
      <c r="F1" s="862"/>
      <c r="G1" s="862"/>
      <c r="H1" s="862"/>
      <c r="I1" s="862"/>
      <c r="J1" s="862"/>
      <c r="K1" s="862"/>
      <c r="L1" s="863"/>
      <c r="M1" s="93" t="s">
        <v>415</v>
      </c>
      <c r="N1" s="93" t="s">
        <v>417</v>
      </c>
      <c r="O1" s="93" t="s">
        <v>418</v>
      </c>
      <c r="P1" s="93" t="s">
        <v>1030</v>
      </c>
      <c r="Q1" s="93" t="s">
        <v>1031</v>
      </c>
      <c r="R1" s="93" t="s">
        <v>1032</v>
      </c>
      <c r="S1" s="94" t="s">
        <v>1033</v>
      </c>
      <c r="T1" s="93" t="s">
        <v>1034</v>
      </c>
      <c r="U1" s="93" t="s">
        <v>1035</v>
      </c>
      <c r="V1" s="93" t="s">
        <v>1036</v>
      </c>
      <c r="W1" s="93" t="s">
        <v>1037</v>
      </c>
    </row>
    <row r="2" spans="1:29" ht="15.6" thickTop="1" thickBot="1" x14ac:dyDescent="0.35">
      <c r="A2" s="861"/>
      <c r="B2" s="862"/>
      <c r="C2" s="862"/>
      <c r="D2" s="862"/>
      <c r="E2" s="862"/>
      <c r="F2" s="862"/>
      <c r="G2" s="862"/>
      <c r="H2" s="862"/>
      <c r="I2" s="862"/>
      <c r="J2" s="862"/>
      <c r="K2" s="862"/>
      <c r="L2" s="863"/>
      <c r="M2" s="95" t="s">
        <v>1038</v>
      </c>
      <c r="N2" s="95" t="s">
        <v>1038</v>
      </c>
      <c r="O2" s="95" t="s">
        <v>1038</v>
      </c>
      <c r="P2" s="96" t="s">
        <v>1039</v>
      </c>
      <c r="Q2" s="95" t="s">
        <v>1040</v>
      </c>
      <c r="R2" s="95" t="s">
        <v>1040</v>
      </c>
      <c r="S2" s="97" t="s">
        <v>1041</v>
      </c>
      <c r="T2" s="96" t="s">
        <v>1039</v>
      </c>
      <c r="U2" s="97" t="s">
        <v>1042</v>
      </c>
      <c r="V2" s="96" t="s">
        <v>1039</v>
      </c>
      <c r="W2" s="97" t="s">
        <v>1041</v>
      </c>
    </row>
    <row r="3" spans="1:29" ht="15.6" thickTop="1" thickBot="1" x14ac:dyDescent="0.35">
      <c r="A3" s="861"/>
      <c r="B3" s="862"/>
      <c r="C3" s="862"/>
      <c r="D3" s="862"/>
      <c r="E3" s="862"/>
      <c r="F3" s="862"/>
      <c r="G3" s="862"/>
      <c r="H3" s="862"/>
      <c r="I3" s="862"/>
      <c r="J3" s="862"/>
      <c r="K3" s="862"/>
      <c r="L3" s="863"/>
      <c r="M3" s="95" t="s">
        <v>1043</v>
      </c>
      <c r="N3" s="95" t="s">
        <v>1044</v>
      </c>
      <c r="O3" s="95" t="s">
        <v>1045</v>
      </c>
      <c r="P3" s="96" t="s">
        <v>1046</v>
      </c>
      <c r="Q3" s="95" t="s">
        <v>1047</v>
      </c>
      <c r="R3" s="95" t="s">
        <v>1048</v>
      </c>
      <c r="S3" s="97" t="s">
        <v>1049</v>
      </c>
      <c r="T3" s="96" t="s">
        <v>1050</v>
      </c>
      <c r="U3" s="97" t="s">
        <v>1051</v>
      </c>
      <c r="V3" s="96" t="s">
        <v>1052</v>
      </c>
      <c r="W3" s="97" t="s">
        <v>1053</v>
      </c>
    </row>
    <row r="4" spans="1:29" ht="15.6" thickTop="1" thickBot="1" x14ac:dyDescent="0.35">
      <c r="A4" s="864" t="s">
        <v>1054</v>
      </c>
      <c r="B4" s="865"/>
      <c r="C4" s="865"/>
      <c r="D4" s="865"/>
      <c r="E4" s="865"/>
      <c r="F4" s="865"/>
      <c r="G4" s="865"/>
      <c r="H4" s="865"/>
      <c r="I4" s="865"/>
      <c r="J4" s="865"/>
      <c r="K4" s="865"/>
      <c r="L4" s="866"/>
      <c r="M4" s="98"/>
      <c r="N4" s="98"/>
      <c r="O4" s="98"/>
      <c r="P4" s="98"/>
      <c r="Q4" s="98"/>
      <c r="R4" s="99"/>
      <c r="S4" s="98"/>
      <c r="T4" s="98"/>
      <c r="U4" s="98"/>
      <c r="V4" s="98"/>
      <c r="W4" s="99"/>
    </row>
    <row r="5" spans="1:29" ht="15.6" thickTop="1" thickBot="1" x14ac:dyDescent="0.35">
      <c r="A5" s="867" t="s">
        <v>1055</v>
      </c>
      <c r="B5" s="868"/>
      <c r="C5" s="868"/>
      <c r="D5" s="868"/>
      <c r="E5" s="868"/>
      <c r="F5" s="868"/>
      <c r="G5" s="868"/>
      <c r="H5" s="868"/>
      <c r="I5" s="868"/>
      <c r="J5" s="868"/>
      <c r="K5" s="868"/>
      <c r="L5" s="869"/>
      <c r="M5" s="98"/>
      <c r="N5" s="98"/>
      <c r="O5" s="100"/>
      <c r="P5" s="100"/>
      <c r="Q5" s="98"/>
      <c r="R5" s="100"/>
      <c r="S5" s="101"/>
      <c r="T5" s="98"/>
      <c r="U5" s="98"/>
      <c r="V5" s="98"/>
      <c r="W5" s="100"/>
    </row>
    <row r="6" spans="1:29" ht="15.6" thickTop="1" thickBot="1" x14ac:dyDescent="0.35">
      <c r="A6" s="870" t="s">
        <v>1056</v>
      </c>
      <c r="B6" s="871"/>
      <c r="C6" s="871"/>
      <c r="D6" s="871"/>
      <c r="E6" s="871"/>
      <c r="F6" s="871"/>
      <c r="G6" s="871"/>
      <c r="H6" s="871"/>
      <c r="I6" s="871"/>
      <c r="J6" s="871"/>
      <c r="K6" s="871"/>
      <c r="L6" s="872"/>
      <c r="M6" s="102"/>
      <c r="N6" s="102"/>
      <c r="O6" s="102"/>
      <c r="P6" s="102"/>
      <c r="Q6" s="102"/>
      <c r="R6" s="102"/>
      <c r="S6" s="101"/>
      <c r="T6" s="102"/>
      <c r="U6" s="102"/>
      <c r="V6" s="102"/>
      <c r="W6" s="102"/>
    </row>
    <row r="7" spans="1:29" ht="15.6" thickTop="1" thickBot="1" x14ac:dyDescent="0.35">
      <c r="A7" s="873" t="s">
        <v>1057</v>
      </c>
      <c r="B7" s="874"/>
      <c r="C7" s="874"/>
      <c r="D7" s="874"/>
      <c r="E7" s="874"/>
      <c r="F7" s="874"/>
      <c r="G7" s="874"/>
      <c r="H7" s="874"/>
      <c r="I7" s="874"/>
      <c r="J7" s="874"/>
      <c r="K7" s="874"/>
      <c r="L7" s="875"/>
      <c r="M7" s="103"/>
      <c r="N7" s="103"/>
      <c r="O7" s="103"/>
      <c r="P7" s="103"/>
      <c r="Q7" s="103"/>
      <c r="R7" s="103"/>
      <c r="S7" s="98"/>
      <c r="T7" s="103"/>
      <c r="U7" s="103"/>
      <c r="V7" s="103"/>
      <c r="W7" s="103"/>
    </row>
    <row r="8" spans="1:29" ht="12" customHeight="1" thickTop="1" thickBot="1" x14ac:dyDescent="0.35">
      <c r="A8" s="104"/>
      <c r="B8" s="104"/>
      <c r="C8" s="104"/>
      <c r="D8" s="104"/>
      <c r="E8" s="104"/>
      <c r="F8" s="104"/>
      <c r="G8" s="104"/>
      <c r="H8" s="104"/>
      <c r="I8" s="104"/>
      <c r="J8" s="104"/>
      <c r="K8" s="104"/>
      <c r="L8" s="104"/>
      <c r="M8" s="105"/>
      <c r="N8" s="105"/>
      <c r="O8" s="105"/>
      <c r="P8" s="135"/>
      <c r="Q8" s="105"/>
      <c r="R8" s="105"/>
      <c r="S8" s="105"/>
      <c r="T8" s="105"/>
      <c r="U8" s="105"/>
      <c r="V8" s="105"/>
      <c r="W8" s="105"/>
    </row>
    <row r="9" spans="1:29" ht="31.5" customHeight="1" thickTop="1" thickBot="1" x14ac:dyDescent="0.35">
      <c r="A9" s="106" t="s">
        <v>11</v>
      </c>
      <c r="B9" s="107" t="s">
        <v>1058</v>
      </c>
      <c r="C9" s="107" t="s">
        <v>1059</v>
      </c>
      <c r="D9" s="107" t="s">
        <v>1060</v>
      </c>
      <c r="E9" s="107" t="s">
        <v>1061</v>
      </c>
      <c r="F9" s="107" t="s">
        <v>1062</v>
      </c>
      <c r="G9" s="108" t="s">
        <v>1063</v>
      </c>
      <c r="H9" s="109" t="s">
        <v>1064</v>
      </c>
      <c r="I9" s="109" t="s">
        <v>391</v>
      </c>
      <c r="J9" s="109" t="s">
        <v>1065</v>
      </c>
      <c r="K9" s="107" t="s">
        <v>1066</v>
      </c>
      <c r="L9" s="107" t="s">
        <v>1067</v>
      </c>
      <c r="M9" s="858" t="s">
        <v>1068</v>
      </c>
      <c r="N9" s="859"/>
      <c r="O9" s="859"/>
      <c r="P9" s="859"/>
      <c r="Q9" s="859"/>
      <c r="R9" s="859"/>
      <c r="S9" s="859"/>
      <c r="T9" s="859"/>
      <c r="U9" s="859"/>
      <c r="V9" s="859"/>
      <c r="W9" s="859"/>
      <c r="X9" s="107" t="s">
        <v>1069</v>
      </c>
      <c r="Y9" s="110" t="s">
        <v>1070</v>
      </c>
      <c r="Z9" s="136"/>
    </row>
    <row r="10" spans="1:29" s="69" customFormat="1" ht="20.100000000000001" customHeight="1" thickTop="1" thickBot="1" x14ac:dyDescent="0.35">
      <c r="A10" s="111" t="s">
        <v>305</v>
      </c>
      <c r="B10" s="111">
        <v>14</v>
      </c>
      <c r="C10" s="112"/>
      <c r="D10" s="112"/>
      <c r="E10" s="113">
        <v>1</v>
      </c>
      <c r="F10" s="114">
        <v>13</v>
      </c>
      <c r="G10" s="121"/>
      <c r="H10" s="116">
        <v>13</v>
      </c>
      <c r="I10" s="127">
        <v>1</v>
      </c>
      <c r="J10" s="112"/>
      <c r="K10" s="133">
        <v>460.64726666666667</v>
      </c>
      <c r="L10" s="117" t="s">
        <v>1071</v>
      </c>
      <c r="M10" s="118">
        <v>3</v>
      </c>
      <c r="N10" s="118">
        <v>2</v>
      </c>
      <c r="O10" s="118">
        <v>6</v>
      </c>
      <c r="P10" s="118">
        <v>10</v>
      </c>
      <c r="Q10" s="118">
        <v>1</v>
      </c>
      <c r="R10" s="118">
        <v>1</v>
      </c>
      <c r="S10" s="119"/>
      <c r="T10" s="118">
        <v>3</v>
      </c>
      <c r="U10" s="118">
        <v>1</v>
      </c>
      <c r="V10" s="118">
        <v>16</v>
      </c>
      <c r="W10" s="129">
        <v>8.5714285714285712</v>
      </c>
      <c r="X10" s="120">
        <f>SUM(M10:W10)</f>
        <v>51.571428571428569</v>
      </c>
      <c r="Y10" s="90" t="str">
        <f>INDEX($M$3:$W$3,1,MATCH(MAX($M10:$W10),$M10:$W10,0))</f>
        <v>FIELD_TEST</v>
      </c>
      <c r="Z10" s="137" t="s">
        <v>1072</v>
      </c>
      <c r="AA10"/>
    </row>
    <row r="11" spans="1:29" s="69" customFormat="1" ht="20.100000000000001" customHeight="1" thickTop="1" thickBot="1" x14ac:dyDescent="0.35">
      <c r="A11" s="111" t="s">
        <v>1073</v>
      </c>
      <c r="B11" s="111">
        <v>7</v>
      </c>
      <c r="C11" s="130">
        <v>3</v>
      </c>
      <c r="D11" s="112"/>
      <c r="E11" s="113">
        <v>4</v>
      </c>
      <c r="F11" s="123"/>
      <c r="G11" s="115">
        <v>5</v>
      </c>
      <c r="H11" s="112"/>
      <c r="I11" s="127">
        <v>2</v>
      </c>
      <c r="J11" s="112"/>
      <c r="K11" s="133">
        <v>88.077777777777769</v>
      </c>
      <c r="L11" s="122" t="s">
        <v>401</v>
      </c>
      <c r="M11" s="118">
        <v>3</v>
      </c>
      <c r="N11" s="118">
        <v>4</v>
      </c>
      <c r="O11" s="118">
        <v>8</v>
      </c>
      <c r="P11" s="118">
        <v>2</v>
      </c>
      <c r="Q11" s="118">
        <v>1</v>
      </c>
      <c r="R11" s="118">
        <v>1</v>
      </c>
      <c r="S11" s="119"/>
      <c r="T11" s="118">
        <v>1</v>
      </c>
      <c r="U11" s="118">
        <v>1</v>
      </c>
      <c r="V11" s="118">
        <v>0</v>
      </c>
      <c r="W11" s="129">
        <v>1</v>
      </c>
      <c r="X11" s="120">
        <f t="shared" ref="X11:X23" si="0">SUM(M11:W11)</f>
        <v>22</v>
      </c>
      <c r="Y11" s="90" t="str">
        <f t="shared" ref="Y11:Y27" si="1">INDEX($M$3:$W$3,1,MATCH(MAX($M11:$W11),$M11:$W11,0))</f>
        <v>SAMPLING</v>
      </c>
      <c r="Z11" s="137" t="s">
        <v>1074</v>
      </c>
      <c r="AA11"/>
    </row>
    <row r="12" spans="1:29" s="69" customFormat="1" ht="20.100000000000001" customHeight="1" thickTop="1" thickBot="1" x14ac:dyDescent="0.35">
      <c r="A12" s="111" t="s">
        <v>117</v>
      </c>
      <c r="B12" s="111">
        <v>3</v>
      </c>
      <c r="C12" s="112"/>
      <c r="D12" s="112"/>
      <c r="E12" s="113">
        <v>1</v>
      </c>
      <c r="F12" s="114">
        <v>2</v>
      </c>
      <c r="G12" s="121"/>
      <c r="H12" s="116">
        <v>2</v>
      </c>
      <c r="I12" s="127">
        <v>1</v>
      </c>
      <c r="J12" s="112"/>
      <c r="K12" s="133">
        <v>83.984000000000009</v>
      </c>
      <c r="L12" s="132" t="s">
        <v>1075</v>
      </c>
      <c r="M12" s="118">
        <v>4</v>
      </c>
      <c r="N12" s="118">
        <v>4</v>
      </c>
      <c r="O12" s="118">
        <v>7</v>
      </c>
      <c r="P12" s="118">
        <v>4</v>
      </c>
      <c r="Q12" s="118">
        <v>1</v>
      </c>
      <c r="R12" s="118">
        <v>1</v>
      </c>
      <c r="S12" s="119"/>
      <c r="T12" s="118">
        <v>2</v>
      </c>
      <c r="U12" s="118">
        <v>1</v>
      </c>
      <c r="V12" s="118">
        <v>16</v>
      </c>
      <c r="W12" s="129">
        <v>12.857142857142858</v>
      </c>
      <c r="X12" s="120">
        <f t="shared" si="0"/>
        <v>52.857142857142861</v>
      </c>
      <c r="Y12" s="90" t="str">
        <f t="shared" si="1"/>
        <v>FIELD_TEST</v>
      </c>
      <c r="Z12" s="137" t="s">
        <v>1076</v>
      </c>
      <c r="AA12"/>
    </row>
    <row r="13" spans="1:29" s="69" customFormat="1" ht="20.100000000000001" customHeight="1" thickTop="1" thickBot="1" x14ac:dyDescent="0.35">
      <c r="A13" s="111" t="s">
        <v>1077</v>
      </c>
      <c r="B13" s="111">
        <v>1</v>
      </c>
      <c r="C13" s="112"/>
      <c r="D13" s="126">
        <v>1</v>
      </c>
      <c r="E13" s="112"/>
      <c r="F13" s="123"/>
      <c r="G13" s="115">
        <v>1</v>
      </c>
      <c r="H13" s="112"/>
      <c r="I13" s="112"/>
      <c r="J13" s="112"/>
      <c r="K13" s="133">
        <v>60</v>
      </c>
      <c r="L13" s="122" t="s">
        <v>401</v>
      </c>
      <c r="M13" s="118">
        <v>2</v>
      </c>
      <c r="N13" s="118">
        <v>4</v>
      </c>
      <c r="O13" s="118">
        <v>3</v>
      </c>
      <c r="P13" s="118">
        <v>3</v>
      </c>
      <c r="Q13" s="118">
        <v>1</v>
      </c>
      <c r="R13" s="118">
        <v>1</v>
      </c>
      <c r="S13" s="119"/>
      <c r="T13" s="118">
        <v>1</v>
      </c>
      <c r="U13" s="118">
        <v>1</v>
      </c>
      <c r="V13" s="118">
        <v>0</v>
      </c>
      <c r="W13" s="129">
        <v>2</v>
      </c>
      <c r="X13" s="120">
        <f t="shared" si="0"/>
        <v>18</v>
      </c>
      <c r="Y13" s="90" t="str">
        <f t="shared" si="1"/>
        <v>SUP_EVAL</v>
      </c>
      <c r="Z13" s="137" t="s">
        <v>1078</v>
      </c>
      <c r="AA13"/>
      <c r="AC13" s="138" t="s">
        <v>1079</v>
      </c>
    </row>
    <row r="14" spans="1:29" s="69" customFormat="1" ht="20.100000000000001" customHeight="1" thickTop="1" thickBot="1" x14ac:dyDescent="0.35">
      <c r="A14" s="111" t="s">
        <v>1080</v>
      </c>
      <c r="B14" s="111">
        <v>1</v>
      </c>
      <c r="C14" s="112"/>
      <c r="D14" s="112"/>
      <c r="E14" s="113">
        <v>1</v>
      </c>
      <c r="F14" s="123"/>
      <c r="G14" s="115">
        <v>1</v>
      </c>
      <c r="H14" s="112"/>
      <c r="I14" s="112"/>
      <c r="J14" s="112"/>
      <c r="K14" s="133">
        <v>55</v>
      </c>
      <c r="L14" s="122" t="s">
        <v>401</v>
      </c>
      <c r="M14" s="118">
        <v>3</v>
      </c>
      <c r="N14" s="118">
        <v>4</v>
      </c>
      <c r="O14" s="118">
        <v>4</v>
      </c>
      <c r="P14" s="118">
        <v>4</v>
      </c>
      <c r="Q14" s="118">
        <v>1</v>
      </c>
      <c r="R14" s="118">
        <v>1</v>
      </c>
      <c r="S14" s="119"/>
      <c r="T14" s="118">
        <v>1</v>
      </c>
      <c r="U14" s="118">
        <v>1</v>
      </c>
      <c r="V14" s="118">
        <v>0</v>
      </c>
      <c r="W14" s="129">
        <v>8.5714285714285712</v>
      </c>
      <c r="X14" s="120">
        <f t="shared" si="0"/>
        <v>27.571428571428569</v>
      </c>
      <c r="Y14" s="90" t="str">
        <f t="shared" si="1"/>
        <v>PO</v>
      </c>
      <c r="Z14" s="137" t="s">
        <v>1081</v>
      </c>
      <c r="AA14"/>
      <c r="AC14" s="125" t="s">
        <v>1082</v>
      </c>
    </row>
    <row r="15" spans="1:29" s="69" customFormat="1" ht="20.100000000000001" customHeight="1" thickTop="1" thickBot="1" x14ac:dyDescent="0.35">
      <c r="A15" s="111" t="s">
        <v>210</v>
      </c>
      <c r="B15" s="111">
        <v>4</v>
      </c>
      <c r="C15" s="130">
        <v>2</v>
      </c>
      <c r="D15" s="126">
        <v>1</v>
      </c>
      <c r="E15" s="113">
        <v>1</v>
      </c>
      <c r="F15" s="123"/>
      <c r="G15" s="115">
        <v>1</v>
      </c>
      <c r="H15" s="112"/>
      <c r="I15" s="127">
        <v>3</v>
      </c>
      <c r="J15" s="112"/>
      <c r="K15" s="133">
        <v>42.744444444444447</v>
      </c>
      <c r="L15" s="122" t="s">
        <v>401</v>
      </c>
      <c r="M15" s="118">
        <v>3</v>
      </c>
      <c r="N15" s="118">
        <v>4</v>
      </c>
      <c r="O15" s="118">
        <v>12</v>
      </c>
      <c r="P15" s="118">
        <v>3</v>
      </c>
      <c r="Q15" s="118">
        <v>1</v>
      </c>
      <c r="R15" s="118">
        <v>1</v>
      </c>
      <c r="S15" s="119"/>
      <c r="T15" s="118">
        <v>3</v>
      </c>
      <c r="U15" s="118">
        <v>1</v>
      </c>
      <c r="V15" s="118">
        <v>0</v>
      </c>
      <c r="W15" s="129">
        <v>1</v>
      </c>
      <c r="X15" s="120">
        <f t="shared" si="0"/>
        <v>29</v>
      </c>
      <c r="Y15" s="90" t="str">
        <f t="shared" si="1"/>
        <v>SAMPLING</v>
      </c>
      <c r="Z15" s="137" t="s">
        <v>1083</v>
      </c>
      <c r="AA15"/>
    </row>
    <row r="16" spans="1:29" s="69" customFormat="1" ht="20.100000000000001" customHeight="1" thickTop="1" thickBot="1" x14ac:dyDescent="0.35">
      <c r="A16" s="111" t="s">
        <v>181</v>
      </c>
      <c r="B16" s="111">
        <v>2</v>
      </c>
      <c r="C16" s="130">
        <v>1</v>
      </c>
      <c r="D16" s="126">
        <v>1</v>
      </c>
      <c r="E16" s="112"/>
      <c r="F16" s="123"/>
      <c r="G16" s="115">
        <v>1</v>
      </c>
      <c r="I16" s="127">
        <v>1</v>
      </c>
      <c r="J16" s="112"/>
      <c r="K16" s="133">
        <v>38.6</v>
      </c>
      <c r="L16" s="132" t="s">
        <v>1075</v>
      </c>
      <c r="M16" s="118">
        <v>4</v>
      </c>
      <c r="N16" s="118">
        <v>4</v>
      </c>
      <c r="O16" s="118">
        <v>4</v>
      </c>
      <c r="P16" s="118">
        <v>3</v>
      </c>
      <c r="Q16" s="118">
        <v>1</v>
      </c>
      <c r="R16" s="118">
        <v>2</v>
      </c>
      <c r="S16" s="119"/>
      <c r="T16" s="118">
        <v>2</v>
      </c>
      <c r="U16" s="118">
        <v>1</v>
      </c>
      <c r="V16" s="118">
        <v>4</v>
      </c>
      <c r="W16" s="129">
        <v>6.4285714285714288</v>
      </c>
      <c r="X16" s="120">
        <f t="shared" si="0"/>
        <v>31.428571428571431</v>
      </c>
      <c r="Y16" s="90" t="str">
        <f t="shared" si="1"/>
        <v>PO</v>
      </c>
      <c r="Z16" s="137" t="s">
        <v>1084</v>
      </c>
      <c r="AA16"/>
    </row>
    <row r="17" spans="1:27" s="69" customFormat="1" ht="20.100000000000001" customHeight="1" thickTop="1" thickBot="1" x14ac:dyDescent="0.35">
      <c r="A17" s="111" t="s">
        <v>134</v>
      </c>
      <c r="B17" s="111">
        <v>3</v>
      </c>
      <c r="C17" s="130">
        <v>1</v>
      </c>
      <c r="D17" s="112"/>
      <c r="E17" s="113">
        <v>2</v>
      </c>
      <c r="F17" s="123"/>
      <c r="G17" s="115">
        <v>2</v>
      </c>
      <c r="H17" s="112"/>
      <c r="I17" s="127">
        <v>1</v>
      </c>
      <c r="J17" s="112"/>
      <c r="K17" s="133">
        <v>37.342222222222226</v>
      </c>
      <c r="L17" s="122" t="s">
        <v>401</v>
      </c>
      <c r="M17" s="118">
        <v>3</v>
      </c>
      <c r="N17" s="118">
        <v>2</v>
      </c>
      <c r="O17" s="118">
        <v>3</v>
      </c>
      <c r="P17" s="118">
        <v>0</v>
      </c>
      <c r="Q17" s="118">
        <v>1</v>
      </c>
      <c r="R17" s="118">
        <v>1</v>
      </c>
      <c r="S17" s="119"/>
      <c r="T17" s="118">
        <v>2</v>
      </c>
      <c r="U17" s="118">
        <v>1</v>
      </c>
      <c r="V17" s="118">
        <v>0</v>
      </c>
      <c r="W17" s="131">
        <v>1</v>
      </c>
      <c r="X17" s="120">
        <f t="shared" si="0"/>
        <v>14</v>
      </c>
      <c r="Y17" s="90" t="str">
        <f t="shared" si="1"/>
        <v>RFI</v>
      </c>
      <c r="AA17"/>
    </row>
    <row r="18" spans="1:27" s="69" customFormat="1" ht="20.100000000000001" customHeight="1" thickTop="1" thickBot="1" x14ac:dyDescent="0.35">
      <c r="A18" s="111" t="s">
        <v>70</v>
      </c>
      <c r="B18" s="111">
        <v>1</v>
      </c>
      <c r="C18" s="112"/>
      <c r="D18" s="112"/>
      <c r="E18" s="113">
        <v>1</v>
      </c>
      <c r="F18" s="123"/>
      <c r="G18" s="121"/>
      <c r="H18" s="112"/>
      <c r="I18" s="127">
        <v>1</v>
      </c>
      <c r="J18" s="112"/>
      <c r="K18" s="133">
        <v>30.7</v>
      </c>
      <c r="L18" s="122" t="s">
        <v>401</v>
      </c>
      <c r="M18" s="118">
        <v>3</v>
      </c>
      <c r="N18" s="118">
        <v>2</v>
      </c>
      <c r="O18" s="118">
        <v>3</v>
      </c>
      <c r="P18" s="118">
        <v>3</v>
      </c>
      <c r="Q18" s="118">
        <v>1</v>
      </c>
      <c r="R18" s="118">
        <v>1</v>
      </c>
      <c r="S18" s="119"/>
      <c r="T18" s="118">
        <v>2</v>
      </c>
      <c r="U18" s="118">
        <v>1</v>
      </c>
      <c r="V18" s="118">
        <v>4</v>
      </c>
      <c r="W18" s="129">
        <v>12.857142857142858</v>
      </c>
      <c r="X18" s="120">
        <f t="shared" si="0"/>
        <v>32.857142857142861</v>
      </c>
      <c r="Y18" s="90" t="str">
        <f t="shared" si="1"/>
        <v>PO</v>
      </c>
      <c r="Z18" s="137" t="s">
        <v>1085</v>
      </c>
      <c r="AA18"/>
    </row>
    <row r="19" spans="1:27" s="69" customFormat="1" ht="20.100000000000001" customHeight="1" thickTop="1" thickBot="1" x14ac:dyDescent="0.35">
      <c r="A19" s="111" t="s">
        <v>173</v>
      </c>
      <c r="B19" s="111">
        <v>2</v>
      </c>
      <c r="C19" s="112"/>
      <c r="D19" s="112"/>
      <c r="E19" s="113">
        <v>2</v>
      </c>
      <c r="F19" s="123"/>
      <c r="G19" s="115">
        <v>2</v>
      </c>
      <c r="H19" s="112"/>
      <c r="I19" s="112"/>
      <c r="J19" s="112"/>
      <c r="K19" s="133">
        <v>27.555555555555557</v>
      </c>
      <c r="L19" s="122" t="s">
        <v>401</v>
      </c>
      <c r="M19" s="118">
        <v>3</v>
      </c>
      <c r="N19" s="118">
        <v>4</v>
      </c>
      <c r="O19" s="118">
        <v>8</v>
      </c>
      <c r="P19" s="118">
        <v>8</v>
      </c>
      <c r="Q19" s="118">
        <v>1</v>
      </c>
      <c r="R19" s="118">
        <v>1</v>
      </c>
      <c r="S19" s="119"/>
      <c r="T19" s="118">
        <v>1</v>
      </c>
      <c r="U19" s="118">
        <v>1</v>
      </c>
      <c r="V19" s="118">
        <v>0</v>
      </c>
      <c r="W19" s="131">
        <v>2.1428571428571428</v>
      </c>
      <c r="X19" s="120">
        <f t="shared" si="0"/>
        <v>29.142857142857142</v>
      </c>
      <c r="Y19" s="90" t="str">
        <f t="shared" si="1"/>
        <v>SAMPLING</v>
      </c>
      <c r="Z19" s="137" t="s">
        <v>1083</v>
      </c>
      <c r="AA19"/>
    </row>
    <row r="20" spans="1:27" s="69" customFormat="1" ht="20.100000000000001" customHeight="1" thickTop="1" thickBot="1" x14ac:dyDescent="0.35">
      <c r="A20" s="111" t="s">
        <v>178</v>
      </c>
      <c r="B20" s="111">
        <v>2</v>
      </c>
      <c r="C20" s="112"/>
      <c r="D20" s="126">
        <v>1</v>
      </c>
      <c r="E20" s="113">
        <v>1</v>
      </c>
      <c r="F20" s="123"/>
      <c r="G20" s="115">
        <v>2</v>
      </c>
      <c r="H20" s="112"/>
      <c r="I20" s="112"/>
      <c r="J20" s="112"/>
      <c r="K20" s="133">
        <v>19.18888888888889</v>
      </c>
      <c r="L20" s="122" t="s">
        <v>401</v>
      </c>
      <c r="M20" s="118">
        <v>2</v>
      </c>
      <c r="N20" s="118">
        <v>2</v>
      </c>
      <c r="O20" s="118">
        <v>3</v>
      </c>
      <c r="P20" s="118">
        <v>3</v>
      </c>
      <c r="Q20" s="118">
        <v>1</v>
      </c>
      <c r="R20" s="118">
        <v>1</v>
      </c>
      <c r="S20" s="119"/>
      <c r="T20" s="118">
        <v>1</v>
      </c>
      <c r="U20" s="118">
        <v>1</v>
      </c>
      <c r="V20" s="118">
        <v>0</v>
      </c>
      <c r="W20" s="129">
        <v>2.1428571428571428</v>
      </c>
      <c r="X20" s="120">
        <f t="shared" si="0"/>
        <v>16.142857142857142</v>
      </c>
      <c r="Y20" s="90" t="str">
        <f t="shared" si="1"/>
        <v>SAMPLING</v>
      </c>
      <c r="Z20" s="137" t="s">
        <v>1083</v>
      </c>
      <c r="AA20"/>
    </row>
    <row r="21" spans="1:27" s="69" customFormat="1" ht="20.100000000000001" customHeight="1" thickTop="1" thickBot="1" x14ac:dyDescent="0.35">
      <c r="A21" s="111" t="s">
        <v>1086</v>
      </c>
      <c r="B21" s="111">
        <v>1</v>
      </c>
      <c r="C21" s="112"/>
      <c r="D21" s="126">
        <v>1</v>
      </c>
      <c r="E21" s="112"/>
      <c r="F21" s="123"/>
      <c r="G21" s="115">
        <v>1</v>
      </c>
      <c r="H21" s="112"/>
      <c r="I21" s="112"/>
      <c r="J21" s="112"/>
      <c r="K21" s="133">
        <v>18.569999999999993</v>
      </c>
      <c r="L21" s="117" t="s">
        <v>1071</v>
      </c>
      <c r="M21" s="118">
        <v>2</v>
      </c>
      <c r="N21" s="118">
        <v>4</v>
      </c>
      <c r="O21" s="118">
        <v>6</v>
      </c>
      <c r="P21" s="118">
        <v>0</v>
      </c>
      <c r="Q21" s="118">
        <v>1</v>
      </c>
      <c r="R21" s="118">
        <v>1</v>
      </c>
      <c r="S21" s="119"/>
      <c r="T21" s="118">
        <v>0</v>
      </c>
      <c r="U21" s="118">
        <v>1</v>
      </c>
      <c r="V21" s="118">
        <v>0</v>
      </c>
      <c r="W21" s="129">
        <v>12.857142857142858</v>
      </c>
      <c r="X21" s="120">
        <f t="shared" si="0"/>
        <v>27.857142857142858</v>
      </c>
      <c r="Y21" s="90" t="str">
        <f t="shared" si="1"/>
        <v>PO</v>
      </c>
      <c r="Z21" s="137" t="s">
        <v>1087</v>
      </c>
      <c r="AA21"/>
    </row>
    <row r="22" spans="1:27" s="69" customFormat="1" ht="20.100000000000001" customHeight="1" thickTop="1" thickBot="1" x14ac:dyDescent="0.35">
      <c r="A22" s="111" t="s">
        <v>343</v>
      </c>
      <c r="B22" s="111">
        <v>1</v>
      </c>
      <c r="C22" s="112"/>
      <c r="D22" s="112"/>
      <c r="E22" s="113">
        <v>1</v>
      </c>
      <c r="F22" s="123"/>
      <c r="G22" s="115">
        <v>1</v>
      </c>
      <c r="H22" s="112"/>
      <c r="I22" s="112"/>
      <c r="J22" s="112"/>
      <c r="K22" s="133">
        <v>17.690555555555537</v>
      </c>
      <c r="L22" s="122" t="s">
        <v>401</v>
      </c>
      <c r="M22" s="118">
        <v>3</v>
      </c>
      <c r="N22" s="118">
        <v>4</v>
      </c>
      <c r="O22" s="118">
        <v>6</v>
      </c>
      <c r="P22" s="118">
        <v>2</v>
      </c>
      <c r="Q22" s="118">
        <v>1</v>
      </c>
      <c r="R22" s="118">
        <v>2</v>
      </c>
      <c r="S22" s="119"/>
      <c r="T22" s="118">
        <v>0</v>
      </c>
      <c r="U22" s="118">
        <v>1</v>
      </c>
      <c r="V22" s="118">
        <v>0</v>
      </c>
      <c r="W22" s="129">
        <v>2.1428571428571428</v>
      </c>
      <c r="X22" s="120">
        <f t="shared" si="0"/>
        <v>21.142857142857142</v>
      </c>
      <c r="Y22" s="90" t="str">
        <f t="shared" si="1"/>
        <v>SAMPLING</v>
      </c>
      <c r="Z22" s="137" t="s">
        <v>1088</v>
      </c>
      <c r="AA22"/>
    </row>
    <row r="23" spans="1:27" s="69" customFormat="1" ht="20.100000000000001" customHeight="1" thickTop="1" thickBot="1" x14ac:dyDescent="0.35">
      <c r="A23" s="111" t="s">
        <v>364</v>
      </c>
      <c r="B23" s="111">
        <v>1</v>
      </c>
      <c r="C23" s="112"/>
      <c r="D23" s="112"/>
      <c r="E23" s="112"/>
      <c r="F23" s="114">
        <v>1</v>
      </c>
      <c r="G23" s="121"/>
      <c r="H23" s="116">
        <v>1</v>
      </c>
      <c r="I23" s="112"/>
      <c r="J23" s="112"/>
      <c r="K23" s="133">
        <v>16.2</v>
      </c>
      <c r="L23" s="122" t="s">
        <v>401</v>
      </c>
      <c r="M23" s="118">
        <v>3</v>
      </c>
      <c r="N23" s="118">
        <v>4</v>
      </c>
      <c r="O23" s="118">
        <v>8</v>
      </c>
      <c r="P23" s="118">
        <v>4</v>
      </c>
      <c r="Q23" s="118">
        <v>1</v>
      </c>
      <c r="R23" s="118">
        <v>1</v>
      </c>
      <c r="S23" s="119"/>
      <c r="T23" s="118">
        <v>2</v>
      </c>
      <c r="U23" s="118">
        <v>1</v>
      </c>
      <c r="V23" s="118">
        <v>16</v>
      </c>
      <c r="W23" s="129">
        <v>10.714285714285714</v>
      </c>
      <c r="X23" s="120">
        <f t="shared" si="0"/>
        <v>50.714285714285715</v>
      </c>
      <c r="Y23" s="90" t="str">
        <f t="shared" si="1"/>
        <v>FIELD_TEST</v>
      </c>
      <c r="Z23" s="137" t="s">
        <v>1083</v>
      </c>
      <c r="AA23"/>
    </row>
    <row r="24" spans="1:27" s="69" customFormat="1" ht="20.100000000000001" customHeight="1" thickTop="1" thickBot="1" x14ac:dyDescent="0.35">
      <c r="A24" s="111" t="s">
        <v>378</v>
      </c>
      <c r="B24" s="111">
        <v>1</v>
      </c>
      <c r="C24" s="112"/>
      <c r="D24" s="112"/>
      <c r="E24" s="113">
        <v>1</v>
      </c>
      <c r="F24" s="123"/>
      <c r="G24" s="115">
        <v>1</v>
      </c>
      <c r="H24" s="112"/>
      <c r="I24" s="112"/>
      <c r="J24" s="112"/>
      <c r="K24" s="133">
        <v>16</v>
      </c>
      <c r="L24" s="122" t="s">
        <v>401</v>
      </c>
      <c r="M24" s="118">
        <v>3</v>
      </c>
      <c r="N24" s="118">
        <v>4</v>
      </c>
      <c r="O24" s="118">
        <v>7</v>
      </c>
      <c r="P24" s="118">
        <v>8</v>
      </c>
      <c r="Q24" s="118">
        <v>1</v>
      </c>
      <c r="R24" s="118">
        <v>1</v>
      </c>
      <c r="S24" s="119"/>
      <c r="T24" s="118">
        <v>0</v>
      </c>
      <c r="U24" s="118">
        <v>1</v>
      </c>
      <c r="V24" s="118">
        <v>0</v>
      </c>
      <c r="W24" s="129">
        <v>4.2857142857142856</v>
      </c>
      <c r="X24" s="120">
        <f t="shared" ref="X24:X27" si="2">SUM(M24:W24)</f>
        <v>29.285714285714285</v>
      </c>
      <c r="Y24" s="90" t="str">
        <f t="shared" si="1"/>
        <v>FPAP</v>
      </c>
      <c r="Z24" s="137" t="s">
        <v>1089</v>
      </c>
      <c r="AA24"/>
    </row>
    <row r="25" spans="1:27" s="69" customFormat="1" ht="20.100000000000001" customHeight="1" thickTop="1" thickBot="1" x14ac:dyDescent="0.35">
      <c r="A25" s="111" t="s">
        <v>1090</v>
      </c>
      <c r="B25" s="111">
        <v>2</v>
      </c>
      <c r="C25" s="112"/>
      <c r="D25" s="112"/>
      <c r="E25" s="113">
        <v>2</v>
      </c>
      <c r="F25" s="123"/>
      <c r="G25" s="115">
        <v>2</v>
      </c>
      <c r="H25" s="112"/>
      <c r="I25" s="112"/>
      <c r="J25" s="112"/>
      <c r="K25" s="133">
        <v>12.222222222222221</v>
      </c>
      <c r="L25" s="122" t="s">
        <v>401</v>
      </c>
      <c r="M25" s="118">
        <v>3</v>
      </c>
      <c r="N25" s="118">
        <v>4</v>
      </c>
      <c r="O25" s="118">
        <v>8</v>
      </c>
      <c r="P25" s="118">
        <v>8</v>
      </c>
      <c r="Q25" s="118">
        <v>1</v>
      </c>
      <c r="R25" s="118">
        <v>1</v>
      </c>
      <c r="S25" s="119"/>
      <c r="T25" s="118">
        <v>0</v>
      </c>
      <c r="U25" s="118">
        <v>1</v>
      </c>
      <c r="V25" s="118">
        <v>0</v>
      </c>
      <c r="W25" s="129">
        <v>1</v>
      </c>
      <c r="X25" s="120">
        <f t="shared" ref="X25" si="3">SUM(M25:W25)</f>
        <v>27</v>
      </c>
      <c r="Y25" s="90" t="str">
        <f t="shared" si="1"/>
        <v>SAMPLING</v>
      </c>
      <c r="Z25" s="137" t="s">
        <v>1089</v>
      </c>
      <c r="AA25"/>
    </row>
    <row r="26" spans="1:27" s="69" customFormat="1" ht="20.100000000000001" customHeight="1" thickTop="1" thickBot="1" x14ac:dyDescent="0.35">
      <c r="A26" s="111" t="s">
        <v>41</v>
      </c>
      <c r="B26" s="111">
        <v>2</v>
      </c>
      <c r="C26" s="112"/>
      <c r="D26" s="112"/>
      <c r="E26" s="113">
        <v>2</v>
      </c>
      <c r="F26" s="123"/>
      <c r="G26" s="115">
        <v>2</v>
      </c>
      <c r="H26" s="112"/>
      <c r="I26" s="112"/>
      <c r="J26" s="112"/>
      <c r="K26" s="133">
        <v>11.531326</v>
      </c>
      <c r="L26" s="122" t="s">
        <v>401</v>
      </c>
      <c r="M26" s="118">
        <v>5</v>
      </c>
      <c r="N26" s="118">
        <v>4</v>
      </c>
      <c r="O26" s="118">
        <v>6</v>
      </c>
      <c r="P26" s="118">
        <v>2</v>
      </c>
      <c r="Q26" s="118">
        <v>1</v>
      </c>
      <c r="R26" s="118">
        <v>2</v>
      </c>
      <c r="S26" s="119"/>
      <c r="T26" s="118">
        <v>2</v>
      </c>
      <c r="U26" s="118">
        <v>1</v>
      </c>
      <c r="V26" s="118">
        <v>0</v>
      </c>
      <c r="W26" s="129">
        <v>10</v>
      </c>
      <c r="X26" s="120">
        <f t="shared" si="2"/>
        <v>33</v>
      </c>
      <c r="Y26" s="90" t="str">
        <f t="shared" si="1"/>
        <v>PO</v>
      </c>
      <c r="Z26" s="137" t="s">
        <v>1083</v>
      </c>
      <c r="AA26"/>
    </row>
    <row r="27" spans="1:27" s="69" customFormat="1" ht="20.100000000000001" customHeight="1" thickTop="1" thickBot="1" x14ac:dyDescent="0.35">
      <c r="A27" s="111" t="s">
        <v>219</v>
      </c>
      <c r="B27" s="111">
        <v>1</v>
      </c>
      <c r="C27" s="130">
        <v>1</v>
      </c>
      <c r="D27" s="112"/>
      <c r="E27" s="112"/>
      <c r="F27" s="123"/>
      <c r="G27" s="115">
        <v>1</v>
      </c>
      <c r="H27" s="112"/>
      <c r="I27" s="112"/>
      <c r="J27" s="112"/>
      <c r="K27" s="133">
        <v>6.0666666666666664</v>
      </c>
      <c r="L27" s="122" t="s">
        <v>401</v>
      </c>
      <c r="M27" s="118">
        <v>5</v>
      </c>
      <c r="N27" s="118">
        <v>4</v>
      </c>
      <c r="O27" s="118">
        <v>6</v>
      </c>
      <c r="P27" s="118">
        <v>2</v>
      </c>
      <c r="Q27" s="118">
        <v>1</v>
      </c>
      <c r="R27" s="118">
        <v>2</v>
      </c>
      <c r="S27" s="119"/>
      <c r="T27" s="118">
        <v>2</v>
      </c>
      <c r="U27" s="118">
        <v>1</v>
      </c>
      <c r="V27" s="118">
        <v>0</v>
      </c>
      <c r="W27" s="129">
        <v>2.1428571428571428</v>
      </c>
      <c r="X27" s="120">
        <f t="shared" si="2"/>
        <v>25.142857142857142</v>
      </c>
      <c r="Y27" s="90" t="str">
        <f t="shared" si="1"/>
        <v>SAMPLING</v>
      </c>
      <c r="Z27" s="137" t="s">
        <v>1083</v>
      </c>
      <c r="AA27"/>
    </row>
    <row r="28" spans="1:27" ht="20.100000000000001" customHeight="1" thickTop="1" thickBot="1" x14ac:dyDescent="0.35">
      <c r="B28" s="70">
        <f t="shared" ref="B28:K28" si="4">SUM(B10:B27)</f>
        <v>49</v>
      </c>
      <c r="C28" s="130">
        <f t="shared" si="4"/>
        <v>8</v>
      </c>
      <c r="D28" s="126">
        <f t="shared" si="4"/>
        <v>5</v>
      </c>
      <c r="E28" s="113">
        <f t="shared" si="4"/>
        <v>20</v>
      </c>
      <c r="F28" s="114">
        <f t="shared" si="4"/>
        <v>16</v>
      </c>
      <c r="G28" s="115">
        <f t="shared" si="4"/>
        <v>23</v>
      </c>
      <c r="H28" s="116">
        <f t="shared" si="4"/>
        <v>16</v>
      </c>
      <c r="I28" s="127">
        <f t="shared" si="4"/>
        <v>10</v>
      </c>
      <c r="J28" s="134">
        <f t="shared" si="4"/>
        <v>0</v>
      </c>
      <c r="K28" s="70">
        <f t="shared" si="4"/>
        <v>1042.1209260000001</v>
      </c>
    </row>
    <row r="29" spans="1:27" ht="15" thickTop="1" x14ac:dyDescent="0.3">
      <c r="G29" s="860"/>
      <c r="H29" s="860"/>
    </row>
    <row r="30" spans="1:27" x14ac:dyDescent="0.3">
      <c r="A30" s="89" t="s">
        <v>922</v>
      </c>
    </row>
    <row r="31" spans="1:27" x14ac:dyDescent="0.3">
      <c r="A31" s="89" t="s">
        <v>1038</v>
      </c>
    </row>
    <row r="32" spans="1:27" x14ac:dyDescent="0.3">
      <c r="A32" s="91" t="s">
        <v>1039</v>
      </c>
    </row>
    <row r="33" spans="1:1" x14ac:dyDescent="0.3">
      <c r="A33" s="92" t="s">
        <v>1091</v>
      </c>
    </row>
    <row r="34" spans="1:1" x14ac:dyDescent="0.3">
      <c r="A34" s="92" t="s">
        <v>1092</v>
      </c>
    </row>
    <row r="35" spans="1:1" x14ac:dyDescent="0.3">
      <c r="A35" s="92" t="s">
        <v>1093</v>
      </c>
    </row>
    <row r="36" spans="1:1" x14ac:dyDescent="0.3">
      <c r="A36" s="92" t="s">
        <v>806</v>
      </c>
    </row>
  </sheetData>
  <mergeCells count="7">
    <mergeCell ref="M9:W9"/>
    <mergeCell ref="G29:H29"/>
    <mergeCell ref="A1:L3"/>
    <mergeCell ref="A4:L4"/>
    <mergeCell ref="A5:L5"/>
    <mergeCell ref="A6:L6"/>
    <mergeCell ref="A7:L7"/>
  </mergeCells>
  <conditionalFormatting sqref="M10:R10 T10:W10">
    <cfRule type="colorScale" priority="19">
      <colorScale>
        <cfvo type="min"/>
        <cfvo type="percentile" val="50"/>
        <cfvo type="max"/>
        <color rgb="FF63BE7B"/>
        <color rgb="FFFFEB84"/>
        <color rgb="FFF8696B"/>
      </colorScale>
    </cfRule>
  </conditionalFormatting>
  <conditionalFormatting sqref="M11:R11 T11:W11">
    <cfRule type="colorScale" priority="18">
      <colorScale>
        <cfvo type="min"/>
        <cfvo type="percentile" val="50"/>
        <cfvo type="max"/>
        <color rgb="FF63BE7B"/>
        <color rgb="FFFFEB84"/>
        <color rgb="FFF8696B"/>
      </colorScale>
    </cfRule>
  </conditionalFormatting>
  <conditionalFormatting sqref="M12:R12 T12:W12">
    <cfRule type="colorScale" priority="17">
      <colorScale>
        <cfvo type="min"/>
        <cfvo type="percentile" val="50"/>
        <cfvo type="max"/>
        <color rgb="FF63BE7B"/>
        <color rgb="FFFFEB84"/>
        <color rgb="FFF8696B"/>
      </colorScale>
    </cfRule>
  </conditionalFormatting>
  <conditionalFormatting sqref="M13:R13 T13:W13">
    <cfRule type="colorScale" priority="16">
      <colorScale>
        <cfvo type="min"/>
        <cfvo type="percentile" val="50"/>
        <cfvo type="max"/>
        <color rgb="FF63BE7B"/>
        <color rgb="FFFFEB84"/>
        <color rgb="FFF8696B"/>
      </colorScale>
    </cfRule>
  </conditionalFormatting>
  <conditionalFormatting sqref="M14:R14 T14:W14">
    <cfRule type="colorScale" priority="15">
      <colorScale>
        <cfvo type="min"/>
        <cfvo type="percentile" val="50"/>
        <cfvo type="max"/>
        <color rgb="FF63BE7B"/>
        <color rgb="FFFFEB84"/>
        <color rgb="FFF8696B"/>
      </colorScale>
    </cfRule>
  </conditionalFormatting>
  <conditionalFormatting sqref="M15:R15 T15:W15">
    <cfRule type="colorScale" priority="14">
      <colorScale>
        <cfvo type="min"/>
        <cfvo type="percentile" val="50"/>
        <cfvo type="max"/>
        <color rgb="FF63BE7B"/>
        <color rgb="FFFFEB84"/>
        <color rgb="FFF8696B"/>
      </colorScale>
    </cfRule>
  </conditionalFormatting>
  <conditionalFormatting sqref="M16:R16 T16:W16">
    <cfRule type="colorScale" priority="13">
      <colorScale>
        <cfvo type="min"/>
        <cfvo type="percentile" val="50"/>
        <cfvo type="max"/>
        <color rgb="FF63BE7B"/>
        <color rgb="FFFFEB84"/>
        <color rgb="FFF8696B"/>
      </colorScale>
    </cfRule>
  </conditionalFormatting>
  <conditionalFormatting sqref="M17:R17 T17:W17">
    <cfRule type="colorScale" priority="12">
      <colorScale>
        <cfvo type="min"/>
        <cfvo type="percentile" val="50"/>
        <cfvo type="max"/>
        <color rgb="FF63BE7B"/>
        <color rgb="FFFFEB84"/>
        <color rgb="FFF8696B"/>
      </colorScale>
    </cfRule>
  </conditionalFormatting>
  <conditionalFormatting sqref="M18:R18 T18:W18">
    <cfRule type="colorScale" priority="11">
      <colorScale>
        <cfvo type="min"/>
        <cfvo type="percentile" val="50"/>
        <cfvo type="max"/>
        <color rgb="FF63BE7B"/>
        <color rgb="FFFFEB84"/>
        <color rgb="FFF8696B"/>
      </colorScale>
    </cfRule>
  </conditionalFormatting>
  <conditionalFormatting sqref="M19:R19 T19:V19">
    <cfRule type="colorScale" priority="10">
      <colorScale>
        <cfvo type="min"/>
        <cfvo type="percentile" val="50"/>
        <cfvo type="max"/>
        <color rgb="FF63BE7B"/>
        <color rgb="FFFFEB84"/>
        <color rgb="FFF8696B"/>
      </colorScale>
    </cfRule>
  </conditionalFormatting>
  <conditionalFormatting sqref="M20:R20 T20:W20">
    <cfRule type="colorScale" priority="8">
      <colorScale>
        <cfvo type="min"/>
        <cfvo type="percentile" val="50"/>
        <cfvo type="max"/>
        <color rgb="FF63BE7B"/>
        <color rgb="FFFFEB84"/>
        <color rgb="FFF8696B"/>
      </colorScale>
    </cfRule>
  </conditionalFormatting>
  <conditionalFormatting sqref="M21:R21 T21:W21">
    <cfRule type="colorScale" priority="7">
      <colorScale>
        <cfvo type="min"/>
        <cfvo type="percentile" val="50"/>
        <cfvo type="max"/>
        <color rgb="FF63BE7B"/>
        <color rgb="FFFFEB84"/>
        <color rgb="FFF8696B"/>
      </colorScale>
    </cfRule>
  </conditionalFormatting>
  <conditionalFormatting sqref="M21:R22 T21:W22">
    <cfRule type="colorScale" priority="6">
      <colorScale>
        <cfvo type="min"/>
        <cfvo type="percentile" val="50"/>
        <cfvo type="max"/>
        <color rgb="FF63BE7B"/>
        <color rgb="FFFFEB84"/>
        <color rgb="FFF8696B"/>
      </colorScale>
    </cfRule>
  </conditionalFormatting>
  <conditionalFormatting sqref="M24:R24 T24:W24">
    <cfRule type="colorScale" priority="4">
      <colorScale>
        <cfvo type="min"/>
        <cfvo type="percentile" val="50"/>
        <cfvo type="max"/>
        <color rgb="FF63BE7B"/>
        <color rgb="FFFFEB84"/>
        <color rgb="FFF8696B"/>
      </colorScale>
    </cfRule>
  </conditionalFormatting>
  <conditionalFormatting sqref="M25:R25 T25:W25">
    <cfRule type="colorScale" priority="3">
      <colorScale>
        <cfvo type="min"/>
        <cfvo type="percentile" val="50"/>
        <cfvo type="max"/>
        <color rgb="FF63BE7B"/>
        <color rgb="FFFFEB84"/>
        <color rgb="FFF8696B"/>
      </colorScale>
    </cfRule>
  </conditionalFormatting>
  <conditionalFormatting sqref="M26:R26 T26:W26">
    <cfRule type="colorScale" priority="2">
      <colorScale>
        <cfvo type="min"/>
        <cfvo type="percentile" val="50"/>
        <cfvo type="max"/>
        <color rgb="FF63BE7B"/>
        <color rgb="FFFFEB84"/>
        <color rgb="FFF8696B"/>
      </colorScale>
    </cfRule>
  </conditionalFormatting>
  <conditionalFormatting sqref="M27:R27 T27:W27">
    <cfRule type="colorScale" priority="1">
      <colorScale>
        <cfvo type="min"/>
        <cfvo type="percentile" val="50"/>
        <cfvo type="max"/>
        <color rgb="FF63BE7B"/>
        <color rgb="FFFFEB84"/>
        <color rgb="FFF8696B"/>
      </colorScale>
    </cfRule>
  </conditionalFormatting>
  <conditionalFormatting sqref="T23:W23 M23:R23">
    <cfRule type="colorScale" priority="5">
      <colorScale>
        <cfvo type="min"/>
        <cfvo type="percentile" val="50"/>
        <cfvo type="max"/>
        <color rgb="FF63BE7B"/>
        <color rgb="FFFFEB84"/>
        <color rgb="FFF8696B"/>
      </colorScale>
    </cfRule>
  </conditionalFormatting>
  <conditionalFormatting sqref="W19">
    <cfRule type="colorScale" priority="9">
      <colorScale>
        <cfvo type="min"/>
        <cfvo type="percentile" val="50"/>
        <cfvo type="max"/>
        <color rgb="FF63BE7B"/>
        <color rgb="FFFFEB84"/>
        <color rgb="FFF8696B"/>
      </colorScale>
    </cfRule>
  </conditionalFormatting>
  <conditionalFormatting sqref="X10:X27">
    <cfRule type="colorScale" priority="20">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D92F-76C2-4FEF-937E-0F84F1402E65}">
  <sheetPr>
    <tabColor rgb="FFC00000"/>
    <pageSetUpPr fitToPage="1"/>
  </sheetPr>
  <dimension ref="A1:AD36"/>
  <sheetViews>
    <sheetView showGridLines="0" zoomScaleNormal="100" workbookViewId="0">
      <selection activeCell="S18" sqref="S18"/>
    </sheetView>
  </sheetViews>
  <sheetFormatPr defaultRowHeight="14.4" x14ac:dyDescent="0.3"/>
  <cols>
    <col min="1" max="1" width="22.88671875" customWidth="1"/>
    <col min="2" max="2" width="5.5546875" customWidth="1"/>
    <col min="3" max="9" width="2.44140625" customWidth="1"/>
    <col min="10" max="10" width="2.109375" customWidth="1"/>
    <col min="11" max="12" width="5.88671875" customWidth="1"/>
    <col min="13" max="24" width="8.88671875" customWidth="1"/>
    <col min="25" max="25" width="11.88671875" customWidth="1"/>
  </cols>
  <sheetData>
    <row r="1" spans="1:30" ht="16.8" thickTop="1" thickBot="1" x14ac:dyDescent="0.35">
      <c r="A1" s="861" t="s">
        <v>1029</v>
      </c>
      <c r="B1" s="862"/>
      <c r="C1" s="862"/>
      <c r="D1" s="862"/>
      <c r="E1" s="862"/>
      <c r="F1" s="862"/>
      <c r="G1" s="862"/>
      <c r="H1" s="862"/>
      <c r="I1" s="862"/>
      <c r="J1" s="862"/>
      <c r="K1" s="862"/>
      <c r="L1" s="863"/>
      <c r="M1" s="93" t="s">
        <v>415</v>
      </c>
      <c r="N1" s="93" t="s">
        <v>417</v>
      </c>
      <c r="O1" s="93" t="s">
        <v>418</v>
      </c>
      <c r="P1" s="93" t="s">
        <v>1030</v>
      </c>
      <c r="Q1" s="93" t="s">
        <v>1031</v>
      </c>
      <c r="R1" s="93" t="s">
        <v>1032</v>
      </c>
      <c r="S1" s="94" t="s">
        <v>1033</v>
      </c>
      <c r="T1" s="93" t="s">
        <v>1034</v>
      </c>
      <c r="U1" s="93" t="s">
        <v>1035</v>
      </c>
      <c r="V1" s="93" t="s">
        <v>1036</v>
      </c>
      <c r="W1" s="93" t="s">
        <v>1037</v>
      </c>
    </row>
    <row r="2" spans="1:30" ht="15.6" thickTop="1" thickBot="1" x14ac:dyDescent="0.35">
      <c r="A2" s="861"/>
      <c r="B2" s="862"/>
      <c r="C2" s="862"/>
      <c r="D2" s="862"/>
      <c r="E2" s="862"/>
      <c r="F2" s="862"/>
      <c r="G2" s="862"/>
      <c r="H2" s="862"/>
      <c r="I2" s="862"/>
      <c r="J2" s="862"/>
      <c r="K2" s="862"/>
      <c r="L2" s="863"/>
      <c r="M2" s="95" t="s">
        <v>1038</v>
      </c>
      <c r="N2" s="95" t="s">
        <v>1038</v>
      </c>
      <c r="O2" s="95" t="s">
        <v>1038</v>
      </c>
      <c r="P2" s="96" t="s">
        <v>1039</v>
      </c>
      <c r="Q2" s="95" t="s">
        <v>1040</v>
      </c>
      <c r="R2" s="95" t="s">
        <v>1040</v>
      </c>
      <c r="S2" s="97" t="s">
        <v>1041</v>
      </c>
      <c r="T2" s="96" t="s">
        <v>1039</v>
      </c>
      <c r="U2" s="97" t="s">
        <v>1042</v>
      </c>
      <c r="V2" s="96" t="s">
        <v>1039</v>
      </c>
      <c r="W2" s="97" t="s">
        <v>1041</v>
      </c>
    </row>
    <row r="3" spans="1:30" ht="15.6" thickTop="1" thickBot="1" x14ac:dyDescent="0.35">
      <c r="A3" s="861"/>
      <c r="B3" s="862"/>
      <c r="C3" s="862"/>
      <c r="D3" s="862"/>
      <c r="E3" s="862"/>
      <c r="F3" s="862"/>
      <c r="G3" s="862"/>
      <c r="H3" s="862"/>
      <c r="I3" s="862"/>
      <c r="J3" s="862"/>
      <c r="K3" s="862"/>
      <c r="L3" s="863"/>
      <c r="M3" s="95" t="s">
        <v>1043</v>
      </c>
      <c r="N3" s="95" t="s">
        <v>1044</v>
      </c>
      <c r="O3" s="95" t="s">
        <v>1045</v>
      </c>
      <c r="P3" s="96" t="s">
        <v>1046</v>
      </c>
      <c r="Q3" s="95" t="s">
        <v>1047</v>
      </c>
      <c r="R3" s="95" t="s">
        <v>1048</v>
      </c>
      <c r="S3" s="97" t="s">
        <v>1049</v>
      </c>
      <c r="T3" s="96" t="s">
        <v>1050</v>
      </c>
      <c r="U3" s="97" t="s">
        <v>1051</v>
      </c>
      <c r="V3" s="96" t="s">
        <v>1052</v>
      </c>
      <c r="W3" s="97" t="s">
        <v>1053</v>
      </c>
    </row>
    <row r="4" spans="1:30" ht="15.6" thickTop="1" thickBot="1" x14ac:dyDescent="0.35">
      <c r="A4" s="864" t="s">
        <v>1054</v>
      </c>
      <c r="B4" s="865"/>
      <c r="C4" s="865"/>
      <c r="D4" s="865"/>
      <c r="E4" s="865"/>
      <c r="F4" s="865"/>
      <c r="G4" s="865"/>
      <c r="H4" s="865"/>
      <c r="I4" s="865"/>
      <c r="J4" s="865"/>
      <c r="K4" s="865"/>
      <c r="L4" s="866"/>
      <c r="M4" s="98"/>
      <c r="N4" s="98"/>
      <c r="O4" s="98"/>
      <c r="P4" s="98"/>
      <c r="Q4" s="98"/>
      <c r="R4" s="99"/>
      <c r="S4" s="98"/>
      <c r="T4" s="98"/>
      <c r="U4" s="98"/>
      <c r="V4" s="98"/>
      <c r="W4" s="99"/>
    </row>
    <row r="5" spans="1:30" ht="15.6" thickTop="1" thickBot="1" x14ac:dyDescent="0.35">
      <c r="A5" s="867" t="s">
        <v>1055</v>
      </c>
      <c r="B5" s="868"/>
      <c r="C5" s="868"/>
      <c r="D5" s="868"/>
      <c r="E5" s="868"/>
      <c r="F5" s="868"/>
      <c r="G5" s="868"/>
      <c r="H5" s="868"/>
      <c r="I5" s="868"/>
      <c r="J5" s="868"/>
      <c r="K5" s="868"/>
      <c r="L5" s="869"/>
      <c r="M5" s="98"/>
      <c r="N5" s="98"/>
      <c r="O5" s="100"/>
      <c r="P5" s="100"/>
      <c r="Q5" s="98"/>
      <c r="R5" s="100"/>
      <c r="S5" s="101"/>
      <c r="T5" s="98"/>
      <c r="U5" s="98"/>
      <c r="V5" s="98"/>
      <c r="W5" s="100"/>
    </row>
    <row r="6" spans="1:30" ht="15.6" thickTop="1" thickBot="1" x14ac:dyDescent="0.35">
      <c r="A6" s="870" t="s">
        <v>1056</v>
      </c>
      <c r="B6" s="871"/>
      <c r="C6" s="871"/>
      <c r="D6" s="871"/>
      <c r="E6" s="871"/>
      <c r="F6" s="871"/>
      <c r="G6" s="871"/>
      <c r="H6" s="871"/>
      <c r="I6" s="871"/>
      <c r="J6" s="871"/>
      <c r="K6" s="871"/>
      <c r="L6" s="872"/>
      <c r="M6" s="102"/>
      <c r="N6" s="102"/>
      <c r="O6" s="102"/>
      <c r="P6" s="102"/>
      <c r="Q6" s="102"/>
      <c r="R6" s="102"/>
      <c r="S6" s="101"/>
      <c r="T6" s="102"/>
      <c r="U6" s="102"/>
      <c r="V6" s="102"/>
      <c r="W6" s="102"/>
    </row>
    <row r="7" spans="1:30" ht="15.6" thickTop="1" thickBot="1" x14ac:dyDescent="0.35">
      <c r="A7" s="873" t="s">
        <v>1057</v>
      </c>
      <c r="B7" s="874"/>
      <c r="C7" s="874"/>
      <c r="D7" s="874"/>
      <c r="E7" s="874"/>
      <c r="F7" s="874"/>
      <c r="G7" s="874"/>
      <c r="H7" s="874"/>
      <c r="I7" s="874"/>
      <c r="J7" s="874"/>
      <c r="K7" s="874"/>
      <c r="L7" s="875"/>
      <c r="M7" s="103"/>
      <c r="N7" s="103"/>
      <c r="O7" s="103"/>
      <c r="P7" s="103"/>
      <c r="Q7" s="103"/>
      <c r="R7" s="103"/>
      <c r="S7" s="98"/>
      <c r="T7" s="103"/>
      <c r="U7" s="103"/>
      <c r="V7" s="103"/>
      <c r="W7" s="103"/>
    </row>
    <row r="8" spans="1:30" ht="12" customHeight="1" thickTop="1" thickBot="1" x14ac:dyDescent="0.35">
      <c r="A8" s="104"/>
      <c r="B8" s="104"/>
      <c r="C8" s="104"/>
      <c r="D8" s="104"/>
      <c r="E8" s="104"/>
      <c r="F8" s="104"/>
      <c r="G8" s="104"/>
      <c r="H8" s="104"/>
      <c r="I8" s="104"/>
      <c r="J8" s="104"/>
      <c r="K8" s="104"/>
      <c r="L8" s="104"/>
      <c r="M8" s="105"/>
      <c r="N8" s="105"/>
      <c r="O8" s="105"/>
      <c r="P8" s="135"/>
      <c r="Q8" s="105"/>
      <c r="R8" s="105"/>
      <c r="S8" s="105"/>
      <c r="T8" s="105"/>
      <c r="U8" s="105"/>
      <c r="V8" s="105"/>
      <c r="W8" s="105"/>
    </row>
    <row r="9" spans="1:30" ht="31.5" customHeight="1" thickTop="1" thickBot="1" x14ac:dyDescent="0.35">
      <c r="A9" s="106" t="s">
        <v>11</v>
      </c>
      <c r="B9" s="107" t="s">
        <v>1058</v>
      </c>
      <c r="C9" s="107" t="s">
        <v>1059</v>
      </c>
      <c r="D9" s="107" t="s">
        <v>1060</v>
      </c>
      <c r="E9" s="107" t="s">
        <v>1061</v>
      </c>
      <c r="F9" s="107" t="s">
        <v>1062</v>
      </c>
      <c r="G9" s="108" t="s">
        <v>1063</v>
      </c>
      <c r="H9" s="109" t="s">
        <v>1064</v>
      </c>
      <c r="I9" s="109" t="s">
        <v>391</v>
      </c>
      <c r="J9" s="109" t="s">
        <v>1065</v>
      </c>
      <c r="K9" s="107" t="s">
        <v>1066</v>
      </c>
      <c r="L9" s="107" t="s">
        <v>1067</v>
      </c>
      <c r="M9" s="858" t="s">
        <v>1094</v>
      </c>
      <c r="N9" s="859"/>
      <c r="O9" s="859"/>
      <c r="P9" s="859"/>
      <c r="Q9" s="859"/>
      <c r="R9" s="859"/>
      <c r="S9" s="859"/>
      <c r="T9" s="859"/>
      <c r="U9" s="859"/>
      <c r="V9" s="859"/>
      <c r="W9" s="859"/>
      <c r="X9" s="107" t="s">
        <v>1069</v>
      </c>
      <c r="Y9" s="110" t="s">
        <v>1070</v>
      </c>
      <c r="Z9" s="136"/>
    </row>
    <row r="10" spans="1:30" s="69" customFormat="1" ht="20.100000000000001" customHeight="1" thickTop="1" thickBot="1" x14ac:dyDescent="0.35">
      <c r="A10" s="111" t="s">
        <v>305</v>
      </c>
      <c r="B10" s="111">
        <v>4</v>
      </c>
      <c r="C10" s="112"/>
      <c r="D10" s="112"/>
      <c r="E10" s="113">
        <v>2</v>
      </c>
      <c r="F10" s="114">
        <v>2</v>
      </c>
      <c r="G10" s="121"/>
      <c r="H10" s="116">
        <v>1</v>
      </c>
      <c r="I10" s="127">
        <v>3</v>
      </c>
      <c r="J10" s="112"/>
      <c r="K10" s="133">
        <v>260.7079</v>
      </c>
      <c r="L10" s="117" t="s">
        <v>1071</v>
      </c>
      <c r="M10" s="118">
        <v>3</v>
      </c>
      <c r="N10" s="118">
        <v>2</v>
      </c>
      <c r="O10" s="118">
        <v>8</v>
      </c>
      <c r="P10" s="118">
        <v>10</v>
      </c>
      <c r="Q10" s="118">
        <v>1</v>
      </c>
      <c r="R10" s="118">
        <v>1</v>
      </c>
      <c r="S10" s="119"/>
      <c r="T10" s="118">
        <v>3</v>
      </c>
      <c r="U10" s="118">
        <v>1</v>
      </c>
      <c r="V10" s="118">
        <v>16</v>
      </c>
      <c r="W10" s="129">
        <v>20</v>
      </c>
      <c r="X10" s="120">
        <f>SUM(M10:W10)</f>
        <v>65</v>
      </c>
      <c r="Y10" s="90" t="str">
        <f>INDEX($M$3:$W$3,1,MATCH(MAX($M10:$W10),$M10:$W10,0))</f>
        <v>PO</v>
      </c>
      <c r="Z10" s="137" t="s">
        <v>1072</v>
      </c>
      <c r="AA10"/>
    </row>
    <row r="11" spans="1:30" s="69" customFormat="1" ht="20.100000000000001" customHeight="1" thickTop="1" thickBot="1" x14ac:dyDescent="0.35">
      <c r="A11" s="111" t="s">
        <v>1073</v>
      </c>
      <c r="B11" s="111">
        <v>10</v>
      </c>
      <c r="C11" s="130">
        <v>8</v>
      </c>
      <c r="D11" s="112"/>
      <c r="E11" s="113">
        <v>2</v>
      </c>
      <c r="F11" s="123"/>
      <c r="G11" s="115">
        <v>5</v>
      </c>
      <c r="H11" s="112"/>
      <c r="I11" s="127">
        <v>4</v>
      </c>
      <c r="J11" s="128">
        <v>1</v>
      </c>
      <c r="K11" s="133">
        <v>142.93066400000001</v>
      </c>
      <c r="L11" s="122" t="s">
        <v>401</v>
      </c>
      <c r="M11" s="118">
        <v>3</v>
      </c>
      <c r="N11" s="118">
        <v>4</v>
      </c>
      <c r="O11" s="118">
        <v>8</v>
      </c>
      <c r="P11" s="118">
        <v>2</v>
      </c>
      <c r="Q11" s="118">
        <v>1</v>
      </c>
      <c r="R11" s="118">
        <v>1</v>
      </c>
      <c r="S11" s="119"/>
      <c r="T11" s="118">
        <v>1</v>
      </c>
      <c r="U11" s="118">
        <v>1</v>
      </c>
      <c r="V11" s="118">
        <v>0</v>
      </c>
      <c r="W11" s="129">
        <v>1.5</v>
      </c>
      <c r="X11" s="120">
        <f t="shared" ref="X11" si="0">SUM(M11:W11)</f>
        <v>22.5</v>
      </c>
      <c r="Y11" s="90" t="str">
        <f t="shared" ref="Y11:Y27" si="1">INDEX($M$3:$W$3,1,MATCH(MAX($M11:$W11),$M11:$W11,0))</f>
        <v>SAMPLING</v>
      </c>
      <c r="Z11" s="137" t="s">
        <v>1074</v>
      </c>
      <c r="AA11"/>
    </row>
    <row r="12" spans="1:30" s="69" customFormat="1" ht="20.100000000000001" customHeight="1" thickTop="1" thickBot="1" x14ac:dyDescent="0.35">
      <c r="A12" s="111" t="s">
        <v>284</v>
      </c>
      <c r="B12" s="111">
        <v>5</v>
      </c>
      <c r="C12" s="130">
        <v>5</v>
      </c>
      <c r="D12" s="112"/>
      <c r="E12" s="112"/>
      <c r="F12" s="123"/>
      <c r="G12" s="121"/>
      <c r="H12" s="112"/>
      <c r="I12" s="127">
        <v>5</v>
      </c>
      <c r="J12" s="112"/>
      <c r="K12" s="133">
        <v>79.811000000000007</v>
      </c>
      <c r="L12" s="122" t="s">
        <v>401</v>
      </c>
      <c r="M12" s="118">
        <v>2</v>
      </c>
      <c r="N12" s="118">
        <v>4</v>
      </c>
      <c r="O12" s="124">
        <v>6</v>
      </c>
      <c r="P12" s="118">
        <v>2</v>
      </c>
      <c r="Q12" s="118">
        <v>1</v>
      </c>
      <c r="R12" s="118">
        <v>1</v>
      </c>
      <c r="S12" s="119"/>
      <c r="T12" s="118">
        <v>1</v>
      </c>
      <c r="U12" s="118">
        <v>1</v>
      </c>
      <c r="V12" s="118">
        <v>0</v>
      </c>
      <c r="W12" s="129">
        <v>20</v>
      </c>
      <c r="X12" s="120">
        <f t="shared" ref="X12:X27" si="2">SUM(M12:W12)</f>
        <v>38</v>
      </c>
      <c r="Y12" s="90" t="str">
        <f t="shared" si="1"/>
        <v>PO</v>
      </c>
      <c r="Z12" s="137" t="s">
        <v>1095</v>
      </c>
      <c r="AA12"/>
    </row>
    <row r="13" spans="1:30" s="69" customFormat="1" ht="20.100000000000001" customHeight="1" thickTop="1" thickBot="1" x14ac:dyDescent="0.35">
      <c r="A13" s="111" t="s">
        <v>79</v>
      </c>
      <c r="B13" s="111">
        <v>2</v>
      </c>
      <c r="C13" s="130">
        <v>1</v>
      </c>
      <c r="D13" s="112"/>
      <c r="E13" s="113">
        <v>1</v>
      </c>
      <c r="F13" s="123"/>
      <c r="G13" s="115">
        <v>1</v>
      </c>
      <c r="H13" s="112"/>
      <c r="I13" s="127">
        <v>1</v>
      </c>
      <c r="J13" s="112"/>
      <c r="K13" s="133">
        <v>75.63</v>
      </c>
      <c r="L13" s="122" t="s">
        <v>401</v>
      </c>
      <c r="M13" s="118">
        <v>3</v>
      </c>
      <c r="N13" s="118">
        <v>4</v>
      </c>
      <c r="O13" s="118">
        <v>4</v>
      </c>
      <c r="P13" s="118">
        <v>0</v>
      </c>
      <c r="Q13" s="118">
        <v>1</v>
      </c>
      <c r="R13" s="118">
        <v>1</v>
      </c>
      <c r="S13" s="119"/>
      <c r="T13" s="118">
        <v>0</v>
      </c>
      <c r="U13" s="118">
        <v>1</v>
      </c>
      <c r="V13" s="118">
        <v>0</v>
      </c>
      <c r="W13" s="129">
        <v>1.5</v>
      </c>
      <c r="X13" s="120">
        <f t="shared" si="2"/>
        <v>15.5</v>
      </c>
      <c r="Y13" s="90" t="str">
        <f t="shared" si="1"/>
        <v>SUP_EVAL</v>
      </c>
      <c r="Z13" s="137" t="s">
        <v>1096</v>
      </c>
      <c r="AA13"/>
      <c r="AD13" s="125" t="s">
        <v>1082</v>
      </c>
    </row>
    <row r="14" spans="1:30" s="69" customFormat="1" ht="20.100000000000001" customHeight="1" thickTop="1" thickBot="1" x14ac:dyDescent="0.35">
      <c r="A14" s="111" t="s">
        <v>1097</v>
      </c>
      <c r="B14" s="111">
        <v>2</v>
      </c>
      <c r="C14" s="112"/>
      <c r="D14" s="112"/>
      <c r="E14" s="113">
        <v>2</v>
      </c>
      <c r="F14" s="123"/>
      <c r="G14" s="121"/>
      <c r="H14" s="112"/>
      <c r="I14" s="127">
        <v>2</v>
      </c>
      <c r="J14" s="112"/>
      <c r="K14" s="133">
        <v>42.25</v>
      </c>
      <c r="L14" s="122" t="s">
        <v>401</v>
      </c>
      <c r="M14" s="118">
        <v>2</v>
      </c>
      <c r="N14" s="118">
        <v>4</v>
      </c>
      <c r="O14" s="118">
        <v>6</v>
      </c>
      <c r="P14" s="118">
        <v>0</v>
      </c>
      <c r="Q14" s="118">
        <v>1</v>
      </c>
      <c r="R14" s="118">
        <v>1</v>
      </c>
      <c r="S14" s="119"/>
      <c r="T14" s="118">
        <v>2</v>
      </c>
      <c r="U14" s="118">
        <v>1</v>
      </c>
      <c r="V14" s="118">
        <v>0</v>
      </c>
      <c r="W14" s="129">
        <v>20</v>
      </c>
      <c r="X14" s="120">
        <f t="shared" si="2"/>
        <v>37</v>
      </c>
      <c r="Y14" s="90" t="str">
        <f t="shared" si="1"/>
        <v>PO</v>
      </c>
      <c r="Z14" s="137" t="s">
        <v>1098</v>
      </c>
      <c r="AA14"/>
    </row>
    <row r="15" spans="1:30" s="69" customFormat="1" ht="20.100000000000001" customHeight="1" thickTop="1" thickBot="1" x14ac:dyDescent="0.35">
      <c r="A15" s="111" t="s">
        <v>241</v>
      </c>
      <c r="B15" s="111">
        <v>1</v>
      </c>
      <c r="C15" s="112"/>
      <c r="D15" s="112"/>
      <c r="E15" s="113">
        <v>1</v>
      </c>
      <c r="F15" s="123"/>
      <c r="G15" s="115">
        <v>1</v>
      </c>
      <c r="H15" s="112"/>
      <c r="I15" s="112"/>
      <c r="J15" s="112"/>
      <c r="K15" s="133">
        <v>24.65</v>
      </c>
      <c r="L15" s="122" t="s">
        <v>401</v>
      </c>
      <c r="M15" s="118">
        <v>4</v>
      </c>
      <c r="N15" s="118">
        <v>4</v>
      </c>
      <c r="O15" s="118">
        <v>3</v>
      </c>
      <c r="P15" s="118">
        <v>0</v>
      </c>
      <c r="Q15" s="118">
        <v>1</v>
      </c>
      <c r="R15" s="118">
        <v>2</v>
      </c>
      <c r="S15" s="119"/>
      <c r="T15" s="118">
        <v>0</v>
      </c>
      <c r="U15" s="118">
        <v>1</v>
      </c>
      <c r="V15" s="118">
        <v>0</v>
      </c>
      <c r="W15" s="129">
        <v>1.5</v>
      </c>
      <c r="X15" s="120">
        <f t="shared" si="2"/>
        <v>16.5</v>
      </c>
      <c r="Y15" s="90" t="str">
        <f t="shared" si="1"/>
        <v>RFI</v>
      </c>
      <c r="AA15"/>
    </row>
    <row r="16" spans="1:30" s="69" customFormat="1" ht="20.100000000000001" customHeight="1" thickTop="1" thickBot="1" x14ac:dyDescent="0.35">
      <c r="A16" s="111" t="s">
        <v>654</v>
      </c>
      <c r="B16" s="111">
        <v>2</v>
      </c>
      <c r="C16" s="130">
        <v>2</v>
      </c>
      <c r="D16" s="112"/>
      <c r="E16" s="112"/>
      <c r="F16" s="123"/>
      <c r="G16" s="115">
        <v>1</v>
      </c>
      <c r="H16" s="139"/>
      <c r="I16" s="127">
        <v>1</v>
      </c>
      <c r="J16" s="112"/>
      <c r="K16" s="133">
        <v>22.696999999999999</v>
      </c>
      <c r="L16" s="122" t="s">
        <v>401</v>
      </c>
      <c r="M16" s="118">
        <v>4</v>
      </c>
      <c r="N16" s="118">
        <v>4</v>
      </c>
      <c r="O16" s="118">
        <v>3</v>
      </c>
      <c r="P16" s="118">
        <v>1</v>
      </c>
      <c r="Q16" s="118">
        <v>1</v>
      </c>
      <c r="R16" s="118">
        <v>2</v>
      </c>
      <c r="S16" s="119"/>
      <c r="T16" s="118">
        <v>1</v>
      </c>
      <c r="U16" s="118">
        <v>1</v>
      </c>
      <c r="V16" s="118">
        <v>0</v>
      </c>
      <c r="W16" s="129">
        <v>1.5</v>
      </c>
      <c r="X16" s="120">
        <f t="shared" si="2"/>
        <v>18.5</v>
      </c>
      <c r="Y16" s="90" t="str">
        <f t="shared" si="1"/>
        <v>RFI</v>
      </c>
      <c r="Z16" s="137" t="s">
        <v>1099</v>
      </c>
      <c r="AA16"/>
    </row>
    <row r="17" spans="1:30" s="69" customFormat="1" ht="20.100000000000001" customHeight="1" thickTop="1" thickBot="1" x14ac:dyDescent="0.35">
      <c r="A17" s="111" t="s">
        <v>53</v>
      </c>
      <c r="B17" s="111">
        <v>1</v>
      </c>
      <c r="C17" s="130">
        <v>1</v>
      </c>
      <c r="D17" s="112"/>
      <c r="E17" s="112"/>
      <c r="F17" s="123"/>
      <c r="G17" s="121"/>
      <c r="H17" s="112"/>
      <c r="I17" s="127">
        <v>1</v>
      </c>
      <c r="J17" s="112"/>
      <c r="K17" s="133">
        <v>17.25</v>
      </c>
      <c r="L17" s="122" t="s">
        <v>401</v>
      </c>
      <c r="M17" s="118">
        <v>3</v>
      </c>
      <c r="N17" s="118">
        <v>4</v>
      </c>
      <c r="O17" s="118">
        <v>3</v>
      </c>
      <c r="P17" s="118">
        <v>2</v>
      </c>
      <c r="Q17" s="118">
        <v>1</v>
      </c>
      <c r="R17" s="118">
        <v>1</v>
      </c>
      <c r="S17" s="119"/>
      <c r="T17" s="118">
        <v>2</v>
      </c>
      <c r="U17" s="118">
        <v>1</v>
      </c>
      <c r="V17" s="118">
        <v>0</v>
      </c>
      <c r="W17" s="131">
        <v>1.5</v>
      </c>
      <c r="X17" s="120">
        <f t="shared" si="2"/>
        <v>18.5</v>
      </c>
      <c r="Y17" s="90" t="str">
        <f t="shared" si="1"/>
        <v>SUP_EVAL</v>
      </c>
      <c r="Z17" s="137" t="s">
        <v>1095</v>
      </c>
      <c r="AA17"/>
    </row>
    <row r="18" spans="1:30" s="69" customFormat="1" ht="20.100000000000001" customHeight="1" thickTop="1" thickBot="1" x14ac:dyDescent="0.35">
      <c r="A18" s="111" t="s">
        <v>93</v>
      </c>
      <c r="B18" s="111">
        <v>1</v>
      </c>
      <c r="C18" s="112"/>
      <c r="D18" s="112"/>
      <c r="E18" s="113">
        <v>1</v>
      </c>
      <c r="F18" s="123"/>
      <c r="G18" s="115">
        <v>1</v>
      </c>
      <c r="H18" s="112"/>
      <c r="I18" s="112"/>
      <c r="J18" s="112"/>
      <c r="K18" s="133">
        <v>13.5</v>
      </c>
      <c r="L18" s="122" t="s">
        <v>401</v>
      </c>
      <c r="M18" s="118">
        <v>3</v>
      </c>
      <c r="N18" s="118">
        <v>4</v>
      </c>
      <c r="O18" s="118">
        <v>4</v>
      </c>
      <c r="P18" s="118">
        <v>4</v>
      </c>
      <c r="Q18" s="118">
        <v>1</v>
      </c>
      <c r="R18" s="118">
        <v>1</v>
      </c>
      <c r="S18" s="119"/>
      <c r="T18" s="118">
        <v>1</v>
      </c>
      <c r="U18" s="118">
        <v>1</v>
      </c>
      <c r="V18" s="118">
        <v>0</v>
      </c>
      <c r="W18" s="129">
        <v>1.5</v>
      </c>
      <c r="X18" s="120">
        <f t="shared" si="2"/>
        <v>20.5</v>
      </c>
      <c r="Y18" s="90" t="str">
        <f t="shared" si="1"/>
        <v>SUP_EVAL</v>
      </c>
      <c r="Z18" s="137" t="s">
        <v>1081</v>
      </c>
      <c r="AA18"/>
      <c r="AD18" s="125" t="s">
        <v>1082</v>
      </c>
    </row>
    <row r="19" spans="1:30" s="69" customFormat="1" ht="20.100000000000001" customHeight="1" thickTop="1" thickBot="1" x14ac:dyDescent="0.35">
      <c r="A19" s="111" t="s">
        <v>181</v>
      </c>
      <c r="B19" s="111">
        <v>6</v>
      </c>
      <c r="C19" s="112"/>
      <c r="D19" s="112"/>
      <c r="E19" s="113">
        <v>3</v>
      </c>
      <c r="F19" s="114">
        <v>3</v>
      </c>
      <c r="G19" s="121"/>
      <c r="H19" s="116">
        <v>3</v>
      </c>
      <c r="I19" s="127">
        <v>3</v>
      </c>
      <c r="J19" s="112"/>
      <c r="K19" s="133">
        <v>13.416600000000001</v>
      </c>
      <c r="L19" s="132" t="s">
        <v>1075</v>
      </c>
      <c r="M19" s="118">
        <v>4</v>
      </c>
      <c r="N19" s="118">
        <v>4</v>
      </c>
      <c r="O19" s="118">
        <v>10</v>
      </c>
      <c r="P19" s="118">
        <v>0</v>
      </c>
      <c r="Q19" s="118">
        <v>1</v>
      </c>
      <c r="R19" s="118">
        <v>2</v>
      </c>
      <c r="S19" s="119"/>
      <c r="T19" s="118">
        <v>1</v>
      </c>
      <c r="U19" s="118">
        <v>1</v>
      </c>
      <c r="V19" s="118">
        <v>0</v>
      </c>
      <c r="W19" s="131">
        <v>21</v>
      </c>
      <c r="X19" s="120">
        <f t="shared" si="2"/>
        <v>44</v>
      </c>
      <c r="Y19" s="90" t="str">
        <f t="shared" si="1"/>
        <v>PO</v>
      </c>
      <c r="AA19"/>
    </row>
    <row r="20" spans="1:30" s="69" customFormat="1" ht="20.100000000000001" customHeight="1" thickTop="1" thickBot="1" x14ac:dyDescent="0.35">
      <c r="A20" s="111" t="s">
        <v>117</v>
      </c>
      <c r="B20" s="111">
        <v>3</v>
      </c>
      <c r="C20" s="112"/>
      <c r="D20" s="112"/>
      <c r="E20" s="113">
        <v>3</v>
      </c>
      <c r="F20" s="123"/>
      <c r="G20" s="121"/>
      <c r="H20" s="112"/>
      <c r="I20" s="127">
        <v>3</v>
      </c>
      <c r="J20" s="112"/>
      <c r="K20" s="133">
        <v>13.110000000000003</v>
      </c>
      <c r="L20" s="132" t="s">
        <v>1075</v>
      </c>
      <c r="M20" s="118">
        <v>4</v>
      </c>
      <c r="N20" s="118">
        <v>4</v>
      </c>
      <c r="O20" s="118">
        <v>6</v>
      </c>
      <c r="P20" s="118">
        <v>4</v>
      </c>
      <c r="Q20" s="118">
        <v>1</v>
      </c>
      <c r="R20" s="118">
        <v>1</v>
      </c>
      <c r="S20" s="119"/>
      <c r="T20" s="118">
        <v>2</v>
      </c>
      <c r="U20" s="118">
        <v>1</v>
      </c>
      <c r="V20" s="118">
        <v>16</v>
      </c>
      <c r="W20" s="129">
        <v>23</v>
      </c>
      <c r="X20" s="120">
        <f t="shared" si="2"/>
        <v>62</v>
      </c>
      <c r="Y20" s="90" t="str">
        <f t="shared" si="1"/>
        <v>PO</v>
      </c>
      <c r="Z20" s="137" t="s">
        <v>1076</v>
      </c>
      <c r="AA20"/>
    </row>
    <row r="21" spans="1:30" s="69" customFormat="1" ht="20.100000000000001" customHeight="1" thickTop="1" thickBot="1" x14ac:dyDescent="0.35">
      <c r="A21" s="111" t="s">
        <v>343</v>
      </c>
      <c r="B21" s="111">
        <v>3</v>
      </c>
      <c r="C21" s="130">
        <v>3</v>
      </c>
      <c r="D21" s="112"/>
      <c r="E21" s="112"/>
      <c r="F21" s="123"/>
      <c r="G21" s="121"/>
      <c r="H21" s="112"/>
      <c r="I21" s="127">
        <v>3</v>
      </c>
      <c r="J21" s="112"/>
      <c r="K21" s="133">
        <v>12.485000000000001</v>
      </c>
      <c r="L21" s="122" t="s">
        <v>401</v>
      </c>
      <c r="M21" s="118">
        <v>3</v>
      </c>
      <c r="N21" s="118">
        <v>4</v>
      </c>
      <c r="O21" s="118">
        <v>6</v>
      </c>
      <c r="P21" s="118">
        <v>2</v>
      </c>
      <c r="Q21" s="118">
        <v>1</v>
      </c>
      <c r="R21" s="118">
        <v>2</v>
      </c>
      <c r="S21" s="119"/>
      <c r="T21" s="118">
        <v>1</v>
      </c>
      <c r="U21" s="118">
        <v>1</v>
      </c>
      <c r="V21" s="118">
        <v>0</v>
      </c>
      <c r="W21" s="129">
        <v>1.5</v>
      </c>
      <c r="X21" s="120">
        <f t="shared" si="2"/>
        <v>21.5</v>
      </c>
      <c r="Y21" s="90" t="str">
        <f t="shared" si="1"/>
        <v>SAMPLING</v>
      </c>
      <c r="Z21" s="137" t="s">
        <v>1095</v>
      </c>
      <c r="AA21"/>
    </row>
    <row r="22" spans="1:30" s="69" customFormat="1" ht="20.100000000000001" customHeight="1" thickTop="1" thickBot="1" x14ac:dyDescent="0.35">
      <c r="A22" s="111" t="s">
        <v>210</v>
      </c>
      <c r="B22" s="111">
        <v>2</v>
      </c>
      <c r="C22" s="112"/>
      <c r="D22" s="112"/>
      <c r="E22" s="113">
        <v>2</v>
      </c>
      <c r="F22" s="123"/>
      <c r="G22" s="115">
        <v>1</v>
      </c>
      <c r="H22" s="112"/>
      <c r="I22" s="127">
        <v>1</v>
      </c>
      <c r="J22" s="112"/>
      <c r="K22" s="133">
        <v>11.666666666666668</v>
      </c>
      <c r="L22" s="122" t="s">
        <v>401</v>
      </c>
      <c r="M22" s="118">
        <v>3</v>
      </c>
      <c r="N22" s="118">
        <v>4</v>
      </c>
      <c r="O22" s="118">
        <v>14</v>
      </c>
      <c r="P22" s="118">
        <v>2</v>
      </c>
      <c r="Q22" s="118">
        <v>1</v>
      </c>
      <c r="R22" s="118">
        <v>1</v>
      </c>
      <c r="S22" s="119"/>
      <c r="T22" s="118">
        <v>3</v>
      </c>
      <c r="U22" s="118">
        <v>1</v>
      </c>
      <c r="V22" s="118">
        <v>0</v>
      </c>
      <c r="W22" s="129">
        <v>4.5</v>
      </c>
      <c r="X22" s="120">
        <f t="shared" si="2"/>
        <v>33.5</v>
      </c>
      <c r="Y22" s="90" t="str">
        <f t="shared" si="1"/>
        <v>SAMPLING</v>
      </c>
      <c r="Z22" s="137" t="s">
        <v>1100</v>
      </c>
      <c r="AA22"/>
    </row>
    <row r="23" spans="1:30" s="69" customFormat="1" ht="20.100000000000001" customHeight="1" thickTop="1" thickBot="1" x14ac:dyDescent="0.35">
      <c r="A23" s="111" t="s">
        <v>203</v>
      </c>
      <c r="B23" s="111">
        <v>1</v>
      </c>
      <c r="C23" s="112"/>
      <c r="D23" s="112"/>
      <c r="E23" s="113">
        <v>1</v>
      </c>
      <c r="F23" s="123"/>
      <c r="G23" s="115">
        <v>1</v>
      </c>
      <c r="H23" s="112"/>
      <c r="I23" s="112"/>
      <c r="J23" s="112"/>
      <c r="K23" s="133">
        <v>9.1666666666666661</v>
      </c>
      <c r="L23" s="122" t="s">
        <v>401</v>
      </c>
      <c r="M23" s="118">
        <v>3</v>
      </c>
      <c r="N23" s="118">
        <v>2</v>
      </c>
      <c r="O23" s="118">
        <v>3</v>
      </c>
      <c r="P23" s="118">
        <v>1</v>
      </c>
      <c r="Q23" s="118">
        <v>1</v>
      </c>
      <c r="R23" s="118">
        <v>1</v>
      </c>
      <c r="S23" s="119"/>
      <c r="T23" s="118">
        <v>0</v>
      </c>
      <c r="U23" s="118">
        <v>1</v>
      </c>
      <c r="V23" s="118">
        <v>0</v>
      </c>
      <c r="W23" s="129">
        <v>1.5</v>
      </c>
      <c r="X23" s="120">
        <f t="shared" si="2"/>
        <v>13.5</v>
      </c>
      <c r="Y23" s="90" t="str">
        <f t="shared" si="1"/>
        <v>RFI</v>
      </c>
      <c r="Z23" s="137" t="s">
        <v>1101</v>
      </c>
      <c r="AA23"/>
    </row>
    <row r="24" spans="1:30" s="69" customFormat="1" ht="20.100000000000001" customHeight="1" thickTop="1" thickBot="1" x14ac:dyDescent="0.35">
      <c r="A24" s="111" t="s">
        <v>219</v>
      </c>
      <c r="B24" s="111">
        <v>2</v>
      </c>
      <c r="C24" s="112"/>
      <c r="D24" s="112"/>
      <c r="E24" s="113">
        <v>1</v>
      </c>
      <c r="F24" s="114">
        <v>1</v>
      </c>
      <c r="G24" s="115">
        <v>1</v>
      </c>
      <c r="H24" s="112"/>
      <c r="I24" s="127">
        <v>1</v>
      </c>
      <c r="J24" s="112"/>
      <c r="K24" s="133">
        <v>8.157</v>
      </c>
      <c r="L24" s="122" t="s">
        <v>401</v>
      </c>
      <c r="M24" s="118">
        <v>5</v>
      </c>
      <c r="N24" s="118">
        <v>4</v>
      </c>
      <c r="O24" s="118">
        <v>6</v>
      </c>
      <c r="P24" s="118">
        <v>2</v>
      </c>
      <c r="Q24" s="118">
        <v>1</v>
      </c>
      <c r="R24" s="118">
        <v>2</v>
      </c>
      <c r="S24" s="119"/>
      <c r="T24" s="118">
        <v>2</v>
      </c>
      <c r="U24" s="118">
        <v>1</v>
      </c>
      <c r="V24" s="118">
        <v>0</v>
      </c>
      <c r="W24" s="129">
        <v>20</v>
      </c>
      <c r="X24" s="120">
        <f t="shared" si="2"/>
        <v>43</v>
      </c>
      <c r="Y24" s="90" t="str">
        <f t="shared" si="1"/>
        <v>PO</v>
      </c>
      <c r="Z24" s="137" t="s">
        <v>1083</v>
      </c>
      <c r="AA24"/>
    </row>
    <row r="25" spans="1:30" s="69" customFormat="1" ht="20.100000000000001" customHeight="1" thickTop="1" thickBot="1" x14ac:dyDescent="0.35">
      <c r="A25" s="111" t="s">
        <v>70</v>
      </c>
      <c r="B25" s="111">
        <v>1</v>
      </c>
      <c r="C25" s="112"/>
      <c r="D25" s="112"/>
      <c r="E25" s="113">
        <v>1</v>
      </c>
      <c r="F25" s="123"/>
      <c r="G25" s="121"/>
      <c r="H25" s="112"/>
      <c r="I25" s="127">
        <v>1</v>
      </c>
      <c r="J25" s="112"/>
      <c r="K25" s="133">
        <v>3.7380000000000004</v>
      </c>
      <c r="L25" s="122" t="s">
        <v>401</v>
      </c>
      <c r="M25" s="118">
        <v>3</v>
      </c>
      <c r="N25" s="118">
        <v>2</v>
      </c>
      <c r="O25" s="118">
        <v>5</v>
      </c>
      <c r="P25" s="118">
        <v>3</v>
      </c>
      <c r="Q25" s="118">
        <v>1</v>
      </c>
      <c r="R25" s="118">
        <v>1</v>
      </c>
      <c r="S25" s="119"/>
      <c r="T25" s="118">
        <v>2</v>
      </c>
      <c r="U25" s="118">
        <v>1</v>
      </c>
      <c r="V25" s="118">
        <v>4</v>
      </c>
      <c r="W25" s="129">
        <v>20</v>
      </c>
      <c r="X25" s="120">
        <f t="shared" si="2"/>
        <v>42</v>
      </c>
      <c r="Y25" s="90" t="str">
        <f t="shared" si="1"/>
        <v>PO</v>
      </c>
      <c r="Z25" s="137" t="s">
        <v>1085</v>
      </c>
      <c r="AA25"/>
    </row>
    <row r="26" spans="1:30" s="69" customFormat="1" ht="20.100000000000001" customHeight="1" thickTop="1" thickBot="1" x14ac:dyDescent="0.35">
      <c r="A26" s="111" t="s">
        <v>106</v>
      </c>
      <c r="B26" s="111">
        <v>1</v>
      </c>
      <c r="C26" s="130">
        <v>1</v>
      </c>
      <c r="D26" s="112"/>
      <c r="E26" s="112"/>
      <c r="F26" s="123"/>
      <c r="G26" s="121"/>
      <c r="H26" s="112"/>
      <c r="I26" s="127">
        <v>1</v>
      </c>
      <c r="J26" s="112"/>
      <c r="K26" s="133">
        <v>1.4</v>
      </c>
      <c r="L26" s="122" t="s">
        <v>401</v>
      </c>
      <c r="M26" s="118">
        <v>2</v>
      </c>
      <c r="N26" s="118">
        <v>4</v>
      </c>
      <c r="O26" s="118">
        <v>6</v>
      </c>
      <c r="P26" s="118">
        <v>1</v>
      </c>
      <c r="Q26" s="118">
        <v>1</v>
      </c>
      <c r="R26" s="118">
        <v>1</v>
      </c>
      <c r="S26" s="119"/>
      <c r="T26" s="118">
        <v>1</v>
      </c>
      <c r="U26" s="118">
        <v>1</v>
      </c>
      <c r="V26" s="118">
        <v>0</v>
      </c>
      <c r="W26" s="129">
        <v>23</v>
      </c>
      <c r="X26" s="120">
        <f t="shared" si="2"/>
        <v>40</v>
      </c>
      <c r="Y26" s="90" t="str">
        <f t="shared" si="1"/>
        <v>PO</v>
      </c>
      <c r="Z26" s="137" t="s">
        <v>1102</v>
      </c>
      <c r="AA26"/>
    </row>
    <row r="27" spans="1:30" s="69" customFormat="1" ht="20.100000000000001" customHeight="1" thickTop="1" thickBot="1" x14ac:dyDescent="0.35">
      <c r="A27" s="111" t="s">
        <v>41</v>
      </c>
      <c r="B27" s="111">
        <v>1</v>
      </c>
      <c r="C27" s="112"/>
      <c r="D27" s="112"/>
      <c r="E27" s="112"/>
      <c r="F27" s="114">
        <v>1</v>
      </c>
      <c r="G27" s="121"/>
      <c r="H27" s="112"/>
      <c r="I27" s="127">
        <v>1</v>
      </c>
      <c r="J27" s="112"/>
      <c r="K27" s="133">
        <v>1</v>
      </c>
      <c r="L27" s="122" t="s">
        <v>401</v>
      </c>
      <c r="M27" s="118">
        <v>5</v>
      </c>
      <c r="N27" s="118">
        <v>4</v>
      </c>
      <c r="O27" s="118">
        <v>6</v>
      </c>
      <c r="P27" s="118">
        <v>2</v>
      </c>
      <c r="Q27" s="118">
        <v>1</v>
      </c>
      <c r="R27" s="118">
        <v>2</v>
      </c>
      <c r="S27" s="119"/>
      <c r="T27" s="118">
        <v>2</v>
      </c>
      <c r="U27" s="118">
        <v>1</v>
      </c>
      <c r="V27" s="118">
        <v>0</v>
      </c>
      <c r="W27" s="129">
        <v>23</v>
      </c>
      <c r="X27" s="120">
        <f t="shared" si="2"/>
        <v>46</v>
      </c>
      <c r="Y27" s="90" t="str">
        <f t="shared" si="1"/>
        <v>PO</v>
      </c>
      <c r="Z27" s="137" t="s">
        <v>1083</v>
      </c>
      <c r="AA27"/>
    </row>
    <row r="28" spans="1:30" ht="20.100000000000001" customHeight="1" thickTop="1" thickBot="1" x14ac:dyDescent="0.35">
      <c r="B28" s="70">
        <f t="shared" ref="B28:K28" si="3">SUM(B10:B27)</f>
        <v>48</v>
      </c>
      <c r="C28" s="130">
        <f t="shared" si="3"/>
        <v>21</v>
      </c>
      <c r="D28" s="126">
        <f t="shared" si="3"/>
        <v>0</v>
      </c>
      <c r="E28" s="113">
        <f t="shared" si="3"/>
        <v>20</v>
      </c>
      <c r="F28" s="114">
        <f t="shared" si="3"/>
        <v>7</v>
      </c>
      <c r="G28" s="115">
        <f t="shared" si="3"/>
        <v>12</v>
      </c>
      <c r="H28" s="116">
        <f t="shared" si="3"/>
        <v>4</v>
      </c>
      <c r="I28" s="127">
        <f t="shared" si="3"/>
        <v>31</v>
      </c>
      <c r="J28" s="134">
        <f t="shared" si="3"/>
        <v>1</v>
      </c>
      <c r="K28" s="70">
        <f t="shared" si="3"/>
        <v>753.56649733333336</v>
      </c>
    </row>
    <row r="29" spans="1:30" ht="15" thickTop="1" x14ac:dyDescent="0.3">
      <c r="G29" s="860"/>
      <c r="H29" s="860"/>
    </row>
    <row r="30" spans="1:30" x14ac:dyDescent="0.3">
      <c r="A30" s="89" t="s">
        <v>922</v>
      </c>
    </row>
    <row r="31" spans="1:30" x14ac:dyDescent="0.3">
      <c r="A31" s="89" t="s">
        <v>1038</v>
      </c>
    </row>
    <row r="32" spans="1:30" x14ac:dyDescent="0.3">
      <c r="A32" s="91" t="s">
        <v>1039</v>
      </c>
    </row>
    <row r="33" spans="1:1" x14ac:dyDescent="0.3">
      <c r="A33" s="92" t="s">
        <v>1091</v>
      </c>
    </row>
    <row r="34" spans="1:1" x14ac:dyDescent="0.3">
      <c r="A34" s="92" t="s">
        <v>1092</v>
      </c>
    </row>
    <row r="35" spans="1:1" x14ac:dyDescent="0.3">
      <c r="A35" s="92" t="s">
        <v>1093</v>
      </c>
    </row>
    <row r="36" spans="1:1" x14ac:dyDescent="0.3">
      <c r="A36" s="92" t="s">
        <v>806</v>
      </c>
    </row>
  </sheetData>
  <mergeCells count="7">
    <mergeCell ref="M9:W9"/>
    <mergeCell ref="G29:H29"/>
    <mergeCell ref="A1:L3"/>
    <mergeCell ref="A4:L4"/>
    <mergeCell ref="A5:L5"/>
    <mergeCell ref="A6:L6"/>
    <mergeCell ref="A7:L7"/>
  </mergeCells>
  <conditionalFormatting sqref="M10:R10 T10:W10">
    <cfRule type="colorScale" priority="19">
      <colorScale>
        <cfvo type="min"/>
        <cfvo type="percentile" val="50"/>
        <cfvo type="max"/>
        <color rgb="FF63BE7B"/>
        <color rgb="FFFFEB84"/>
        <color rgb="FFF8696B"/>
      </colorScale>
    </cfRule>
  </conditionalFormatting>
  <conditionalFormatting sqref="M11:R11 T11:W11">
    <cfRule type="colorScale" priority="18">
      <colorScale>
        <cfvo type="min"/>
        <cfvo type="percentile" val="50"/>
        <cfvo type="max"/>
        <color rgb="FF63BE7B"/>
        <color rgb="FFFFEB84"/>
        <color rgb="FFF8696B"/>
      </colorScale>
    </cfRule>
  </conditionalFormatting>
  <conditionalFormatting sqref="M12:R12 T12:W12">
    <cfRule type="colorScale" priority="17">
      <colorScale>
        <cfvo type="min"/>
        <cfvo type="percentile" val="50"/>
        <cfvo type="max"/>
        <color rgb="FF63BE7B"/>
        <color rgb="FFFFEB84"/>
        <color rgb="FFF8696B"/>
      </colorScale>
    </cfRule>
  </conditionalFormatting>
  <conditionalFormatting sqref="M13:R13 T13:W13">
    <cfRule type="colorScale" priority="16">
      <colorScale>
        <cfvo type="min"/>
        <cfvo type="percentile" val="50"/>
        <cfvo type="max"/>
        <color rgb="FF63BE7B"/>
        <color rgb="FFFFEB84"/>
        <color rgb="FFF8696B"/>
      </colorScale>
    </cfRule>
  </conditionalFormatting>
  <conditionalFormatting sqref="M14:R14 T14:W14">
    <cfRule type="colorScale" priority="15">
      <colorScale>
        <cfvo type="min"/>
        <cfvo type="percentile" val="50"/>
        <cfvo type="max"/>
        <color rgb="FF63BE7B"/>
        <color rgb="FFFFEB84"/>
        <color rgb="FFF8696B"/>
      </colorScale>
    </cfRule>
  </conditionalFormatting>
  <conditionalFormatting sqref="M15:R15 T15:W15">
    <cfRule type="colorScale" priority="14">
      <colorScale>
        <cfvo type="min"/>
        <cfvo type="percentile" val="50"/>
        <cfvo type="max"/>
        <color rgb="FF63BE7B"/>
        <color rgb="FFFFEB84"/>
        <color rgb="FFF8696B"/>
      </colorScale>
    </cfRule>
  </conditionalFormatting>
  <conditionalFormatting sqref="M16:R16 T16:W16">
    <cfRule type="colorScale" priority="13">
      <colorScale>
        <cfvo type="min"/>
        <cfvo type="percentile" val="50"/>
        <cfvo type="max"/>
        <color rgb="FF63BE7B"/>
        <color rgb="FFFFEB84"/>
        <color rgb="FFF8696B"/>
      </colorScale>
    </cfRule>
  </conditionalFormatting>
  <conditionalFormatting sqref="M17:R17 T17:W17">
    <cfRule type="colorScale" priority="12">
      <colorScale>
        <cfvo type="min"/>
        <cfvo type="percentile" val="50"/>
        <cfvo type="max"/>
        <color rgb="FF63BE7B"/>
        <color rgb="FFFFEB84"/>
        <color rgb="FFF8696B"/>
      </colorScale>
    </cfRule>
  </conditionalFormatting>
  <conditionalFormatting sqref="M18:R18 T18:W18">
    <cfRule type="colorScale" priority="11">
      <colorScale>
        <cfvo type="min"/>
        <cfvo type="percentile" val="50"/>
        <cfvo type="max"/>
        <color rgb="FF63BE7B"/>
        <color rgb="FFFFEB84"/>
        <color rgb="FFF8696B"/>
      </colorScale>
    </cfRule>
  </conditionalFormatting>
  <conditionalFormatting sqref="M19:R19 T19:V19">
    <cfRule type="colorScale" priority="10">
      <colorScale>
        <cfvo type="min"/>
        <cfvo type="percentile" val="50"/>
        <cfvo type="max"/>
        <color rgb="FF63BE7B"/>
        <color rgb="FFFFEB84"/>
        <color rgb="FFF8696B"/>
      </colorScale>
    </cfRule>
  </conditionalFormatting>
  <conditionalFormatting sqref="M20:R20 T20:W20">
    <cfRule type="colorScale" priority="8">
      <colorScale>
        <cfvo type="min"/>
        <cfvo type="percentile" val="50"/>
        <cfvo type="max"/>
        <color rgb="FF63BE7B"/>
        <color rgb="FFFFEB84"/>
        <color rgb="FFF8696B"/>
      </colorScale>
    </cfRule>
  </conditionalFormatting>
  <conditionalFormatting sqref="M21:R21 T21:W21">
    <cfRule type="colorScale" priority="7">
      <colorScale>
        <cfvo type="min"/>
        <cfvo type="percentile" val="50"/>
        <cfvo type="max"/>
        <color rgb="FF63BE7B"/>
        <color rgb="FFFFEB84"/>
        <color rgb="FFF8696B"/>
      </colorScale>
    </cfRule>
  </conditionalFormatting>
  <conditionalFormatting sqref="M21:R22 T21:W22">
    <cfRule type="colorScale" priority="6">
      <colorScale>
        <cfvo type="min"/>
        <cfvo type="percentile" val="50"/>
        <cfvo type="max"/>
        <color rgb="FF63BE7B"/>
        <color rgb="FFFFEB84"/>
        <color rgb="FFF8696B"/>
      </colorScale>
    </cfRule>
  </conditionalFormatting>
  <conditionalFormatting sqref="M24:R24 T24:W24">
    <cfRule type="colorScale" priority="4">
      <colorScale>
        <cfvo type="min"/>
        <cfvo type="percentile" val="50"/>
        <cfvo type="max"/>
        <color rgb="FF63BE7B"/>
        <color rgb="FFFFEB84"/>
        <color rgb="FFF8696B"/>
      </colorScale>
    </cfRule>
  </conditionalFormatting>
  <conditionalFormatting sqref="M25:R25 T25:W25">
    <cfRule type="colorScale" priority="3">
      <colorScale>
        <cfvo type="min"/>
        <cfvo type="percentile" val="50"/>
        <cfvo type="max"/>
        <color rgb="FF63BE7B"/>
        <color rgb="FFFFEB84"/>
        <color rgb="FFF8696B"/>
      </colorScale>
    </cfRule>
  </conditionalFormatting>
  <conditionalFormatting sqref="M26:R26 T26:W26">
    <cfRule type="colorScale" priority="2">
      <colorScale>
        <cfvo type="min"/>
        <cfvo type="percentile" val="50"/>
        <cfvo type="max"/>
        <color rgb="FF63BE7B"/>
        <color rgb="FFFFEB84"/>
        <color rgb="FFF8696B"/>
      </colorScale>
    </cfRule>
  </conditionalFormatting>
  <conditionalFormatting sqref="M27:R27 T27:W27">
    <cfRule type="colorScale" priority="1">
      <colorScale>
        <cfvo type="min"/>
        <cfvo type="percentile" val="50"/>
        <cfvo type="max"/>
        <color rgb="FF63BE7B"/>
        <color rgb="FFFFEB84"/>
        <color rgb="FFF8696B"/>
      </colorScale>
    </cfRule>
  </conditionalFormatting>
  <conditionalFormatting sqref="T23:W23 M23:R23">
    <cfRule type="colorScale" priority="5">
      <colorScale>
        <cfvo type="min"/>
        <cfvo type="percentile" val="50"/>
        <cfvo type="max"/>
        <color rgb="FF63BE7B"/>
        <color rgb="FFFFEB84"/>
        <color rgb="FFF8696B"/>
      </colorScale>
    </cfRule>
  </conditionalFormatting>
  <conditionalFormatting sqref="W19">
    <cfRule type="colorScale" priority="9">
      <colorScale>
        <cfvo type="min"/>
        <cfvo type="percentile" val="50"/>
        <cfvo type="max"/>
        <color rgb="FF63BE7B"/>
        <color rgb="FFFFEB84"/>
        <color rgb="FFF8696B"/>
      </colorScale>
    </cfRule>
  </conditionalFormatting>
  <conditionalFormatting sqref="X10:X27">
    <cfRule type="colorScale" priority="20">
      <colorScale>
        <cfvo type="min"/>
        <cfvo type="percentile" val="50"/>
        <cfvo type="max"/>
        <color rgb="FF63BE7B"/>
        <color rgb="FFFFEB84"/>
        <color rgb="FFF8696B"/>
      </colorScale>
    </cfRule>
  </conditionalFormatting>
  <printOptions horizontalCentered="1"/>
  <pageMargins left="0" right="0" top="0.39370078740157483" bottom="0" header="0.31496062992125984" footer="0.31496062992125984"/>
  <pageSetup paperSize="9" scale="87"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D557-AB1D-46C9-87AE-2D102A6E5C58}">
  <sheetPr>
    <tabColor rgb="FFC00000"/>
    <pageSetUpPr fitToPage="1"/>
  </sheetPr>
  <dimension ref="A1:AC36"/>
  <sheetViews>
    <sheetView showGridLines="0" zoomScaleNormal="100" workbookViewId="0">
      <selection activeCell="S18" sqref="S18"/>
    </sheetView>
  </sheetViews>
  <sheetFormatPr defaultRowHeight="14.4" x14ac:dyDescent="0.3"/>
  <cols>
    <col min="1" max="1" width="22.88671875" customWidth="1"/>
    <col min="2" max="2" width="5.5546875" customWidth="1"/>
    <col min="3" max="9" width="2.44140625" customWidth="1"/>
    <col min="10" max="10" width="2.109375" customWidth="1"/>
    <col min="11" max="12" width="5.88671875" customWidth="1"/>
    <col min="13" max="24" width="8.88671875" customWidth="1"/>
    <col min="25" max="25" width="11.88671875" customWidth="1"/>
    <col min="29" max="29" width="134.109375" bestFit="1" customWidth="1"/>
  </cols>
  <sheetData>
    <row r="1" spans="1:29" ht="16.8" thickTop="1" thickBot="1" x14ac:dyDescent="0.35">
      <c r="A1" s="861" t="s">
        <v>1029</v>
      </c>
      <c r="B1" s="862"/>
      <c r="C1" s="862"/>
      <c r="D1" s="862"/>
      <c r="E1" s="862"/>
      <c r="F1" s="862"/>
      <c r="G1" s="862"/>
      <c r="H1" s="862"/>
      <c r="I1" s="862"/>
      <c r="J1" s="862"/>
      <c r="K1" s="862"/>
      <c r="L1" s="863"/>
      <c r="M1" s="93" t="s">
        <v>415</v>
      </c>
      <c r="N1" s="93" t="s">
        <v>417</v>
      </c>
      <c r="O1" s="93" t="s">
        <v>418</v>
      </c>
      <c r="P1" s="93" t="s">
        <v>1030</v>
      </c>
      <c r="Q1" s="93" t="s">
        <v>1031</v>
      </c>
      <c r="R1" s="93" t="s">
        <v>1032</v>
      </c>
      <c r="S1" s="94" t="s">
        <v>1033</v>
      </c>
      <c r="T1" s="93" t="s">
        <v>1034</v>
      </c>
      <c r="U1" s="93" t="s">
        <v>1035</v>
      </c>
      <c r="V1" s="93" t="s">
        <v>1036</v>
      </c>
      <c r="W1" s="93" t="s">
        <v>1037</v>
      </c>
    </row>
    <row r="2" spans="1:29" ht="15.6" thickTop="1" thickBot="1" x14ac:dyDescent="0.35">
      <c r="A2" s="861"/>
      <c r="B2" s="862"/>
      <c r="C2" s="862"/>
      <c r="D2" s="862"/>
      <c r="E2" s="862"/>
      <c r="F2" s="862"/>
      <c r="G2" s="862"/>
      <c r="H2" s="862"/>
      <c r="I2" s="862"/>
      <c r="J2" s="862"/>
      <c r="K2" s="862"/>
      <c r="L2" s="863"/>
      <c r="M2" s="95" t="s">
        <v>1038</v>
      </c>
      <c r="N2" s="95" t="s">
        <v>1038</v>
      </c>
      <c r="O2" s="95" t="s">
        <v>1038</v>
      </c>
      <c r="P2" s="96" t="s">
        <v>1039</v>
      </c>
      <c r="Q2" s="95" t="s">
        <v>1040</v>
      </c>
      <c r="R2" s="95" t="s">
        <v>1040</v>
      </c>
      <c r="S2" s="97" t="s">
        <v>1041</v>
      </c>
      <c r="T2" s="96" t="s">
        <v>1039</v>
      </c>
      <c r="U2" s="97" t="s">
        <v>1042</v>
      </c>
      <c r="V2" s="96" t="s">
        <v>1039</v>
      </c>
      <c r="W2" s="97" t="s">
        <v>1041</v>
      </c>
    </row>
    <row r="3" spans="1:29" ht="15.6" thickTop="1" thickBot="1" x14ac:dyDescent="0.35">
      <c r="A3" s="861"/>
      <c r="B3" s="862"/>
      <c r="C3" s="862"/>
      <c r="D3" s="862"/>
      <c r="E3" s="862"/>
      <c r="F3" s="862"/>
      <c r="G3" s="862"/>
      <c r="H3" s="862"/>
      <c r="I3" s="862"/>
      <c r="J3" s="862"/>
      <c r="K3" s="862"/>
      <c r="L3" s="863"/>
      <c r="M3" s="95" t="s">
        <v>1043</v>
      </c>
      <c r="N3" s="95" t="s">
        <v>1044</v>
      </c>
      <c r="O3" s="95" t="s">
        <v>1045</v>
      </c>
      <c r="P3" s="96" t="s">
        <v>1046</v>
      </c>
      <c r="Q3" s="95" t="s">
        <v>1047</v>
      </c>
      <c r="R3" s="95" t="s">
        <v>1048</v>
      </c>
      <c r="S3" s="97" t="s">
        <v>1049</v>
      </c>
      <c r="T3" s="96" t="s">
        <v>1050</v>
      </c>
      <c r="U3" s="97" t="s">
        <v>1051</v>
      </c>
      <c r="V3" s="96" t="s">
        <v>1052</v>
      </c>
      <c r="W3" s="97" t="s">
        <v>1053</v>
      </c>
    </row>
    <row r="4" spans="1:29" ht="15.6" thickTop="1" thickBot="1" x14ac:dyDescent="0.35">
      <c r="A4" s="864" t="s">
        <v>1054</v>
      </c>
      <c r="B4" s="865"/>
      <c r="C4" s="865"/>
      <c r="D4" s="865"/>
      <c r="E4" s="865"/>
      <c r="F4" s="865"/>
      <c r="G4" s="865"/>
      <c r="H4" s="865"/>
      <c r="I4" s="865"/>
      <c r="J4" s="865"/>
      <c r="K4" s="865"/>
      <c r="L4" s="866"/>
      <c r="M4" s="98"/>
      <c r="N4" s="98"/>
      <c r="O4" s="98"/>
      <c r="P4" s="98"/>
      <c r="Q4" s="98"/>
      <c r="R4" s="99"/>
      <c r="S4" s="98"/>
      <c r="T4" s="98"/>
      <c r="U4" s="98"/>
      <c r="V4" s="98"/>
      <c r="W4" s="99"/>
    </row>
    <row r="5" spans="1:29" ht="15.6" thickTop="1" thickBot="1" x14ac:dyDescent="0.35">
      <c r="A5" s="867" t="s">
        <v>1055</v>
      </c>
      <c r="B5" s="868"/>
      <c r="C5" s="868"/>
      <c r="D5" s="868"/>
      <c r="E5" s="868"/>
      <c r="F5" s="868"/>
      <c r="G5" s="868"/>
      <c r="H5" s="868"/>
      <c r="I5" s="868"/>
      <c r="J5" s="868"/>
      <c r="K5" s="868"/>
      <c r="L5" s="869"/>
      <c r="M5" s="98"/>
      <c r="N5" s="98"/>
      <c r="O5" s="100"/>
      <c r="P5" s="100"/>
      <c r="Q5" s="98"/>
      <c r="R5" s="100"/>
      <c r="S5" s="101"/>
      <c r="T5" s="98"/>
      <c r="U5" s="98"/>
      <c r="V5" s="98"/>
      <c r="W5" s="100"/>
    </row>
    <row r="6" spans="1:29" ht="15.6" thickTop="1" thickBot="1" x14ac:dyDescent="0.35">
      <c r="A6" s="870" t="s">
        <v>1056</v>
      </c>
      <c r="B6" s="871"/>
      <c r="C6" s="871"/>
      <c r="D6" s="871"/>
      <c r="E6" s="871"/>
      <c r="F6" s="871"/>
      <c r="G6" s="871"/>
      <c r="H6" s="871"/>
      <c r="I6" s="871"/>
      <c r="J6" s="871"/>
      <c r="K6" s="871"/>
      <c r="L6" s="872"/>
      <c r="M6" s="102"/>
      <c r="N6" s="102"/>
      <c r="O6" s="102"/>
      <c r="P6" s="102"/>
      <c r="Q6" s="102"/>
      <c r="R6" s="102"/>
      <c r="S6" s="101"/>
      <c r="T6" s="102"/>
      <c r="U6" s="102"/>
      <c r="V6" s="102"/>
      <c r="W6" s="102"/>
    </row>
    <row r="7" spans="1:29" ht="15.6" thickTop="1" thickBot="1" x14ac:dyDescent="0.35">
      <c r="A7" s="873" t="s">
        <v>1057</v>
      </c>
      <c r="B7" s="874"/>
      <c r="C7" s="874"/>
      <c r="D7" s="874"/>
      <c r="E7" s="874"/>
      <c r="F7" s="874"/>
      <c r="G7" s="874"/>
      <c r="H7" s="874"/>
      <c r="I7" s="874"/>
      <c r="J7" s="874"/>
      <c r="K7" s="874"/>
      <c r="L7" s="875"/>
      <c r="M7" s="103"/>
      <c r="N7" s="103"/>
      <c r="O7" s="103"/>
      <c r="P7" s="103"/>
      <c r="Q7" s="103"/>
      <c r="R7" s="103"/>
      <c r="S7" s="98"/>
      <c r="T7" s="103"/>
      <c r="U7" s="103"/>
      <c r="V7" s="103"/>
      <c r="W7" s="103"/>
    </row>
    <row r="8" spans="1:29" ht="12" customHeight="1" thickTop="1" thickBot="1" x14ac:dyDescent="0.35">
      <c r="A8" s="104"/>
      <c r="B8" s="104"/>
      <c r="C8" s="104"/>
      <c r="D8" s="104"/>
      <c r="E8" s="104"/>
      <c r="F8" s="104"/>
      <c r="G8" s="104"/>
      <c r="H8" s="104"/>
      <c r="I8" s="104"/>
      <c r="J8" s="104"/>
      <c r="K8" s="104"/>
      <c r="L8" s="104"/>
      <c r="M8" s="105"/>
      <c r="N8" s="105"/>
      <c r="O8" s="105"/>
      <c r="P8" s="135"/>
      <c r="Q8" s="105"/>
      <c r="R8" s="105"/>
      <c r="S8" s="105"/>
      <c r="T8" s="105"/>
      <c r="U8" s="105"/>
      <c r="V8" s="105"/>
      <c r="W8" s="105"/>
    </row>
    <row r="9" spans="1:29" ht="31.5" customHeight="1" thickTop="1" thickBot="1" x14ac:dyDescent="0.35">
      <c r="A9" s="106" t="s">
        <v>11</v>
      </c>
      <c r="B9" s="107" t="s">
        <v>1058</v>
      </c>
      <c r="C9" s="107" t="s">
        <v>1059</v>
      </c>
      <c r="D9" s="107" t="s">
        <v>1060</v>
      </c>
      <c r="E9" s="107" t="s">
        <v>1061</v>
      </c>
      <c r="F9" s="107" t="s">
        <v>1062</v>
      </c>
      <c r="G9" s="108" t="s">
        <v>1063</v>
      </c>
      <c r="H9" s="109" t="s">
        <v>1064</v>
      </c>
      <c r="I9" s="109" t="s">
        <v>391</v>
      </c>
      <c r="J9" s="109" t="s">
        <v>1065</v>
      </c>
      <c r="K9" s="107" t="s">
        <v>1066</v>
      </c>
      <c r="L9" s="107" t="s">
        <v>1067</v>
      </c>
      <c r="M9" s="858" t="s">
        <v>1103</v>
      </c>
      <c r="N9" s="859"/>
      <c r="O9" s="859"/>
      <c r="P9" s="859"/>
      <c r="Q9" s="859"/>
      <c r="R9" s="859"/>
      <c r="S9" s="859"/>
      <c r="T9" s="859"/>
      <c r="U9" s="859"/>
      <c r="V9" s="859"/>
      <c r="W9" s="859"/>
      <c r="X9" s="107" t="s">
        <v>1069</v>
      </c>
      <c r="Y9" s="110" t="s">
        <v>1070</v>
      </c>
      <c r="Z9" s="136"/>
    </row>
    <row r="10" spans="1:29" s="69" customFormat="1" ht="20.100000000000001" customHeight="1" thickTop="1" thickBot="1" x14ac:dyDescent="0.35">
      <c r="A10" s="111" t="s">
        <v>305</v>
      </c>
      <c r="B10" s="111">
        <v>2</v>
      </c>
      <c r="C10" s="130">
        <v>2</v>
      </c>
      <c r="D10" s="112"/>
      <c r="E10" s="112"/>
      <c r="F10" s="123"/>
      <c r="G10" s="121"/>
      <c r="H10" s="112"/>
      <c r="I10" s="127">
        <v>2</v>
      </c>
      <c r="J10" s="112"/>
      <c r="K10" s="133">
        <v>79.107278985546913</v>
      </c>
      <c r="L10" s="117" t="s">
        <v>1071</v>
      </c>
      <c r="M10" s="118">
        <v>3</v>
      </c>
      <c r="N10" s="118">
        <v>2</v>
      </c>
      <c r="O10" s="118">
        <v>6</v>
      </c>
      <c r="P10" s="118">
        <v>10</v>
      </c>
      <c r="Q10" s="118">
        <v>1</v>
      </c>
      <c r="R10" s="118">
        <v>1</v>
      </c>
      <c r="S10" s="119"/>
      <c r="T10" s="118">
        <v>3</v>
      </c>
      <c r="U10" s="118">
        <v>1</v>
      </c>
      <c r="V10" s="118">
        <v>16</v>
      </c>
      <c r="W10" s="129">
        <v>8</v>
      </c>
      <c r="X10" s="120">
        <f>SUM(M10:W10)</f>
        <v>51</v>
      </c>
      <c r="Y10" s="90" t="str">
        <f>INDEX($M$3:$W$3,1,MATCH(MAX($M10:$W10),$M10:$W10,0))</f>
        <v>FIELD_TEST</v>
      </c>
      <c r="Z10" s="137" t="s">
        <v>1072</v>
      </c>
      <c r="AA10"/>
      <c r="AC10" s="138" t="s">
        <v>1104</v>
      </c>
    </row>
    <row r="11" spans="1:29" s="69" customFormat="1" ht="20.100000000000001" customHeight="1" thickTop="1" thickBot="1" x14ac:dyDescent="0.35">
      <c r="A11" s="111" t="s">
        <v>130</v>
      </c>
      <c r="B11" s="111">
        <v>2</v>
      </c>
      <c r="C11" s="130">
        <v>1</v>
      </c>
      <c r="D11" s="126">
        <v>1</v>
      </c>
      <c r="E11" s="112"/>
      <c r="F11" s="123"/>
      <c r="G11" s="121"/>
      <c r="H11" s="112"/>
      <c r="I11" s="127">
        <v>2</v>
      </c>
      <c r="J11" s="112"/>
      <c r="K11" s="133">
        <v>63.597551632629838</v>
      </c>
      <c r="L11" s="122" t="s">
        <v>401</v>
      </c>
      <c r="M11" s="118">
        <v>6</v>
      </c>
      <c r="N11" s="118">
        <v>4</v>
      </c>
      <c r="O11" s="118">
        <v>8</v>
      </c>
      <c r="P11" s="118">
        <v>3</v>
      </c>
      <c r="Q11" s="118">
        <v>1</v>
      </c>
      <c r="R11" s="118">
        <v>2</v>
      </c>
      <c r="S11" s="119"/>
      <c r="T11" s="118">
        <v>2</v>
      </c>
      <c r="U11" s="118">
        <v>1</v>
      </c>
      <c r="V11" s="118">
        <v>16</v>
      </c>
      <c r="W11" s="129">
        <v>8</v>
      </c>
      <c r="X11" s="120">
        <f t="shared" ref="X11:X27" si="0">SUM(M11:W11)</f>
        <v>51</v>
      </c>
      <c r="Y11" s="90" t="str">
        <f t="shared" ref="Y11:Y27" si="1">INDEX($M$3:$W$3,1,MATCH(MAX($M11:$W11),$M11:$W11,0))</f>
        <v>FIELD_TEST</v>
      </c>
      <c r="Z11" s="137" t="s">
        <v>1105</v>
      </c>
      <c r="AA11"/>
      <c r="AC11" s="138" t="s">
        <v>1106</v>
      </c>
    </row>
    <row r="12" spans="1:29" s="69" customFormat="1" ht="20.100000000000001" customHeight="1" thickTop="1" thickBot="1" x14ac:dyDescent="0.35">
      <c r="A12" s="111" t="s">
        <v>100</v>
      </c>
      <c r="B12" s="111">
        <v>3</v>
      </c>
      <c r="C12" s="112"/>
      <c r="D12" s="126">
        <v>1</v>
      </c>
      <c r="E12" s="113">
        <v>1</v>
      </c>
      <c r="F12" s="114">
        <v>1</v>
      </c>
      <c r="G12" s="121"/>
      <c r="H12" s="116">
        <v>1</v>
      </c>
      <c r="I12" s="127">
        <v>2</v>
      </c>
      <c r="J12" s="112"/>
      <c r="K12" s="133">
        <v>39.367931203350508</v>
      </c>
      <c r="L12" s="122" t="s">
        <v>401</v>
      </c>
      <c r="M12" s="118">
        <v>3</v>
      </c>
      <c r="N12" s="118">
        <v>2</v>
      </c>
      <c r="O12" s="124">
        <v>3</v>
      </c>
      <c r="P12" s="118">
        <v>1</v>
      </c>
      <c r="Q12" s="118">
        <v>1</v>
      </c>
      <c r="R12" s="118">
        <v>1</v>
      </c>
      <c r="S12" s="119"/>
      <c r="T12" s="118">
        <v>2</v>
      </c>
      <c r="U12" s="118">
        <v>1</v>
      </c>
      <c r="V12" s="118">
        <v>0</v>
      </c>
      <c r="W12" s="129">
        <v>2</v>
      </c>
      <c r="X12" s="120">
        <f t="shared" si="0"/>
        <v>16</v>
      </c>
      <c r="Y12" s="90" t="str">
        <f t="shared" si="1"/>
        <v>RFI</v>
      </c>
      <c r="Z12" s="137" t="s">
        <v>1107</v>
      </c>
      <c r="AA12"/>
    </row>
    <row r="13" spans="1:29" s="69" customFormat="1" ht="20.100000000000001" customHeight="1" thickTop="1" thickBot="1" x14ac:dyDescent="0.35">
      <c r="A13" s="111" t="s">
        <v>1080</v>
      </c>
      <c r="B13" s="111">
        <v>5</v>
      </c>
      <c r="C13" s="130">
        <v>5</v>
      </c>
      <c r="D13" s="112"/>
      <c r="E13" s="112"/>
      <c r="F13" s="123"/>
      <c r="G13" s="121"/>
      <c r="H13" s="112"/>
      <c r="I13" s="127">
        <v>5</v>
      </c>
      <c r="J13" s="112"/>
      <c r="K13" s="133">
        <v>35.772508280240501</v>
      </c>
      <c r="L13" s="122" t="s">
        <v>401</v>
      </c>
      <c r="M13" s="118">
        <v>3</v>
      </c>
      <c r="N13" s="118">
        <v>4</v>
      </c>
      <c r="O13" s="118">
        <v>4</v>
      </c>
      <c r="P13" s="118">
        <v>1</v>
      </c>
      <c r="Q13" s="118">
        <v>1</v>
      </c>
      <c r="R13" s="118">
        <v>1</v>
      </c>
      <c r="S13" s="119"/>
      <c r="T13" s="118">
        <v>2</v>
      </c>
      <c r="U13" s="118">
        <v>1</v>
      </c>
      <c r="V13" s="118">
        <v>0</v>
      </c>
      <c r="W13" s="129">
        <v>14</v>
      </c>
      <c r="X13" s="120">
        <f t="shared" si="0"/>
        <v>31</v>
      </c>
      <c r="Y13" s="90" t="str">
        <f t="shared" si="1"/>
        <v>PO</v>
      </c>
      <c r="Z13" s="137" t="s">
        <v>1088</v>
      </c>
      <c r="AA13"/>
      <c r="AC13" s="125" t="s">
        <v>1082</v>
      </c>
    </row>
    <row r="14" spans="1:29" s="69" customFormat="1" ht="20.100000000000001" customHeight="1" thickTop="1" thickBot="1" x14ac:dyDescent="0.35">
      <c r="A14" s="111" t="s">
        <v>1108</v>
      </c>
      <c r="B14" s="111">
        <v>1</v>
      </c>
      <c r="C14" s="112"/>
      <c r="D14" s="112"/>
      <c r="E14" s="113">
        <v>1</v>
      </c>
      <c r="F14" s="123"/>
      <c r="G14" s="121"/>
      <c r="H14" s="112"/>
      <c r="I14" s="112"/>
      <c r="J14" s="140">
        <v>1</v>
      </c>
      <c r="K14" s="133">
        <v>21</v>
      </c>
      <c r="L14" s="122" t="s">
        <v>401</v>
      </c>
      <c r="M14" s="118">
        <v>3</v>
      </c>
      <c r="N14" s="118">
        <v>4</v>
      </c>
      <c r="O14" s="118">
        <v>4</v>
      </c>
      <c r="P14" s="118">
        <v>1</v>
      </c>
      <c r="Q14" s="118">
        <v>1</v>
      </c>
      <c r="R14" s="118">
        <v>1</v>
      </c>
      <c r="S14" s="119"/>
      <c r="T14" s="118">
        <v>0</v>
      </c>
      <c r="U14" s="118">
        <v>1</v>
      </c>
      <c r="V14" s="118">
        <v>0</v>
      </c>
      <c r="W14" s="129">
        <v>12</v>
      </c>
      <c r="X14" s="120">
        <f t="shared" si="0"/>
        <v>27</v>
      </c>
      <c r="Y14" s="90" t="str">
        <f t="shared" si="1"/>
        <v>PO</v>
      </c>
      <c r="Z14" s="137" t="s">
        <v>1088</v>
      </c>
      <c r="AA14"/>
      <c r="AC14" s="125" t="s">
        <v>1082</v>
      </c>
    </row>
    <row r="15" spans="1:29" s="69" customFormat="1" ht="20.100000000000001" customHeight="1" thickTop="1" thickBot="1" x14ac:dyDescent="0.35">
      <c r="A15" s="111" t="s">
        <v>117</v>
      </c>
      <c r="B15" s="111">
        <v>2</v>
      </c>
      <c r="C15" s="130">
        <v>1</v>
      </c>
      <c r="D15" s="112"/>
      <c r="E15" s="113">
        <v>1</v>
      </c>
      <c r="F15" s="123"/>
      <c r="G15" s="115">
        <v>1</v>
      </c>
      <c r="H15" s="112"/>
      <c r="I15" s="127">
        <v>1</v>
      </c>
      <c r="J15" s="112"/>
      <c r="K15" s="133">
        <v>19.149508846407464</v>
      </c>
      <c r="L15" s="132" t="s">
        <v>1075</v>
      </c>
      <c r="M15" s="118">
        <v>4</v>
      </c>
      <c r="N15" s="118">
        <v>4</v>
      </c>
      <c r="O15" s="118">
        <v>6</v>
      </c>
      <c r="P15" s="118">
        <v>4</v>
      </c>
      <c r="Q15" s="118">
        <v>1</v>
      </c>
      <c r="R15" s="118">
        <v>1</v>
      </c>
      <c r="S15" s="119"/>
      <c r="T15" s="118">
        <v>2</v>
      </c>
      <c r="U15" s="118">
        <v>1</v>
      </c>
      <c r="V15" s="118">
        <v>16</v>
      </c>
      <c r="W15" s="129">
        <v>5</v>
      </c>
      <c r="X15" s="120">
        <f t="shared" si="0"/>
        <v>44</v>
      </c>
      <c r="Y15" s="90" t="str">
        <f t="shared" si="1"/>
        <v>FIELD_TEST</v>
      </c>
      <c r="Z15" s="137" t="s">
        <v>1076</v>
      </c>
      <c r="AA15"/>
    </row>
    <row r="16" spans="1:29" s="69" customFormat="1" ht="20.100000000000001" customHeight="1" thickTop="1" thickBot="1" x14ac:dyDescent="0.35">
      <c r="A16" s="111" t="s">
        <v>1109</v>
      </c>
      <c r="B16" s="111">
        <v>1</v>
      </c>
      <c r="C16" s="112"/>
      <c r="D16" s="112"/>
      <c r="E16" s="113">
        <v>1</v>
      </c>
      <c r="F16" s="123"/>
      <c r="G16" s="141"/>
      <c r="H16" s="139"/>
      <c r="I16" s="142"/>
      <c r="J16" s="140">
        <v>1</v>
      </c>
      <c r="K16" s="133">
        <v>12.2</v>
      </c>
      <c r="L16" s="122" t="s">
        <v>401</v>
      </c>
      <c r="M16" s="118">
        <v>3</v>
      </c>
      <c r="N16" s="118">
        <v>2</v>
      </c>
      <c r="O16" s="118">
        <v>4</v>
      </c>
      <c r="P16" s="118">
        <v>1</v>
      </c>
      <c r="Q16" s="118">
        <v>1</v>
      </c>
      <c r="R16" s="118">
        <v>1</v>
      </c>
      <c r="S16" s="119"/>
      <c r="T16" s="118">
        <v>1</v>
      </c>
      <c r="U16" s="118">
        <v>1</v>
      </c>
      <c r="V16" s="118">
        <v>0</v>
      </c>
      <c r="W16" s="129">
        <v>5</v>
      </c>
      <c r="X16" s="120">
        <f t="shared" si="0"/>
        <v>19</v>
      </c>
      <c r="Y16" s="90" t="str">
        <f t="shared" si="1"/>
        <v>PO</v>
      </c>
      <c r="Z16" s="137" t="s">
        <v>1088</v>
      </c>
      <c r="AA16"/>
    </row>
    <row r="17" spans="1:29" s="69" customFormat="1" ht="20.100000000000001" customHeight="1" thickTop="1" thickBot="1" x14ac:dyDescent="0.35">
      <c r="A17" s="111" t="s">
        <v>181</v>
      </c>
      <c r="B17" s="111">
        <v>2</v>
      </c>
      <c r="C17" s="112"/>
      <c r="D17" s="112"/>
      <c r="E17" s="113">
        <v>1</v>
      </c>
      <c r="F17" s="114">
        <v>1</v>
      </c>
      <c r="G17" s="115">
        <v>1</v>
      </c>
      <c r="H17" s="112"/>
      <c r="I17" s="112"/>
      <c r="J17" s="140">
        <v>1</v>
      </c>
      <c r="K17" s="133">
        <v>11.995259282658779</v>
      </c>
      <c r="L17" s="132" t="s">
        <v>1075</v>
      </c>
      <c r="M17" s="118">
        <v>4</v>
      </c>
      <c r="N17" s="118">
        <v>4</v>
      </c>
      <c r="O17" s="118">
        <v>10</v>
      </c>
      <c r="P17" s="118">
        <v>3</v>
      </c>
      <c r="Q17" s="118">
        <v>1</v>
      </c>
      <c r="R17" s="118">
        <v>2</v>
      </c>
      <c r="S17" s="119"/>
      <c r="T17" s="118">
        <v>2</v>
      </c>
      <c r="U17" s="118">
        <v>1</v>
      </c>
      <c r="V17" s="118">
        <v>4</v>
      </c>
      <c r="W17" s="131">
        <v>5</v>
      </c>
      <c r="X17" s="120">
        <f t="shared" si="0"/>
        <v>36</v>
      </c>
      <c r="Y17" s="90" t="str">
        <f t="shared" si="1"/>
        <v>SAMPLING</v>
      </c>
      <c r="Z17" s="137" t="s">
        <v>1084</v>
      </c>
      <c r="AA17"/>
    </row>
    <row r="18" spans="1:29" s="69" customFormat="1" ht="20.100000000000001" customHeight="1" thickTop="1" thickBot="1" x14ac:dyDescent="0.35">
      <c r="A18" s="111" t="s">
        <v>1110</v>
      </c>
      <c r="B18" s="111">
        <v>2</v>
      </c>
      <c r="C18" s="130">
        <v>1</v>
      </c>
      <c r="D18" s="126">
        <v>1</v>
      </c>
      <c r="E18" s="112"/>
      <c r="F18" s="123"/>
      <c r="G18" s="121"/>
      <c r="H18" s="112"/>
      <c r="I18" s="112"/>
      <c r="J18" s="140">
        <v>2</v>
      </c>
      <c r="K18" s="133">
        <v>8.9545480784807676</v>
      </c>
      <c r="L18" s="122" t="s">
        <v>401</v>
      </c>
      <c r="M18" s="118">
        <v>3</v>
      </c>
      <c r="N18" s="118">
        <v>4</v>
      </c>
      <c r="O18" s="118">
        <v>8</v>
      </c>
      <c r="P18" s="118">
        <v>1</v>
      </c>
      <c r="Q18" s="118">
        <v>1</v>
      </c>
      <c r="R18" s="118">
        <v>1</v>
      </c>
      <c r="S18" s="119"/>
      <c r="T18" s="118">
        <v>0</v>
      </c>
      <c r="U18" s="118">
        <v>1</v>
      </c>
      <c r="V18" s="118">
        <v>0</v>
      </c>
      <c r="W18" s="129">
        <v>3</v>
      </c>
      <c r="X18" s="120">
        <f t="shared" si="0"/>
        <v>22</v>
      </c>
      <c r="Y18" s="90" t="str">
        <f t="shared" si="1"/>
        <v>SAMPLING</v>
      </c>
      <c r="Z18" s="137" t="s">
        <v>1088</v>
      </c>
      <c r="AA18"/>
      <c r="AC18" s="138" t="s">
        <v>1111</v>
      </c>
    </row>
    <row r="19" spans="1:29" s="69" customFormat="1" ht="20.100000000000001" customHeight="1" thickTop="1" thickBot="1" x14ac:dyDescent="0.35">
      <c r="A19" s="111" t="s">
        <v>343</v>
      </c>
      <c r="B19" s="111">
        <v>3</v>
      </c>
      <c r="C19" s="130">
        <v>3</v>
      </c>
      <c r="E19" s="112"/>
      <c r="F19" s="123"/>
      <c r="G19" s="121"/>
      <c r="H19" s="112"/>
      <c r="I19" s="112"/>
      <c r="J19" s="140">
        <v>3</v>
      </c>
      <c r="K19" s="133">
        <v>6.8414636655425429</v>
      </c>
      <c r="L19" s="122" t="s">
        <v>401</v>
      </c>
      <c r="M19" s="118">
        <v>3</v>
      </c>
      <c r="N19" s="118">
        <v>4</v>
      </c>
      <c r="O19" s="118">
        <v>6</v>
      </c>
      <c r="P19" s="118">
        <v>2</v>
      </c>
      <c r="Q19" s="118">
        <v>1</v>
      </c>
      <c r="R19" s="118">
        <v>2</v>
      </c>
      <c r="S19" s="119"/>
      <c r="T19" s="118">
        <v>0</v>
      </c>
      <c r="U19" s="118">
        <v>1</v>
      </c>
      <c r="V19" s="118">
        <v>0</v>
      </c>
      <c r="W19" s="131">
        <v>3</v>
      </c>
      <c r="X19" s="120">
        <f t="shared" si="0"/>
        <v>22</v>
      </c>
      <c r="Y19" s="90" t="str">
        <f t="shared" si="1"/>
        <v>SAMPLING</v>
      </c>
      <c r="Z19" s="137" t="s">
        <v>1088</v>
      </c>
      <c r="AA19"/>
    </row>
    <row r="20" spans="1:29" s="69" customFormat="1" ht="20.100000000000001" customHeight="1" thickTop="1" thickBot="1" x14ac:dyDescent="0.35">
      <c r="A20" s="111" t="s">
        <v>375</v>
      </c>
      <c r="B20" s="111">
        <v>1</v>
      </c>
      <c r="C20" s="130">
        <v>1</v>
      </c>
      <c r="D20" s="112"/>
      <c r="E20" s="112"/>
      <c r="F20" s="123"/>
      <c r="G20" s="121"/>
      <c r="H20" s="112"/>
      <c r="I20" s="112"/>
      <c r="J20" s="140">
        <v>1</v>
      </c>
      <c r="K20" s="133">
        <v>4.6457437162109292</v>
      </c>
      <c r="L20" s="122" t="s">
        <v>401</v>
      </c>
      <c r="M20" s="118">
        <v>4</v>
      </c>
      <c r="N20" s="118">
        <v>4</v>
      </c>
      <c r="O20" s="118">
        <v>10</v>
      </c>
      <c r="P20" s="118">
        <v>8</v>
      </c>
      <c r="Q20" s="118">
        <v>1</v>
      </c>
      <c r="R20" s="118">
        <v>2</v>
      </c>
      <c r="S20" s="119"/>
      <c r="T20" s="118">
        <v>0</v>
      </c>
      <c r="U20" s="118">
        <v>1</v>
      </c>
      <c r="V20" s="118">
        <v>0</v>
      </c>
      <c r="W20" s="129">
        <v>8</v>
      </c>
      <c r="X20" s="120">
        <f t="shared" si="0"/>
        <v>38</v>
      </c>
      <c r="Y20" s="90" t="str">
        <f t="shared" si="1"/>
        <v>SAMPLING</v>
      </c>
      <c r="Z20" s="137" t="s">
        <v>1089</v>
      </c>
      <c r="AA20"/>
    </row>
    <row r="21" spans="1:29" s="69" customFormat="1" ht="20.100000000000001" customHeight="1" thickTop="1" thickBot="1" x14ac:dyDescent="0.35">
      <c r="A21" s="111" t="s">
        <v>241</v>
      </c>
      <c r="B21" s="111">
        <v>2</v>
      </c>
      <c r="C21" s="130">
        <v>2</v>
      </c>
      <c r="D21" s="112"/>
      <c r="E21" s="112"/>
      <c r="F21" s="123"/>
      <c r="G21" s="121"/>
      <c r="H21" s="112"/>
      <c r="I21" s="112"/>
      <c r="J21" s="140">
        <v>2</v>
      </c>
      <c r="K21" s="133">
        <v>3.3812456606521888</v>
      </c>
      <c r="L21" s="122" t="s">
        <v>401</v>
      </c>
      <c r="M21" s="118">
        <v>4</v>
      </c>
      <c r="N21" s="118">
        <v>4</v>
      </c>
      <c r="O21" s="118">
        <v>3</v>
      </c>
      <c r="P21" s="118">
        <v>0</v>
      </c>
      <c r="Q21" s="118">
        <v>1</v>
      </c>
      <c r="R21" s="118">
        <v>2</v>
      </c>
      <c r="S21" s="119"/>
      <c r="T21" s="118">
        <v>0</v>
      </c>
      <c r="U21" s="118">
        <v>1</v>
      </c>
      <c r="V21" s="118">
        <v>0</v>
      </c>
      <c r="W21" s="129">
        <v>4</v>
      </c>
      <c r="X21" s="120">
        <f t="shared" si="0"/>
        <v>19</v>
      </c>
      <c r="Y21" s="90" t="str">
        <f t="shared" si="1"/>
        <v>RFI</v>
      </c>
      <c r="Z21" s="137" t="s">
        <v>1088</v>
      </c>
      <c r="AA21"/>
    </row>
    <row r="22" spans="1:29" s="69" customFormat="1" ht="20.100000000000001" customHeight="1" thickTop="1" thickBot="1" x14ac:dyDescent="0.35">
      <c r="A22" s="111" t="s">
        <v>654</v>
      </c>
      <c r="B22" s="111">
        <v>3</v>
      </c>
      <c r="C22" s="130">
        <v>3</v>
      </c>
      <c r="D22" s="112"/>
      <c r="E22" s="112"/>
      <c r="F22" s="123"/>
      <c r="G22" s="115"/>
      <c r="H22" s="112"/>
      <c r="I22" s="112"/>
      <c r="J22" s="140">
        <v>3</v>
      </c>
      <c r="K22" s="133">
        <v>3.3527819939849062</v>
      </c>
      <c r="L22" s="122" t="s">
        <v>401</v>
      </c>
      <c r="M22" s="118">
        <v>4</v>
      </c>
      <c r="N22" s="118">
        <v>4</v>
      </c>
      <c r="O22" s="118">
        <v>3</v>
      </c>
      <c r="P22" s="118"/>
      <c r="Q22" s="118">
        <v>1</v>
      </c>
      <c r="R22" s="118">
        <v>2</v>
      </c>
      <c r="S22" s="119"/>
      <c r="T22" s="118"/>
      <c r="U22" s="118">
        <v>1</v>
      </c>
      <c r="V22" s="118"/>
      <c r="W22" s="129">
        <v>3</v>
      </c>
      <c r="X22" s="120">
        <f t="shared" si="0"/>
        <v>18</v>
      </c>
      <c r="Y22" s="90" t="str">
        <f t="shared" si="1"/>
        <v>RFI</v>
      </c>
      <c r="Z22" s="143" t="s">
        <v>1112</v>
      </c>
      <c r="AA22" s="144"/>
      <c r="AB22" s="145"/>
    </row>
    <row r="23" spans="1:29" s="69" customFormat="1" ht="20.100000000000001" customHeight="1" thickTop="1" thickBot="1" x14ac:dyDescent="0.35">
      <c r="A23" s="111" t="s">
        <v>173</v>
      </c>
      <c r="B23" s="111">
        <v>1</v>
      </c>
      <c r="C23" s="112"/>
      <c r="D23" s="112"/>
      <c r="E23" s="113">
        <v>1</v>
      </c>
      <c r="F23" s="123"/>
      <c r="G23" s="115">
        <v>1</v>
      </c>
      <c r="H23" s="112"/>
      <c r="I23" s="112"/>
      <c r="J23" s="112"/>
      <c r="K23" s="133">
        <v>1.8907018383886007</v>
      </c>
      <c r="L23" s="122" t="s">
        <v>401</v>
      </c>
      <c r="M23" s="118">
        <v>3</v>
      </c>
      <c r="N23" s="118">
        <v>4</v>
      </c>
      <c r="O23" s="118">
        <v>8</v>
      </c>
      <c r="P23" s="118">
        <v>8</v>
      </c>
      <c r="Q23" s="118">
        <v>1</v>
      </c>
      <c r="R23" s="118">
        <v>1</v>
      </c>
      <c r="S23" s="119"/>
      <c r="T23" s="118">
        <v>1</v>
      </c>
      <c r="U23" s="118">
        <v>1</v>
      </c>
      <c r="V23" s="118">
        <v>0</v>
      </c>
      <c r="W23" s="129">
        <v>3</v>
      </c>
      <c r="X23" s="120">
        <f t="shared" si="0"/>
        <v>30</v>
      </c>
      <c r="Y23" s="90" t="str">
        <f t="shared" si="1"/>
        <v>SAMPLING</v>
      </c>
      <c r="Z23" s="137" t="s">
        <v>1083</v>
      </c>
      <c r="AA23"/>
    </row>
    <row r="24" spans="1:29" s="69" customFormat="1" ht="20.100000000000001" customHeight="1" thickTop="1" thickBot="1" x14ac:dyDescent="0.35">
      <c r="A24" s="111" t="s">
        <v>1086</v>
      </c>
      <c r="B24" s="111">
        <v>2</v>
      </c>
      <c r="C24" s="130">
        <v>1</v>
      </c>
      <c r="D24" s="126">
        <v>1</v>
      </c>
      <c r="E24" s="112"/>
      <c r="F24" s="123"/>
      <c r="G24" s="121"/>
      <c r="H24" s="112"/>
      <c r="I24" s="127">
        <v>1</v>
      </c>
      <c r="J24" s="140">
        <v>1</v>
      </c>
      <c r="K24" s="133">
        <v>1.373630094423818</v>
      </c>
      <c r="L24" s="117" t="s">
        <v>1071</v>
      </c>
      <c r="M24" s="118">
        <v>2</v>
      </c>
      <c r="N24" s="118">
        <v>4</v>
      </c>
      <c r="O24" s="118">
        <v>6</v>
      </c>
      <c r="P24" s="118">
        <v>3</v>
      </c>
      <c r="Q24" s="118">
        <v>1</v>
      </c>
      <c r="R24" s="118">
        <v>1</v>
      </c>
      <c r="S24" s="119"/>
      <c r="T24" s="118">
        <v>2</v>
      </c>
      <c r="U24" s="118">
        <v>1</v>
      </c>
      <c r="V24" s="118">
        <v>0</v>
      </c>
      <c r="W24" s="129">
        <v>6</v>
      </c>
      <c r="X24" s="120">
        <f t="shared" si="0"/>
        <v>26</v>
      </c>
      <c r="Y24" s="90" t="str">
        <f t="shared" si="1"/>
        <v>SAMPLING</v>
      </c>
      <c r="Z24" s="137" t="s">
        <v>1084</v>
      </c>
      <c r="AA24"/>
    </row>
    <row r="25" spans="1:29" s="69" customFormat="1" ht="20.100000000000001" customHeight="1" thickTop="1" thickBot="1" x14ac:dyDescent="0.35">
      <c r="A25" s="111" t="s">
        <v>134</v>
      </c>
      <c r="B25" s="111">
        <v>1</v>
      </c>
      <c r="C25" s="112"/>
      <c r="D25" s="126">
        <v>1</v>
      </c>
      <c r="E25" s="112"/>
      <c r="F25" s="123"/>
      <c r="G25" s="121"/>
      <c r="H25" s="112"/>
      <c r="I25" s="112"/>
      <c r="J25" s="140">
        <v>1</v>
      </c>
      <c r="K25" s="133">
        <v>0.59681304430087501</v>
      </c>
      <c r="L25" s="122" t="s">
        <v>401</v>
      </c>
      <c r="M25" s="118">
        <v>3</v>
      </c>
      <c r="N25" s="118">
        <v>2</v>
      </c>
      <c r="O25" s="118">
        <v>3</v>
      </c>
      <c r="P25" s="118">
        <v>0</v>
      </c>
      <c r="Q25" s="118">
        <v>1</v>
      </c>
      <c r="R25" s="118">
        <v>1</v>
      </c>
      <c r="S25" s="119"/>
      <c r="T25" s="118">
        <v>0</v>
      </c>
      <c r="U25" s="118">
        <v>1</v>
      </c>
      <c r="V25" s="118">
        <v>0</v>
      </c>
      <c r="W25" s="129">
        <v>3</v>
      </c>
      <c r="X25" s="120">
        <f t="shared" si="0"/>
        <v>14</v>
      </c>
      <c r="Y25" s="90" t="str">
        <f t="shared" si="1"/>
        <v>RFI</v>
      </c>
      <c r="Z25" s="137" t="s">
        <v>1088</v>
      </c>
      <c r="AA25"/>
    </row>
    <row r="26" spans="1:29" s="69" customFormat="1" ht="20.100000000000001" customHeight="1" thickTop="1" thickBot="1" x14ac:dyDescent="0.35">
      <c r="A26" s="111" t="s">
        <v>271</v>
      </c>
      <c r="B26" s="111">
        <v>1</v>
      </c>
      <c r="C26" s="130">
        <v>1</v>
      </c>
      <c r="D26" s="112"/>
      <c r="E26" s="112"/>
      <c r="F26" s="123"/>
      <c r="G26" s="121"/>
      <c r="H26" s="112"/>
      <c r="I26" s="127">
        <v>1</v>
      </c>
      <c r="J26" s="142"/>
      <c r="K26" s="133">
        <v>0.54260488751629099</v>
      </c>
      <c r="L26" s="122" t="s">
        <v>401</v>
      </c>
      <c r="M26" s="118">
        <v>4</v>
      </c>
      <c r="N26" s="118">
        <v>4</v>
      </c>
      <c r="O26" s="118">
        <v>8</v>
      </c>
      <c r="P26" s="118">
        <v>1</v>
      </c>
      <c r="Q26" s="118">
        <v>1</v>
      </c>
      <c r="R26" s="118">
        <v>2</v>
      </c>
      <c r="S26" s="119"/>
      <c r="T26" s="118">
        <v>1</v>
      </c>
      <c r="U26" s="118">
        <v>1</v>
      </c>
      <c r="V26" s="118">
        <v>0</v>
      </c>
      <c r="W26" s="129">
        <v>8</v>
      </c>
      <c r="X26" s="120">
        <f t="shared" si="0"/>
        <v>30</v>
      </c>
      <c r="Y26" s="90" t="str">
        <f t="shared" si="1"/>
        <v>SAMPLING</v>
      </c>
      <c r="Z26" s="137" t="s">
        <v>1088</v>
      </c>
      <c r="AA26"/>
    </row>
    <row r="27" spans="1:29" s="69" customFormat="1" ht="20.100000000000001" customHeight="1" thickTop="1" thickBot="1" x14ac:dyDescent="0.35">
      <c r="A27" s="111" t="s">
        <v>203</v>
      </c>
      <c r="B27" s="111">
        <v>2</v>
      </c>
      <c r="C27" s="130">
        <v>2</v>
      </c>
      <c r="D27" s="112"/>
      <c r="E27" s="112"/>
      <c r="F27" s="123"/>
      <c r="G27" s="121"/>
      <c r="H27" s="112"/>
      <c r="I27" s="142"/>
      <c r="J27" s="140">
        <v>2</v>
      </c>
      <c r="K27" s="146">
        <v>8.6413141589926815E-2</v>
      </c>
      <c r="L27" s="122" t="s">
        <v>401</v>
      </c>
      <c r="M27" s="118">
        <v>3</v>
      </c>
      <c r="N27" s="118">
        <v>2</v>
      </c>
      <c r="O27" s="118">
        <v>3</v>
      </c>
      <c r="P27" s="118">
        <v>1</v>
      </c>
      <c r="Q27" s="118">
        <v>1</v>
      </c>
      <c r="R27" s="118">
        <v>1</v>
      </c>
      <c r="S27" s="119"/>
      <c r="T27" s="118">
        <v>2</v>
      </c>
      <c r="U27" s="118">
        <v>1</v>
      </c>
      <c r="V27" s="118">
        <v>0</v>
      </c>
      <c r="W27" s="129">
        <v>2</v>
      </c>
      <c r="X27" s="120">
        <f t="shared" si="0"/>
        <v>16</v>
      </c>
      <c r="Y27" s="90" t="str">
        <f t="shared" si="1"/>
        <v>RFI</v>
      </c>
      <c r="Z27" s="137" t="s">
        <v>1088</v>
      </c>
      <c r="AA27"/>
    </row>
    <row r="28" spans="1:29" ht="20.100000000000001" customHeight="1" thickTop="1" thickBot="1" x14ac:dyDescent="0.35">
      <c r="B28" s="70">
        <f t="shared" ref="B28:K28" si="2">SUM(B10:B27)</f>
        <v>36</v>
      </c>
      <c r="C28" s="130">
        <f t="shared" si="2"/>
        <v>23</v>
      </c>
      <c r="D28" s="126">
        <f t="shared" si="2"/>
        <v>5</v>
      </c>
      <c r="E28" s="113">
        <f t="shared" si="2"/>
        <v>6</v>
      </c>
      <c r="F28" s="114">
        <f t="shared" si="2"/>
        <v>2</v>
      </c>
      <c r="G28" s="115">
        <f t="shared" si="2"/>
        <v>3</v>
      </c>
      <c r="H28" s="116">
        <f t="shared" si="2"/>
        <v>1</v>
      </c>
      <c r="I28" s="127">
        <f t="shared" si="2"/>
        <v>14</v>
      </c>
      <c r="J28" s="134">
        <f t="shared" si="2"/>
        <v>18</v>
      </c>
      <c r="K28" s="70">
        <f t="shared" si="2"/>
        <v>313.85598435192486</v>
      </c>
    </row>
    <row r="29" spans="1:29" ht="15" thickTop="1" x14ac:dyDescent="0.3">
      <c r="G29" s="860"/>
      <c r="H29" s="860"/>
    </row>
    <row r="30" spans="1:29" x14ac:dyDescent="0.3">
      <c r="A30" s="89" t="s">
        <v>922</v>
      </c>
    </row>
    <row r="31" spans="1:29" x14ac:dyDescent="0.3">
      <c r="A31" s="89" t="s">
        <v>1038</v>
      </c>
    </row>
    <row r="32" spans="1:29" x14ac:dyDescent="0.3">
      <c r="A32" s="91" t="s">
        <v>1039</v>
      </c>
    </row>
    <row r="33" spans="1:1" x14ac:dyDescent="0.3">
      <c r="A33" s="92" t="s">
        <v>1091</v>
      </c>
    </row>
    <row r="34" spans="1:1" x14ac:dyDescent="0.3">
      <c r="A34" s="92" t="s">
        <v>1092</v>
      </c>
    </row>
    <row r="35" spans="1:1" x14ac:dyDescent="0.3">
      <c r="A35" s="92" t="s">
        <v>1093</v>
      </c>
    </row>
    <row r="36" spans="1:1" x14ac:dyDescent="0.3">
      <c r="A36" s="92" t="s">
        <v>806</v>
      </c>
    </row>
  </sheetData>
  <mergeCells count="7">
    <mergeCell ref="M9:W9"/>
    <mergeCell ref="G29:H29"/>
    <mergeCell ref="A1:L3"/>
    <mergeCell ref="A4:L4"/>
    <mergeCell ref="A5:L5"/>
    <mergeCell ref="A6:L6"/>
    <mergeCell ref="A7:L7"/>
  </mergeCells>
  <conditionalFormatting sqref="M10:R10 T10:W10">
    <cfRule type="colorScale" priority="19">
      <colorScale>
        <cfvo type="min"/>
        <cfvo type="percentile" val="50"/>
        <cfvo type="max"/>
        <color rgb="FF63BE7B"/>
        <color rgb="FFFFEB84"/>
        <color rgb="FFF8696B"/>
      </colorScale>
    </cfRule>
  </conditionalFormatting>
  <conditionalFormatting sqref="M11:R11 T11:W11">
    <cfRule type="colorScale" priority="18">
      <colorScale>
        <cfvo type="min"/>
        <cfvo type="percentile" val="50"/>
        <cfvo type="max"/>
        <color rgb="FF63BE7B"/>
        <color rgb="FFFFEB84"/>
        <color rgb="FFF8696B"/>
      </colorScale>
    </cfRule>
  </conditionalFormatting>
  <conditionalFormatting sqref="M12:R12 T12:W12">
    <cfRule type="colorScale" priority="17">
      <colorScale>
        <cfvo type="min"/>
        <cfvo type="percentile" val="50"/>
        <cfvo type="max"/>
        <color rgb="FF63BE7B"/>
        <color rgb="FFFFEB84"/>
        <color rgb="FFF8696B"/>
      </colorScale>
    </cfRule>
  </conditionalFormatting>
  <conditionalFormatting sqref="M13:R13 T13:W13">
    <cfRule type="colorScale" priority="16">
      <colorScale>
        <cfvo type="min"/>
        <cfvo type="percentile" val="50"/>
        <cfvo type="max"/>
        <color rgb="FF63BE7B"/>
        <color rgb="FFFFEB84"/>
        <color rgb="FFF8696B"/>
      </colorScale>
    </cfRule>
  </conditionalFormatting>
  <conditionalFormatting sqref="M14:R14 T14:W14">
    <cfRule type="colorScale" priority="15">
      <colorScale>
        <cfvo type="min"/>
        <cfvo type="percentile" val="50"/>
        <cfvo type="max"/>
        <color rgb="FF63BE7B"/>
        <color rgb="FFFFEB84"/>
        <color rgb="FFF8696B"/>
      </colorScale>
    </cfRule>
  </conditionalFormatting>
  <conditionalFormatting sqref="M15:R15 T15:W15">
    <cfRule type="colorScale" priority="14">
      <colorScale>
        <cfvo type="min"/>
        <cfvo type="percentile" val="50"/>
        <cfvo type="max"/>
        <color rgb="FF63BE7B"/>
        <color rgb="FFFFEB84"/>
        <color rgb="FFF8696B"/>
      </colorScale>
    </cfRule>
  </conditionalFormatting>
  <conditionalFormatting sqref="M16:R16 T16:W16">
    <cfRule type="colorScale" priority="13">
      <colorScale>
        <cfvo type="min"/>
        <cfvo type="percentile" val="50"/>
        <cfvo type="max"/>
        <color rgb="FF63BE7B"/>
        <color rgb="FFFFEB84"/>
        <color rgb="FFF8696B"/>
      </colorScale>
    </cfRule>
  </conditionalFormatting>
  <conditionalFormatting sqref="M17:R17 T17:W17">
    <cfRule type="colorScale" priority="12">
      <colorScale>
        <cfvo type="min"/>
        <cfvo type="percentile" val="50"/>
        <cfvo type="max"/>
        <color rgb="FF63BE7B"/>
        <color rgb="FFFFEB84"/>
        <color rgb="FFF8696B"/>
      </colorScale>
    </cfRule>
  </conditionalFormatting>
  <conditionalFormatting sqref="M18:R18 T18:W18">
    <cfRule type="colorScale" priority="11">
      <colorScale>
        <cfvo type="min"/>
        <cfvo type="percentile" val="50"/>
        <cfvo type="max"/>
        <color rgb="FF63BE7B"/>
        <color rgb="FFFFEB84"/>
        <color rgb="FFF8696B"/>
      </colorScale>
    </cfRule>
  </conditionalFormatting>
  <conditionalFormatting sqref="M19:R19 T19:V19">
    <cfRule type="colorScale" priority="10">
      <colorScale>
        <cfvo type="min"/>
        <cfvo type="percentile" val="50"/>
        <cfvo type="max"/>
        <color rgb="FF63BE7B"/>
        <color rgb="FFFFEB84"/>
        <color rgb="FFF8696B"/>
      </colorScale>
    </cfRule>
  </conditionalFormatting>
  <conditionalFormatting sqref="M20:R20 T20:W20">
    <cfRule type="colorScale" priority="8">
      <colorScale>
        <cfvo type="min"/>
        <cfvo type="percentile" val="50"/>
        <cfvo type="max"/>
        <color rgb="FF63BE7B"/>
        <color rgb="FFFFEB84"/>
        <color rgb="FFF8696B"/>
      </colorScale>
    </cfRule>
  </conditionalFormatting>
  <conditionalFormatting sqref="M21:R21 T21:W21">
    <cfRule type="colorScale" priority="7">
      <colorScale>
        <cfvo type="min"/>
        <cfvo type="percentile" val="50"/>
        <cfvo type="max"/>
        <color rgb="FF63BE7B"/>
        <color rgb="FFFFEB84"/>
        <color rgb="FFF8696B"/>
      </colorScale>
    </cfRule>
  </conditionalFormatting>
  <conditionalFormatting sqref="M21:R22 T21:W22">
    <cfRule type="colorScale" priority="6">
      <colorScale>
        <cfvo type="min"/>
        <cfvo type="percentile" val="50"/>
        <cfvo type="max"/>
        <color rgb="FF63BE7B"/>
        <color rgb="FFFFEB84"/>
        <color rgb="FFF8696B"/>
      </colorScale>
    </cfRule>
  </conditionalFormatting>
  <conditionalFormatting sqref="M24:R24 T24:W24">
    <cfRule type="colorScale" priority="4">
      <colorScale>
        <cfvo type="min"/>
        <cfvo type="percentile" val="50"/>
        <cfvo type="max"/>
        <color rgb="FF63BE7B"/>
        <color rgb="FFFFEB84"/>
        <color rgb="FFF8696B"/>
      </colorScale>
    </cfRule>
  </conditionalFormatting>
  <conditionalFormatting sqref="M25:R25 T25:W25">
    <cfRule type="colorScale" priority="3">
      <colorScale>
        <cfvo type="min"/>
        <cfvo type="percentile" val="50"/>
        <cfvo type="max"/>
        <color rgb="FF63BE7B"/>
        <color rgb="FFFFEB84"/>
        <color rgb="FFF8696B"/>
      </colorScale>
    </cfRule>
  </conditionalFormatting>
  <conditionalFormatting sqref="M26:R26 T26:W26">
    <cfRule type="colorScale" priority="2">
      <colorScale>
        <cfvo type="min"/>
        <cfvo type="percentile" val="50"/>
        <cfvo type="max"/>
        <color rgb="FF63BE7B"/>
        <color rgb="FFFFEB84"/>
        <color rgb="FFF8696B"/>
      </colorScale>
    </cfRule>
  </conditionalFormatting>
  <conditionalFormatting sqref="M27:R27 T27:W27">
    <cfRule type="colorScale" priority="1">
      <colorScale>
        <cfvo type="min"/>
        <cfvo type="percentile" val="50"/>
        <cfvo type="max"/>
        <color rgb="FF63BE7B"/>
        <color rgb="FFFFEB84"/>
        <color rgb="FFF8696B"/>
      </colorScale>
    </cfRule>
  </conditionalFormatting>
  <conditionalFormatting sqref="T23:W23 M23:R23">
    <cfRule type="colorScale" priority="5">
      <colorScale>
        <cfvo type="min"/>
        <cfvo type="percentile" val="50"/>
        <cfvo type="max"/>
        <color rgb="FF63BE7B"/>
        <color rgb="FFFFEB84"/>
        <color rgb="FFF8696B"/>
      </colorScale>
    </cfRule>
  </conditionalFormatting>
  <conditionalFormatting sqref="W19">
    <cfRule type="colorScale" priority="9">
      <colorScale>
        <cfvo type="min"/>
        <cfvo type="percentile" val="50"/>
        <cfvo type="max"/>
        <color rgb="FF63BE7B"/>
        <color rgb="FFFFEB84"/>
        <color rgb="FFF8696B"/>
      </colorScale>
    </cfRule>
  </conditionalFormatting>
  <conditionalFormatting sqref="X10:X27">
    <cfRule type="colorScale" priority="20">
      <colorScale>
        <cfvo type="min"/>
        <cfvo type="percentile" val="50"/>
        <cfvo type="max"/>
        <color rgb="FF63BE7B"/>
        <color rgb="FFFFEB84"/>
        <color rgb="FFF8696B"/>
      </colorScale>
    </cfRule>
  </conditionalFormatting>
  <printOptions horizontalCentered="1"/>
  <pageMargins left="0" right="0" top="0.39370078740157483" bottom="0" header="0.31496062992125984" footer="0.31496062992125984"/>
  <pageSetup paperSize="9" scale="8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44F2-54B4-497C-9992-79CB2993ECA1}">
  <sheetPr>
    <tabColor theme="5" tint="-0.499984740745262"/>
  </sheetPr>
  <dimension ref="B2:D55"/>
  <sheetViews>
    <sheetView showGridLines="0" workbookViewId="0"/>
  </sheetViews>
  <sheetFormatPr defaultRowHeight="14.4" x14ac:dyDescent="0.3"/>
  <cols>
    <col min="1" max="1" width="2.88671875" customWidth="1"/>
    <col min="2" max="2" width="30.44140625" bestFit="1" customWidth="1"/>
    <col min="3" max="3" width="19.109375" customWidth="1"/>
  </cols>
  <sheetData>
    <row r="2" spans="2:4" ht="28.8" x14ac:dyDescent="0.3">
      <c r="B2" s="65" t="s">
        <v>1113</v>
      </c>
      <c r="C2" s="65" t="s">
        <v>1114</v>
      </c>
    </row>
    <row r="3" spans="2:4" x14ac:dyDescent="0.3">
      <c r="B3" s="64" t="s">
        <v>880</v>
      </c>
      <c r="C3" s="64" t="s">
        <v>401</v>
      </c>
    </row>
    <row r="4" spans="2:4" x14ac:dyDescent="0.3">
      <c r="B4" s="64" t="s">
        <v>378</v>
      </c>
      <c r="C4" s="64" t="s">
        <v>401</v>
      </c>
    </row>
    <row r="5" spans="2:4" x14ac:dyDescent="0.3">
      <c r="B5" s="64" t="s">
        <v>375</v>
      </c>
      <c r="C5" s="64" t="s">
        <v>401</v>
      </c>
    </row>
    <row r="6" spans="2:4" x14ac:dyDescent="0.3">
      <c r="B6" s="64" t="s">
        <v>887</v>
      </c>
      <c r="C6" s="64" t="s">
        <v>401</v>
      </c>
    </row>
    <row r="7" spans="2:4" x14ac:dyDescent="0.3">
      <c r="B7" s="64" t="s">
        <v>372</v>
      </c>
      <c r="C7" s="64" t="s">
        <v>401</v>
      </c>
    </row>
    <row r="8" spans="2:4" x14ac:dyDescent="0.3">
      <c r="B8" s="64" t="s">
        <v>895</v>
      </c>
      <c r="C8" s="64" t="s">
        <v>401</v>
      </c>
    </row>
    <row r="9" spans="2:4" x14ac:dyDescent="0.3">
      <c r="B9" s="64" t="s">
        <v>364</v>
      </c>
      <c r="C9" s="64" t="s">
        <v>1075</v>
      </c>
    </row>
    <row r="10" spans="2:4" x14ac:dyDescent="0.3">
      <c r="B10" s="64" t="s">
        <v>357</v>
      </c>
      <c r="C10" s="64" t="s">
        <v>401</v>
      </c>
    </row>
    <row r="11" spans="2:4" x14ac:dyDescent="0.3">
      <c r="B11" s="64" t="s">
        <v>343</v>
      </c>
      <c r="C11" s="64" t="s">
        <v>401</v>
      </c>
    </row>
    <row r="12" spans="2:4" x14ac:dyDescent="0.3">
      <c r="B12" s="64" t="s">
        <v>336</v>
      </c>
      <c r="C12" s="64" t="s">
        <v>401</v>
      </c>
    </row>
    <row r="13" spans="2:4" x14ac:dyDescent="0.3">
      <c r="B13" s="64" t="s">
        <v>903</v>
      </c>
      <c r="C13" s="64" t="s">
        <v>1071</v>
      </c>
    </row>
    <row r="14" spans="2:4" x14ac:dyDescent="0.3">
      <c r="B14" s="64" t="s">
        <v>305</v>
      </c>
      <c r="C14" s="64" t="s">
        <v>1071</v>
      </c>
    </row>
    <row r="15" spans="2:4" x14ac:dyDescent="0.3">
      <c r="B15" s="64" t="s">
        <v>296</v>
      </c>
      <c r="C15" s="71" t="s">
        <v>401</v>
      </c>
      <c r="D15" s="72" t="s">
        <v>1115</v>
      </c>
    </row>
    <row r="16" spans="2:4" x14ac:dyDescent="0.3">
      <c r="B16" s="64" t="s">
        <v>284</v>
      </c>
      <c r="C16" s="64" t="s">
        <v>401</v>
      </c>
    </row>
    <row r="17" spans="2:3" x14ac:dyDescent="0.3">
      <c r="B17" s="64" t="s">
        <v>905</v>
      </c>
      <c r="C17" s="64" t="s">
        <v>1075</v>
      </c>
    </row>
    <row r="18" spans="2:3" x14ac:dyDescent="0.3">
      <c r="B18" s="64" t="s">
        <v>254</v>
      </c>
      <c r="C18" s="64" t="s">
        <v>401</v>
      </c>
    </row>
    <row r="19" spans="2:3" x14ac:dyDescent="0.3">
      <c r="B19" s="64" t="s">
        <v>271</v>
      </c>
      <c r="C19" s="64" t="s">
        <v>1075</v>
      </c>
    </row>
    <row r="20" spans="2:3" x14ac:dyDescent="0.3">
      <c r="B20" s="64" t="s">
        <v>262</v>
      </c>
      <c r="C20" s="64" t="s">
        <v>1071</v>
      </c>
    </row>
    <row r="21" spans="2:3" x14ac:dyDescent="0.3">
      <c r="B21" s="64" t="s">
        <v>257</v>
      </c>
      <c r="C21" s="64" t="s">
        <v>1075</v>
      </c>
    </row>
    <row r="22" spans="2:3" x14ac:dyDescent="0.3">
      <c r="B22" s="64" t="s">
        <v>251</v>
      </c>
      <c r="C22" s="64" t="s">
        <v>401</v>
      </c>
    </row>
    <row r="23" spans="2:3" x14ac:dyDescent="0.3">
      <c r="B23" s="64" t="s">
        <v>241</v>
      </c>
      <c r="C23" s="64" t="s">
        <v>401</v>
      </c>
    </row>
    <row r="24" spans="2:3" x14ac:dyDescent="0.3">
      <c r="B24" s="64" t="s">
        <v>907</v>
      </c>
      <c r="C24" s="64" t="s">
        <v>401</v>
      </c>
    </row>
    <row r="25" spans="2:3" x14ac:dyDescent="0.3">
      <c r="B25" s="64" t="s">
        <v>784</v>
      </c>
      <c r="C25" s="64" t="s">
        <v>401</v>
      </c>
    </row>
    <row r="26" spans="2:3" x14ac:dyDescent="0.3">
      <c r="B26" s="64" t="s">
        <v>219</v>
      </c>
      <c r="C26" s="64" t="s">
        <v>401</v>
      </c>
    </row>
    <row r="27" spans="2:3" x14ac:dyDescent="0.3">
      <c r="B27" s="64" t="s">
        <v>210</v>
      </c>
      <c r="C27" s="64" t="s">
        <v>401</v>
      </c>
    </row>
    <row r="28" spans="2:3" x14ac:dyDescent="0.3">
      <c r="B28" s="64" t="s">
        <v>181</v>
      </c>
      <c r="C28" s="64" t="s">
        <v>1075</v>
      </c>
    </row>
    <row r="29" spans="2:3" x14ac:dyDescent="0.3">
      <c r="B29" s="64" t="s">
        <v>203</v>
      </c>
      <c r="C29" s="64" t="s">
        <v>401</v>
      </c>
    </row>
    <row r="30" spans="2:3" x14ac:dyDescent="0.3">
      <c r="B30" s="64" t="s">
        <v>178</v>
      </c>
      <c r="C30" s="64" t="s">
        <v>401</v>
      </c>
    </row>
    <row r="31" spans="2:3" x14ac:dyDescent="0.3">
      <c r="B31" s="64" t="s">
        <v>173</v>
      </c>
      <c r="C31" s="64" t="s">
        <v>401</v>
      </c>
    </row>
    <row r="32" spans="2:3" ht="28.8" x14ac:dyDescent="0.3">
      <c r="B32" s="64" t="s">
        <v>142</v>
      </c>
      <c r="C32" s="64" t="s">
        <v>401</v>
      </c>
    </row>
    <row r="33" spans="2:3" x14ac:dyDescent="0.3">
      <c r="B33" s="64" t="s">
        <v>909</v>
      </c>
      <c r="C33" s="64" t="s">
        <v>401</v>
      </c>
    </row>
    <row r="34" spans="2:3" x14ac:dyDescent="0.3">
      <c r="B34" s="64" t="s">
        <v>654</v>
      </c>
      <c r="C34" s="64" t="s">
        <v>401</v>
      </c>
    </row>
    <row r="35" spans="2:3" x14ac:dyDescent="0.3">
      <c r="B35" s="64" t="s">
        <v>117</v>
      </c>
      <c r="C35" s="64" t="s">
        <v>1075</v>
      </c>
    </row>
    <row r="36" spans="2:3" x14ac:dyDescent="0.3">
      <c r="B36" s="64" t="s">
        <v>913</v>
      </c>
      <c r="C36" s="64" t="s">
        <v>401</v>
      </c>
    </row>
    <row r="37" spans="2:3" x14ac:dyDescent="0.3">
      <c r="B37" s="64" t="s">
        <v>139</v>
      </c>
      <c r="C37" s="64" t="s">
        <v>401</v>
      </c>
    </row>
    <row r="38" spans="2:3" x14ac:dyDescent="0.3">
      <c r="B38" s="64" t="s">
        <v>914</v>
      </c>
      <c r="C38" s="64" t="s">
        <v>401</v>
      </c>
    </row>
    <row r="39" spans="2:3" x14ac:dyDescent="0.3">
      <c r="B39" s="64" t="s">
        <v>915</v>
      </c>
      <c r="C39" s="64" t="s">
        <v>401</v>
      </c>
    </row>
    <row r="40" spans="2:3" x14ac:dyDescent="0.3">
      <c r="B40" s="64" t="s">
        <v>789</v>
      </c>
      <c r="C40" s="64" t="s">
        <v>401</v>
      </c>
    </row>
    <row r="41" spans="2:3" x14ac:dyDescent="0.3">
      <c r="B41" s="64" t="s">
        <v>134</v>
      </c>
      <c r="C41" s="64" t="s">
        <v>401</v>
      </c>
    </row>
    <row r="42" spans="2:3" x14ac:dyDescent="0.3">
      <c r="B42" s="64" t="s">
        <v>114</v>
      </c>
      <c r="C42" s="64" t="s">
        <v>401</v>
      </c>
    </row>
    <row r="43" spans="2:3" ht="28.8" x14ac:dyDescent="0.3">
      <c r="B43" s="64" t="s">
        <v>109</v>
      </c>
      <c r="C43" s="64" t="s">
        <v>1075</v>
      </c>
    </row>
    <row r="44" spans="2:3" x14ac:dyDescent="0.3">
      <c r="B44" s="64" t="s">
        <v>106</v>
      </c>
      <c r="C44" s="64" t="s">
        <v>401</v>
      </c>
    </row>
    <row r="45" spans="2:3" x14ac:dyDescent="0.3">
      <c r="B45" s="64" t="s">
        <v>103</v>
      </c>
      <c r="C45" s="64" t="s">
        <v>401</v>
      </c>
    </row>
    <row r="46" spans="2:3" x14ac:dyDescent="0.3">
      <c r="B46" s="64" t="s">
        <v>100</v>
      </c>
      <c r="C46" s="64" t="s">
        <v>401</v>
      </c>
    </row>
    <row r="47" spans="2:3" x14ac:dyDescent="0.3">
      <c r="B47" s="64" t="s">
        <v>93</v>
      </c>
      <c r="C47" s="64" t="s">
        <v>401</v>
      </c>
    </row>
    <row r="48" spans="2:3" x14ac:dyDescent="0.3">
      <c r="B48" s="64" t="s">
        <v>79</v>
      </c>
      <c r="C48" s="64" t="s">
        <v>401</v>
      </c>
    </row>
    <row r="49" spans="2:3" ht="28.8" x14ac:dyDescent="0.3">
      <c r="B49" s="64" t="s">
        <v>74</v>
      </c>
      <c r="C49" s="64" t="s">
        <v>401</v>
      </c>
    </row>
    <row r="50" spans="2:3" x14ac:dyDescent="0.3">
      <c r="B50" s="64" t="s">
        <v>70</v>
      </c>
      <c r="C50" s="64" t="s">
        <v>401</v>
      </c>
    </row>
    <row r="51" spans="2:3" x14ac:dyDescent="0.3">
      <c r="B51" s="64" t="s">
        <v>41</v>
      </c>
      <c r="C51" s="64" t="s">
        <v>401</v>
      </c>
    </row>
    <row r="52" spans="2:3" x14ac:dyDescent="0.3">
      <c r="B52" s="64" t="s">
        <v>53</v>
      </c>
      <c r="C52" s="64" t="s">
        <v>401</v>
      </c>
    </row>
    <row r="53" spans="2:3" x14ac:dyDescent="0.3">
      <c r="B53" s="64" t="s">
        <v>130</v>
      </c>
      <c r="C53" s="64" t="s">
        <v>401</v>
      </c>
    </row>
    <row r="54" spans="2:3" x14ac:dyDescent="0.3">
      <c r="B54" s="64" t="s">
        <v>918</v>
      </c>
      <c r="C54" s="64" t="s">
        <v>401</v>
      </c>
    </row>
    <row r="55" spans="2:3" x14ac:dyDescent="0.3">
      <c r="B55" s="64" t="s">
        <v>919</v>
      </c>
      <c r="C55" s="64" t="s">
        <v>401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0892-13FA-43B6-96E3-F543ACF58626}">
  <sheetPr>
    <tabColor rgb="FFFF0000"/>
    <pageSetUpPr fitToPage="1"/>
  </sheetPr>
  <dimension ref="A1:E7"/>
  <sheetViews>
    <sheetView showGridLines="0" workbookViewId="0"/>
  </sheetViews>
  <sheetFormatPr defaultRowHeight="14.4" x14ac:dyDescent="0.3"/>
  <cols>
    <col min="1" max="1" width="12.109375" bestFit="1" customWidth="1"/>
    <col min="2" max="2" width="34.88671875" customWidth="1"/>
    <col min="3" max="3" width="72.109375" customWidth="1"/>
    <col min="4" max="4" width="17.109375" style="79" bestFit="1" customWidth="1"/>
    <col min="5" max="5" width="18.88671875" style="79" bestFit="1" customWidth="1"/>
  </cols>
  <sheetData>
    <row r="1" spans="1:5" ht="15.6" thickTop="1" thickBot="1" x14ac:dyDescent="0.35">
      <c r="A1" s="75" t="s">
        <v>9</v>
      </c>
      <c r="B1" s="75" t="s">
        <v>560</v>
      </c>
      <c r="C1" s="76" t="s">
        <v>1116</v>
      </c>
      <c r="D1" s="75" t="s">
        <v>1117</v>
      </c>
      <c r="E1" s="75" t="s">
        <v>1118</v>
      </c>
    </row>
    <row r="2" spans="1:5" ht="29.4" thickBot="1" x14ac:dyDescent="0.35">
      <c r="A2" s="80" t="s">
        <v>644</v>
      </c>
      <c r="B2" s="77" t="s">
        <v>644</v>
      </c>
      <c r="C2" s="78" t="s">
        <v>1119</v>
      </c>
      <c r="D2" s="81" t="s">
        <v>1120</v>
      </c>
      <c r="E2" s="87">
        <v>45621</v>
      </c>
    </row>
    <row r="3" spans="1:5" ht="58.2" thickBot="1" x14ac:dyDescent="0.35">
      <c r="A3" s="80" t="s">
        <v>644</v>
      </c>
      <c r="B3" s="77" t="s">
        <v>644</v>
      </c>
      <c r="C3" s="78" t="s">
        <v>1121</v>
      </c>
      <c r="D3" s="81" t="s">
        <v>1122</v>
      </c>
      <c r="E3" s="87">
        <v>45621</v>
      </c>
    </row>
    <row r="4" spans="1:5" ht="15" thickBot="1" x14ac:dyDescent="0.35">
      <c r="A4" s="80" t="s">
        <v>1123</v>
      </c>
      <c r="B4" s="77" t="s">
        <v>1124</v>
      </c>
      <c r="C4" s="876" t="s">
        <v>1125</v>
      </c>
      <c r="D4" s="879" t="s">
        <v>1122</v>
      </c>
      <c r="E4" s="882">
        <v>45621</v>
      </c>
    </row>
    <row r="5" spans="1:5" ht="29.4" thickBot="1" x14ac:dyDescent="0.35">
      <c r="A5" s="80" t="s">
        <v>243</v>
      </c>
      <c r="B5" s="77" t="s">
        <v>1126</v>
      </c>
      <c r="C5" s="877"/>
      <c r="D5" s="880"/>
      <c r="E5" s="880"/>
    </row>
    <row r="6" spans="1:5" ht="58.2" thickBot="1" x14ac:dyDescent="0.35">
      <c r="A6" s="80" t="s">
        <v>234</v>
      </c>
      <c r="B6" s="77" t="s">
        <v>216</v>
      </c>
      <c r="C6" s="878"/>
      <c r="D6" s="881"/>
      <c r="E6" s="881"/>
    </row>
    <row r="7" spans="1:5" ht="43.8" thickBot="1" x14ac:dyDescent="0.35">
      <c r="A7" s="80" t="s">
        <v>171</v>
      </c>
      <c r="B7" s="77" t="s">
        <v>175</v>
      </c>
      <c r="C7" s="78" t="s">
        <v>1127</v>
      </c>
      <c r="D7" s="81" t="s">
        <v>1120</v>
      </c>
      <c r="E7" s="87">
        <v>45621</v>
      </c>
    </row>
  </sheetData>
  <autoFilter ref="A1:E7" xr:uid="{2BAD0892-13FA-43B6-96E3-F543ACF58626}"/>
  <mergeCells count="3">
    <mergeCell ref="C4:C6"/>
    <mergeCell ref="D4:D6"/>
    <mergeCell ref="E4:E6"/>
  </mergeCells>
  <phoneticPr fontId="48" type="noConversion"/>
  <printOptions horizontalCentered="1" verticalCentered="1"/>
  <pageMargins left="0" right="0" top="0" bottom="0" header="0.31496062992125984" footer="0.31496062992125984"/>
  <pageSetup paperSize="9" scale="83"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62B4-6BD4-4E1F-8688-91064FC89CBC}">
  <sheetPr>
    <tabColor rgb="FFFF0000"/>
    <pageSetUpPr fitToPage="1"/>
  </sheetPr>
  <dimension ref="A1:E16"/>
  <sheetViews>
    <sheetView showGridLines="0" workbookViewId="0"/>
  </sheetViews>
  <sheetFormatPr defaultRowHeight="14.4" x14ac:dyDescent="0.3"/>
  <cols>
    <col min="1" max="1" width="12.109375" bestFit="1" customWidth="1"/>
    <col min="2" max="2" width="34.88671875" customWidth="1"/>
    <col min="3" max="3" width="72.109375" customWidth="1"/>
    <col min="4" max="4" width="17.109375" style="79" bestFit="1" customWidth="1"/>
    <col min="5" max="5" width="18.88671875" style="79" bestFit="1" customWidth="1"/>
  </cols>
  <sheetData>
    <row r="1" spans="1:5" ht="15.6" thickTop="1" thickBot="1" x14ac:dyDescent="0.35">
      <c r="A1" s="75" t="s">
        <v>9</v>
      </c>
      <c r="B1" s="75" t="s">
        <v>560</v>
      </c>
      <c r="C1" s="76" t="s">
        <v>1116</v>
      </c>
      <c r="D1" s="75" t="s">
        <v>1117</v>
      </c>
      <c r="E1" s="75" t="s">
        <v>1118</v>
      </c>
    </row>
    <row r="2" spans="1:5" ht="29.4" thickBot="1" x14ac:dyDescent="0.35">
      <c r="A2" s="80" t="s">
        <v>1128</v>
      </c>
      <c r="B2" s="77" t="s">
        <v>1129</v>
      </c>
      <c r="C2" s="78" t="s">
        <v>1130</v>
      </c>
      <c r="D2" s="81" t="s">
        <v>1131</v>
      </c>
      <c r="E2" s="81" t="s">
        <v>1132</v>
      </c>
    </row>
    <row r="3" spans="1:5" ht="29.4" thickBot="1" x14ac:dyDescent="0.35">
      <c r="A3" s="80" t="s">
        <v>1133</v>
      </c>
      <c r="B3" s="77" t="s">
        <v>1134</v>
      </c>
      <c r="C3" s="78" t="s">
        <v>1135</v>
      </c>
      <c r="D3" s="81" t="s">
        <v>1131</v>
      </c>
      <c r="E3" s="81" t="s">
        <v>1132</v>
      </c>
    </row>
    <row r="4" spans="1:5" ht="29.4" thickBot="1" x14ac:dyDescent="0.35">
      <c r="A4" s="80" t="s">
        <v>1136</v>
      </c>
      <c r="B4" s="77" t="s">
        <v>1137</v>
      </c>
      <c r="C4" s="78" t="s">
        <v>1135</v>
      </c>
      <c r="D4" s="81" t="s">
        <v>1131</v>
      </c>
      <c r="E4" s="81" t="s">
        <v>1132</v>
      </c>
    </row>
    <row r="5" spans="1:5" ht="15" thickBot="1" x14ac:dyDescent="0.35">
      <c r="A5" s="80" t="s">
        <v>1138</v>
      </c>
      <c r="B5" s="77" t="s">
        <v>676</v>
      </c>
      <c r="C5" s="78" t="s">
        <v>1139</v>
      </c>
      <c r="D5" s="81" t="s">
        <v>1131</v>
      </c>
      <c r="E5" s="81" t="s">
        <v>1132</v>
      </c>
    </row>
    <row r="6" spans="1:5" ht="58.2" thickBot="1" x14ac:dyDescent="0.35">
      <c r="A6" s="80" t="s">
        <v>1140</v>
      </c>
      <c r="B6" s="77" t="s">
        <v>1141</v>
      </c>
      <c r="C6" s="78" t="s">
        <v>1142</v>
      </c>
      <c r="D6" s="81" t="s">
        <v>1131</v>
      </c>
      <c r="E6" s="81" t="s">
        <v>1143</v>
      </c>
    </row>
    <row r="7" spans="1:5" ht="29.4" thickBot="1" x14ac:dyDescent="0.35">
      <c r="A7" s="80" t="s">
        <v>1144</v>
      </c>
      <c r="B7" s="77" t="s">
        <v>1145</v>
      </c>
      <c r="C7" s="78" t="s">
        <v>1146</v>
      </c>
      <c r="D7" s="81" t="s">
        <v>1131</v>
      </c>
      <c r="E7" s="81" t="s">
        <v>1132</v>
      </c>
    </row>
    <row r="8" spans="1:5" ht="29.4" thickBot="1" x14ac:dyDescent="0.35">
      <c r="A8" s="80" t="s">
        <v>1147</v>
      </c>
      <c r="B8" s="77" t="s">
        <v>1148</v>
      </c>
      <c r="C8" s="78" t="s">
        <v>1149</v>
      </c>
      <c r="D8" s="81" t="s">
        <v>1150</v>
      </c>
      <c r="E8" s="81" t="s">
        <v>1151</v>
      </c>
    </row>
    <row r="9" spans="1:5" ht="29.4" thickBot="1" x14ac:dyDescent="0.35">
      <c r="A9" s="80" t="s">
        <v>1152</v>
      </c>
      <c r="B9" s="77" t="s">
        <v>1153</v>
      </c>
      <c r="C9" s="78" t="s">
        <v>1154</v>
      </c>
      <c r="D9" s="81" t="s">
        <v>1155</v>
      </c>
      <c r="E9" s="81" t="s">
        <v>1156</v>
      </c>
    </row>
    <row r="10" spans="1:5" ht="29.4" thickBot="1" x14ac:dyDescent="0.35">
      <c r="A10" s="80" t="s">
        <v>675</v>
      </c>
      <c r="B10" s="77" t="s">
        <v>676</v>
      </c>
      <c r="C10" s="78" t="s">
        <v>1157</v>
      </c>
      <c r="D10" s="81" t="s">
        <v>1131</v>
      </c>
      <c r="E10" s="81" t="s">
        <v>1132</v>
      </c>
    </row>
    <row r="11" spans="1:5" ht="29.4" thickBot="1" x14ac:dyDescent="0.35">
      <c r="A11" s="80" t="s">
        <v>1158</v>
      </c>
      <c r="B11" s="77" t="s">
        <v>1159</v>
      </c>
      <c r="C11" s="78" t="s">
        <v>1160</v>
      </c>
      <c r="D11" s="81" t="s">
        <v>1131</v>
      </c>
      <c r="E11" s="81" t="s">
        <v>1132</v>
      </c>
    </row>
    <row r="12" spans="1:5" ht="43.8" thickBot="1" x14ac:dyDescent="0.35">
      <c r="A12" s="80" t="s">
        <v>1161</v>
      </c>
      <c r="B12" s="77" t="s">
        <v>1162</v>
      </c>
      <c r="C12" s="78" t="s">
        <v>1163</v>
      </c>
      <c r="D12" s="81" t="s">
        <v>714</v>
      </c>
      <c r="E12" s="81" t="s">
        <v>1164</v>
      </c>
    </row>
    <row r="13" spans="1:5" ht="72.599999999999994" thickBot="1" x14ac:dyDescent="0.35">
      <c r="A13" s="80" t="s">
        <v>1165</v>
      </c>
      <c r="B13" s="77" t="s">
        <v>1166</v>
      </c>
      <c r="C13" s="78" t="s">
        <v>1163</v>
      </c>
      <c r="D13" s="81" t="s">
        <v>1150</v>
      </c>
      <c r="E13" s="81" t="s">
        <v>1167</v>
      </c>
    </row>
    <row r="14" spans="1:5" ht="43.8" thickBot="1" x14ac:dyDescent="0.35">
      <c r="A14" s="80" t="s">
        <v>1168</v>
      </c>
      <c r="B14" s="77" t="s">
        <v>1169</v>
      </c>
      <c r="C14" s="78" t="s">
        <v>1135</v>
      </c>
      <c r="D14" s="81" t="s">
        <v>1131</v>
      </c>
      <c r="E14" s="81" t="s">
        <v>1132</v>
      </c>
    </row>
    <row r="15" spans="1:5" ht="43.8" thickBot="1" x14ac:dyDescent="0.35">
      <c r="A15" s="82" t="s">
        <v>1170</v>
      </c>
      <c r="B15" s="73" t="s">
        <v>1171</v>
      </c>
      <c r="C15" s="74" t="s">
        <v>1172</v>
      </c>
      <c r="D15" s="83" t="s">
        <v>1131</v>
      </c>
      <c r="E15" s="83" t="s">
        <v>1132</v>
      </c>
    </row>
    <row r="16" spans="1:5" ht="15" thickTop="1" x14ac:dyDescent="0.3"/>
  </sheetData>
  <autoFilter ref="A1:E15" xr:uid="{2BAD0892-13FA-43B6-96E3-F543ACF58626}"/>
  <printOptions horizontalCentered="1" verticalCentered="1"/>
  <pageMargins left="0" right="0" top="0" bottom="0" header="0.31496062992125984" footer="0.31496062992125984"/>
  <pageSetup paperSize="9" scale="83"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FDCD-EE1C-473B-906D-8BF4FF0C625A}">
  <sheetPr>
    <tabColor rgb="FFFF0000"/>
    <pageSetUpPr fitToPage="1"/>
  </sheetPr>
  <dimension ref="A1:E7"/>
  <sheetViews>
    <sheetView showGridLines="0" workbookViewId="0"/>
  </sheetViews>
  <sheetFormatPr defaultRowHeight="14.4" x14ac:dyDescent="0.3"/>
  <cols>
    <col min="1" max="1" width="12.109375" bestFit="1" customWidth="1"/>
    <col min="2" max="2" width="34.88671875" customWidth="1"/>
    <col min="3" max="3" width="72.109375" customWidth="1"/>
    <col min="4" max="4" width="17.109375" style="79" bestFit="1" customWidth="1"/>
    <col min="5" max="5" width="18.88671875" style="79" bestFit="1" customWidth="1"/>
  </cols>
  <sheetData>
    <row r="1" spans="1:5" ht="15.6" thickTop="1" thickBot="1" x14ac:dyDescent="0.35">
      <c r="A1" s="75" t="s">
        <v>9</v>
      </c>
      <c r="B1" s="75" t="s">
        <v>560</v>
      </c>
      <c r="C1" s="76" t="s">
        <v>1116</v>
      </c>
      <c r="D1" s="75" t="s">
        <v>1117</v>
      </c>
      <c r="E1" s="75" t="s">
        <v>1118</v>
      </c>
    </row>
    <row r="2" spans="1:5" ht="30" customHeight="1" thickBot="1" x14ac:dyDescent="0.35">
      <c r="A2" s="80" t="s">
        <v>1173</v>
      </c>
      <c r="B2" s="77" t="s">
        <v>1174</v>
      </c>
      <c r="C2" s="78" t="s">
        <v>1175</v>
      </c>
      <c r="D2" s="81" t="s">
        <v>1176</v>
      </c>
      <c r="E2" s="87">
        <v>45624</v>
      </c>
    </row>
    <row r="3" spans="1:5" ht="29.4" thickBot="1" x14ac:dyDescent="0.35">
      <c r="A3" s="80" t="s">
        <v>1177</v>
      </c>
      <c r="B3" s="77" t="s">
        <v>1178</v>
      </c>
      <c r="C3" s="78" t="s">
        <v>1179</v>
      </c>
      <c r="D3" s="81" t="s">
        <v>1176</v>
      </c>
      <c r="E3" s="87">
        <v>45624</v>
      </c>
    </row>
    <row r="4" spans="1:5" ht="30" customHeight="1" thickBot="1" x14ac:dyDescent="0.35">
      <c r="A4" s="80" t="s">
        <v>1180</v>
      </c>
      <c r="B4" s="77" t="s">
        <v>1181</v>
      </c>
      <c r="C4" s="78" t="s">
        <v>1182</v>
      </c>
      <c r="D4" s="81" t="s">
        <v>1183</v>
      </c>
      <c r="E4" s="87">
        <v>45624</v>
      </c>
    </row>
    <row r="5" spans="1:5" ht="30" customHeight="1" thickBot="1" x14ac:dyDescent="0.35">
      <c r="A5" s="80" t="s">
        <v>785</v>
      </c>
      <c r="B5" s="77" t="s">
        <v>786</v>
      </c>
      <c r="C5" s="78" t="s">
        <v>1182</v>
      </c>
      <c r="D5" s="81" t="s">
        <v>1183</v>
      </c>
      <c r="E5" s="87">
        <v>45624</v>
      </c>
    </row>
    <row r="6" spans="1:5" ht="30" customHeight="1" thickBot="1" x14ac:dyDescent="0.35">
      <c r="A6" s="80" t="s">
        <v>787</v>
      </c>
      <c r="B6" s="77" t="s">
        <v>788</v>
      </c>
      <c r="C6" s="78" t="s">
        <v>1182</v>
      </c>
      <c r="D6" s="81" t="s">
        <v>1183</v>
      </c>
      <c r="E6" s="87">
        <v>45624</v>
      </c>
    </row>
    <row r="7" spans="1:5" ht="43.8" thickBot="1" x14ac:dyDescent="0.35">
      <c r="A7" s="80" t="s">
        <v>1184</v>
      </c>
      <c r="B7" s="77" t="s">
        <v>1185</v>
      </c>
      <c r="C7" s="78" t="s">
        <v>1186</v>
      </c>
      <c r="D7" s="81" t="s">
        <v>1176</v>
      </c>
      <c r="E7" s="87">
        <v>45624</v>
      </c>
    </row>
  </sheetData>
  <autoFilter ref="A1:E6" xr:uid="{2BAD0892-13FA-43B6-96E3-F543ACF58626}"/>
  <printOptions horizontalCentered="1" verticalCentered="1"/>
  <pageMargins left="0" right="0" top="0" bottom="0" header="0.31496062992125984" footer="0.31496062992125984"/>
  <pageSetup paperSize="9" scale="83"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0619-F914-4FC4-B56F-083966643C8E}">
  <sheetPr>
    <tabColor rgb="FFFF0000"/>
    <pageSetUpPr fitToPage="1"/>
  </sheetPr>
  <dimension ref="A1:E23"/>
  <sheetViews>
    <sheetView showGridLines="0" workbookViewId="0"/>
  </sheetViews>
  <sheetFormatPr defaultRowHeight="14.4" x14ac:dyDescent="0.3"/>
  <cols>
    <col min="1" max="1" width="12.109375" bestFit="1" customWidth="1"/>
    <col min="2" max="2" width="34.88671875" customWidth="1"/>
    <col min="3" max="3" width="72.109375" customWidth="1"/>
    <col min="4" max="4" width="17.109375" style="79" bestFit="1" customWidth="1"/>
    <col min="5" max="5" width="18.88671875" style="79" bestFit="1" customWidth="1"/>
  </cols>
  <sheetData>
    <row r="1" spans="1:5" ht="15.6" thickTop="1" thickBot="1" x14ac:dyDescent="0.35">
      <c r="A1" s="75" t="s">
        <v>9</v>
      </c>
      <c r="B1" s="75" t="s">
        <v>560</v>
      </c>
      <c r="C1" s="76" t="s">
        <v>1116</v>
      </c>
      <c r="D1" s="75" t="s">
        <v>1117</v>
      </c>
      <c r="E1" s="75" t="s">
        <v>1118</v>
      </c>
    </row>
    <row r="2" spans="1:5" ht="43.8" thickBot="1" x14ac:dyDescent="0.35">
      <c r="A2" s="80" t="s">
        <v>1187</v>
      </c>
      <c r="B2" s="77" t="s">
        <v>1188</v>
      </c>
      <c r="C2" s="78" t="s">
        <v>1189</v>
      </c>
      <c r="D2" s="81" t="s">
        <v>1190</v>
      </c>
      <c r="E2" s="81" t="s">
        <v>1191</v>
      </c>
    </row>
    <row r="3" spans="1:5" ht="22.5" customHeight="1" x14ac:dyDescent="0.3">
      <c r="A3" s="84" t="s">
        <v>1192</v>
      </c>
      <c r="B3" s="85" t="s">
        <v>1193</v>
      </c>
      <c r="C3" s="876" t="s">
        <v>1194</v>
      </c>
      <c r="D3" s="879" t="s">
        <v>1195</v>
      </c>
      <c r="E3" s="879" t="s">
        <v>1191</v>
      </c>
    </row>
    <row r="4" spans="1:5" ht="22.5" customHeight="1" thickBot="1" x14ac:dyDescent="0.35">
      <c r="A4" s="80" t="s">
        <v>1196</v>
      </c>
      <c r="B4" s="77" t="s">
        <v>1197</v>
      </c>
      <c r="C4" s="878"/>
      <c r="D4" s="881"/>
      <c r="E4" s="881"/>
    </row>
    <row r="5" spans="1:5" ht="43.8" thickBot="1" x14ac:dyDescent="0.35">
      <c r="A5" s="80" t="s">
        <v>657</v>
      </c>
      <c r="B5" s="77" t="s">
        <v>283</v>
      </c>
      <c r="C5" s="78" t="s">
        <v>1198</v>
      </c>
      <c r="D5" s="81" t="s">
        <v>1199</v>
      </c>
      <c r="E5" s="81" t="s">
        <v>1191</v>
      </c>
    </row>
    <row r="6" spans="1:5" ht="43.8" thickBot="1" x14ac:dyDescent="0.35">
      <c r="A6" s="80" t="s">
        <v>1200</v>
      </c>
      <c r="B6" s="88" t="s">
        <v>1201</v>
      </c>
      <c r="C6" s="78" t="s">
        <v>1202</v>
      </c>
      <c r="D6" s="81" t="s">
        <v>1203</v>
      </c>
      <c r="E6" s="81" t="s">
        <v>1204</v>
      </c>
    </row>
    <row r="7" spans="1:5" ht="29.4" thickBot="1" x14ac:dyDescent="0.35">
      <c r="A7" s="80" t="s">
        <v>1205</v>
      </c>
      <c r="B7" s="77" t="s">
        <v>1206</v>
      </c>
      <c r="C7" s="78" t="s">
        <v>1207</v>
      </c>
      <c r="D7" s="81" t="s">
        <v>1199</v>
      </c>
      <c r="E7" s="81" t="s">
        <v>1191</v>
      </c>
    </row>
    <row r="8" spans="1:5" ht="15" thickBot="1" x14ac:dyDescent="0.35">
      <c r="A8" s="80" t="s">
        <v>1208</v>
      </c>
      <c r="B8" s="77" t="s">
        <v>1209</v>
      </c>
      <c r="C8" s="78" t="s">
        <v>1210</v>
      </c>
      <c r="D8" s="81" t="s">
        <v>1199</v>
      </c>
      <c r="E8" s="81" t="s">
        <v>1191</v>
      </c>
    </row>
    <row r="9" spans="1:5" ht="29.4" thickBot="1" x14ac:dyDescent="0.35">
      <c r="A9" s="80" t="s">
        <v>236</v>
      </c>
      <c r="B9" s="77" t="s">
        <v>237</v>
      </c>
      <c r="C9" s="78" t="s">
        <v>1211</v>
      </c>
      <c r="D9" s="81" t="s">
        <v>1212</v>
      </c>
      <c r="E9" s="81" t="s">
        <v>1191</v>
      </c>
    </row>
    <row r="10" spans="1:5" ht="15" thickBot="1" x14ac:dyDescent="0.35">
      <c r="A10" s="80" t="s">
        <v>208</v>
      </c>
      <c r="B10" s="77" t="s">
        <v>209</v>
      </c>
      <c r="C10" s="78" t="s">
        <v>1213</v>
      </c>
      <c r="D10" s="81" t="s">
        <v>1199</v>
      </c>
      <c r="E10" s="81" t="s">
        <v>1191</v>
      </c>
    </row>
    <row r="11" spans="1:5" ht="15" thickBot="1" x14ac:dyDescent="0.35">
      <c r="A11" s="80" t="s">
        <v>211</v>
      </c>
      <c r="B11" s="77" t="s">
        <v>212</v>
      </c>
      <c r="C11" s="78" t="s">
        <v>1213</v>
      </c>
      <c r="D11" s="81" t="s">
        <v>1199</v>
      </c>
      <c r="E11" s="81" t="s">
        <v>1191</v>
      </c>
    </row>
    <row r="12" spans="1:5" ht="15" thickBot="1" x14ac:dyDescent="0.35">
      <c r="A12" s="80" t="s">
        <v>204</v>
      </c>
      <c r="B12" s="77" t="s">
        <v>205</v>
      </c>
      <c r="C12" s="78" t="s">
        <v>1214</v>
      </c>
      <c r="D12" s="81" t="s">
        <v>1199</v>
      </c>
      <c r="E12" s="81" t="s">
        <v>1191</v>
      </c>
    </row>
    <row r="13" spans="1:5" ht="29.4" thickBot="1" x14ac:dyDescent="0.35">
      <c r="A13" s="80" t="s">
        <v>147</v>
      </c>
      <c r="B13" s="77" t="s">
        <v>148</v>
      </c>
      <c r="C13" s="78" t="s">
        <v>1215</v>
      </c>
      <c r="D13" s="81" t="s">
        <v>1199</v>
      </c>
      <c r="E13" s="81" t="s">
        <v>1216</v>
      </c>
    </row>
    <row r="14" spans="1:5" ht="15" thickBot="1" x14ac:dyDescent="0.35">
      <c r="A14" s="80" t="s">
        <v>158</v>
      </c>
      <c r="B14" s="77" t="s">
        <v>159</v>
      </c>
      <c r="C14" s="78" t="s">
        <v>1210</v>
      </c>
      <c r="D14" s="81" t="s">
        <v>1199</v>
      </c>
      <c r="E14" s="81" t="s">
        <v>1191</v>
      </c>
    </row>
    <row r="15" spans="1:5" ht="29.4" thickBot="1" x14ac:dyDescent="0.35">
      <c r="A15" s="80" t="s">
        <v>91</v>
      </c>
      <c r="B15" s="77" t="s">
        <v>1217</v>
      </c>
      <c r="C15" s="78" t="s">
        <v>1218</v>
      </c>
      <c r="D15" s="81" t="s">
        <v>1219</v>
      </c>
      <c r="E15" s="81" t="s">
        <v>1216</v>
      </c>
    </row>
    <row r="16" spans="1:5" ht="29.4" thickBot="1" x14ac:dyDescent="0.35">
      <c r="A16" s="80" t="s">
        <v>239</v>
      </c>
      <c r="B16" s="77" t="s">
        <v>240</v>
      </c>
      <c r="C16" s="78" t="s">
        <v>1220</v>
      </c>
      <c r="D16" s="81" t="s">
        <v>1221</v>
      </c>
      <c r="E16" s="81" t="s">
        <v>1222</v>
      </c>
    </row>
    <row r="17" spans="1:5" ht="29.4" thickBot="1" x14ac:dyDescent="0.35">
      <c r="A17" s="80" t="s">
        <v>182</v>
      </c>
      <c r="B17" s="77" t="s">
        <v>180</v>
      </c>
      <c r="C17" s="876" t="s">
        <v>1223</v>
      </c>
      <c r="D17" s="879" t="s">
        <v>1224</v>
      </c>
      <c r="E17" s="879" t="s">
        <v>1191</v>
      </c>
    </row>
    <row r="18" spans="1:5" ht="29.4" thickBot="1" x14ac:dyDescent="0.35">
      <c r="A18" s="80" t="s">
        <v>179</v>
      </c>
      <c r="B18" s="77" t="s">
        <v>183</v>
      </c>
      <c r="C18" s="877"/>
      <c r="D18" s="880"/>
      <c r="E18" s="880"/>
    </row>
    <row r="19" spans="1:5" ht="29.4" thickBot="1" x14ac:dyDescent="0.35">
      <c r="A19" s="80" t="s">
        <v>184</v>
      </c>
      <c r="B19" s="77" t="s">
        <v>185</v>
      </c>
      <c r="C19" s="878"/>
      <c r="D19" s="881"/>
      <c r="E19" s="881"/>
    </row>
    <row r="20" spans="1:5" ht="43.8" thickBot="1" x14ac:dyDescent="0.35">
      <c r="A20" s="80" t="s">
        <v>644</v>
      </c>
      <c r="B20" s="77" t="s">
        <v>644</v>
      </c>
      <c r="C20" s="86" t="s">
        <v>1225</v>
      </c>
      <c r="D20" s="81" t="s">
        <v>1226</v>
      </c>
      <c r="E20" s="81" t="s">
        <v>1191</v>
      </c>
    </row>
    <row r="21" spans="1:5" ht="15" thickBot="1" x14ac:dyDescent="0.35">
      <c r="A21" s="80" t="s">
        <v>644</v>
      </c>
      <c r="B21" s="77" t="s">
        <v>644</v>
      </c>
      <c r="C21" s="78" t="s">
        <v>1227</v>
      </c>
      <c r="D21" s="81" t="s">
        <v>1199</v>
      </c>
      <c r="E21" s="81" t="s">
        <v>1191</v>
      </c>
    </row>
    <row r="22" spans="1:5" ht="15" thickBot="1" x14ac:dyDescent="0.35">
      <c r="A22" s="82" t="s">
        <v>644</v>
      </c>
      <c r="B22" s="73" t="s">
        <v>644</v>
      </c>
      <c r="C22" s="74" t="s">
        <v>1228</v>
      </c>
      <c r="D22" s="83" t="s">
        <v>1199</v>
      </c>
      <c r="E22" s="83" t="s">
        <v>1191</v>
      </c>
    </row>
    <row r="23" spans="1:5" ht="15" thickTop="1" x14ac:dyDescent="0.3"/>
  </sheetData>
  <autoFilter ref="A1:E19" xr:uid="{2BAD0892-13FA-43B6-96E3-F543ACF58626}"/>
  <mergeCells count="6">
    <mergeCell ref="C3:C4"/>
    <mergeCell ref="D3:D4"/>
    <mergeCell ref="E3:E4"/>
    <mergeCell ref="C17:C19"/>
    <mergeCell ref="D17:D19"/>
    <mergeCell ref="E17:E19"/>
  </mergeCells>
  <printOptions horizontalCentered="1" verticalCentered="1"/>
  <pageMargins left="0" right="0" top="0" bottom="0" header="0.31496062992125984" footer="0.31496062992125984"/>
  <pageSetup paperSize="9" scale="83"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3425-9E0D-4711-9B6D-39C47BF9407C}">
  <dimension ref="B3:F6"/>
  <sheetViews>
    <sheetView showGridLines="0" workbookViewId="0"/>
  </sheetViews>
  <sheetFormatPr defaultRowHeight="14.4" x14ac:dyDescent="0.3"/>
  <cols>
    <col min="2" max="2" width="9.109375" style="79"/>
    <col min="3" max="3" width="9.109375" style="79" bestFit="1" customWidth="1"/>
    <col min="4" max="5" width="10.5546875" style="79" bestFit="1" customWidth="1"/>
    <col min="6" max="6" width="9.109375" style="79" bestFit="1" customWidth="1"/>
  </cols>
  <sheetData>
    <row r="3" spans="2:6" ht="28.8" x14ac:dyDescent="0.3">
      <c r="C3" s="163" t="s">
        <v>1229</v>
      </c>
      <c r="D3" s="164" t="s">
        <v>1230</v>
      </c>
      <c r="E3" s="165" t="s">
        <v>1231</v>
      </c>
      <c r="F3" s="166" t="s">
        <v>483</v>
      </c>
    </row>
    <row r="4" spans="2:6" x14ac:dyDescent="0.3">
      <c r="B4" s="148" t="s">
        <v>1232</v>
      </c>
      <c r="C4" s="150">
        <v>804.75504843017097</v>
      </c>
      <c r="D4" s="151">
        <v>3902.712520314331</v>
      </c>
      <c r="E4" s="152">
        <v>1407.7854651642581</v>
      </c>
      <c r="F4" s="156">
        <f>SUM(C4:E4)</f>
        <v>6115.2530339087598</v>
      </c>
    </row>
    <row r="5" spans="2:6" x14ac:dyDescent="0.3">
      <c r="B5" s="149" t="s">
        <v>1233</v>
      </c>
      <c r="C5" s="153" t="e">
        <f>GETPIVOTDATA("Sum of 2024 Latest STATUS - 2024 Spillover into 2025
(kEur)",#REF!)</f>
        <v>#REF!</v>
      </c>
      <c r="D5" s="154" t="e">
        <f>GETPIVOTDATA("Sum of 2025 Initial PLAN - Within 2025
(kEur)",#REF!)</f>
        <v>#REF!</v>
      </c>
      <c r="E5" s="155" t="e">
        <f>GETPIVOTDATA("Sum of 2025 
Initial PLAN - 2025 Spillover into 2026
(kEur)",#REF!)</f>
        <v>#REF!</v>
      </c>
      <c r="F5" s="157" t="e">
        <f>SUM(C5:E5)</f>
        <v>#REF!</v>
      </c>
    </row>
    <row r="6" spans="2:6" x14ac:dyDescent="0.3">
      <c r="B6" s="162" t="s">
        <v>1234</v>
      </c>
      <c r="C6" s="159" t="e">
        <f>C5-C4</f>
        <v>#REF!</v>
      </c>
      <c r="D6" s="160" t="e">
        <f t="shared" ref="D6:F6" si="0">D5-D4</f>
        <v>#REF!</v>
      </c>
      <c r="E6" s="161" t="e">
        <f t="shared" si="0"/>
        <v>#REF!</v>
      </c>
      <c r="F6" s="158" t="e">
        <f t="shared" si="0"/>
        <v>#REF!</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9CFBA5BDC97B489B17B11665699A30" ma:contentTypeVersion="6" ma:contentTypeDescription="Create a new document." ma:contentTypeScope="" ma:versionID="80dcb7bf27f1c3e6d50d372d2198940b">
  <xsd:schema xmlns:xsd="http://www.w3.org/2001/XMLSchema" xmlns:xs="http://www.w3.org/2001/XMLSchema" xmlns:p="http://schemas.microsoft.com/office/2006/metadata/properties" xmlns:ns2="495cc162-2d9a-4849-98fe-a78b25c3462d" xmlns:ns3="03ec3395-fa2b-41b9-8f08-80c862c1cfb7" targetNamespace="http://schemas.microsoft.com/office/2006/metadata/properties" ma:root="true" ma:fieldsID="34cc8738414d56fa9d0c1c6e9ccd2920" ns2:_="" ns3:_="">
    <xsd:import namespace="495cc162-2d9a-4849-98fe-a78b25c3462d"/>
    <xsd:import namespace="03ec3395-fa2b-41b9-8f08-80c862c1cf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cc162-2d9a-4849-98fe-a78b25c346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ec3395-fa2b-41b9-8f08-80c862c1cf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9AF612-46B1-49BF-ADA8-202AC11ACCDD}">
  <ds:schemaRefs>
    <ds:schemaRef ds:uri="http://schemas.microsoft.com/office/2006/metadata/properties"/>
    <ds:schemaRef ds:uri="495cc162-2d9a-4849-98fe-a78b25c3462d"/>
    <ds:schemaRef ds:uri="http://purl.org/dc/terms/"/>
    <ds:schemaRef ds:uri="03ec3395-fa2b-41b9-8f08-80c862c1cfb7"/>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9F2EDEB8-7439-47F6-AB12-A36A5A31F0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5cc162-2d9a-4849-98fe-a78b25c3462d"/>
    <ds:schemaRef ds:uri="03ec3395-fa2b-41b9-8f08-80c862c1cf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C41719-F150-4A81-A114-76CBC18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All by RM Cat_v3_no Donper-&gt;HP</vt:lpstr>
      <vt:lpstr>RPD Capacity</vt:lpstr>
      <vt:lpstr>Final RPD</vt:lpstr>
      <vt:lpstr>Lists &amp; Explanations</vt:lpstr>
      <vt:lpstr>Delete</vt:lpstr>
      <vt:lpstr>2026 Project-Delete</vt:lpstr>
      <vt:lpstr>2026-Charter-Delete</vt:lpstr>
      <vt:lpstr>Data Backup-17-11-25</vt:lpstr>
      <vt:lpstr>Pivot-Charter-obsolete</vt:lpstr>
      <vt:lpstr>LTs_IND</vt:lpstr>
      <vt:lpstr>LTs_SAF</vt:lpstr>
      <vt:lpstr>LTs_INN</vt:lpstr>
      <vt:lpstr>Interchangeable</vt:lpstr>
      <vt:lpstr>IND_MoM</vt:lpstr>
      <vt:lpstr>INN_MoM</vt:lpstr>
      <vt:lpstr>ROM_MoM</vt:lpstr>
      <vt:lpstr>SAF_MoM</vt:lpstr>
      <vt:lpstr>14 Vs. 12b</vt:lpstr>
      <vt:lpstr>'Final RPD'!Print_Area</vt:lpstr>
      <vt:lpstr>IND_MoM!Print_Area</vt:lpstr>
      <vt:lpstr>INN_MoM!Print_Area</vt:lpstr>
      <vt:lpstr>LTs_INN!Print_Area</vt:lpstr>
      <vt:lpstr>LTs_SAF!Print_Area</vt:lpstr>
      <vt:lpstr>ROM_MoM!Print_Area</vt:lpstr>
      <vt:lpstr>SAF_MoM!Print_Area</vt:lpstr>
    </vt:vector>
  </TitlesOfParts>
  <Manager/>
  <Company>Frigoglass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Bogas Thanassis</dc:creator>
  <cp:keywords/>
  <dc:description/>
  <cp:lastModifiedBy>Gahlot Sachin</cp:lastModifiedBy>
  <cp:revision/>
  <dcterms:created xsi:type="dcterms:W3CDTF">2024-09-11T11:57:19Z</dcterms:created>
  <dcterms:modified xsi:type="dcterms:W3CDTF">2026-09-15T07:24:53Z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0x010100DB9CFBA5BDC97B489B17B11665699A30</vt:lpwstr>
  </property>
</Properties>
</file>